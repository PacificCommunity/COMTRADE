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From BigDisk\GIT\COMTRADE\Data_Raw\"/>
    </mc:Choice>
  </mc:AlternateContent>
  <xr:revisionPtr revIDLastSave="0" documentId="8_{196FC197-ABA5-4734-A8F2-D572E9C06BA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GFS 2001-2023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93" i="1" l="1"/>
  <c r="A494" i="1"/>
  <c r="A495" i="1"/>
  <c r="A496" i="1"/>
  <c r="C485" i="1"/>
  <c r="C493" i="1" s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P495" i="1" s="1"/>
  <c r="Q485" i="1"/>
  <c r="Q495" i="1" s="1"/>
  <c r="R485" i="1"/>
  <c r="R494" i="1" s="1"/>
  <c r="S485" i="1"/>
  <c r="S495" i="1" s="1"/>
  <c r="T485" i="1"/>
  <c r="T493" i="1" s="1"/>
  <c r="U485" i="1"/>
  <c r="U495" i="1" s="1"/>
  <c r="V485" i="1"/>
  <c r="V495" i="1" s="1"/>
  <c r="W485" i="1"/>
  <c r="W495" i="1" s="1"/>
  <c r="X485" i="1"/>
  <c r="C486" i="1"/>
  <c r="D486" i="1"/>
  <c r="E486" i="1"/>
  <c r="F486" i="1"/>
  <c r="G486" i="1"/>
  <c r="H486" i="1"/>
  <c r="I486" i="1"/>
  <c r="J486" i="1"/>
  <c r="K486" i="1"/>
  <c r="L486" i="1"/>
  <c r="L492" i="1" s="1"/>
  <c r="M486" i="1"/>
  <c r="M492" i="1" s="1"/>
  <c r="N486" i="1"/>
  <c r="N492" i="1" s="1"/>
  <c r="O486" i="1"/>
  <c r="O492" i="1" s="1"/>
  <c r="P486" i="1"/>
  <c r="P492" i="1" s="1"/>
  <c r="Q486" i="1"/>
  <c r="Q492" i="1" s="1"/>
  <c r="R486" i="1"/>
  <c r="R492" i="1" s="1"/>
  <c r="S486" i="1"/>
  <c r="S492" i="1" s="1"/>
  <c r="T486" i="1"/>
  <c r="T492" i="1" s="1"/>
  <c r="U486" i="1"/>
  <c r="U492" i="1" s="1"/>
  <c r="V486" i="1"/>
  <c r="W486" i="1"/>
  <c r="X486" i="1"/>
  <c r="C487" i="1"/>
  <c r="D487" i="1"/>
  <c r="E487" i="1"/>
  <c r="F487" i="1"/>
  <c r="G487" i="1"/>
  <c r="H487" i="1"/>
  <c r="I487" i="1"/>
  <c r="J487" i="1"/>
  <c r="J493" i="1" s="1"/>
  <c r="K487" i="1"/>
  <c r="K493" i="1" s="1"/>
  <c r="L487" i="1"/>
  <c r="L493" i="1" s="1"/>
  <c r="M487" i="1"/>
  <c r="M493" i="1" s="1"/>
  <c r="N487" i="1"/>
  <c r="N493" i="1" s="1"/>
  <c r="O487" i="1"/>
  <c r="O493" i="1" s="1"/>
  <c r="P487" i="1"/>
  <c r="P493" i="1" s="1"/>
  <c r="Q487" i="1"/>
  <c r="Q493" i="1" s="1"/>
  <c r="R487" i="1"/>
  <c r="R493" i="1" s="1"/>
  <c r="S487" i="1"/>
  <c r="S493" i="1" s="1"/>
  <c r="T487" i="1"/>
  <c r="U487" i="1"/>
  <c r="V487" i="1"/>
  <c r="W487" i="1"/>
  <c r="X487" i="1"/>
  <c r="C488" i="1"/>
  <c r="D488" i="1"/>
  <c r="E488" i="1"/>
  <c r="F488" i="1"/>
  <c r="G488" i="1"/>
  <c r="H488" i="1"/>
  <c r="H494" i="1" s="1"/>
  <c r="I488" i="1"/>
  <c r="I494" i="1" s="1"/>
  <c r="J488" i="1"/>
  <c r="J494" i="1" s="1"/>
  <c r="K488" i="1"/>
  <c r="K494" i="1" s="1"/>
  <c r="L488" i="1"/>
  <c r="L494" i="1" s="1"/>
  <c r="M488" i="1"/>
  <c r="M494" i="1" s="1"/>
  <c r="N488" i="1"/>
  <c r="N494" i="1" s="1"/>
  <c r="O488" i="1"/>
  <c r="O494" i="1" s="1"/>
  <c r="P488" i="1"/>
  <c r="P494" i="1" s="1"/>
  <c r="Q488" i="1"/>
  <c r="Q494" i="1" s="1"/>
  <c r="R488" i="1"/>
  <c r="S488" i="1"/>
  <c r="T488" i="1"/>
  <c r="U488" i="1"/>
  <c r="V488" i="1"/>
  <c r="W488" i="1"/>
  <c r="X488" i="1"/>
  <c r="C489" i="1"/>
  <c r="D489" i="1"/>
  <c r="E489" i="1"/>
  <c r="F489" i="1"/>
  <c r="F495" i="1" s="1"/>
  <c r="G489" i="1"/>
  <c r="G495" i="1" s="1"/>
  <c r="H489" i="1"/>
  <c r="H495" i="1" s="1"/>
  <c r="I489" i="1"/>
  <c r="I495" i="1" s="1"/>
  <c r="J489" i="1"/>
  <c r="J495" i="1" s="1"/>
  <c r="K489" i="1"/>
  <c r="K495" i="1" s="1"/>
  <c r="L489" i="1"/>
  <c r="L495" i="1" s="1"/>
  <c r="M489" i="1"/>
  <c r="M495" i="1" s="1"/>
  <c r="N489" i="1"/>
  <c r="N495" i="1" s="1"/>
  <c r="O489" i="1"/>
  <c r="O495" i="1" s="1"/>
  <c r="P489" i="1"/>
  <c r="Q489" i="1"/>
  <c r="R489" i="1"/>
  <c r="S489" i="1"/>
  <c r="T489" i="1"/>
  <c r="U489" i="1"/>
  <c r="V489" i="1"/>
  <c r="W489" i="1"/>
  <c r="X489" i="1"/>
  <c r="C490" i="1"/>
  <c r="D490" i="1"/>
  <c r="D496" i="1" s="1"/>
  <c r="E490" i="1"/>
  <c r="E496" i="1" s="1"/>
  <c r="F490" i="1"/>
  <c r="F496" i="1" s="1"/>
  <c r="G490" i="1"/>
  <c r="G496" i="1" s="1"/>
  <c r="H490" i="1"/>
  <c r="H496" i="1" s="1"/>
  <c r="I490" i="1"/>
  <c r="I496" i="1" s="1"/>
  <c r="J490" i="1"/>
  <c r="J496" i="1" s="1"/>
  <c r="K490" i="1"/>
  <c r="K496" i="1" s="1"/>
  <c r="L490" i="1"/>
  <c r="L496" i="1" s="1"/>
  <c r="M490" i="1"/>
  <c r="M496" i="1" s="1"/>
  <c r="N490" i="1"/>
  <c r="O490" i="1"/>
  <c r="P490" i="1"/>
  <c r="Q490" i="1"/>
  <c r="R490" i="1"/>
  <c r="S490" i="1"/>
  <c r="T490" i="1"/>
  <c r="U490" i="1"/>
  <c r="V490" i="1"/>
  <c r="W490" i="1"/>
  <c r="X490" i="1"/>
  <c r="X496" i="1" s="1"/>
  <c r="D492" i="1"/>
  <c r="E492" i="1"/>
  <c r="F492" i="1"/>
  <c r="G492" i="1"/>
  <c r="H492" i="1"/>
  <c r="I492" i="1"/>
  <c r="J492" i="1"/>
  <c r="K492" i="1"/>
  <c r="X492" i="1"/>
  <c r="D493" i="1"/>
  <c r="E493" i="1"/>
  <c r="F493" i="1"/>
  <c r="G493" i="1"/>
  <c r="H493" i="1"/>
  <c r="I493" i="1"/>
  <c r="X493" i="1"/>
  <c r="D494" i="1"/>
  <c r="E494" i="1"/>
  <c r="F494" i="1"/>
  <c r="G494" i="1"/>
  <c r="X494" i="1"/>
  <c r="D495" i="1"/>
  <c r="E495" i="1"/>
  <c r="X495" i="1"/>
  <c r="C496" i="1"/>
  <c r="N496" i="1"/>
  <c r="O496" i="1"/>
  <c r="P496" i="1"/>
  <c r="Q496" i="1"/>
  <c r="R496" i="1"/>
  <c r="S496" i="1"/>
  <c r="T496" i="1"/>
  <c r="U496" i="1"/>
  <c r="V496" i="1"/>
  <c r="W496" i="1"/>
  <c r="A492" i="1"/>
  <c r="B493" i="1"/>
  <c r="B494" i="1"/>
  <c r="B495" i="1"/>
  <c r="B496" i="1"/>
  <c r="B492" i="1"/>
  <c r="B490" i="1"/>
  <c r="B489" i="1"/>
  <c r="B488" i="1"/>
  <c r="B487" i="1"/>
  <c r="B486" i="1"/>
  <c r="B485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C478" i="1"/>
  <c r="C482" i="1" s="1"/>
  <c r="D478" i="1"/>
  <c r="D482" i="1" s="1"/>
  <c r="E478" i="1"/>
  <c r="E482" i="1" s="1"/>
  <c r="F478" i="1"/>
  <c r="F482" i="1" s="1"/>
  <c r="G478" i="1"/>
  <c r="G482" i="1" s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T482" i="1" s="1"/>
  <c r="U478" i="1"/>
  <c r="U482" i="1" s="1"/>
  <c r="V478" i="1"/>
  <c r="V482" i="1" s="1"/>
  <c r="W478" i="1"/>
  <c r="W482" i="1" s="1"/>
  <c r="X478" i="1"/>
  <c r="X482" i="1" s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B482" i="1"/>
  <c r="B478" i="1"/>
  <c r="B479" i="1"/>
  <c r="B480" i="1"/>
  <c r="B481" i="1"/>
  <c r="A481" i="1"/>
  <c r="A480" i="1"/>
  <c r="A479" i="1"/>
  <c r="A478" i="1"/>
  <c r="B477" i="1"/>
  <c r="X61" i="1"/>
  <c r="X57" i="1"/>
  <c r="X53" i="1"/>
  <c r="X46" i="1"/>
  <c r="C495" i="1" l="1"/>
  <c r="W494" i="1"/>
  <c r="C494" i="1"/>
  <c r="T495" i="1"/>
  <c r="U494" i="1"/>
  <c r="T494" i="1"/>
  <c r="U493" i="1"/>
  <c r="C492" i="1"/>
  <c r="V492" i="1"/>
  <c r="V494" i="1"/>
  <c r="W493" i="1"/>
  <c r="R495" i="1"/>
  <c r="V493" i="1"/>
  <c r="S494" i="1"/>
  <c r="W492" i="1"/>
  <c r="X51" i="1"/>
  <c r="X45" i="1" s="1"/>
  <c r="X44" i="1" s="1"/>
  <c r="X43" i="1" s="1"/>
  <c r="X65" i="1" s="1"/>
  <c r="X397" i="1" l="1"/>
  <c r="X372" i="1"/>
  <c r="X231" i="1"/>
  <c r="X398" i="1" l="1"/>
  <c r="X263" i="1"/>
  <c r="X288" i="1"/>
  <c r="X293" i="1"/>
  <c r="X281" i="1"/>
  <c r="X275" i="1"/>
  <c r="X295" i="1" l="1"/>
  <c r="X92" i="1"/>
  <c r="X202" i="1"/>
  <c r="X103" i="1"/>
  <c r="X108" i="1"/>
  <c r="X114" i="1"/>
  <c r="X119" i="1"/>
  <c r="E37" i="1"/>
  <c r="X102" i="1" l="1"/>
  <c r="X101" i="1" s="1"/>
  <c r="X100" i="1" s="1"/>
  <c r="X122" i="1" s="1"/>
  <c r="X167" i="1"/>
  <c r="X161" i="1"/>
  <c r="X165" i="1"/>
  <c r="X143" i="1"/>
  <c r="X136" i="1"/>
  <c r="X135" i="1" s="1"/>
  <c r="X134" i="1" s="1"/>
  <c r="X133" i="1" s="1"/>
  <c r="X150" i="1" s="1"/>
  <c r="X160" i="1" l="1"/>
  <c r="X159" i="1" s="1"/>
  <c r="X158" i="1" s="1"/>
  <c r="X171" i="1" s="1"/>
  <c r="W372" i="1"/>
  <c r="W397" i="1"/>
  <c r="W398" i="1" l="1"/>
  <c r="W161" i="1" l="1"/>
  <c r="W165" i="1"/>
  <c r="W167" i="1"/>
  <c r="W143" i="1"/>
  <c r="W136" i="1"/>
  <c r="W160" i="1" l="1"/>
  <c r="W159" i="1" s="1"/>
  <c r="W158" i="1" s="1"/>
  <c r="W171" i="1" s="1"/>
  <c r="W135" i="1"/>
  <c r="W134" i="1" s="1"/>
  <c r="W133" i="1" s="1"/>
  <c r="W150" i="1" s="1"/>
  <c r="W293" i="1"/>
  <c r="W288" i="1"/>
  <c r="W281" i="1" l="1"/>
  <c r="W275" i="1"/>
  <c r="W231" i="1"/>
  <c r="W295" i="1" l="1"/>
  <c r="W263" i="1"/>
  <c r="W92" i="1"/>
  <c r="W202" i="1" l="1"/>
  <c r="W103" i="1" l="1"/>
  <c r="W108" i="1"/>
  <c r="W114" i="1"/>
  <c r="W119" i="1"/>
  <c r="E35" i="1"/>
  <c r="E36" i="1"/>
  <c r="D12" i="2"/>
  <c r="D11" i="2"/>
  <c r="D10" i="2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G398" i="1" s="1"/>
  <c r="F372" i="1"/>
  <c r="E372" i="1"/>
  <c r="D372" i="1"/>
  <c r="C372" i="1"/>
  <c r="B372" i="1"/>
  <c r="M347" i="1"/>
  <c r="N337" i="1" s="1"/>
  <c r="N347" i="1" s="1"/>
  <c r="O337" i="1" s="1"/>
  <c r="O347" i="1" s="1"/>
  <c r="P337" i="1" s="1"/>
  <c r="P347" i="1" s="1"/>
  <c r="B347" i="1"/>
  <c r="C337" i="1" s="1"/>
  <c r="C347" i="1" s="1"/>
  <c r="D337" i="1" s="1"/>
  <c r="D347" i="1" s="1"/>
  <c r="E337" i="1" s="1"/>
  <c r="E347" i="1" s="1"/>
  <c r="F337" i="1" s="1"/>
  <c r="F347" i="1" s="1"/>
  <c r="G337" i="1" s="1"/>
  <c r="G347" i="1" s="1"/>
  <c r="H337" i="1" s="1"/>
  <c r="H347" i="1" s="1"/>
  <c r="I337" i="1" s="1"/>
  <c r="I347" i="1" s="1"/>
  <c r="J337" i="1" s="1"/>
  <c r="J347" i="1" s="1"/>
  <c r="K337" i="1" s="1"/>
  <c r="K347" i="1" s="1"/>
  <c r="L337" i="1" s="1"/>
  <c r="L347" i="1" s="1"/>
  <c r="R337" i="1"/>
  <c r="R347" i="1" s="1"/>
  <c r="S337" i="1" s="1"/>
  <c r="S347" i="1" s="1"/>
  <c r="T337" i="1" s="1"/>
  <c r="T347" i="1" s="1"/>
  <c r="U337" i="1" s="1"/>
  <c r="U347" i="1" s="1"/>
  <c r="V337" i="1" s="1"/>
  <c r="V347" i="1" s="1"/>
  <c r="W337" i="1" s="1"/>
  <c r="W347" i="1" s="1"/>
  <c r="X337" i="1" s="1"/>
  <c r="X347" i="1" s="1"/>
  <c r="V293" i="1"/>
  <c r="U293" i="1"/>
  <c r="T293" i="1"/>
  <c r="S293" i="1"/>
  <c r="R293" i="1"/>
  <c r="Q293" i="1"/>
  <c r="P293" i="1"/>
  <c r="O293" i="1"/>
  <c r="N293" i="1"/>
  <c r="N295" i="1" s="1"/>
  <c r="M293" i="1"/>
  <c r="L293" i="1"/>
  <c r="K293" i="1"/>
  <c r="J293" i="1"/>
  <c r="I293" i="1"/>
  <c r="H293" i="1"/>
  <c r="G293" i="1"/>
  <c r="F293" i="1"/>
  <c r="E293" i="1"/>
  <c r="D293" i="1"/>
  <c r="C293" i="1"/>
  <c r="B293" i="1"/>
  <c r="V288" i="1"/>
  <c r="U288" i="1"/>
  <c r="T288" i="1"/>
  <c r="S288" i="1"/>
  <c r="R288" i="1"/>
  <c r="Q288" i="1"/>
  <c r="P288" i="1"/>
  <c r="O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V281" i="1"/>
  <c r="U281" i="1"/>
  <c r="T281" i="1"/>
  <c r="S281" i="1"/>
  <c r="R281" i="1"/>
  <c r="Q281" i="1"/>
  <c r="P281" i="1"/>
  <c r="O281" i="1"/>
  <c r="M281" i="1"/>
  <c r="K281" i="1"/>
  <c r="J281" i="1"/>
  <c r="I281" i="1"/>
  <c r="H281" i="1"/>
  <c r="G281" i="1"/>
  <c r="F281" i="1"/>
  <c r="E281" i="1"/>
  <c r="D281" i="1"/>
  <c r="C281" i="1"/>
  <c r="B281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V263" i="1"/>
  <c r="U263" i="1"/>
  <c r="T263" i="1"/>
  <c r="S263" i="1"/>
  <c r="R263" i="1"/>
  <c r="Q263" i="1"/>
  <c r="P263" i="1"/>
  <c r="O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V231" i="1"/>
  <c r="U231" i="1"/>
  <c r="T231" i="1"/>
  <c r="S231" i="1"/>
  <c r="R231" i="1"/>
  <c r="Q231" i="1"/>
  <c r="P231" i="1"/>
  <c r="O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V202" i="1"/>
  <c r="U202" i="1"/>
  <c r="T202" i="1"/>
  <c r="S202" i="1"/>
  <c r="R202" i="1"/>
  <c r="Q202" i="1"/>
  <c r="P202" i="1"/>
  <c r="O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D160" i="1" s="1"/>
  <c r="C161" i="1"/>
  <c r="B161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V136" i="1"/>
  <c r="U136" i="1"/>
  <c r="T136" i="1"/>
  <c r="S136" i="1"/>
  <c r="S135" i="1" s="1"/>
  <c r="S134" i="1" s="1"/>
  <c r="R136" i="1"/>
  <c r="Q136" i="1"/>
  <c r="P136" i="1"/>
  <c r="O136" i="1"/>
  <c r="N136" i="1"/>
  <c r="M136" i="1"/>
  <c r="L136" i="1"/>
  <c r="K136" i="1"/>
  <c r="J136" i="1"/>
  <c r="I136" i="1"/>
  <c r="H136" i="1"/>
  <c r="G136" i="1"/>
  <c r="G135" i="1" s="1"/>
  <c r="G134" i="1" s="1"/>
  <c r="F136" i="1"/>
  <c r="E136" i="1"/>
  <c r="D136" i="1"/>
  <c r="C136" i="1"/>
  <c r="C135" i="1" s="1"/>
  <c r="C134" i="1" s="1"/>
  <c r="B136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K102" i="1" s="1"/>
  <c r="J103" i="1"/>
  <c r="I103" i="1"/>
  <c r="H103" i="1"/>
  <c r="G103" i="1"/>
  <c r="F103" i="1"/>
  <c r="E103" i="1"/>
  <c r="D103" i="1"/>
  <c r="C103" i="1"/>
  <c r="B10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O51" i="1" l="1"/>
  <c r="O45" i="1" s="1"/>
  <c r="O44" i="1" s="1"/>
  <c r="O43" i="1" s="1"/>
  <c r="O65" i="1" s="1"/>
  <c r="L51" i="1"/>
  <c r="L45" i="1" s="1"/>
  <c r="E135" i="1"/>
  <c r="E134" i="1" s="1"/>
  <c r="E133" i="1" s="1"/>
  <c r="E150" i="1" s="1"/>
  <c r="U135" i="1"/>
  <c r="U134" i="1" s="1"/>
  <c r="U133" i="1" s="1"/>
  <c r="U150" i="1" s="1"/>
  <c r="F160" i="1"/>
  <c r="F159" i="1" s="1"/>
  <c r="F158" i="1" s="1"/>
  <c r="F171" i="1" s="1"/>
  <c r="V160" i="1"/>
  <c r="V159" i="1" s="1"/>
  <c r="V158" i="1" s="1"/>
  <c r="V171" i="1" s="1"/>
  <c r="J102" i="1"/>
  <c r="J101" i="1" s="1"/>
  <c r="J100" i="1" s="1"/>
  <c r="J122" i="1" s="1"/>
  <c r="B135" i="1"/>
  <c r="B134" i="1" s="1"/>
  <c r="B133" i="1" s="1"/>
  <c r="B150" i="1" s="1"/>
  <c r="F135" i="1"/>
  <c r="F134" i="1" s="1"/>
  <c r="J135" i="1"/>
  <c r="J134" i="1" s="1"/>
  <c r="V135" i="1"/>
  <c r="V134" i="1" s="1"/>
  <c r="V133" i="1" s="1"/>
  <c r="V150" i="1" s="1"/>
  <c r="C160" i="1"/>
  <c r="C159" i="1" s="1"/>
  <c r="C158" i="1" s="1"/>
  <c r="C171" i="1" s="1"/>
  <c r="S160" i="1"/>
  <c r="E398" i="1"/>
  <c r="U398" i="1"/>
  <c r="F51" i="1"/>
  <c r="F45" i="1" s="1"/>
  <c r="F44" i="1" s="1"/>
  <c r="F43" i="1" s="1"/>
  <c r="F65" i="1" s="1"/>
  <c r="K101" i="1"/>
  <c r="K100" i="1" s="1"/>
  <c r="K122" i="1" s="1"/>
  <c r="G133" i="1"/>
  <c r="G150" i="1" s="1"/>
  <c r="T160" i="1"/>
  <c r="T159" i="1" s="1"/>
  <c r="T158" i="1" s="1"/>
  <c r="T171" i="1" s="1"/>
  <c r="P102" i="1"/>
  <c r="P101" i="1" s="1"/>
  <c r="P100" i="1" s="1"/>
  <c r="P122" i="1" s="1"/>
  <c r="D135" i="1"/>
  <c r="D134" i="1" s="1"/>
  <c r="D133" i="1" s="1"/>
  <c r="D150" i="1" s="1"/>
  <c r="T135" i="1"/>
  <c r="T134" i="1" s="1"/>
  <c r="T133" i="1" s="1"/>
  <c r="T150" i="1" s="1"/>
  <c r="E160" i="1"/>
  <c r="L102" i="1"/>
  <c r="L101" i="1" s="1"/>
  <c r="L100" i="1" s="1"/>
  <c r="L122" i="1" s="1"/>
  <c r="L44" i="1"/>
  <c r="L43" i="1" s="1"/>
  <c r="L65" i="1" s="1"/>
  <c r="M102" i="1"/>
  <c r="M101" i="1" s="1"/>
  <c r="M100" i="1" s="1"/>
  <c r="M122" i="1" s="1"/>
  <c r="H51" i="1"/>
  <c r="Q102" i="1"/>
  <c r="Q101" i="1" s="1"/>
  <c r="Q100" i="1" s="1"/>
  <c r="Q122" i="1" s="1"/>
  <c r="I135" i="1"/>
  <c r="I134" i="1" s="1"/>
  <c r="I51" i="1"/>
  <c r="I45" i="1" s="1"/>
  <c r="I44" i="1" s="1"/>
  <c r="I43" i="1" s="1"/>
  <c r="I65" i="1" s="1"/>
  <c r="B102" i="1"/>
  <c r="B101" i="1" s="1"/>
  <c r="B100" i="1" s="1"/>
  <c r="B122" i="1" s="1"/>
  <c r="R102" i="1"/>
  <c r="R101" i="1" s="1"/>
  <c r="R100" i="1" s="1"/>
  <c r="R122" i="1" s="1"/>
  <c r="P160" i="1"/>
  <c r="P159" i="1" s="1"/>
  <c r="P158" i="1" s="1"/>
  <c r="P171" i="1" s="1"/>
  <c r="M51" i="1"/>
  <c r="M45" i="1" s="1"/>
  <c r="M44" i="1" s="1"/>
  <c r="M43" i="1" s="1"/>
  <c r="M65" i="1" s="1"/>
  <c r="B160" i="1"/>
  <c r="B159" i="1" s="1"/>
  <c r="B158" i="1" s="1"/>
  <c r="B171" i="1" s="1"/>
  <c r="R160" i="1"/>
  <c r="R159" i="1" s="1"/>
  <c r="R158" i="1" s="1"/>
  <c r="R171" i="1" s="1"/>
  <c r="J51" i="1"/>
  <c r="J45" i="1" s="1"/>
  <c r="J44" i="1" s="1"/>
  <c r="J43" i="1" s="1"/>
  <c r="J65" i="1" s="1"/>
  <c r="L135" i="1"/>
  <c r="L134" i="1" s="1"/>
  <c r="L133" i="1" s="1"/>
  <c r="L150" i="1" s="1"/>
  <c r="H160" i="1"/>
  <c r="H159" i="1" s="1"/>
  <c r="H158" i="1" s="1"/>
  <c r="H171" i="1" s="1"/>
  <c r="K51" i="1"/>
  <c r="K45" i="1" s="1"/>
  <c r="K44" i="1" s="1"/>
  <c r="K43" i="1" s="1"/>
  <c r="K65" i="1" s="1"/>
  <c r="C102" i="1"/>
  <c r="C101" i="1" s="1"/>
  <c r="C100" i="1" s="1"/>
  <c r="C122" i="1" s="1"/>
  <c r="S102" i="1"/>
  <c r="S101" i="1" s="1"/>
  <c r="S100" i="1" s="1"/>
  <c r="S122" i="1" s="1"/>
  <c r="H135" i="1"/>
  <c r="H134" i="1" s="1"/>
  <c r="H133" i="1" s="1"/>
  <c r="H150" i="1" s="1"/>
  <c r="W102" i="1"/>
  <c r="W101" i="1" s="1"/>
  <c r="W100" i="1" s="1"/>
  <c r="W122" i="1" s="1"/>
  <c r="C133" i="1"/>
  <c r="C150" i="1" s="1"/>
  <c r="S133" i="1"/>
  <c r="S150" i="1" s="1"/>
  <c r="S159" i="1"/>
  <c r="S158" i="1" s="1"/>
  <c r="S171" i="1" s="1"/>
  <c r="N51" i="1"/>
  <c r="N45" i="1" s="1"/>
  <c r="N44" i="1" s="1"/>
  <c r="N43" i="1" s="1"/>
  <c r="N65" i="1" s="1"/>
  <c r="F102" i="1"/>
  <c r="F101" i="1" s="1"/>
  <c r="F100" i="1" s="1"/>
  <c r="F122" i="1" s="1"/>
  <c r="D159" i="1"/>
  <c r="D158" i="1" s="1"/>
  <c r="D171" i="1" s="1"/>
  <c r="B398" i="1"/>
  <c r="R398" i="1"/>
  <c r="G51" i="1"/>
  <c r="G45" i="1" s="1"/>
  <c r="G44" i="1" s="1"/>
  <c r="G43" i="1" s="1"/>
  <c r="G65" i="1" s="1"/>
  <c r="W51" i="1"/>
  <c r="W45" i="1" s="1"/>
  <c r="W44" i="1" s="1"/>
  <c r="W43" i="1" s="1"/>
  <c r="W65" i="1" s="1"/>
  <c r="O102" i="1"/>
  <c r="O101" i="1" s="1"/>
  <c r="O100" i="1" s="1"/>
  <c r="O122" i="1" s="1"/>
  <c r="J398" i="1"/>
  <c r="I160" i="1"/>
  <c r="I159" i="1" s="1"/>
  <c r="I158" i="1" s="1"/>
  <c r="I171" i="1" s="1"/>
  <c r="K398" i="1"/>
  <c r="L398" i="1"/>
  <c r="M398" i="1"/>
  <c r="N398" i="1"/>
  <c r="V102" i="1"/>
  <c r="V101" i="1" s="1"/>
  <c r="V100" i="1" s="1"/>
  <c r="V122" i="1" s="1"/>
  <c r="R135" i="1"/>
  <c r="R134" i="1" s="1"/>
  <c r="R133" i="1" s="1"/>
  <c r="R150" i="1" s="1"/>
  <c r="D398" i="1"/>
  <c r="T398" i="1"/>
  <c r="O398" i="1"/>
  <c r="M295" i="1"/>
  <c r="C51" i="1"/>
  <c r="C45" i="1" s="1"/>
  <c r="C44" i="1" s="1"/>
  <c r="C43" i="1" s="1"/>
  <c r="C65" i="1" s="1"/>
  <c r="S51" i="1"/>
  <c r="S45" i="1" s="1"/>
  <c r="S44" i="1" s="1"/>
  <c r="S43" i="1" s="1"/>
  <c r="S65" i="1" s="1"/>
  <c r="P135" i="1"/>
  <c r="P134" i="1" s="1"/>
  <c r="P133" i="1" s="1"/>
  <c r="P150" i="1" s="1"/>
  <c r="F398" i="1"/>
  <c r="V398" i="1"/>
  <c r="Q398" i="1"/>
  <c r="F133" i="1"/>
  <c r="F150" i="1" s="1"/>
  <c r="E159" i="1"/>
  <c r="E158" i="1" s="1"/>
  <c r="E171" i="1" s="1"/>
  <c r="P295" i="1"/>
  <c r="H398" i="1"/>
  <c r="Q295" i="1"/>
  <c r="R295" i="1"/>
  <c r="D102" i="1"/>
  <c r="D101" i="1" s="1"/>
  <c r="D100" i="1" s="1"/>
  <c r="D122" i="1" s="1"/>
  <c r="T102" i="1"/>
  <c r="T101" i="1" s="1"/>
  <c r="T100" i="1" s="1"/>
  <c r="T122" i="1" s="1"/>
  <c r="K135" i="1"/>
  <c r="K134" i="1" s="1"/>
  <c r="K133" i="1" s="1"/>
  <c r="K150" i="1" s="1"/>
  <c r="J160" i="1"/>
  <c r="J159" i="1" s="1"/>
  <c r="J158" i="1" s="1"/>
  <c r="J171" i="1" s="1"/>
  <c r="U160" i="1"/>
  <c r="U159" i="1" s="1"/>
  <c r="U158" i="1" s="1"/>
  <c r="U171" i="1" s="1"/>
  <c r="I295" i="1"/>
  <c r="G160" i="1"/>
  <c r="G159" i="1" s="1"/>
  <c r="G158" i="1" s="1"/>
  <c r="G171" i="1" s="1"/>
  <c r="D51" i="1"/>
  <c r="D45" i="1" s="1"/>
  <c r="D44" i="1" s="1"/>
  <c r="D43" i="1" s="1"/>
  <c r="D65" i="1" s="1"/>
  <c r="T51" i="1"/>
  <c r="T45" i="1" s="1"/>
  <c r="T44" i="1" s="1"/>
  <c r="T43" i="1" s="1"/>
  <c r="T65" i="1" s="1"/>
  <c r="Q135" i="1"/>
  <c r="Q134" i="1" s="1"/>
  <c r="Q133" i="1" s="1"/>
  <c r="Q150" i="1" s="1"/>
  <c r="E51" i="1"/>
  <c r="E45" i="1" s="1"/>
  <c r="E44" i="1" s="1"/>
  <c r="E43" i="1" s="1"/>
  <c r="E65" i="1" s="1"/>
  <c r="U51" i="1"/>
  <c r="U45" i="1" s="1"/>
  <c r="U44" i="1" s="1"/>
  <c r="U43" i="1" s="1"/>
  <c r="U65" i="1" s="1"/>
  <c r="D295" i="1"/>
  <c r="T295" i="1"/>
  <c r="E295" i="1"/>
  <c r="U295" i="1"/>
  <c r="O160" i="1"/>
  <c r="O159" i="1" s="1"/>
  <c r="O158" i="1" s="1"/>
  <c r="O171" i="1" s="1"/>
  <c r="O295" i="1"/>
  <c r="J295" i="1"/>
  <c r="F295" i="1"/>
  <c r="V295" i="1"/>
  <c r="I398" i="1"/>
  <c r="K160" i="1"/>
  <c r="K159" i="1" s="1"/>
  <c r="K158" i="1" s="1"/>
  <c r="K171" i="1" s="1"/>
  <c r="B295" i="1"/>
  <c r="S295" i="1"/>
  <c r="G295" i="1"/>
  <c r="Q160" i="1"/>
  <c r="Q159" i="1" s="1"/>
  <c r="Q158" i="1" s="1"/>
  <c r="Q171" i="1" s="1"/>
  <c r="L160" i="1"/>
  <c r="L159" i="1" s="1"/>
  <c r="L158" i="1" s="1"/>
  <c r="L171" i="1" s="1"/>
  <c r="C295" i="1"/>
  <c r="M160" i="1"/>
  <c r="M159" i="1" s="1"/>
  <c r="M158" i="1" s="1"/>
  <c r="M171" i="1" s="1"/>
  <c r="G102" i="1"/>
  <c r="G101" i="1" s="1"/>
  <c r="G100" i="1" s="1"/>
  <c r="G122" i="1" s="1"/>
  <c r="N160" i="1"/>
  <c r="N159" i="1" s="1"/>
  <c r="N158" i="1" s="1"/>
  <c r="N171" i="1" s="1"/>
  <c r="H102" i="1"/>
  <c r="H101" i="1" s="1"/>
  <c r="H100" i="1" s="1"/>
  <c r="H122" i="1" s="1"/>
  <c r="N102" i="1"/>
  <c r="N101" i="1" s="1"/>
  <c r="N100" i="1" s="1"/>
  <c r="N122" i="1" s="1"/>
  <c r="I102" i="1"/>
  <c r="I101" i="1" s="1"/>
  <c r="I100" i="1" s="1"/>
  <c r="I122" i="1" s="1"/>
  <c r="L295" i="1"/>
  <c r="P51" i="1"/>
  <c r="P45" i="1" s="1"/>
  <c r="P44" i="1" s="1"/>
  <c r="P43" i="1" s="1"/>
  <c r="P65" i="1" s="1"/>
  <c r="Q51" i="1"/>
  <c r="Q45" i="1" s="1"/>
  <c r="Q44" i="1" s="1"/>
  <c r="Q43" i="1" s="1"/>
  <c r="Q65" i="1" s="1"/>
  <c r="N135" i="1"/>
  <c r="N134" i="1" s="1"/>
  <c r="N133" i="1" s="1"/>
  <c r="N150" i="1" s="1"/>
  <c r="H45" i="1"/>
  <c r="H44" i="1" s="1"/>
  <c r="H43" i="1" s="1"/>
  <c r="H65" i="1" s="1"/>
  <c r="B51" i="1"/>
  <c r="B45" i="1" s="1"/>
  <c r="B44" i="1" s="1"/>
  <c r="B43" i="1" s="1"/>
  <c r="B65" i="1" s="1"/>
  <c r="R51" i="1"/>
  <c r="R45" i="1" s="1"/>
  <c r="R44" i="1" s="1"/>
  <c r="R43" i="1" s="1"/>
  <c r="R65" i="1" s="1"/>
  <c r="O135" i="1"/>
  <c r="O134" i="1" s="1"/>
  <c r="O133" i="1" s="1"/>
  <c r="O150" i="1" s="1"/>
  <c r="C398" i="1"/>
  <c r="S398" i="1"/>
  <c r="V51" i="1"/>
  <c r="V45" i="1" s="1"/>
  <c r="V44" i="1" s="1"/>
  <c r="V43" i="1" s="1"/>
  <c r="V65" i="1" s="1"/>
  <c r="K295" i="1"/>
  <c r="E102" i="1"/>
  <c r="E101" i="1" s="1"/>
  <c r="E100" i="1" s="1"/>
  <c r="E122" i="1" s="1"/>
  <c r="U102" i="1"/>
  <c r="U101" i="1" s="1"/>
  <c r="U100" i="1" s="1"/>
  <c r="U122" i="1" s="1"/>
  <c r="M135" i="1"/>
  <c r="M134" i="1" s="1"/>
  <c r="M133" i="1" s="1"/>
  <c r="M150" i="1" s="1"/>
  <c r="P398" i="1"/>
  <c r="I133" i="1"/>
  <c r="I150" i="1" s="1"/>
  <c r="J133" i="1"/>
  <c r="J150" i="1" s="1"/>
  <c r="H2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125" authorId="0" shapeId="0" xr:uid="{00000000-0006-0000-0000-000010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 xml:space="preserve">contribution to rerf
</t>
        </r>
      </text>
    </comment>
    <comment ref="T171" authorId="0" shapeId="0" xr:uid="{00000000-0006-0000-0000-000015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check again</t>
        </r>
      </text>
    </comment>
    <comment ref="O213" authorId="0" shapeId="0" xr:uid="{00000000-0006-0000-0000-00000B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VAT included</t>
        </r>
      </text>
    </comment>
    <comment ref="P274" authorId="0" shapeId="0" xr:uid="{00000000-0006-0000-0000-000011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increased because of leave grant (1500)</t>
        </r>
      </text>
    </comment>
    <comment ref="T283" authorId="0" shapeId="0" xr:uid="{00000000-0006-0000-0000-000016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 xml:space="preserve">subsidy for xmas air services
</t>
        </r>
      </text>
    </comment>
    <comment ref="T287" authorId="0" shapeId="0" xr:uid="{00000000-0006-0000-0000-000017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subsidy for local product and school fees</t>
        </r>
      </text>
    </comment>
    <comment ref="L352" authorId="0" shapeId="0" xr:uid="{00000000-0006-0000-0000-000009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used budget 2012 revised est for 2011</t>
        </r>
      </text>
    </comment>
    <comment ref="N352" authorId="0" shapeId="0" xr:uid="{00000000-0006-0000-0000-00000A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 xml:space="preserve">budget 2015 total actual for 2013
</t>
        </r>
      </text>
    </comment>
    <comment ref="O352" authorId="0" shapeId="0" xr:uid="{00000000-0006-0000-0000-00000D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 xml:space="preserve">Budget 2016
main issues- road rehabilitation 22.5 mi
Betion port expasion 8 m
</t>
        </r>
      </text>
    </comment>
    <comment ref="P352" authorId="0" shapeId="0" xr:uid="{00000000-0006-0000-0000-000013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 xml:space="preserve">budget 2017
</t>
        </r>
      </text>
    </comment>
    <comment ref="U352" authorId="0" shapeId="0" xr:uid="{00000000-0006-0000-0000-000018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Development  Budget 2020 in excel  format</t>
        </r>
      </text>
    </comment>
    <comment ref="V352" authorId="0" shapeId="0" xr:uid="{00000000-0006-0000-0000-000019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annual accnt table 9</t>
        </r>
      </text>
    </comment>
    <comment ref="O416" authorId="0" shapeId="0" xr:uid="{00000000-0006-0000-0000-00000E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declained because of the exclusion of VAT</t>
        </r>
      </text>
    </comment>
    <comment ref="O419" authorId="0" shapeId="0" xr:uid="{00000000-0006-0000-0000-00000F000000}">
      <text>
        <r>
          <rPr>
            <sz val="10"/>
            <rFont val="Arial"/>
            <family val="2"/>
            <charset val="1"/>
          </rPr>
          <t xml:space="preserve">Taotirita Kauongo:
</t>
        </r>
        <r>
          <rPr>
            <sz val="9"/>
            <color rgb="FF000000"/>
            <rFont val="Tahoma"/>
            <family val="2"/>
            <charset val="1"/>
          </rPr>
          <t>other taxes increased by the amount of VAT</t>
        </r>
      </text>
    </comment>
  </commentList>
</comments>
</file>

<file path=xl/sharedStrings.xml><?xml version="1.0" encoding="utf-8"?>
<sst xmlns="http://schemas.openxmlformats.org/spreadsheetml/2006/main" count="389" uniqueCount="358">
  <si>
    <t>Summary Table: Central Government  Revenue &amp; Expenditure by Year.</t>
  </si>
  <si>
    <t>Summary Table: Local Government  Revenue &amp; Expenditure by Year.</t>
  </si>
  <si>
    <t>Year</t>
  </si>
  <si>
    <t>Revenue A$'000</t>
  </si>
  <si>
    <t>Expenditure A$'000</t>
  </si>
  <si>
    <t>RERF</t>
  </si>
  <si>
    <t>Rev - RERF -Exp</t>
  </si>
  <si>
    <t>($'000)</t>
  </si>
  <si>
    <t>GFS revenue heading</t>
  </si>
  <si>
    <t>1. Total revenue and grants (II+VII)</t>
  </si>
  <si>
    <t xml:space="preserve">    II. Total revenue (III+VI)</t>
  </si>
  <si>
    <t xml:space="preserve">     III.Current revenue (IV+V)</t>
  </si>
  <si>
    <t xml:space="preserve">        IV. Tax revenue</t>
  </si>
  <si>
    <t xml:space="preserve">          1.1 personal income tax</t>
  </si>
  <si>
    <t xml:space="preserve">          6.1.1 import duties</t>
  </si>
  <si>
    <t xml:space="preserve">          7.3 other taxes (b)</t>
  </si>
  <si>
    <t xml:space="preserve">       V. Nontax revenue</t>
  </si>
  <si>
    <t xml:space="preserve">         8.2 enterpreneurial income </t>
  </si>
  <si>
    <t xml:space="preserve">         8.3 other property income </t>
  </si>
  <si>
    <t xml:space="preserve">              - drawdown from RERF</t>
  </si>
  <si>
    <t xml:space="preserve">              - fishing license</t>
  </si>
  <si>
    <t xml:space="preserve">              - other interests </t>
  </si>
  <si>
    <t xml:space="preserve">        9. Fees &amp; incidental sales </t>
  </si>
  <si>
    <t xml:space="preserve">              - green passports</t>
  </si>
  <si>
    <t xml:space="preserve">              - other fees/sales </t>
  </si>
  <si>
    <t xml:space="preserve">       10. Fine and forfeits</t>
  </si>
  <si>
    <t xml:space="preserve">       VI capital revenue</t>
  </si>
  <si>
    <t xml:space="preserve">          15. Sales of intangible assets</t>
  </si>
  <si>
    <t xml:space="preserve">       VII. Grants</t>
  </si>
  <si>
    <t xml:space="preserve">             -uk budgetary aid</t>
  </si>
  <si>
    <t xml:space="preserve">Total revenue and grants </t>
  </si>
  <si>
    <t>(A$000)</t>
  </si>
  <si>
    <t>GFS headings</t>
  </si>
  <si>
    <t>1. General public service</t>
  </si>
  <si>
    <t xml:space="preserve">   1.1.1 Executive &amp; legislation </t>
  </si>
  <si>
    <t xml:space="preserve">  1.1.2 Finance</t>
  </si>
  <si>
    <t xml:space="preserve">  1.1.3 External affairs (FA)</t>
  </si>
  <si>
    <t>3. Public order &amp; safety</t>
  </si>
  <si>
    <t xml:space="preserve">  3.1  Police </t>
  </si>
  <si>
    <t xml:space="preserve">  3.2 Law</t>
  </si>
  <si>
    <t>4. Education</t>
  </si>
  <si>
    <t>5. Health</t>
  </si>
  <si>
    <t>6. Welfare &amp; environment</t>
  </si>
  <si>
    <t>10. Agriculture &amp; fishing</t>
  </si>
  <si>
    <t>11. Construction affairs</t>
  </si>
  <si>
    <t>12. Communication</t>
  </si>
  <si>
    <t>13.1 Commerce</t>
  </si>
  <si>
    <t xml:space="preserve">13.2 Labour affairs </t>
  </si>
  <si>
    <t>13.3 Women,Youth and Social Affairs</t>
  </si>
  <si>
    <t>13.4 Ministry of Justice</t>
  </si>
  <si>
    <t>14. Others nes (a)</t>
  </si>
  <si>
    <t>Total expenditure</t>
  </si>
  <si>
    <t xml:space="preserve">GFS heading </t>
  </si>
  <si>
    <t>1. Total exp. &amp; lend -repay(II+V)</t>
  </si>
  <si>
    <t xml:space="preserve">  II. Total exp.(III+IV)</t>
  </si>
  <si>
    <t xml:space="preserve">  III. Current expenditure </t>
  </si>
  <si>
    <t xml:space="preserve">1. Expenditure on goods &amp; services </t>
  </si>
  <si>
    <t xml:space="preserve">   1.1 wages and salaries</t>
  </si>
  <si>
    <t xml:space="preserve">   1.2 contribution to prov. fund</t>
  </si>
  <si>
    <t xml:space="preserve">   1.3 other purchases </t>
  </si>
  <si>
    <t xml:space="preserve">2.3 Interest paid </t>
  </si>
  <si>
    <t>3. Subsidies and transfers</t>
  </si>
  <si>
    <t xml:space="preserve">   3.1 subsidies to public enterprises </t>
  </si>
  <si>
    <t xml:space="preserve">   3.2 transfers to local councils </t>
  </si>
  <si>
    <t xml:space="preserve">   3.3 transfers to nonprofit institutions </t>
  </si>
  <si>
    <t xml:space="preserve">   3.4 transfers to household</t>
  </si>
  <si>
    <t xml:space="preserve">   3.5 transfers abroad</t>
  </si>
  <si>
    <t xml:space="preserve">IV Capital expenditure </t>
  </si>
  <si>
    <t xml:space="preserve">   4.2 building maintenance </t>
  </si>
  <si>
    <t xml:space="preserve">   7.1.1 capital transfers to dev. fund</t>
  </si>
  <si>
    <t xml:space="preserve">   7.1.2 capital transfers to enterprises </t>
  </si>
  <si>
    <t xml:space="preserve">   7.1.3 capital transfer to village bank </t>
  </si>
  <si>
    <t>V Lending minus repayments</t>
  </si>
  <si>
    <t xml:space="preserve">    8.2 domestic</t>
  </si>
  <si>
    <t xml:space="preserve">    9.1 abroad </t>
  </si>
  <si>
    <t xml:space="preserve">Total expenditure </t>
  </si>
  <si>
    <t>1. Total Revenue &amp; Grants (II+VII)</t>
  </si>
  <si>
    <t xml:space="preserve"> II. Total Revenue (III+VI)</t>
  </si>
  <si>
    <t xml:space="preserve"> III.Current Revenue (IV+V)</t>
  </si>
  <si>
    <t xml:space="preserve"> IV. Tax revenue</t>
  </si>
  <si>
    <t xml:space="preserve">  1.1 personal income tax</t>
  </si>
  <si>
    <t xml:space="preserve">  2.1 provident fund contribution </t>
  </si>
  <si>
    <t xml:space="preserve">  5.5.1 business licences </t>
  </si>
  <si>
    <t xml:space="preserve">  5.5.2 motor vehicles taxes</t>
  </si>
  <si>
    <t xml:space="preserve">  7.1 head tax</t>
  </si>
  <si>
    <t xml:space="preserve">  7.3 other taxes</t>
  </si>
  <si>
    <t xml:space="preserve">V. Nontax revenue </t>
  </si>
  <si>
    <t xml:space="preserve">  8.2 entrepreneurial income</t>
  </si>
  <si>
    <t xml:space="preserve">  8.3 other property income</t>
  </si>
  <si>
    <t xml:space="preserve">  9. fees &amp; incidental sales </t>
  </si>
  <si>
    <t xml:space="preserve">  10. fines and forfeits</t>
  </si>
  <si>
    <t xml:space="preserve">VII. transfer from Central government </t>
  </si>
  <si>
    <t>Total Revenue</t>
  </si>
  <si>
    <t>1. Total exp.&amp; lend-repay (II+V)</t>
  </si>
  <si>
    <t xml:space="preserve"> II. Total exp. (III+IV)</t>
  </si>
  <si>
    <t xml:space="preserve"> III. Current expenditure </t>
  </si>
  <si>
    <t xml:space="preserve">   1. expenditure on goods &amp; services</t>
  </si>
  <si>
    <t xml:space="preserve">     1.1 wages and salaies</t>
  </si>
  <si>
    <t xml:space="preserve">     1.2 contribution to provident fund</t>
  </si>
  <si>
    <t xml:space="preserve">     1.3 other purchases </t>
  </si>
  <si>
    <t xml:space="preserve">  3.4 transfers to households</t>
  </si>
  <si>
    <t xml:space="preserve">IV. Capital expenditure </t>
  </si>
  <si>
    <t xml:space="preserve">  4. acquisition of fixed capital </t>
  </si>
  <si>
    <t xml:space="preserve"> V. Lending minus repayments </t>
  </si>
  <si>
    <t>ministry/office</t>
  </si>
  <si>
    <t>President Office</t>
  </si>
  <si>
    <t>Judiciary</t>
  </si>
  <si>
    <t>Police</t>
  </si>
  <si>
    <t>PSC</t>
  </si>
  <si>
    <t>Foreign Affairs</t>
  </si>
  <si>
    <t>House of Assembly</t>
  </si>
  <si>
    <t>AG office</t>
  </si>
  <si>
    <t>knao</t>
  </si>
  <si>
    <t xml:space="preserve">Ministry of </t>
  </si>
  <si>
    <t>MISA</t>
  </si>
  <si>
    <t>Finance</t>
  </si>
  <si>
    <t>mfmrd (nrd)</t>
  </si>
  <si>
    <t>mhms(health)</t>
  </si>
  <si>
    <t>meys(education)</t>
  </si>
  <si>
    <t>mcttd(communication)</t>
  </si>
  <si>
    <t>mpwu(works)</t>
  </si>
  <si>
    <t>Commerce</t>
  </si>
  <si>
    <t xml:space="preserve">Environment </t>
  </si>
  <si>
    <t>mlhrd(labour)</t>
  </si>
  <si>
    <t>mlpld(linnix)</t>
  </si>
  <si>
    <t xml:space="preserve"> mwysa</t>
  </si>
  <si>
    <t xml:space="preserve"> Office of People' Lawyer</t>
  </si>
  <si>
    <t>Others (b)</t>
  </si>
  <si>
    <t>Total revenue</t>
  </si>
  <si>
    <t>Revenue Subhead</t>
  </si>
  <si>
    <t xml:space="preserve">1. personal tax </t>
  </si>
  <si>
    <t xml:space="preserve">2. company tax </t>
  </si>
  <si>
    <t>7. hotel tax</t>
  </si>
  <si>
    <t>4. import duties</t>
  </si>
  <si>
    <t>3. other taxes</t>
  </si>
  <si>
    <t xml:space="preserve">6. printery sales </t>
  </si>
  <si>
    <t>9. philatelic sales</t>
  </si>
  <si>
    <t>5. Captain Cook hotel income</t>
  </si>
  <si>
    <t xml:space="preserve">15. fishing license </t>
  </si>
  <si>
    <t>10. RERF drawdown</t>
  </si>
  <si>
    <t>11. Bank of Kiribati</t>
  </si>
  <si>
    <t xml:space="preserve">17. interest received </t>
  </si>
  <si>
    <t xml:space="preserve">19. landing fees </t>
  </si>
  <si>
    <t>20. school fees</t>
  </si>
  <si>
    <t>12. fish sales</t>
  </si>
  <si>
    <t>8. house rent</t>
  </si>
  <si>
    <t xml:space="preserve">21. Nasda contribution </t>
  </si>
  <si>
    <t>14. cruise line</t>
  </si>
  <si>
    <t>13. PWD income</t>
  </si>
  <si>
    <t xml:space="preserve">18. Green' passport </t>
  </si>
  <si>
    <t>22. other revenue</t>
  </si>
  <si>
    <t xml:space="preserve">President Office </t>
  </si>
  <si>
    <t>Audit office</t>
  </si>
  <si>
    <t>Home affairs (mia)</t>
  </si>
  <si>
    <t>Natural Resources</t>
  </si>
  <si>
    <t>Health</t>
  </si>
  <si>
    <t xml:space="preserve"> Environment </t>
  </si>
  <si>
    <t>Education</t>
  </si>
  <si>
    <t>Communication</t>
  </si>
  <si>
    <t>Works</t>
  </si>
  <si>
    <t xml:space="preserve">Labour </t>
  </si>
  <si>
    <t>Line &amp; Phoenix</t>
  </si>
  <si>
    <t>WYSA</t>
  </si>
  <si>
    <t>Office of the Public Solicitor</t>
  </si>
  <si>
    <t>Contribution to Development Fund</t>
  </si>
  <si>
    <t>Others nec @</t>
  </si>
  <si>
    <t>expend.subdead</t>
  </si>
  <si>
    <t>salaries</t>
  </si>
  <si>
    <t>allowances</t>
  </si>
  <si>
    <t>wages</t>
  </si>
  <si>
    <t>provident fund</t>
  </si>
  <si>
    <t>housing assistance</t>
  </si>
  <si>
    <t>other compensations</t>
  </si>
  <si>
    <t>total compensation</t>
  </si>
  <si>
    <t xml:space="preserve">travelling </t>
  </si>
  <si>
    <t xml:space="preserve">hire of vehicles </t>
  </si>
  <si>
    <t>overseas travel</t>
  </si>
  <si>
    <t>utilities</t>
  </si>
  <si>
    <t>land rent</t>
  </si>
  <si>
    <t>total travel/utilities</t>
  </si>
  <si>
    <t>water</t>
  </si>
  <si>
    <t>internation air services</t>
  </si>
  <si>
    <t>khc</t>
  </si>
  <si>
    <t>copra</t>
  </si>
  <si>
    <t>pub</t>
  </si>
  <si>
    <t>other subsidies</t>
  </si>
  <si>
    <t>total subsidies</t>
  </si>
  <si>
    <t>outer islands grant</t>
  </si>
  <si>
    <t>transfers to npi</t>
  </si>
  <si>
    <t>transfers to households</t>
  </si>
  <si>
    <t xml:space="preserve">transfers abroad </t>
  </si>
  <si>
    <t>total transfers</t>
  </si>
  <si>
    <t>others nes (a)</t>
  </si>
  <si>
    <t xml:space="preserve">Total recurrent expenditure </t>
  </si>
  <si>
    <t>2014P</t>
  </si>
  <si>
    <t>2015P</t>
  </si>
  <si>
    <t>Opening balance 1st Jan</t>
  </si>
  <si>
    <t>NVA @</t>
  </si>
  <si>
    <t xml:space="preserve">Add </t>
  </si>
  <si>
    <t xml:space="preserve">    amount invested </t>
  </si>
  <si>
    <t xml:space="preserve">   deposits/contribution</t>
  </si>
  <si>
    <t xml:space="preserve">    bond income interest</t>
  </si>
  <si>
    <t xml:space="preserve">    equity income (dividends)</t>
  </si>
  <si>
    <t xml:space="preserve">gains/losses </t>
  </si>
  <si>
    <t xml:space="preserve">   prior undistributed</t>
  </si>
  <si>
    <t xml:space="preserve">   prior undistributed income</t>
  </si>
  <si>
    <t>unrealised appreciation</t>
  </si>
  <si>
    <t>total capital</t>
  </si>
  <si>
    <t xml:space="preserve">Less </t>
  </si>
  <si>
    <t>total expenditure</t>
  </si>
  <si>
    <t xml:space="preserve">      govt drawndown</t>
  </si>
  <si>
    <t xml:space="preserve">      management fee</t>
  </si>
  <si>
    <t xml:space="preserve">        -bond</t>
  </si>
  <si>
    <t xml:space="preserve">        -equity </t>
  </si>
  <si>
    <t xml:space="preserve">       -bond/equity</t>
  </si>
  <si>
    <t>Other exp</t>
  </si>
  <si>
    <t>Closing balance 31st Dec</t>
  </si>
  <si>
    <t>Opening balance (1st Jan)</t>
  </si>
  <si>
    <t>plus</t>
  </si>
  <si>
    <t xml:space="preserve">interest earned </t>
  </si>
  <si>
    <t>gains or losses</t>
  </si>
  <si>
    <t>less drawdown</t>
  </si>
  <si>
    <t>Closing balance (31stDec)</t>
  </si>
  <si>
    <t>key development partners</t>
  </si>
  <si>
    <t>UK</t>
  </si>
  <si>
    <t>Australia</t>
  </si>
  <si>
    <t>New Zealand</t>
  </si>
  <si>
    <t>Japan (1)</t>
  </si>
  <si>
    <t>China (2)</t>
  </si>
  <si>
    <t>Taiwan (2)</t>
  </si>
  <si>
    <t>EU (3)</t>
  </si>
  <si>
    <t>Korea</t>
  </si>
  <si>
    <t>Italy</t>
  </si>
  <si>
    <t>Pupua New Guinea</t>
  </si>
  <si>
    <t>Kuwait</t>
  </si>
  <si>
    <t>ADB (4)</t>
  </si>
  <si>
    <t>World Bank</t>
  </si>
  <si>
    <t>IMF</t>
  </si>
  <si>
    <t>UNICEF</t>
  </si>
  <si>
    <t>UNDP</t>
  </si>
  <si>
    <t>UNFPA</t>
  </si>
  <si>
    <t>WHO</t>
  </si>
  <si>
    <t xml:space="preserve">  sub--total</t>
  </si>
  <si>
    <t>Canada</t>
  </si>
  <si>
    <t>USA</t>
  </si>
  <si>
    <t>France</t>
  </si>
  <si>
    <t>Germany</t>
  </si>
  <si>
    <t>UNESCO</t>
  </si>
  <si>
    <t>UNEP</t>
  </si>
  <si>
    <t>Pacific Env. Community fund</t>
  </si>
  <si>
    <t>Pacific Reg. Infr. Facility (PRIF)</t>
  </si>
  <si>
    <t>Forum Sec (PIFS)</t>
  </si>
  <si>
    <t>Global Env. Facility (GEF)</t>
  </si>
  <si>
    <t>SPC</t>
  </si>
  <si>
    <t>FFA</t>
  </si>
  <si>
    <t>PIPA</t>
  </si>
  <si>
    <t>IFAD</t>
  </si>
  <si>
    <t>SPREP</t>
  </si>
  <si>
    <t>UN Women</t>
  </si>
  <si>
    <t>Food Agriculture organisation</t>
  </si>
  <si>
    <t>UN Fund for Children</t>
  </si>
  <si>
    <t>Parties to the Nauru Agreement</t>
  </si>
  <si>
    <t>Others</t>
  </si>
  <si>
    <t>sub total</t>
  </si>
  <si>
    <t>Total Aid</t>
  </si>
  <si>
    <t>budget2018</t>
  </si>
  <si>
    <t>GFS heading</t>
  </si>
  <si>
    <t>1.Total revenue and grants (II+VII)</t>
  </si>
  <si>
    <t xml:space="preserve">   II. Total revenue (III+VI)</t>
  </si>
  <si>
    <t xml:space="preserve">   III. Current revenue (IV+V)</t>
  </si>
  <si>
    <t xml:space="preserve">     IV. Tax revenue</t>
  </si>
  <si>
    <t xml:space="preserve">      1.1 personal income tax</t>
  </si>
  <si>
    <t xml:space="preserve">      1.2 corporate tax</t>
  </si>
  <si>
    <t xml:space="preserve">      2.1 provident fund contribution</t>
  </si>
  <si>
    <t xml:space="preserve">      5.5.1 business license</t>
  </si>
  <si>
    <t xml:space="preserve">      5.5.2 motor vechile license</t>
  </si>
  <si>
    <t xml:space="preserve">      6.1.1 import duties</t>
  </si>
  <si>
    <t xml:space="preserve">      6.1.2 import levy </t>
  </si>
  <si>
    <t xml:space="preserve">      7.1 head tax</t>
  </si>
  <si>
    <t xml:space="preserve">      7.3 other taxes</t>
  </si>
  <si>
    <t xml:space="preserve">     V. Nontax revenue</t>
  </si>
  <si>
    <t xml:space="preserve">      8.2 entrepreneurials income </t>
  </si>
  <si>
    <t xml:space="preserve">      8.3 other property income</t>
  </si>
  <si>
    <t xml:space="preserve">         - rerf interest/dividends </t>
  </si>
  <si>
    <t xml:space="preserve">         - fishing license </t>
  </si>
  <si>
    <t xml:space="preserve">         - other interest/dividends </t>
  </si>
  <si>
    <t xml:space="preserve">      9. fees &amp; nicidental sales </t>
  </si>
  <si>
    <t xml:space="preserve">     10. fines and forfeits </t>
  </si>
  <si>
    <t xml:space="preserve">     VI. Capital revenue</t>
  </si>
  <si>
    <t xml:space="preserve">     VII. Grants </t>
  </si>
  <si>
    <t xml:space="preserve">           -stabex transfer</t>
  </si>
  <si>
    <t xml:space="preserve">           -uk budgetary aid</t>
  </si>
  <si>
    <t xml:space="preserve">           -development aid</t>
  </si>
  <si>
    <t xml:space="preserve">     Total Revenue</t>
  </si>
  <si>
    <t>i.Total exp.&amp; lend-repay (II+V)</t>
  </si>
  <si>
    <t>ii. Total exp.(III+IV)</t>
  </si>
  <si>
    <t xml:space="preserve">lll. Current expenditure </t>
  </si>
  <si>
    <t xml:space="preserve">  1. Expenditure on goods &amp; services </t>
  </si>
  <si>
    <t xml:space="preserve">   1.1 wages &amp; salaries</t>
  </si>
  <si>
    <t xml:space="preserve">   1.2 contribution to providents fund</t>
  </si>
  <si>
    <t xml:space="preserve">   1.3 purchases of goods &amp; services </t>
  </si>
  <si>
    <t xml:space="preserve">   2.3 Interest paid</t>
  </si>
  <si>
    <t>3. Subsidies &amp; transfers</t>
  </si>
  <si>
    <t xml:space="preserve">  3.1 Subsidies to Public Enterprises </t>
  </si>
  <si>
    <t xml:space="preserve">       freight subsidy</t>
  </si>
  <si>
    <t xml:space="preserve">       stabex fund</t>
  </si>
  <si>
    <t xml:space="preserve">       other subsidies (b)</t>
  </si>
  <si>
    <t>3.2 total transfer</t>
  </si>
  <si>
    <t xml:space="preserve">      transfer to local government</t>
  </si>
  <si>
    <t xml:space="preserve">      transfer to recurrent budget</t>
  </si>
  <si>
    <t xml:space="preserve">  3.3 transfers to npi</t>
  </si>
  <si>
    <t xml:space="preserve">  3.4 transfers to household</t>
  </si>
  <si>
    <t xml:space="preserve">  3.5 transfers abroad</t>
  </si>
  <si>
    <t xml:space="preserve">lV Capital expenditure </t>
  </si>
  <si>
    <t>Aid development expenditure</t>
  </si>
  <si>
    <t>7.1.1 capital transfer to dev. Fund</t>
  </si>
  <si>
    <t xml:space="preserve">7.1.2 capital transfer to enterprises </t>
  </si>
  <si>
    <t>7.1.3 village bank</t>
  </si>
  <si>
    <t xml:space="preserve">V Lending minus repayments </t>
  </si>
  <si>
    <t xml:space="preserve">8.2 domestic </t>
  </si>
  <si>
    <t xml:space="preserve">9.1 abroad </t>
  </si>
  <si>
    <t xml:space="preserve"> Total expenditure </t>
  </si>
  <si>
    <t>FISHING LINCESE FROM 2001 TO 2018 ($'000)</t>
  </si>
  <si>
    <t>fishing license</t>
  </si>
  <si>
    <t>Revenue</t>
  </si>
  <si>
    <t>% change</t>
  </si>
  <si>
    <t>contribution to change</t>
  </si>
  <si>
    <t>compostion</t>
  </si>
  <si>
    <t>Taxes</t>
  </si>
  <si>
    <t>Other revenue</t>
  </si>
  <si>
    <t>Grants</t>
  </si>
  <si>
    <t>7.Community &amp; culture(MIA)</t>
  </si>
  <si>
    <t>DFAT</t>
  </si>
  <si>
    <t>DFAT/AUSaid /AAP</t>
  </si>
  <si>
    <t>MFAT</t>
  </si>
  <si>
    <t>NZAP/MFAT</t>
  </si>
  <si>
    <t xml:space="preserve">  Table1. Central Government recurrent revenue: 2001-2023</t>
  </si>
  <si>
    <t>Table:2. Central Government expenditure by function: 2001-2023</t>
  </si>
  <si>
    <t>Table 9.Central government expenditure by major subhead: 2001-2023</t>
  </si>
  <si>
    <t>Table 10:  Government Reserve Fund (RERF) Account: 2001-2023</t>
  </si>
  <si>
    <t>Table 11: Stabex Fund Account:2001-2023</t>
  </si>
  <si>
    <t>Table 12: Contributions to the Development Fund (2001 - 2023)</t>
  </si>
  <si>
    <t>Table 13. Consolidated government revenue accounts in gfs format :2001-2023</t>
  </si>
  <si>
    <t>Table 14. Consolidated government expenditure accounts in gfs format 2000 - 2023</t>
  </si>
  <si>
    <t>Table 8: Central government expenditure by ministry: 2001-2023</t>
  </si>
  <si>
    <t>Table 7. Central government renenue by major subhead: 2001-2023</t>
  </si>
  <si>
    <t>Table 6.Central government revenue by ministry: 2001-2023</t>
  </si>
  <si>
    <t>Table 5. Local government expenditure by economic classification: 2001-2023</t>
  </si>
  <si>
    <t>Table 4:  Local government recurrent revenue 2001 - 2023</t>
  </si>
  <si>
    <t>Table 3. Central government expenditure by economic 2001-2023</t>
  </si>
  <si>
    <r>
      <t xml:space="preserve">          1.2 corporate tax (</t>
    </r>
    <r>
      <rPr>
        <b/>
        <sz val="12"/>
        <color rgb="FF003366"/>
        <rFont val="Arial"/>
        <family val="2"/>
      </rPr>
      <t>a</t>
    </r>
    <r>
      <rPr>
        <b/>
        <sz val="12"/>
        <rFont val="Arial"/>
        <family val="2"/>
      </rPr>
      <t>)</t>
    </r>
  </si>
  <si>
    <t>All other sources of Revenue</t>
  </si>
  <si>
    <t>Total Govt Revenue</t>
  </si>
  <si>
    <t>Tax Component</t>
  </si>
  <si>
    <t>Aid Component</t>
  </si>
  <si>
    <t>Fishing Fee Component</t>
  </si>
  <si>
    <t>Investments Dividends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</si>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</sst>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* #,##0_);_(* \(#,##0\);_(* \-??_);_(@_)"/>
    <numFmt numFmtId="166" formatCode="0.0"/>
  </numFmts>
  <fonts count="10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9"/>
      <color rgb="FF000000"/>
      <name val="Tahoma"/>
      <family val="2"/>
      <charset val="1"/>
    </font>
    <font>
      <b/>
      <sz val="12"/>
      <name val="Calibri Light"/>
      <family val="2"/>
      <charset val="1"/>
    </font>
    <font>
      <sz val="12"/>
      <name val="Calibri Light"/>
      <family val="2"/>
      <charset val="1"/>
    </font>
    <font>
      <b/>
      <sz val="12"/>
      <color rgb="FF000000"/>
      <name val="Calibri Light"/>
      <family val="2"/>
      <charset val="1"/>
    </font>
    <font>
      <sz val="10"/>
      <name val="Arial"/>
      <family val="2"/>
      <charset val="1"/>
    </font>
    <font>
      <b/>
      <sz val="12"/>
      <name val="Arial"/>
      <family val="2"/>
    </font>
    <font>
      <b/>
      <sz val="12"/>
      <color rgb="FF00336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164" fontId="6" fillId="0" borderId="0" applyBorder="0" applyProtection="0"/>
    <xf numFmtId="0" fontId="6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0" xfId="0" applyFont="1"/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3" fillId="0" borderId="0" xfId="0" applyFont="1"/>
    <xf numFmtId="165" fontId="4" fillId="0" borderId="0" xfId="1" applyNumberFormat="1" applyFont="1" applyBorder="1" applyProtection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166" fontId="0" fillId="0" borderId="3" xfId="0" applyNumberForma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66" fontId="0" fillId="0" borderId="0" xfId="0" applyNumberFormat="1"/>
    <xf numFmtId="0" fontId="0" fillId="0" borderId="5" xfId="0" applyBorder="1"/>
    <xf numFmtId="0" fontId="0" fillId="0" borderId="17" xfId="0" applyBorder="1"/>
    <xf numFmtId="0" fontId="0" fillId="0" borderId="2" xfId="0" applyBorder="1"/>
    <xf numFmtId="0" fontId="0" fillId="0" borderId="18" xfId="0" applyBorder="1"/>
    <xf numFmtId="166" fontId="0" fillId="0" borderId="2" xfId="0" applyNumberFormat="1" applyBorder="1"/>
    <xf numFmtId="0" fontId="0" fillId="0" borderId="19" xfId="0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</cellXfs>
  <cellStyles count="4">
    <cellStyle name="Comma" xfId="1" builtinId="3"/>
    <cellStyle name="Comma 2" xfId="2" xr:uid="{00000000-0005-0000-0000-000006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1F4E79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70C0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597"/>
      <rgbColor rgb="FF969696"/>
      <rgbColor rgb="FF003366"/>
      <rgbColor rgb="FF339966"/>
      <rgbColor rgb="FF003300"/>
      <rgbColor rgb="FF333300"/>
      <rgbColor rgb="FF993300"/>
      <rgbColor rgb="FF993366"/>
      <rgbColor rgb="FF20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30229306923771E-2"/>
          <c:y val="5.8775893220887415E-2"/>
          <c:w val="0.96569770693076229"/>
          <c:h val="0.8749551730559787"/>
        </c:manualLayout>
      </c:layout>
      <c:lineChart>
        <c:grouping val="standard"/>
        <c:varyColors val="0"/>
        <c:ser>
          <c:idx val="0"/>
          <c:order val="0"/>
          <c:tx>
            <c:strRef>
              <c:f>'GFS 2001-2023'!$A$492</c:f>
              <c:strCache>
                <c:ptCount val="1"/>
                <c:pt idx="0">
                  <c:v>Tax Component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'GFS 2001-2023'!$B$492:$X$492</c:f>
              <c:numCache>
                <c:formatCode>General</c:formatCode>
                <c:ptCount val="23"/>
                <c:pt idx="0">
                  <c:v>0.17221328779394124</c:v>
                </c:pt>
                <c:pt idx="1">
                  <c:v>0.19261570462818511</c:v>
                </c:pt>
                <c:pt idx="2">
                  <c:v>0.21465202097336911</c:v>
                </c:pt>
                <c:pt idx="3">
                  <c:v>0.18950733801243877</c:v>
                </c:pt>
                <c:pt idx="4">
                  <c:v>0.18840472582572593</c:v>
                </c:pt>
                <c:pt idx="5">
                  <c:v>0.20698946401903062</c:v>
                </c:pt>
                <c:pt idx="6">
                  <c:v>0.18084798510670005</c:v>
                </c:pt>
                <c:pt idx="7">
                  <c:v>0.19083559184420276</c:v>
                </c:pt>
                <c:pt idx="8">
                  <c:v>0.19777352279885763</c:v>
                </c:pt>
                <c:pt idx="9">
                  <c:v>0.19107898490787692</c:v>
                </c:pt>
                <c:pt idx="10">
                  <c:v>0.2066528017946441</c:v>
                </c:pt>
                <c:pt idx="11">
                  <c:v>0.1443492500045235</c:v>
                </c:pt>
                <c:pt idx="12">
                  <c:v>0.15062157081779967</c:v>
                </c:pt>
                <c:pt idx="13">
                  <c:v>9.6446069890827782E-2</c:v>
                </c:pt>
                <c:pt idx="14">
                  <c:v>0.10735165277188496</c:v>
                </c:pt>
                <c:pt idx="15">
                  <c:v>0.10698868598849524</c:v>
                </c:pt>
                <c:pt idx="16">
                  <c:v>0.11735180999084512</c:v>
                </c:pt>
                <c:pt idx="17">
                  <c:v>9.3610479319349682E-2</c:v>
                </c:pt>
                <c:pt idx="18">
                  <c:v>0.11771155913633073</c:v>
                </c:pt>
                <c:pt idx="19">
                  <c:v>0.15590376173806744</c:v>
                </c:pt>
                <c:pt idx="20">
                  <c:v>0.20252346861369239</c:v>
                </c:pt>
                <c:pt idx="21">
                  <c:v>0.20951094761156908</c:v>
                </c:pt>
                <c:pt idx="22">
                  <c:v>0.11853440247355089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8-4084-AFF9-3153785D6F28}"/>
            </c:ext>
          </c:extLst>
        </c:ser>
        <c:ser>
          <c:idx val="1"/>
          <c:order val="1"/>
          <c:tx>
            <c:strRef>
              <c:f>'GFS 2001-2023'!$A$493</c:f>
              <c:strCache>
                <c:ptCount val="1"/>
                <c:pt idx="0">
                  <c:v>Fishing Fee Component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val>
            <c:numRef>
              <c:f>'GFS 2001-2023'!$B$493:$X$493</c:f>
              <c:numCache>
                <c:formatCode>General</c:formatCode>
                <c:ptCount val="23"/>
                <c:pt idx="0">
                  <c:v>0.30516456518436641</c:v>
                </c:pt>
                <c:pt idx="1">
                  <c:v>0.28926330386548793</c:v>
                </c:pt>
                <c:pt idx="2">
                  <c:v>0.21706804264853499</c:v>
                </c:pt>
                <c:pt idx="3">
                  <c:v>0.17491338183712576</c:v>
                </c:pt>
                <c:pt idx="4">
                  <c:v>0.15373101230735114</c:v>
                </c:pt>
                <c:pt idx="5">
                  <c:v>0.17615078025832351</c:v>
                </c:pt>
                <c:pt idx="6">
                  <c:v>0.13724901571614614</c:v>
                </c:pt>
                <c:pt idx="7">
                  <c:v>0.17862247990211214</c:v>
                </c:pt>
                <c:pt idx="8">
                  <c:v>0.18373043242260739</c:v>
                </c:pt>
                <c:pt idx="9">
                  <c:v>0.24998501576341689</c:v>
                </c:pt>
                <c:pt idx="10">
                  <c:v>0.18407370192083003</c:v>
                </c:pt>
                <c:pt idx="11">
                  <c:v>0.26385094179166591</c:v>
                </c:pt>
                <c:pt idx="12">
                  <c:v>0.39927232921943628</c:v>
                </c:pt>
                <c:pt idx="13">
                  <c:v>0.42897442345975656</c:v>
                </c:pt>
                <c:pt idx="14">
                  <c:v>0.54482789021561251</c:v>
                </c:pt>
                <c:pt idx="15">
                  <c:v>0.35963648593026876</c:v>
                </c:pt>
                <c:pt idx="16">
                  <c:v>0.41515537523960994</c:v>
                </c:pt>
                <c:pt idx="17">
                  <c:v>0.29865674051610369</c:v>
                </c:pt>
                <c:pt idx="18">
                  <c:v>0.45111128244006699</c:v>
                </c:pt>
                <c:pt idx="19">
                  <c:v>0.47434572428738125</c:v>
                </c:pt>
                <c:pt idx="20">
                  <c:v>0.47839524464251848</c:v>
                </c:pt>
                <c:pt idx="21">
                  <c:v>0.39893854304797638</c:v>
                </c:pt>
                <c:pt idx="22">
                  <c:v>0.47920624720607957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8-4084-AFF9-3153785D6F28}"/>
            </c:ext>
          </c:extLst>
        </c:ser>
        <c:ser>
          <c:idx val="2"/>
          <c:order val="2"/>
          <c:tx>
            <c:strRef>
              <c:f>'GFS 2001-2023'!$A$494</c:f>
              <c:strCache>
                <c:ptCount val="1"/>
                <c:pt idx="0">
                  <c:v>Aid Component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'GFS 2001-2023'!$B$494:$X$494</c:f>
              <c:numCache>
                <c:formatCode>General</c:formatCode>
                <c:ptCount val="23"/>
                <c:pt idx="0">
                  <c:v>0.11906682661330455</c:v>
                </c:pt>
                <c:pt idx="1">
                  <c:v>0.25548275264343906</c:v>
                </c:pt>
                <c:pt idx="2">
                  <c:v>0.29659973711383197</c:v>
                </c:pt>
                <c:pt idx="3">
                  <c:v>0.30130394084392798</c:v>
                </c:pt>
                <c:pt idx="4">
                  <c:v>0.38082566433824888</c:v>
                </c:pt>
                <c:pt idx="5">
                  <c:v>0.27669827961955146</c:v>
                </c:pt>
                <c:pt idx="6">
                  <c:v>0.22560671407930857</c:v>
                </c:pt>
                <c:pt idx="7">
                  <c:v>0.23561128454949856</c:v>
                </c:pt>
                <c:pt idx="8">
                  <c:v>0.28507846950234178</c:v>
                </c:pt>
                <c:pt idx="9">
                  <c:v>0.2432780714688148</c:v>
                </c:pt>
                <c:pt idx="10">
                  <c:v>0.31460017759498993</c:v>
                </c:pt>
                <c:pt idx="11">
                  <c:v>0.27812256862141965</c:v>
                </c:pt>
                <c:pt idx="12">
                  <c:v>0.26418217789800946</c:v>
                </c:pt>
                <c:pt idx="13">
                  <c:v>0.31626008623484603</c:v>
                </c:pt>
                <c:pt idx="14">
                  <c:v>0.2263875955323639</c:v>
                </c:pt>
                <c:pt idx="15">
                  <c:v>0.28821616086576785</c:v>
                </c:pt>
                <c:pt idx="16">
                  <c:v>0.28333492868766152</c:v>
                </c:pt>
                <c:pt idx="17">
                  <c:v>0.42844958301743746</c:v>
                </c:pt>
                <c:pt idx="18">
                  <c:v>0.29395979766050312</c:v>
                </c:pt>
                <c:pt idx="19">
                  <c:v>0.15028893704506308</c:v>
                </c:pt>
                <c:pt idx="20">
                  <c:v>0.1170319315380239</c:v>
                </c:pt>
                <c:pt idx="21">
                  <c:v>0.1206742726544979</c:v>
                </c:pt>
                <c:pt idx="22">
                  <c:v>9.195490612427358E-2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8-4084-AFF9-3153785D6F28}"/>
            </c:ext>
          </c:extLst>
        </c:ser>
        <c:ser>
          <c:idx val="3"/>
          <c:order val="3"/>
          <c:tx>
            <c:strRef>
              <c:f>'GFS 2001-2023'!$A$495</c:f>
              <c:strCache>
                <c:ptCount val="1"/>
                <c:pt idx="0">
                  <c:v>Investments Dividends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'GFS 2001-2023'!$B$495:$X$495</c:f>
              <c:numCache>
                <c:formatCode>General</c:formatCode>
                <c:ptCount val="23"/>
                <c:pt idx="0">
                  <c:v>0.29255960020325095</c:v>
                </c:pt>
                <c:pt idx="1">
                  <c:v>0.14102270757496965</c:v>
                </c:pt>
                <c:pt idx="2">
                  <c:v>0.18710505955205806</c:v>
                </c:pt>
                <c:pt idx="3">
                  <c:v>0.28082958374516359</c:v>
                </c:pt>
                <c:pt idx="4">
                  <c:v>0.22177255423735079</c:v>
                </c:pt>
                <c:pt idx="5">
                  <c:v>0.27963868048144963</c:v>
                </c:pt>
                <c:pt idx="6">
                  <c:v>0.40463083146339202</c:v>
                </c:pt>
                <c:pt idx="7">
                  <c:v>0.33857650919985821</c:v>
                </c:pt>
                <c:pt idx="8">
                  <c:v>0.24488883798406957</c:v>
                </c:pt>
                <c:pt idx="9">
                  <c:v>0.24254084702892556</c:v>
                </c:pt>
                <c:pt idx="10">
                  <c:v>0.22304528672243773</c:v>
                </c:pt>
                <c:pt idx="11">
                  <c:v>0.2704642915302079</c:v>
                </c:pt>
                <c:pt idx="12">
                  <c:v>0.13203501074458396</c:v>
                </c:pt>
                <c:pt idx="13">
                  <c:v>9.3070608946486527E-2</c:v>
                </c:pt>
                <c:pt idx="14">
                  <c:v>5.142905947113504E-2</c:v>
                </c:pt>
                <c:pt idx="15">
                  <c:v>0.16537581190832337</c:v>
                </c:pt>
                <c:pt idx="16">
                  <c:v>0.1072667162453704</c:v>
                </c:pt>
                <c:pt idx="17">
                  <c:v>9.3405146996883154E-2</c:v>
                </c:pt>
                <c:pt idx="18">
                  <c:v>7.4964984644642324E-2</c:v>
                </c:pt>
                <c:pt idx="19">
                  <c:v>0.12697949658276381</c:v>
                </c:pt>
                <c:pt idx="20">
                  <c:v>0.11240636260193439</c:v>
                </c:pt>
                <c:pt idx="21">
                  <c:v>0.12532158418019715</c:v>
                </c:pt>
                <c:pt idx="22">
                  <c:v>0.11260896289673671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8-4084-AFF9-3153785D6F28}"/>
            </c:ext>
          </c:extLst>
        </c:ser>
        <c:ser>
          <c:idx val="4"/>
          <c:order val="4"/>
          <c:tx>
            <c:strRef>
              <c:f>'GFS 2001-2023'!$A$496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'GFS 2001-2023'!$B$496:$X$496</c:f>
              <c:numCache>
                <c:formatCode>General</c:formatCode>
                <c:ptCount val="23"/>
                <c:pt idx="0">
                  <c:v>0.1109957202051368</c:v>
                </c:pt>
                <c:pt idx="1">
                  <c:v>0.12161553128791819</c:v>
                </c:pt>
                <c:pt idx="2">
                  <c:v>8.4575139712205802E-2</c:v>
                </c:pt>
                <c:pt idx="3">
                  <c:v>5.3445755561343983E-2</c:v>
                </c:pt>
                <c:pt idx="4">
                  <c:v>5.5266043291323258E-2</c:v>
                </c:pt>
                <c:pt idx="5">
                  <c:v>6.052279562164474E-2</c:v>
                </c:pt>
                <c:pt idx="6">
                  <c:v>5.1665453634453289E-2</c:v>
                </c:pt>
                <c:pt idx="7">
                  <c:v>5.6354134504328336E-2</c:v>
                </c:pt>
                <c:pt idx="8">
                  <c:v>8.8528737292123669E-2</c:v>
                </c:pt>
                <c:pt idx="9">
                  <c:v>7.3117080830965825E-2</c:v>
                </c:pt>
                <c:pt idx="10">
                  <c:v>7.1628031967098188E-2</c:v>
                </c:pt>
                <c:pt idx="11">
                  <c:v>4.3212948052183037E-2</c:v>
                </c:pt>
                <c:pt idx="12">
                  <c:v>5.3888911320170658E-2</c:v>
                </c:pt>
                <c:pt idx="13">
                  <c:v>6.5248811468083104E-2</c:v>
                </c:pt>
                <c:pt idx="14">
                  <c:v>7.0003802009003593E-2</c:v>
                </c:pt>
                <c:pt idx="15">
                  <c:v>7.9782855307144795E-2</c:v>
                </c:pt>
                <c:pt idx="16">
                  <c:v>7.6891169836512993E-2</c:v>
                </c:pt>
                <c:pt idx="17">
                  <c:v>8.5878050150226037E-2</c:v>
                </c:pt>
                <c:pt idx="18">
                  <c:v>6.225237611845684E-2</c:v>
                </c:pt>
                <c:pt idx="19">
                  <c:v>9.2482080346724449E-2</c:v>
                </c:pt>
                <c:pt idx="20">
                  <c:v>8.9642992603830837E-2</c:v>
                </c:pt>
                <c:pt idx="21">
                  <c:v>0.1455546525057595</c:v>
                </c:pt>
                <c:pt idx="22">
                  <c:v>0.19769548129935927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58-4084-AFF9-3153785D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751071"/>
        <c:axId val="1089636879"/>
      </c:lineChart>
      <c:catAx>
        <c:axId val="1225751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36879"/>
        <c:crosses val="autoZero"/>
        <c:auto val="1"/>
        <c:lblAlgn val="ctr"/>
        <c:lblOffset val="100"/>
        <c:noMultiLvlLbl val="0"/>
      </c:catAx>
      <c:valAx>
        <c:axId val="108963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5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114480</xdr:colOff>
      <xdr:row>60</xdr:row>
      <xdr:rowOff>47520</xdr:rowOff>
    </xdr:from>
    <xdr:to>
      <xdr:col>16</xdr:col>
      <xdr:colOff>774719</xdr:colOff>
      <xdr:row>61</xdr:row>
      <xdr:rowOff>101520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798960" y="12439440"/>
          <a:ext cx="2555280" cy="2635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15</xdr:col>
      <xdr:colOff>504720</xdr:colOff>
      <xdr:row>77</xdr:row>
      <xdr:rowOff>142920</xdr:rowOff>
    </xdr:from>
    <xdr:to>
      <xdr:col>15</xdr:col>
      <xdr:colOff>698040</xdr:colOff>
      <xdr:row>78</xdr:row>
      <xdr:rowOff>177840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136720" y="16097400"/>
          <a:ext cx="193320" cy="24444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16</xdr:col>
      <xdr:colOff>0</xdr:colOff>
      <xdr:row>75</xdr:row>
      <xdr:rowOff>114480</xdr:rowOff>
    </xdr:from>
    <xdr:to>
      <xdr:col>16</xdr:col>
      <xdr:colOff>192960</xdr:colOff>
      <xdr:row>76</xdr:row>
      <xdr:rowOff>141119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7579520" y="15649920"/>
          <a:ext cx="192960" cy="2361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14</xdr:col>
      <xdr:colOff>571680</xdr:colOff>
      <xdr:row>70</xdr:row>
      <xdr:rowOff>142920</xdr:rowOff>
    </xdr:from>
    <xdr:to>
      <xdr:col>14</xdr:col>
      <xdr:colOff>774720</xdr:colOff>
      <xdr:row>71</xdr:row>
      <xdr:rowOff>178561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6256160" y="14630400"/>
          <a:ext cx="203040" cy="2451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15</xdr:col>
      <xdr:colOff>5760</xdr:colOff>
      <xdr:row>68</xdr:row>
      <xdr:rowOff>114480</xdr:rowOff>
    </xdr:from>
    <xdr:to>
      <xdr:col>15</xdr:col>
      <xdr:colOff>189360</xdr:colOff>
      <xdr:row>69</xdr:row>
      <xdr:rowOff>168480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6637760" y="14182920"/>
          <a:ext cx="183600" cy="2635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15</xdr:col>
      <xdr:colOff>231840</xdr:colOff>
      <xdr:row>108</xdr:row>
      <xdr:rowOff>171000</xdr:rowOff>
    </xdr:from>
    <xdr:to>
      <xdr:col>15</xdr:col>
      <xdr:colOff>415440</xdr:colOff>
      <xdr:row>110</xdr:row>
      <xdr:rowOff>15479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6863840" y="22621320"/>
          <a:ext cx="183600" cy="26352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24</xdr:col>
      <xdr:colOff>600205</xdr:colOff>
      <xdr:row>460</xdr:row>
      <xdr:rowOff>121780</xdr:rowOff>
    </xdr:from>
    <xdr:to>
      <xdr:col>33</xdr:col>
      <xdr:colOff>556712</xdr:colOff>
      <xdr:row>502</xdr:row>
      <xdr:rowOff>104384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DBBEFBC-5BD0-DA23-AE36-4C3D6DD2B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96"/>
  <sheetViews>
    <sheetView tabSelected="1" topLeftCell="U460" zoomScale="73" zoomScaleNormal="73" workbookViewId="0">
      <selection activeCell="AJ475" sqref="AJ475"/>
    </sheetView>
  </sheetViews>
  <sheetFormatPr defaultColWidth="9.453125" defaultRowHeight="15.5" x14ac:dyDescent="0.35"/>
  <cols>
    <col min="1" max="1" width="39" style="29" customWidth="1"/>
    <col min="2" max="2" width="18.26953125" style="1" customWidth="1"/>
    <col min="3" max="3" width="14.54296875" style="1" customWidth="1"/>
    <col min="4" max="4" width="13.453125" style="1" customWidth="1"/>
    <col min="5" max="5" width="15" style="1" customWidth="1"/>
    <col min="6" max="9" width="13.453125" style="1" customWidth="1"/>
    <col min="10" max="10" width="14.54296875" style="1" customWidth="1"/>
    <col min="11" max="12" width="13.453125" style="1" customWidth="1"/>
    <col min="13" max="13" width="14.26953125" style="1" customWidth="1"/>
    <col min="14" max="18" width="13.453125" style="1" customWidth="1"/>
    <col min="19" max="19" width="15.54296875" style="1" customWidth="1"/>
    <col min="20" max="20" width="16.26953125" style="1" customWidth="1"/>
    <col min="21" max="21" width="13.7265625" style="1" customWidth="1"/>
    <col min="22" max="22" width="16" style="1" customWidth="1"/>
    <col min="23" max="23" width="17.1796875" style="1" customWidth="1"/>
    <col min="24" max="24" width="18.54296875" style="1" customWidth="1"/>
    <col min="25" max="25" width="15.453125" style="1" customWidth="1"/>
    <col min="26" max="27" width="20.81640625" style="1" bestFit="1" customWidth="1"/>
    <col min="28" max="28" width="9.453125" style="1"/>
    <col min="29" max="29" width="71.1796875" style="1" bestFit="1" customWidth="1"/>
    <col min="30" max="30" width="24.1796875" style="1" bestFit="1" customWidth="1"/>
    <col min="31" max="31" width="17.1796875" style="1" customWidth="1"/>
    <col min="32" max="16384" width="9.453125" style="1"/>
  </cols>
  <sheetData>
    <row r="1" spans="1:10" ht="16.5" customHeight="1" x14ac:dyDescent="0.35"/>
    <row r="2" spans="1:10" ht="16.5" customHeight="1" x14ac:dyDescent="0.35">
      <c r="A2" s="29" t="s">
        <v>0</v>
      </c>
      <c r="G2" s="1" t="s">
        <v>1</v>
      </c>
    </row>
    <row r="3" spans="1:10" s="28" customFormat="1" ht="51.75" customHeight="1" x14ac:dyDescent="0.35">
      <c r="A3" s="29" t="s">
        <v>2</v>
      </c>
      <c r="B3" s="28" t="s">
        <v>3</v>
      </c>
      <c r="C3" s="28" t="s">
        <v>4</v>
      </c>
      <c r="D3" s="28" t="s">
        <v>5</v>
      </c>
      <c r="E3" s="28" t="s">
        <v>6</v>
      </c>
      <c r="H3" s="28" t="s">
        <v>2</v>
      </c>
      <c r="I3" s="28" t="s">
        <v>3</v>
      </c>
      <c r="J3" s="28" t="s">
        <v>4</v>
      </c>
    </row>
    <row r="4" spans="1:10" ht="16.5" customHeight="1" x14ac:dyDescent="0.35">
      <c r="A4" s="29">
        <v>1990</v>
      </c>
      <c r="B4" s="1">
        <v>23074</v>
      </c>
      <c r="C4" s="1">
        <v>22407</v>
      </c>
      <c r="D4" s="1">
        <v>4000</v>
      </c>
      <c r="E4" s="1">
        <f t="shared" ref="E4:E37" si="0">(B4-D4)-C4</f>
        <v>-3333</v>
      </c>
      <c r="H4" s="28">
        <v>1990</v>
      </c>
      <c r="I4" s="1">
        <v>1486</v>
      </c>
      <c r="J4" s="1">
        <v>1245</v>
      </c>
    </row>
    <row r="5" spans="1:10" ht="16.5" customHeight="1" x14ac:dyDescent="0.35">
      <c r="A5" s="29">
        <v>1991</v>
      </c>
      <c r="B5" s="1">
        <v>28065</v>
      </c>
      <c r="C5" s="1">
        <v>25295</v>
      </c>
      <c r="D5" s="1">
        <v>2000</v>
      </c>
      <c r="E5" s="1">
        <f t="shared" si="0"/>
        <v>770</v>
      </c>
      <c r="H5" s="28">
        <v>1991</v>
      </c>
      <c r="I5" s="1">
        <v>1604</v>
      </c>
      <c r="J5" s="1">
        <v>1421</v>
      </c>
    </row>
    <row r="6" spans="1:10" ht="16.5" customHeight="1" x14ac:dyDescent="0.35">
      <c r="A6" s="29">
        <v>1992</v>
      </c>
      <c r="B6" s="1">
        <v>33118</v>
      </c>
      <c r="C6" s="1">
        <v>26514</v>
      </c>
      <c r="D6" s="1">
        <v>5642</v>
      </c>
      <c r="E6" s="1">
        <f t="shared" si="0"/>
        <v>962</v>
      </c>
      <c r="H6" s="28">
        <v>1992</v>
      </c>
      <c r="I6" s="1">
        <v>1722</v>
      </c>
      <c r="J6" s="1">
        <v>1516</v>
      </c>
    </row>
    <row r="7" spans="1:10" ht="16.5" customHeight="1" x14ac:dyDescent="0.35">
      <c r="A7" s="29">
        <v>1993</v>
      </c>
      <c r="B7" s="1">
        <v>32491</v>
      </c>
      <c r="C7" s="1">
        <v>27897</v>
      </c>
      <c r="D7" s="1">
        <v>0</v>
      </c>
      <c r="E7" s="1">
        <f t="shared" si="0"/>
        <v>4594</v>
      </c>
      <c r="H7" s="28">
        <v>1993</v>
      </c>
      <c r="I7" s="1">
        <v>1622</v>
      </c>
      <c r="J7" s="1">
        <v>1844</v>
      </c>
    </row>
    <row r="8" spans="1:10" ht="16.5" customHeight="1" x14ac:dyDescent="0.35">
      <c r="A8" s="29">
        <v>1994</v>
      </c>
      <c r="B8" s="1">
        <v>32721</v>
      </c>
      <c r="C8" s="1">
        <v>34194</v>
      </c>
      <c r="D8" s="1">
        <v>0</v>
      </c>
      <c r="E8" s="1">
        <f t="shared" si="0"/>
        <v>-1473</v>
      </c>
      <c r="H8" s="28">
        <v>1994</v>
      </c>
      <c r="I8" s="1">
        <v>1915</v>
      </c>
      <c r="J8" s="1">
        <v>1857</v>
      </c>
    </row>
    <row r="9" spans="1:10" ht="16.5" customHeight="1" x14ac:dyDescent="0.35">
      <c r="A9" s="29">
        <v>1995</v>
      </c>
      <c r="B9" s="1">
        <v>48374</v>
      </c>
      <c r="C9" s="1">
        <v>46895</v>
      </c>
      <c r="D9" s="1">
        <v>7500</v>
      </c>
      <c r="E9" s="1">
        <f t="shared" si="0"/>
        <v>-6021</v>
      </c>
      <c r="H9" s="28">
        <v>1995</v>
      </c>
      <c r="I9" s="1">
        <v>2071</v>
      </c>
      <c r="J9" s="1">
        <v>1916</v>
      </c>
    </row>
    <row r="10" spans="1:10" ht="16.5" customHeight="1" x14ac:dyDescent="0.35">
      <c r="A10" s="29">
        <v>1996</v>
      </c>
      <c r="B10" s="1">
        <v>41473</v>
      </c>
      <c r="C10" s="1">
        <v>49652</v>
      </c>
      <c r="D10" s="1">
        <v>13600</v>
      </c>
      <c r="E10" s="1">
        <f t="shared" si="0"/>
        <v>-21779</v>
      </c>
      <c r="H10" s="28">
        <v>1996</v>
      </c>
      <c r="I10" s="1">
        <v>2011</v>
      </c>
      <c r="J10" s="1">
        <v>2014</v>
      </c>
    </row>
    <row r="11" spans="1:10" ht="16.5" customHeight="1" x14ac:dyDescent="0.35">
      <c r="A11" s="29">
        <v>1997</v>
      </c>
      <c r="B11" s="1">
        <v>63471</v>
      </c>
      <c r="C11" s="1">
        <v>50936</v>
      </c>
      <c r="D11" s="1">
        <v>8000</v>
      </c>
      <c r="E11" s="1">
        <f t="shared" si="0"/>
        <v>4535</v>
      </c>
      <c r="H11" s="28">
        <v>1997</v>
      </c>
      <c r="I11" s="1">
        <v>2164</v>
      </c>
      <c r="J11" s="1">
        <v>2054</v>
      </c>
    </row>
    <row r="12" spans="1:10" ht="16.5" customHeight="1" x14ac:dyDescent="0.35">
      <c r="A12" s="29">
        <v>1998</v>
      </c>
      <c r="B12" s="1">
        <v>69212</v>
      </c>
      <c r="C12" s="1">
        <v>54923</v>
      </c>
      <c r="D12" s="1">
        <v>0</v>
      </c>
      <c r="E12" s="1">
        <f t="shared" si="0"/>
        <v>14289</v>
      </c>
      <c r="H12" s="28">
        <v>1998</v>
      </c>
      <c r="I12" s="1">
        <v>2249</v>
      </c>
      <c r="J12" s="1">
        <v>2056</v>
      </c>
    </row>
    <row r="13" spans="1:10" ht="16.5" customHeight="1" x14ac:dyDescent="0.35">
      <c r="A13" s="29">
        <v>1999</v>
      </c>
      <c r="B13" s="1">
        <v>58787</v>
      </c>
      <c r="C13" s="1">
        <v>68620</v>
      </c>
      <c r="D13" s="1">
        <v>0</v>
      </c>
      <c r="E13" s="1">
        <f t="shared" si="0"/>
        <v>-9833</v>
      </c>
      <c r="H13" s="28">
        <v>1999</v>
      </c>
      <c r="I13" s="1">
        <v>2160</v>
      </c>
      <c r="J13" s="1">
        <v>2082</v>
      </c>
    </row>
    <row r="14" spans="1:10" ht="16.5" customHeight="1" x14ac:dyDescent="0.35">
      <c r="A14" s="29">
        <v>2000</v>
      </c>
      <c r="B14" s="1">
        <v>61313</v>
      </c>
      <c r="C14" s="1">
        <v>64289</v>
      </c>
      <c r="D14" s="1">
        <v>0</v>
      </c>
      <c r="E14" s="1">
        <f t="shared" si="0"/>
        <v>-2976</v>
      </c>
      <c r="H14" s="28">
        <v>2000</v>
      </c>
      <c r="I14" s="1">
        <v>2475</v>
      </c>
      <c r="J14" s="1">
        <v>2369</v>
      </c>
    </row>
    <row r="15" spans="1:10" ht="16.5" customHeight="1" x14ac:dyDescent="0.35">
      <c r="A15" s="29">
        <v>2001</v>
      </c>
      <c r="B15" s="1">
        <v>98616</v>
      </c>
      <c r="C15" s="1">
        <v>91012</v>
      </c>
      <c r="D15" s="1">
        <v>12600</v>
      </c>
      <c r="E15" s="1">
        <f t="shared" si="0"/>
        <v>-4996</v>
      </c>
      <c r="H15" s="28">
        <v>2001</v>
      </c>
      <c r="I15" s="1">
        <v>2621</v>
      </c>
      <c r="J15" s="1">
        <v>2449</v>
      </c>
    </row>
    <row r="16" spans="1:10" ht="16.5" customHeight="1" x14ac:dyDescent="0.35">
      <c r="A16" s="29">
        <v>2002</v>
      </c>
      <c r="B16" s="1">
        <v>81786</v>
      </c>
      <c r="C16" s="1">
        <v>96000</v>
      </c>
      <c r="D16" s="1">
        <v>0</v>
      </c>
      <c r="E16" s="1">
        <f t="shared" si="0"/>
        <v>-14214</v>
      </c>
      <c r="H16" s="28">
        <v>2002</v>
      </c>
      <c r="I16" s="1">
        <v>3821</v>
      </c>
      <c r="J16" s="1">
        <v>2941</v>
      </c>
    </row>
    <row r="17" spans="1:10" ht="16.5" customHeight="1" x14ac:dyDescent="0.35">
      <c r="A17" s="29">
        <v>2003</v>
      </c>
      <c r="B17" s="1">
        <v>71382</v>
      </c>
      <c r="C17" s="1">
        <v>83014</v>
      </c>
      <c r="D17" s="1">
        <v>5100</v>
      </c>
      <c r="E17" s="1">
        <f t="shared" si="0"/>
        <v>-16732</v>
      </c>
      <c r="H17" s="28">
        <v>2003</v>
      </c>
      <c r="I17" s="1">
        <v>4665</v>
      </c>
      <c r="J17" s="1">
        <v>3082</v>
      </c>
    </row>
    <row r="18" spans="1:10" ht="16.5" customHeight="1" x14ac:dyDescent="0.35">
      <c r="A18" s="29">
        <v>2004</v>
      </c>
      <c r="B18" s="1">
        <v>90175</v>
      </c>
      <c r="C18" s="1">
        <v>94025</v>
      </c>
      <c r="D18" s="1">
        <v>25650</v>
      </c>
      <c r="E18" s="1">
        <f t="shared" si="0"/>
        <v>-29500</v>
      </c>
      <c r="H18" s="28">
        <v>2004</v>
      </c>
      <c r="I18" s="1">
        <v>4791</v>
      </c>
      <c r="J18" s="1">
        <v>3427</v>
      </c>
    </row>
    <row r="19" spans="1:10" ht="16.5" customHeight="1" x14ac:dyDescent="0.35">
      <c r="A19" s="29">
        <v>2005</v>
      </c>
      <c r="B19" s="1">
        <v>73057</v>
      </c>
      <c r="C19" s="1">
        <v>78563</v>
      </c>
      <c r="D19" s="1">
        <v>14999</v>
      </c>
      <c r="E19" s="1">
        <f t="shared" si="0"/>
        <v>-20505</v>
      </c>
      <c r="H19" s="28">
        <v>2005</v>
      </c>
      <c r="I19" s="1">
        <v>5144</v>
      </c>
      <c r="J19" s="1">
        <v>4023</v>
      </c>
    </row>
    <row r="20" spans="1:10" ht="16.5" customHeight="1" x14ac:dyDescent="0.35">
      <c r="A20" s="29">
        <v>2006</v>
      </c>
      <c r="B20" s="1">
        <v>92992</v>
      </c>
      <c r="C20" s="1">
        <v>84252</v>
      </c>
      <c r="D20" s="1">
        <v>33499</v>
      </c>
      <c r="E20" s="1">
        <f t="shared" si="0"/>
        <v>-24759</v>
      </c>
      <c r="H20" s="28">
        <v>2006</v>
      </c>
      <c r="I20" s="1">
        <v>5407</v>
      </c>
      <c r="J20" s="1">
        <v>3947</v>
      </c>
    </row>
    <row r="21" spans="1:10" ht="16.5" customHeight="1" x14ac:dyDescent="0.35">
      <c r="A21" s="29">
        <v>2007</v>
      </c>
      <c r="B21" s="1">
        <v>106370</v>
      </c>
      <c r="C21" s="1">
        <v>85836</v>
      </c>
      <c r="D21" s="1">
        <v>45000</v>
      </c>
      <c r="E21" s="1">
        <f t="shared" si="0"/>
        <v>-24466</v>
      </c>
      <c r="H21" s="28">
        <v>2007</v>
      </c>
      <c r="I21" s="1">
        <v>5373</v>
      </c>
      <c r="J21" s="1">
        <v>4103</v>
      </c>
    </row>
    <row r="22" spans="1:10" ht="16.5" customHeight="1" x14ac:dyDescent="0.35">
      <c r="A22" s="29">
        <v>2008</v>
      </c>
      <c r="B22" s="1">
        <v>92359</v>
      </c>
      <c r="C22" s="1">
        <v>98129</v>
      </c>
      <c r="D22" s="1">
        <v>25000</v>
      </c>
      <c r="E22" s="1">
        <f t="shared" si="0"/>
        <v>-30770</v>
      </c>
      <c r="H22" s="28">
        <v>2008</v>
      </c>
      <c r="I22" s="1">
        <v>5573</v>
      </c>
      <c r="J22" s="1">
        <v>4132</v>
      </c>
    </row>
    <row r="23" spans="1:10" ht="16.5" customHeight="1" x14ac:dyDescent="0.35">
      <c r="A23" s="29">
        <v>2009</v>
      </c>
      <c r="B23" s="1">
        <v>87579</v>
      </c>
      <c r="C23" s="1">
        <v>89032</v>
      </c>
      <c r="D23" s="1">
        <v>18000</v>
      </c>
      <c r="E23" s="1">
        <f t="shared" si="0"/>
        <v>-19453</v>
      </c>
      <c r="H23" s="28">
        <v>2009</v>
      </c>
      <c r="I23" s="1">
        <v>4543</v>
      </c>
      <c r="J23" s="1">
        <v>3313</v>
      </c>
    </row>
    <row r="24" spans="1:10" ht="16.5" customHeight="1" x14ac:dyDescent="0.35">
      <c r="A24" s="29">
        <v>2010</v>
      </c>
      <c r="B24" s="1">
        <v>95736</v>
      </c>
      <c r="C24" s="1">
        <v>95197</v>
      </c>
      <c r="D24" s="1">
        <v>17300</v>
      </c>
      <c r="E24" s="1">
        <f t="shared" si="0"/>
        <v>-16761</v>
      </c>
      <c r="H24" s="28">
        <v>2010</v>
      </c>
      <c r="I24" s="1">
        <v>5587</v>
      </c>
      <c r="J24" s="1">
        <v>4380</v>
      </c>
    </row>
    <row r="25" spans="1:10" ht="16.5" customHeight="1" x14ac:dyDescent="0.35">
      <c r="A25" s="29">
        <v>2011</v>
      </c>
      <c r="B25" s="1">
        <v>81549</v>
      </c>
      <c r="C25" s="1">
        <v>100212</v>
      </c>
      <c r="D25" s="1">
        <v>19700</v>
      </c>
      <c r="E25" s="1">
        <f t="shared" si="0"/>
        <v>-38363</v>
      </c>
      <c r="H25" s="28">
        <v>2011</v>
      </c>
      <c r="I25" s="1">
        <v>6179</v>
      </c>
      <c r="J25" s="1">
        <v>4961</v>
      </c>
    </row>
    <row r="26" spans="1:10" ht="16.5" customHeight="1" x14ac:dyDescent="0.35">
      <c r="A26" s="29">
        <v>2012</v>
      </c>
      <c r="B26" s="1">
        <v>128843</v>
      </c>
      <c r="C26" s="1">
        <v>107320</v>
      </c>
      <c r="D26" s="1">
        <v>37500</v>
      </c>
      <c r="E26" s="1">
        <f t="shared" si="0"/>
        <v>-15977</v>
      </c>
      <c r="H26" s="28">
        <v>2012</v>
      </c>
      <c r="I26" s="1">
        <v>5758</v>
      </c>
      <c r="J26" s="1">
        <v>4596</v>
      </c>
    </row>
    <row r="27" spans="1:10" ht="16.5" customHeight="1" x14ac:dyDescent="0.35">
      <c r="A27" s="29">
        <v>2013</v>
      </c>
      <c r="B27" s="1">
        <v>133764</v>
      </c>
      <c r="C27" s="1">
        <v>105623</v>
      </c>
      <c r="D27" s="1">
        <v>7000</v>
      </c>
      <c r="E27" s="1">
        <f t="shared" si="0"/>
        <v>21141</v>
      </c>
      <c r="H27" s="28">
        <v>2013</v>
      </c>
      <c r="I27" s="1">
        <v>5522</v>
      </c>
      <c r="J27" s="1">
        <v>4596</v>
      </c>
    </row>
    <row r="28" spans="1:10" ht="16.5" customHeight="1" x14ac:dyDescent="0.35">
      <c r="A28" s="29">
        <v>2014</v>
      </c>
      <c r="B28" s="1">
        <v>197842</v>
      </c>
      <c r="C28" s="1">
        <v>130252</v>
      </c>
      <c r="D28" s="1">
        <v>10000</v>
      </c>
      <c r="E28" s="1">
        <f t="shared" si="0"/>
        <v>57590</v>
      </c>
      <c r="H28" s="28">
        <v>2014</v>
      </c>
      <c r="I28" s="1">
        <v>5451</v>
      </c>
      <c r="J28" s="1">
        <v>4248</v>
      </c>
    </row>
    <row r="29" spans="1:10" ht="16.5" customHeight="1" x14ac:dyDescent="0.35">
      <c r="A29" s="29">
        <v>2015</v>
      </c>
      <c r="B29" s="1">
        <v>253315</v>
      </c>
      <c r="C29" s="1">
        <v>133231</v>
      </c>
      <c r="D29" s="1">
        <v>0</v>
      </c>
      <c r="E29" s="1">
        <f t="shared" si="0"/>
        <v>120084</v>
      </c>
      <c r="H29" s="28">
        <v>2015</v>
      </c>
      <c r="I29" s="1">
        <v>7744</v>
      </c>
      <c r="J29" s="1">
        <v>5351</v>
      </c>
    </row>
    <row r="30" spans="1:10" ht="16.5" customHeight="1" x14ac:dyDescent="0.35">
      <c r="A30" s="29">
        <v>2016</v>
      </c>
      <c r="B30" s="1">
        <v>209538</v>
      </c>
      <c r="C30" s="1">
        <v>174370</v>
      </c>
      <c r="D30" s="1">
        <v>0</v>
      </c>
      <c r="E30" s="1">
        <f t="shared" si="0"/>
        <v>35168</v>
      </c>
      <c r="H30" s="28">
        <v>2016</v>
      </c>
      <c r="I30" s="1">
        <v>6479</v>
      </c>
      <c r="J30" s="1">
        <v>4740</v>
      </c>
    </row>
    <row r="31" spans="1:10" ht="16.5" customHeight="1" x14ac:dyDescent="0.35">
      <c r="A31" s="29">
        <v>2017</v>
      </c>
      <c r="B31" s="1">
        <v>218720</v>
      </c>
      <c r="C31" s="1">
        <v>205518</v>
      </c>
      <c r="D31" s="1">
        <v>0</v>
      </c>
      <c r="E31" s="1">
        <f t="shared" si="0"/>
        <v>13202</v>
      </c>
      <c r="H31" s="28">
        <v>2017</v>
      </c>
      <c r="I31" s="1">
        <v>8579</v>
      </c>
      <c r="J31" s="1">
        <v>5594</v>
      </c>
    </row>
    <row r="32" spans="1:10" ht="16.5" customHeight="1" x14ac:dyDescent="0.35">
      <c r="A32" s="29">
        <v>2018</v>
      </c>
      <c r="B32" s="1">
        <v>263609</v>
      </c>
      <c r="C32" s="1">
        <v>217566</v>
      </c>
      <c r="D32" s="1">
        <v>0</v>
      </c>
      <c r="E32" s="1">
        <f t="shared" si="0"/>
        <v>46043</v>
      </c>
      <c r="H32" s="28">
        <v>2018</v>
      </c>
      <c r="I32" s="1">
        <v>8159</v>
      </c>
      <c r="J32" s="1">
        <v>6547</v>
      </c>
    </row>
    <row r="33" spans="1:24" ht="16.5" customHeight="1" x14ac:dyDescent="0.35">
      <c r="A33" s="29">
        <v>2019</v>
      </c>
      <c r="B33" s="1">
        <v>285257</v>
      </c>
      <c r="C33" s="1">
        <v>264526</v>
      </c>
      <c r="D33" s="1">
        <v>0</v>
      </c>
      <c r="E33" s="1">
        <f t="shared" si="0"/>
        <v>20731</v>
      </c>
      <c r="H33" s="28">
        <v>2019</v>
      </c>
      <c r="I33" s="1">
        <v>8283</v>
      </c>
      <c r="J33" s="1">
        <v>4236</v>
      </c>
    </row>
    <row r="34" spans="1:24" ht="16.5" customHeight="1" x14ac:dyDescent="0.35">
      <c r="A34" s="29">
        <v>2020</v>
      </c>
      <c r="B34" s="1">
        <v>248871</v>
      </c>
      <c r="C34" s="1">
        <v>213618</v>
      </c>
      <c r="D34" s="1">
        <v>0</v>
      </c>
      <c r="E34" s="1">
        <f t="shared" si="0"/>
        <v>35253</v>
      </c>
      <c r="H34" s="28">
        <v>2020</v>
      </c>
      <c r="I34" s="1">
        <v>11196</v>
      </c>
      <c r="J34" s="1">
        <v>7655</v>
      </c>
    </row>
    <row r="35" spans="1:24" ht="16.5" customHeight="1" x14ac:dyDescent="0.35">
      <c r="A35" s="29">
        <v>2021</v>
      </c>
      <c r="B35" s="1">
        <v>249959</v>
      </c>
      <c r="C35" s="1">
        <v>293054</v>
      </c>
      <c r="D35" s="1">
        <v>0</v>
      </c>
      <c r="E35" s="1">
        <f t="shared" si="0"/>
        <v>-43095</v>
      </c>
      <c r="H35" s="28">
        <v>2021</v>
      </c>
      <c r="I35" s="1">
        <v>13003</v>
      </c>
      <c r="J35" s="1">
        <v>8148</v>
      </c>
    </row>
    <row r="36" spans="1:24" ht="16.5" customHeight="1" x14ac:dyDescent="0.35">
      <c r="A36" s="29">
        <v>2022</v>
      </c>
      <c r="B36" s="1">
        <v>233573</v>
      </c>
      <c r="C36" s="1">
        <v>307482</v>
      </c>
      <c r="D36" s="1">
        <v>0</v>
      </c>
      <c r="E36" s="1">
        <f t="shared" si="0"/>
        <v>-73909</v>
      </c>
      <c r="H36" s="28">
        <v>2022</v>
      </c>
      <c r="I36" s="1">
        <v>12502</v>
      </c>
      <c r="J36" s="1">
        <v>7814</v>
      </c>
    </row>
    <row r="37" spans="1:24" ht="16.5" customHeight="1" x14ac:dyDescent="0.35">
      <c r="A37" s="29">
        <v>2023</v>
      </c>
      <c r="B37" s="1">
        <v>332976</v>
      </c>
      <c r="C37" s="1">
        <v>327721</v>
      </c>
      <c r="D37" s="1">
        <v>0</v>
      </c>
      <c r="E37" s="1">
        <f t="shared" si="0"/>
        <v>5255</v>
      </c>
      <c r="H37" s="28">
        <v>2023</v>
      </c>
      <c r="I37" s="1">
        <v>12623</v>
      </c>
      <c r="J37" s="1">
        <v>7295</v>
      </c>
    </row>
    <row r="38" spans="1:24" ht="16.5" customHeight="1" x14ac:dyDescent="0.35"/>
    <row r="39" spans="1:24" ht="16.5" customHeight="1" x14ac:dyDescent="0.35">
      <c r="A39" s="30" t="s">
        <v>336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2"/>
    </row>
    <row r="40" spans="1:24" ht="16.5" customHeight="1" x14ac:dyDescent="0.35">
      <c r="A40" s="29" t="s">
        <v>7</v>
      </c>
    </row>
    <row r="41" spans="1:24" ht="16.5" customHeight="1" x14ac:dyDescent="0.35"/>
    <row r="42" spans="1:24" s="28" customFormat="1" ht="16.5" customHeight="1" x14ac:dyDescent="0.35">
      <c r="A42" s="29" t="s">
        <v>8</v>
      </c>
      <c r="B42" s="28">
        <v>2001</v>
      </c>
      <c r="C42" s="28">
        <v>2002</v>
      </c>
      <c r="D42" s="28">
        <v>2003</v>
      </c>
      <c r="E42" s="28">
        <v>2004</v>
      </c>
      <c r="F42" s="28">
        <v>2005</v>
      </c>
      <c r="G42" s="28">
        <v>2006</v>
      </c>
      <c r="H42" s="28">
        <v>2007</v>
      </c>
      <c r="I42" s="28">
        <v>2008</v>
      </c>
      <c r="J42" s="28">
        <v>2009</v>
      </c>
      <c r="K42" s="28">
        <v>2010</v>
      </c>
      <c r="L42" s="28">
        <v>2011</v>
      </c>
      <c r="M42" s="28">
        <v>2012</v>
      </c>
      <c r="N42" s="28">
        <v>2013</v>
      </c>
      <c r="O42" s="28">
        <v>2014</v>
      </c>
      <c r="P42" s="28">
        <v>2015</v>
      </c>
      <c r="Q42" s="28">
        <v>2016</v>
      </c>
      <c r="R42" s="28">
        <v>2017</v>
      </c>
      <c r="S42" s="28">
        <v>2018</v>
      </c>
      <c r="T42" s="28">
        <v>2019</v>
      </c>
      <c r="U42" s="28">
        <v>2020</v>
      </c>
      <c r="V42" s="28">
        <v>2021</v>
      </c>
      <c r="W42" s="28">
        <v>2022</v>
      </c>
      <c r="X42" s="28">
        <v>2023</v>
      </c>
    </row>
    <row r="43" spans="1:24" ht="16.5" customHeight="1" x14ac:dyDescent="0.35">
      <c r="A43" s="29" t="s">
        <v>9</v>
      </c>
      <c r="B43" s="1">
        <f t="shared" ref="B43:X43" si="1">B44+B63</f>
        <v>98616</v>
      </c>
      <c r="C43" s="1">
        <f t="shared" si="1"/>
        <v>81786</v>
      </c>
      <c r="D43" s="1">
        <f t="shared" si="1"/>
        <v>71382</v>
      </c>
      <c r="E43" s="1">
        <f t="shared" si="1"/>
        <v>90175</v>
      </c>
      <c r="F43" s="1">
        <f t="shared" si="1"/>
        <v>73057</v>
      </c>
      <c r="G43" s="1">
        <f t="shared" si="1"/>
        <v>92992</v>
      </c>
      <c r="H43" s="1">
        <f t="shared" si="1"/>
        <v>106370</v>
      </c>
      <c r="I43" s="1">
        <f t="shared" si="1"/>
        <v>92359</v>
      </c>
      <c r="J43" s="1">
        <f t="shared" si="1"/>
        <v>87579</v>
      </c>
      <c r="K43" s="1">
        <f t="shared" si="1"/>
        <v>95736</v>
      </c>
      <c r="L43" s="1">
        <f t="shared" si="1"/>
        <v>81549</v>
      </c>
      <c r="M43" s="1">
        <f t="shared" si="1"/>
        <v>128843</v>
      </c>
      <c r="N43" s="1">
        <f t="shared" si="1"/>
        <v>133764</v>
      </c>
      <c r="O43" s="1">
        <f t="shared" si="1"/>
        <v>197842</v>
      </c>
      <c r="P43" s="1">
        <f t="shared" si="1"/>
        <v>253315</v>
      </c>
      <c r="Q43" s="1">
        <f t="shared" si="1"/>
        <v>209258</v>
      </c>
      <c r="R43" s="1">
        <f t="shared" si="1"/>
        <v>238746</v>
      </c>
      <c r="S43" s="1">
        <f t="shared" si="1"/>
        <v>263838</v>
      </c>
      <c r="T43" s="1">
        <f t="shared" si="1"/>
        <v>285257</v>
      </c>
      <c r="U43" s="1">
        <f t="shared" si="1"/>
        <v>248870</v>
      </c>
      <c r="V43" s="1">
        <f t="shared" si="1"/>
        <v>249959</v>
      </c>
      <c r="W43" s="1">
        <f t="shared" si="1"/>
        <v>233573</v>
      </c>
      <c r="X43" s="1">
        <f t="shared" si="1"/>
        <v>332976</v>
      </c>
    </row>
    <row r="44" spans="1:24" ht="16.5" customHeight="1" x14ac:dyDescent="0.35">
      <c r="A44" s="29" t="s">
        <v>10</v>
      </c>
      <c r="B44" s="1">
        <f t="shared" ref="B44:X44" si="2">B45+B61</f>
        <v>98616</v>
      </c>
      <c r="C44" s="1">
        <f t="shared" si="2"/>
        <v>81786</v>
      </c>
      <c r="D44" s="1">
        <f t="shared" si="2"/>
        <v>71382</v>
      </c>
      <c r="E44" s="1">
        <f t="shared" si="2"/>
        <v>90175</v>
      </c>
      <c r="F44" s="1">
        <f t="shared" si="2"/>
        <v>73057</v>
      </c>
      <c r="G44" s="1">
        <f t="shared" si="2"/>
        <v>92992</v>
      </c>
      <c r="H44" s="1">
        <f t="shared" si="2"/>
        <v>106370</v>
      </c>
      <c r="I44" s="1">
        <f t="shared" si="2"/>
        <v>92359</v>
      </c>
      <c r="J44" s="1">
        <f t="shared" si="2"/>
        <v>87579</v>
      </c>
      <c r="K44" s="1">
        <f t="shared" si="2"/>
        <v>95736</v>
      </c>
      <c r="L44" s="1">
        <f t="shared" si="2"/>
        <v>81549</v>
      </c>
      <c r="M44" s="1">
        <f t="shared" si="2"/>
        <v>128843</v>
      </c>
      <c r="N44" s="1">
        <f t="shared" si="2"/>
        <v>133764</v>
      </c>
      <c r="O44" s="1">
        <f t="shared" si="2"/>
        <v>197842</v>
      </c>
      <c r="P44" s="1">
        <f t="shared" si="2"/>
        <v>253315</v>
      </c>
      <c r="Q44" s="1">
        <f t="shared" si="2"/>
        <v>209258</v>
      </c>
      <c r="R44" s="1">
        <f t="shared" si="2"/>
        <v>238746</v>
      </c>
      <c r="S44" s="1">
        <f t="shared" si="2"/>
        <v>263838</v>
      </c>
      <c r="T44" s="1">
        <f t="shared" si="2"/>
        <v>285257</v>
      </c>
      <c r="U44" s="1">
        <f t="shared" si="2"/>
        <v>248870</v>
      </c>
      <c r="V44" s="1">
        <f t="shared" si="2"/>
        <v>249959</v>
      </c>
      <c r="W44" s="1">
        <f t="shared" si="2"/>
        <v>233573</v>
      </c>
      <c r="X44" s="1">
        <f t="shared" si="2"/>
        <v>332976</v>
      </c>
    </row>
    <row r="45" spans="1:24" ht="16.5" customHeight="1" x14ac:dyDescent="0.35">
      <c r="A45" s="29" t="s">
        <v>11</v>
      </c>
      <c r="B45" s="1">
        <f t="shared" ref="B45:X45" si="3">B46+B51</f>
        <v>98494</v>
      </c>
      <c r="C45" s="1">
        <f t="shared" si="3"/>
        <v>81739</v>
      </c>
      <c r="D45" s="1">
        <f t="shared" si="3"/>
        <v>71369</v>
      </c>
      <c r="E45" s="1">
        <f t="shared" si="3"/>
        <v>90166</v>
      </c>
      <c r="F45" s="1">
        <f t="shared" si="3"/>
        <v>73056</v>
      </c>
      <c r="G45" s="1">
        <f t="shared" si="3"/>
        <v>92945</v>
      </c>
      <c r="H45" s="1">
        <f t="shared" si="3"/>
        <v>106365</v>
      </c>
      <c r="I45" s="1">
        <f t="shared" si="3"/>
        <v>92358</v>
      </c>
      <c r="J45" s="1">
        <f t="shared" si="3"/>
        <v>87577</v>
      </c>
      <c r="K45" s="1">
        <f t="shared" si="3"/>
        <v>95686</v>
      </c>
      <c r="L45" s="1">
        <f t="shared" si="3"/>
        <v>81545</v>
      </c>
      <c r="M45" s="1">
        <f t="shared" si="3"/>
        <v>128807</v>
      </c>
      <c r="N45" s="1">
        <f t="shared" si="3"/>
        <v>133747</v>
      </c>
      <c r="O45" s="1">
        <f t="shared" si="3"/>
        <v>197827</v>
      </c>
      <c r="P45" s="1">
        <f t="shared" si="3"/>
        <v>253293</v>
      </c>
      <c r="Q45" s="1">
        <f t="shared" si="3"/>
        <v>209189</v>
      </c>
      <c r="R45" s="1">
        <f t="shared" si="3"/>
        <v>238720</v>
      </c>
      <c r="S45" s="1">
        <f t="shared" si="3"/>
        <v>263782</v>
      </c>
      <c r="T45" s="1">
        <f t="shared" si="3"/>
        <v>285215</v>
      </c>
      <c r="U45" s="1">
        <f t="shared" si="3"/>
        <v>248818</v>
      </c>
      <c r="V45" s="1">
        <f t="shared" si="3"/>
        <v>249942</v>
      </c>
      <c r="W45" s="1">
        <f t="shared" si="3"/>
        <v>233546</v>
      </c>
      <c r="X45" s="1">
        <f t="shared" si="3"/>
        <v>332941</v>
      </c>
    </row>
    <row r="46" spans="1:24" ht="16.5" customHeight="1" x14ac:dyDescent="0.35">
      <c r="A46" s="29" t="s">
        <v>12</v>
      </c>
      <c r="B46" s="1">
        <f t="shared" ref="B46:X46" si="4">B47+B48+B49+B50</f>
        <v>24225</v>
      </c>
      <c r="C46" s="1">
        <f t="shared" si="4"/>
        <v>25164</v>
      </c>
      <c r="D46" s="1">
        <f t="shared" si="4"/>
        <v>27237</v>
      </c>
      <c r="E46" s="1">
        <f t="shared" si="4"/>
        <v>29292</v>
      </c>
      <c r="F46" s="1">
        <f t="shared" si="4"/>
        <v>27677</v>
      </c>
      <c r="G46" s="1">
        <f t="shared" si="4"/>
        <v>28727</v>
      </c>
      <c r="H46" s="1">
        <f t="shared" si="4"/>
        <v>29899</v>
      </c>
      <c r="I46" s="1">
        <f t="shared" si="4"/>
        <v>29833</v>
      </c>
      <c r="J46" s="1">
        <f t="shared" si="4"/>
        <v>28891</v>
      </c>
      <c r="K46" s="1">
        <f t="shared" si="4"/>
        <v>28450</v>
      </c>
      <c r="L46" s="1">
        <f t="shared" si="4"/>
        <v>27197</v>
      </c>
      <c r="M46" s="1">
        <f t="shared" si="4"/>
        <v>27343</v>
      </c>
      <c r="N46" s="1">
        <f t="shared" si="4"/>
        <v>29619</v>
      </c>
      <c r="O46" s="1">
        <f t="shared" si="4"/>
        <v>28435</v>
      </c>
      <c r="P46" s="1">
        <f t="shared" si="4"/>
        <v>34978</v>
      </c>
      <c r="Q46" s="1">
        <f t="shared" si="4"/>
        <v>38368</v>
      </c>
      <c r="R46" s="1">
        <f t="shared" si="4"/>
        <v>42995</v>
      </c>
      <c r="S46" s="1">
        <f t="shared" si="4"/>
        <v>49168</v>
      </c>
      <c r="T46" s="1">
        <f t="shared" si="4"/>
        <v>49441</v>
      </c>
      <c r="U46" s="1">
        <f t="shared" si="4"/>
        <v>51650</v>
      </c>
      <c r="V46" s="1">
        <f t="shared" si="4"/>
        <v>65970</v>
      </c>
      <c r="W46" s="1">
        <f t="shared" si="4"/>
        <v>62980</v>
      </c>
      <c r="X46" s="1">
        <f t="shared" si="4"/>
        <v>48906</v>
      </c>
    </row>
    <row r="47" spans="1:24" ht="16.5" customHeight="1" x14ac:dyDescent="0.35">
      <c r="A47" s="29" t="s">
        <v>13</v>
      </c>
      <c r="B47" s="1">
        <v>5615</v>
      </c>
      <c r="C47" s="1">
        <v>4936</v>
      </c>
      <c r="D47" s="1">
        <v>6004</v>
      </c>
      <c r="E47" s="1">
        <v>5730</v>
      </c>
      <c r="F47" s="1">
        <v>6059</v>
      </c>
      <c r="G47" s="1">
        <v>6918</v>
      </c>
      <c r="H47" s="1">
        <v>7218</v>
      </c>
      <c r="I47" s="1">
        <v>7631</v>
      </c>
      <c r="J47" s="1">
        <v>6157</v>
      </c>
      <c r="K47" s="1">
        <v>6053</v>
      </c>
      <c r="L47" s="1">
        <v>6090</v>
      </c>
      <c r="M47" s="1">
        <v>7301</v>
      </c>
      <c r="N47" s="1">
        <v>7309</v>
      </c>
      <c r="O47" s="1">
        <v>6963</v>
      </c>
      <c r="P47" s="1">
        <v>6795</v>
      </c>
      <c r="Q47" s="1">
        <v>7900</v>
      </c>
      <c r="R47" s="1">
        <v>7822</v>
      </c>
      <c r="S47" s="1">
        <v>9957</v>
      </c>
      <c r="T47" s="1">
        <v>12789</v>
      </c>
      <c r="U47" s="1">
        <v>12365</v>
      </c>
      <c r="V47" s="1">
        <v>13612</v>
      </c>
      <c r="W47" s="1">
        <v>13966</v>
      </c>
      <c r="X47" s="1">
        <v>15032</v>
      </c>
    </row>
    <row r="48" spans="1:24" ht="16.5" customHeight="1" x14ac:dyDescent="0.35">
      <c r="A48" s="29" t="s">
        <v>350</v>
      </c>
      <c r="B48" s="1">
        <v>4375</v>
      </c>
      <c r="C48" s="1">
        <v>3656</v>
      </c>
      <c r="D48" s="1">
        <v>3465</v>
      </c>
      <c r="E48" s="1">
        <v>5829</v>
      </c>
      <c r="F48" s="1">
        <v>5051</v>
      </c>
      <c r="G48" s="1">
        <v>5237</v>
      </c>
      <c r="H48" s="1">
        <v>4673</v>
      </c>
      <c r="I48" s="1">
        <v>6103</v>
      </c>
      <c r="J48" s="1">
        <v>7254</v>
      </c>
      <c r="K48" s="1">
        <v>7598</v>
      </c>
      <c r="L48" s="1">
        <v>5679</v>
      </c>
      <c r="M48" s="1">
        <v>4826</v>
      </c>
      <c r="N48" s="1">
        <v>4954</v>
      </c>
      <c r="O48" s="1">
        <v>4541</v>
      </c>
      <c r="P48" s="1">
        <v>7461</v>
      </c>
      <c r="Q48" s="1">
        <v>7843</v>
      </c>
      <c r="R48" s="1">
        <v>10173</v>
      </c>
      <c r="S48" s="1">
        <v>10616</v>
      </c>
      <c r="T48" s="1">
        <v>8703</v>
      </c>
      <c r="U48" s="1">
        <v>9703</v>
      </c>
      <c r="V48" s="1">
        <v>12692</v>
      </c>
      <c r="W48" s="1">
        <v>12899</v>
      </c>
      <c r="X48" s="1">
        <v>14070</v>
      </c>
    </row>
    <row r="49" spans="1:24" ht="16.5" customHeight="1" x14ac:dyDescent="0.35">
      <c r="A49" s="29" t="s">
        <v>14</v>
      </c>
      <c r="B49" s="1">
        <v>14235</v>
      </c>
      <c r="C49" s="1">
        <v>16572</v>
      </c>
      <c r="D49" s="1">
        <v>17768</v>
      </c>
      <c r="E49" s="1">
        <v>17733</v>
      </c>
      <c r="F49" s="1">
        <v>16567</v>
      </c>
      <c r="G49" s="1">
        <v>16572</v>
      </c>
      <c r="H49" s="1">
        <v>18008</v>
      </c>
      <c r="I49" s="1">
        <v>16099</v>
      </c>
      <c r="J49" s="1">
        <v>15480</v>
      </c>
      <c r="K49" s="1">
        <v>14799</v>
      </c>
      <c r="L49" s="1">
        <v>15428</v>
      </c>
      <c r="M49" s="1">
        <v>15216</v>
      </c>
      <c r="N49" s="1">
        <v>17356</v>
      </c>
      <c r="O49" s="1">
        <v>4006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X49" s="1">
        <v>0</v>
      </c>
    </row>
    <row r="50" spans="1:24" ht="16.5" customHeight="1" x14ac:dyDescent="0.35">
      <c r="A50" s="29" t="s">
        <v>15</v>
      </c>
      <c r="O50" s="1">
        <v>12925</v>
      </c>
      <c r="P50" s="1">
        <v>20722</v>
      </c>
      <c r="Q50" s="1">
        <v>22625</v>
      </c>
      <c r="R50" s="1">
        <v>25000</v>
      </c>
      <c r="S50" s="1">
        <v>28595</v>
      </c>
      <c r="T50" s="1">
        <v>27949</v>
      </c>
      <c r="U50" s="1">
        <v>29582</v>
      </c>
      <c r="V50" s="1">
        <v>39666</v>
      </c>
      <c r="W50" s="1">
        <v>36115</v>
      </c>
      <c r="X50" s="1">
        <v>19804</v>
      </c>
    </row>
    <row r="51" spans="1:24" ht="16.5" customHeight="1" x14ac:dyDescent="0.35">
      <c r="A51" s="29" t="s">
        <v>16</v>
      </c>
      <c r="B51" s="1">
        <f t="shared" ref="B51:X51" si="5">B52+B53+B57+B60</f>
        <v>74269</v>
      </c>
      <c r="C51" s="1">
        <f t="shared" si="5"/>
        <v>56575</v>
      </c>
      <c r="D51" s="1">
        <f t="shared" si="5"/>
        <v>44132</v>
      </c>
      <c r="E51" s="1">
        <f t="shared" si="5"/>
        <v>60874</v>
      </c>
      <c r="F51" s="1">
        <f t="shared" si="5"/>
        <v>45379</v>
      </c>
      <c r="G51" s="1">
        <f t="shared" si="5"/>
        <v>64218</v>
      </c>
      <c r="H51" s="1">
        <f t="shared" si="5"/>
        <v>76466</v>
      </c>
      <c r="I51" s="1">
        <f t="shared" si="5"/>
        <v>62525</v>
      </c>
      <c r="J51" s="1">
        <f t="shared" si="5"/>
        <v>58686</v>
      </c>
      <c r="K51" s="1">
        <f t="shared" si="5"/>
        <v>67236</v>
      </c>
      <c r="L51" s="1">
        <f t="shared" si="5"/>
        <v>54348</v>
      </c>
      <c r="M51" s="1">
        <f t="shared" si="5"/>
        <v>101464</v>
      </c>
      <c r="N51" s="1">
        <f t="shared" si="5"/>
        <v>104128</v>
      </c>
      <c r="O51" s="1">
        <f t="shared" si="5"/>
        <v>169392</v>
      </c>
      <c r="P51" s="1">
        <f t="shared" si="5"/>
        <v>218315</v>
      </c>
      <c r="Q51" s="1">
        <f t="shared" si="5"/>
        <v>170821</v>
      </c>
      <c r="R51" s="1">
        <f t="shared" si="5"/>
        <v>195725</v>
      </c>
      <c r="S51" s="1">
        <f t="shared" si="5"/>
        <v>214614</v>
      </c>
      <c r="T51" s="1">
        <f t="shared" si="5"/>
        <v>235774</v>
      </c>
      <c r="U51" s="1">
        <f t="shared" si="5"/>
        <v>197168</v>
      </c>
      <c r="V51" s="1">
        <f t="shared" si="5"/>
        <v>183972</v>
      </c>
      <c r="W51" s="1">
        <f t="shared" si="5"/>
        <v>170566</v>
      </c>
      <c r="X51" s="1">
        <f t="shared" si="5"/>
        <v>284035</v>
      </c>
    </row>
    <row r="52" spans="1:24" ht="16.5" customHeight="1" x14ac:dyDescent="0.35">
      <c r="A52" s="29" t="s">
        <v>17</v>
      </c>
      <c r="B52" s="1">
        <v>15</v>
      </c>
      <c r="C52" s="1">
        <v>16</v>
      </c>
      <c r="D52" s="1">
        <v>10</v>
      </c>
      <c r="E52" s="1">
        <v>9</v>
      </c>
      <c r="F52" s="1">
        <v>9</v>
      </c>
      <c r="G52" s="1">
        <v>31</v>
      </c>
      <c r="H52" s="1">
        <v>106</v>
      </c>
      <c r="I52" s="1">
        <v>107</v>
      </c>
      <c r="J52" s="1">
        <v>89</v>
      </c>
      <c r="K52" s="1">
        <v>85</v>
      </c>
      <c r="L52" s="1">
        <v>82</v>
      </c>
      <c r="M52" s="1">
        <v>95</v>
      </c>
      <c r="N52" s="1">
        <v>3</v>
      </c>
      <c r="O52" s="1">
        <v>0</v>
      </c>
      <c r="P52" s="1">
        <v>0</v>
      </c>
      <c r="Q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</row>
    <row r="53" spans="1:24" ht="16.5" customHeight="1" x14ac:dyDescent="0.35">
      <c r="A53" s="29" t="s">
        <v>18</v>
      </c>
      <c r="B53" s="1">
        <f t="shared" ref="B53:X53" si="6">B54+B55+B56</f>
        <v>65489</v>
      </c>
      <c r="C53" s="1">
        <f t="shared" si="6"/>
        <v>44040</v>
      </c>
      <c r="D53" s="1">
        <f t="shared" si="6"/>
        <v>36803</v>
      </c>
      <c r="E53" s="1">
        <f t="shared" si="6"/>
        <v>55633</v>
      </c>
      <c r="F53" s="1">
        <f t="shared" si="6"/>
        <v>40864</v>
      </c>
      <c r="G53" s="1">
        <f t="shared" si="6"/>
        <v>60515</v>
      </c>
      <c r="H53" s="1">
        <f t="shared" si="6"/>
        <v>72106</v>
      </c>
      <c r="I53" s="1">
        <f t="shared" si="6"/>
        <v>57328</v>
      </c>
      <c r="J53" s="1">
        <f t="shared" si="6"/>
        <v>47541</v>
      </c>
      <c r="K53" s="1">
        <f t="shared" si="6"/>
        <v>61908</v>
      </c>
      <c r="L53" s="1">
        <f t="shared" si="6"/>
        <v>50596</v>
      </c>
      <c r="M53" s="1">
        <f t="shared" si="6"/>
        <v>96815</v>
      </c>
      <c r="N53" s="1">
        <f t="shared" si="6"/>
        <v>97124</v>
      </c>
      <c r="O53" s="1">
        <f t="shared" si="6"/>
        <v>153146</v>
      </c>
      <c r="P53" s="1">
        <f t="shared" si="6"/>
        <v>199016</v>
      </c>
      <c r="Q53" s="1">
        <f t="shared" si="6"/>
        <v>144789</v>
      </c>
      <c r="R53" s="1">
        <f t="shared" si="6"/>
        <v>170409</v>
      </c>
      <c r="S53" s="1">
        <f t="shared" si="6"/>
        <v>172660</v>
      </c>
      <c r="T53" s="1">
        <f t="shared" si="6"/>
        <v>212723</v>
      </c>
      <c r="U53" s="1">
        <f t="shared" si="6"/>
        <v>171276</v>
      </c>
      <c r="V53" s="1">
        <f t="shared" si="6"/>
        <v>165981</v>
      </c>
      <c r="W53" s="1">
        <f t="shared" si="6"/>
        <v>132636</v>
      </c>
      <c r="X53" s="1">
        <f t="shared" si="6"/>
        <v>208368</v>
      </c>
    </row>
    <row r="54" spans="1:24" ht="16.5" customHeight="1" x14ac:dyDescent="0.35">
      <c r="A54" s="29" t="s">
        <v>19</v>
      </c>
      <c r="B54" s="1">
        <v>12600</v>
      </c>
      <c r="C54" s="1">
        <v>0</v>
      </c>
      <c r="D54" s="1">
        <v>5100</v>
      </c>
      <c r="E54" s="1">
        <v>25650</v>
      </c>
      <c r="F54" s="1">
        <v>14999</v>
      </c>
      <c r="G54" s="1">
        <v>33499</v>
      </c>
      <c r="H54" s="1">
        <v>45000</v>
      </c>
      <c r="I54" s="1">
        <v>25000</v>
      </c>
      <c r="J54" s="1">
        <v>18000</v>
      </c>
      <c r="K54" s="1">
        <v>17300</v>
      </c>
      <c r="L54" s="1">
        <v>19700</v>
      </c>
      <c r="M54" s="1">
        <v>37500</v>
      </c>
      <c r="N54" s="1">
        <v>7000</v>
      </c>
      <c r="O54" s="1">
        <v>10000</v>
      </c>
      <c r="P54" s="1">
        <v>0</v>
      </c>
      <c r="Q54" s="1">
        <v>0</v>
      </c>
      <c r="R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</row>
    <row r="55" spans="1:24" ht="16.5" customHeight="1" x14ac:dyDescent="0.35">
      <c r="A55" s="29" t="s">
        <v>20</v>
      </c>
      <c r="B55" s="1">
        <v>46604</v>
      </c>
      <c r="C55" s="1">
        <v>41719</v>
      </c>
      <c r="D55" s="1">
        <v>30188</v>
      </c>
      <c r="E55" s="1">
        <v>29412</v>
      </c>
      <c r="F55" s="1">
        <v>24957</v>
      </c>
      <c r="G55" s="1">
        <v>25825</v>
      </c>
      <c r="H55" s="1">
        <v>25420</v>
      </c>
      <c r="I55" s="1">
        <v>31240</v>
      </c>
      <c r="J55" s="1">
        <v>29516</v>
      </c>
      <c r="K55" s="1">
        <v>41708</v>
      </c>
      <c r="L55" s="1">
        <v>29070</v>
      </c>
      <c r="M55" s="1">
        <v>58329</v>
      </c>
      <c r="N55" s="1">
        <v>88999</v>
      </c>
      <c r="O55" s="1">
        <v>141574</v>
      </c>
      <c r="P55" s="1">
        <v>197754</v>
      </c>
      <c r="Q55" s="1">
        <v>143295</v>
      </c>
      <c r="R55" s="1">
        <v>169148</v>
      </c>
      <c r="S55" s="1">
        <v>170177</v>
      </c>
      <c r="T55" s="1">
        <v>210641</v>
      </c>
      <c r="U55" s="1">
        <v>170736</v>
      </c>
      <c r="V55" s="1">
        <v>161445</v>
      </c>
      <c r="W55" s="1">
        <v>130567</v>
      </c>
      <c r="X55" s="1">
        <v>205821</v>
      </c>
    </row>
    <row r="56" spans="1:24" ht="16.5" customHeight="1" x14ac:dyDescent="0.35">
      <c r="A56" s="29" t="s">
        <v>21</v>
      </c>
      <c r="B56" s="1">
        <v>6285</v>
      </c>
      <c r="C56" s="1">
        <v>2321</v>
      </c>
      <c r="D56" s="1">
        <v>1515</v>
      </c>
      <c r="E56" s="1">
        <v>571</v>
      </c>
      <c r="F56" s="1">
        <v>908</v>
      </c>
      <c r="G56" s="1">
        <v>1191</v>
      </c>
      <c r="H56" s="1">
        <v>1686</v>
      </c>
      <c r="I56" s="1">
        <v>1088</v>
      </c>
      <c r="J56" s="1">
        <v>25</v>
      </c>
      <c r="K56" s="1">
        <v>2900</v>
      </c>
      <c r="L56" s="1">
        <v>1826</v>
      </c>
      <c r="M56" s="1">
        <v>986</v>
      </c>
      <c r="N56" s="1">
        <v>1125</v>
      </c>
      <c r="O56" s="1">
        <v>1572</v>
      </c>
      <c r="P56" s="1">
        <v>1262</v>
      </c>
      <c r="Q56" s="1">
        <v>1494</v>
      </c>
      <c r="R56" s="1">
        <v>1261</v>
      </c>
      <c r="S56" s="1">
        <v>2483</v>
      </c>
      <c r="T56" s="1">
        <v>2082</v>
      </c>
      <c r="U56" s="1">
        <v>540</v>
      </c>
      <c r="V56" s="1">
        <v>4536</v>
      </c>
      <c r="W56" s="1">
        <v>2069</v>
      </c>
      <c r="X56" s="1">
        <v>2547</v>
      </c>
    </row>
    <row r="57" spans="1:24" ht="16.5" customHeight="1" x14ac:dyDescent="0.35">
      <c r="A57" s="29" t="s">
        <v>22</v>
      </c>
      <c r="B57" s="1">
        <f t="shared" ref="B57:X57" si="7">B58+B59</f>
        <v>8723</v>
      </c>
      <c r="C57" s="1">
        <f t="shared" si="7"/>
        <v>12488</v>
      </c>
      <c r="D57" s="1">
        <f t="shared" si="7"/>
        <v>7229</v>
      </c>
      <c r="E57" s="1">
        <f t="shared" si="7"/>
        <v>5157</v>
      </c>
      <c r="F57" s="1">
        <f t="shared" si="7"/>
        <v>4445</v>
      </c>
      <c r="G57" s="1">
        <f t="shared" si="7"/>
        <v>3591</v>
      </c>
      <c r="H57" s="1">
        <f t="shared" si="7"/>
        <v>4170</v>
      </c>
      <c r="I57" s="1">
        <f t="shared" si="7"/>
        <v>4813</v>
      </c>
      <c r="J57" s="1">
        <f t="shared" si="7"/>
        <v>5127</v>
      </c>
      <c r="K57" s="1">
        <f t="shared" si="7"/>
        <v>4970</v>
      </c>
      <c r="L57" s="1">
        <f t="shared" si="7"/>
        <v>3167</v>
      </c>
      <c r="M57" s="1">
        <f t="shared" si="7"/>
        <v>4531</v>
      </c>
      <c r="N57" s="1">
        <f t="shared" si="7"/>
        <v>6991</v>
      </c>
      <c r="O57" s="1">
        <f t="shared" si="7"/>
        <v>16150</v>
      </c>
      <c r="P57" s="1">
        <f t="shared" si="7"/>
        <v>19161</v>
      </c>
      <c r="Q57" s="1">
        <f t="shared" si="7"/>
        <v>25214</v>
      </c>
      <c r="R57" s="1">
        <f t="shared" si="7"/>
        <v>24835</v>
      </c>
      <c r="S57" s="1">
        <f t="shared" si="7"/>
        <v>41489</v>
      </c>
      <c r="T57" s="1">
        <f t="shared" si="7"/>
        <v>22338</v>
      </c>
      <c r="U57" s="1">
        <f t="shared" si="7"/>
        <v>25397</v>
      </c>
      <c r="V57" s="1">
        <f t="shared" si="7"/>
        <v>17904</v>
      </c>
      <c r="W57" s="1">
        <f t="shared" si="7"/>
        <v>37678</v>
      </c>
      <c r="X57" s="1">
        <f t="shared" si="7"/>
        <v>75322</v>
      </c>
    </row>
    <row r="58" spans="1:24" ht="16.5" customHeight="1" x14ac:dyDescent="0.35">
      <c r="A58" s="29" t="s">
        <v>23</v>
      </c>
      <c r="B58" s="1">
        <v>3289</v>
      </c>
      <c r="C58" s="1">
        <v>7112</v>
      </c>
      <c r="D58" s="1">
        <v>2986</v>
      </c>
      <c r="E58" s="1">
        <v>38</v>
      </c>
      <c r="F58" s="1">
        <v>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O58" s="1">
        <v>0</v>
      </c>
      <c r="R58" s="1">
        <v>0</v>
      </c>
      <c r="W58" s="1">
        <v>0</v>
      </c>
    </row>
    <row r="59" spans="1:24" ht="16.5" customHeight="1" x14ac:dyDescent="0.35">
      <c r="A59" s="29" t="s">
        <v>24</v>
      </c>
      <c r="B59" s="1">
        <v>5434</v>
      </c>
      <c r="C59" s="1">
        <v>5376</v>
      </c>
      <c r="D59" s="1">
        <v>4243</v>
      </c>
      <c r="E59" s="1">
        <v>5119</v>
      </c>
      <c r="F59" s="1">
        <v>4394</v>
      </c>
      <c r="G59" s="1">
        <v>3591</v>
      </c>
      <c r="H59" s="1">
        <v>4170</v>
      </c>
      <c r="I59" s="1">
        <v>4813</v>
      </c>
      <c r="J59" s="1">
        <v>5127</v>
      </c>
      <c r="K59" s="1">
        <v>4970</v>
      </c>
      <c r="L59" s="1">
        <v>3167</v>
      </c>
      <c r="M59" s="1">
        <v>4531</v>
      </c>
      <c r="N59" s="1">
        <v>6991</v>
      </c>
      <c r="O59" s="1">
        <v>16150</v>
      </c>
      <c r="P59" s="1">
        <v>19161</v>
      </c>
      <c r="Q59" s="1">
        <v>25214</v>
      </c>
      <c r="R59" s="1">
        <v>24835</v>
      </c>
      <c r="S59" s="1">
        <v>41489</v>
      </c>
      <c r="T59" s="1">
        <v>22338</v>
      </c>
      <c r="U59" s="1">
        <v>25397</v>
      </c>
      <c r="V59" s="1">
        <v>17904</v>
      </c>
      <c r="W59" s="1">
        <v>37678</v>
      </c>
      <c r="X59" s="1">
        <v>75322</v>
      </c>
    </row>
    <row r="60" spans="1:24" ht="16.5" customHeight="1" x14ac:dyDescent="0.35">
      <c r="A60" s="29" t="s">
        <v>25</v>
      </c>
      <c r="B60" s="1">
        <v>42</v>
      </c>
      <c r="C60" s="1">
        <v>31</v>
      </c>
      <c r="D60" s="1">
        <v>90</v>
      </c>
      <c r="E60" s="1">
        <v>75</v>
      </c>
      <c r="F60" s="1">
        <v>61</v>
      </c>
      <c r="G60" s="1">
        <v>81</v>
      </c>
      <c r="H60" s="1">
        <v>84</v>
      </c>
      <c r="I60" s="1">
        <v>277</v>
      </c>
      <c r="J60" s="1">
        <v>5929</v>
      </c>
      <c r="K60" s="1">
        <v>273</v>
      </c>
      <c r="L60" s="1">
        <v>503</v>
      </c>
      <c r="M60" s="1">
        <v>23</v>
      </c>
      <c r="N60" s="1">
        <v>10</v>
      </c>
      <c r="O60" s="1">
        <v>96</v>
      </c>
      <c r="P60" s="1">
        <v>138</v>
      </c>
      <c r="Q60" s="1">
        <v>818</v>
      </c>
      <c r="R60" s="1">
        <v>481</v>
      </c>
      <c r="S60" s="1">
        <v>465</v>
      </c>
      <c r="T60" s="1">
        <v>713</v>
      </c>
      <c r="U60" s="1">
        <v>495</v>
      </c>
      <c r="V60" s="1">
        <v>87</v>
      </c>
      <c r="W60" s="1">
        <v>252</v>
      </c>
      <c r="X60" s="1">
        <v>345</v>
      </c>
    </row>
    <row r="61" spans="1:24" ht="16.5" customHeight="1" x14ac:dyDescent="0.35">
      <c r="A61" s="29" t="s">
        <v>26</v>
      </c>
      <c r="B61" s="1">
        <f t="shared" ref="B61:P61" si="8">B62</f>
        <v>122</v>
      </c>
      <c r="C61" s="1">
        <f t="shared" si="8"/>
        <v>47</v>
      </c>
      <c r="D61" s="1">
        <f t="shared" si="8"/>
        <v>13</v>
      </c>
      <c r="E61" s="1">
        <f t="shared" si="8"/>
        <v>9</v>
      </c>
      <c r="F61" s="1">
        <f t="shared" si="8"/>
        <v>1</v>
      </c>
      <c r="G61" s="1">
        <f t="shared" si="8"/>
        <v>47</v>
      </c>
      <c r="H61" s="1">
        <f t="shared" si="8"/>
        <v>5</v>
      </c>
      <c r="I61" s="1">
        <f t="shared" si="8"/>
        <v>1</v>
      </c>
      <c r="J61" s="1">
        <f t="shared" si="8"/>
        <v>2</v>
      </c>
      <c r="K61" s="1">
        <f t="shared" si="8"/>
        <v>50</v>
      </c>
      <c r="L61" s="1">
        <f t="shared" si="8"/>
        <v>4</v>
      </c>
      <c r="M61" s="1">
        <f t="shared" si="8"/>
        <v>36</v>
      </c>
      <c r="N61" s="1">
        <f t="shared" si="8"/>
        <v>17</v>
      </c>
      <c r="O61" s="1">
        <f t="shared" si="8"/>
        <v>15</v>
      </c>
      <c r="P61" s="1">
        <f t="shared" si="8"/>
        <v>22</v>
      </c>
      <c r="Q61" s="1">
        <f t="shared" ref="Q61:X61" si="9">+Q62</f>
        <v>69</v>
      </c>
      <c r="R61" s="1">
        <f t="shared" si="9"/>
        <v>26</v>
      </c>
      <c r="S61" s="1">
        <f t="shared" si="9"/>
        <v>56</v>
      </c>
      <c r="T61" s="1">
        <f t="shared" si="9"/>
        <v>42</v>
      </c>
      <c r="U61" s="1">
        <f t="shared" si="9"/>
        <v>52</v>
      </c>
      <c r="V61" s="1">
        <f t="shared" si="9"/>
        <v>17</v>
      </c>
      <c r="W61" s="1">
        <f t="shared" si="9"/>
        <v>27</v>
      </c>
      <c r="X61" s="1">
        <f t="shared" si="9"/>
        <v>35</v>
      </c>
    </row>
    <row r="62" spans="1:24" ht="16.5" customHeight="1" x14ac:dyDescent="0.35">
      <c r="A62" s="29" t="s">
        <v>27</v>
      </c>
      <c r="B62" s="1">
        <v>122</v>
      </c>
      <c r="C62" s="1">
        <v>47</v>
      </c>
      <c r="D62" s="1">
        <v>13</v>
      </c>
      <c r="E62" s="1">
        <v>9</v>
      </c>
      <c r="F62" s="1">
        <v>1</v>
      </c>
      <c r="G62" s="1">
        <v>47</v>
      </c>
      <c r="H62" s="1">
        <v>5</v>
      </c>
      <c r="I62" s="1">
        <v>1</v>
      </c>
      <c r="J62" s="1">
        <v>2</v>
      </c>
      <c r="K62" s="1">
        <v>50</v>
      </c>
      <c r="L62" s="1">
        <v>4</v>
      </c>
      <c r="M62" s="1">
        <v>36</v>
      </c>
      <c r="N62" s="1">
        <v>17</v>
      </c>
      <c r="O62" s="1">
        <v>15</v>
      </c>
      <c r="P62" s="1">
        <v>22</v>
      </c>
      <c r="Q62" s="1">
        <v>69</v>
      </c>
      <c r="R62" s="1">
        <v>26</v>
      </c>
      <c r="S62" s="1">
        <v>56</v>
      </c>
      <c r="T62" s="1">
        <v>42</v>
      </c>
      <c r="U62" s="1">
        <v>52</v>
      </c>
      <c r="V62" s="1">
        <v>17</v>
      </c>
      <c r="W62" s="1">
        <v>27</v>
      </c>
      <c r="X62" s="1">
        <v>35</v>
      </c>
    </row>
    <row r="63" spans="1:24" ht="16.5" customHeight="1" x14ac:dyDescent="0.35">
      <c r="A63" s="29" t="s">
        <v>28</v>
      </c>
    </row>
    <row r="64" spans="1:24" ht="16.5" customHeight="1" x14ac:dyDescent="0.35">
      <c r="A64" s="29" t="s">
        <v>29</v>
      </c>
    </row>
    <row r="65" spans="1:24" ht="16.5" customHeight="1" x14ac:dyDescent="0.35">
      <c r="A65" s="29" t="s">
        <v>30</v>
      </c>
      <c r="B65" s="1">
        <f t="shared" ref="B65:X65" si="10">SUM(B43)</f>
        <v>98616</v>
      </c>
      <c r="C65" s="1">
        <f t="shared" si="10"/>
        <v>81786</v>
      </c>
      <c r="D65" s="1">
        <f t="shared" si="10"/>
        <v>71382</v>
      </c>
      <c r="E65" s="1">
        <f t="shared" si="10"/>
        <v>90175</v>
      </c>
      <c r="F65" s="1">
        <f t="shared" si="10"/>
        <v>73057</v>
      </c>
      <c r="G65" s="1">
        <f t="shared" si="10"/>
        <v>92992</v>
      </c>
      <c r="H65" s="1">
        <f t="shared" si="10"/>
        <v>106370</v>
      </c>
      <c r="I65" s="1">
        <f t="shared" si="10"/>
        <v>92359</v>
      </c>
      <c r="J65" s="1">
        <f t="shared" si="10"/>
        <v>87579</v>
      </c>
      <c r="K65" s="1">
        <f t="shared" si="10"/>
        <v>95736</v>
      </c>
      <c r="L65" s="1">
        <f t="shared" si="10"/>
        <v>81549</v>
      </c>
      <c r="M65" s="1">
        <f t="shared" si="10"/>
        <v>128843</v>
      </c>
      <c r="N65" s="1">
        <f t="shared" si="10"/>
        <v>133764</v>
      </c>
      <c r="O65" s="1">
        <f t="shared" si="10"/>
        <v>197842</v>
      </c>
      <c r="P65" s="1">
        <f t="shared" si="10"/>
        <v>253315</v>
      </c>
      <c r="Q65" s="1">
        <f t="shared" si="10"/>
        <v>209258</v>
      </c>
      <c r="R65" s="1">
        <f t="shared" si="10"/>
        <v>238746</v>
      </c>
      <c r="S65" s="1">
        <f t="shared" si="10"/>
        <v>263838</v>
      </c>
      <c r="T65" s="1">
        <f t="shared" si="10"/>
        <v>285257</v>
      </c>
      <c r="U65" s="1">
        <f t="shared" si="10"/>
        <v>248870</v>
      </c>
      <c r="V65" s="1">
        <f t="shared" si="10"/>
        <v>249959</v>
      </c>
      <c r="W65" s="1">
        <f t="shared" si="10"/>
        <v>233573</v>
      </c>
      <c r="X65" s="1">
        <f t="shared" si="10"/>
        <v>332976</v>
      </c>
    </row>
    <row r="66" spans="1:24" ht="16.5" customHeight="1" x14ac:dyDescent="0.35"/>
    <row r="67" spans="1:24" ht="16.5" customHeight="1" x14ac:dyDescent="0.35"/>
    <row r="68" spans="1:24" ht="16.5" customHeight="1" x14ac:dyDescent="0.35"/>
    <row r="69" spans="1:24" ht="16.5" customHeight="1" x14ac:dyDescent="0.35">
      <c r="A69" s="30" t="s">
        <v>337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2"/>
    </row>
    <row r="70" spans="1:24" ht="16.5" customHeight="1" x14ac:dyDescent="0.35">
      <c r="A70" s="29" t="s">
        <v>31</v>
      </c>
    </row>
    <row r="71" spans="1:24" ht="16.5" customHeight="1" x14ac:dyDescent="0.35"/>
    <row r="72" spans="1:24" s="28" customFormat="1" ht="16.5" customHeight="1" x14ac:dyDescent="0.35">
      <c r="A72" s="29" t="s">
        <v>32</v>
      </c>
      <c r="B72" s="28">
        <v>2001</v>
      </c>
      <c r="C72" s="28">
        <v>2002</v>
      </c>
      <c r="D72" s="28">
        <v>2003</v>
      </c>
      <c r="E72" s="28">
        <v>2004</v>
      </c>
      <c r="F72" s="28">
        <v>2005</v>
      </c>
      <c r="G72" s="28">
        <v>2006</v>
      </c>
      <c r="H72" s="28">
        <v>2007</v>
      </c>
      <c r="I72" s="28">
        <v>2008</v>
      </c>
      <c r="J72" s="28">
        <v>2009</v>
      </c>
      <c r="K72" s="28">
        <v>2010</v>
      </c>
      <c r="L72" s="28">
        <v>2011</v>
      </c>
      <c r="M72" s="28">
        <v>2012</v>
      </c>
      <c r="N72" s="28">
        <v>2013</v>
      </c>
      <c r="O72" s="28">
        <v>2014</v>
      </c>
      <c r="P72" s="28">
        <v>2015</v>
      </c>
      <c r="Q72" s="28">
        <v>2016</v>
      </c>
      <c r="R72" s="28">
        <v>2017</v>
      </c>
      <c r="S72" s="28">
        <v>2018</v>
      </c>
      <c r="T72" s="28">
        <v>2019</v>
      </c>
      <c r="U72" s="28">
        <v>2020</v>
      </c>
      <c r="V72" s="28">
        <v>2021</v>
      </c>
      <c r="W72" s="28">
        <v>2022</v>
      </c>
      <c r="X72" s="28">
        <v>2023</v>
      </c>
    </row>
    <row r="73" spans="1:24" ht="16.5" customHeight="1" x14ac:dyDescent="0.35">
      <c r="A73" s="29" t="s">
        <v>33</v>
      </c>
    </row>
    <row r="74" spans="1:24" ht="16.5" customHeight="1" x14ac:dyDescent="0.35">
      <c r="A74" s="29" t="s">
        <v>34</v>
      </c>
      <c r="B74" s="1">
        <v>5944</v>
      </c>
      <c r="C74" s="1">
        <v>7138</v>
      </c>
      <c r="D74" s="1">
        <v>5746</v>
      </c>
      <c r="E74" s="1">
        <v>6729</v>
      </c>
      <c r="F74" s="1">
        <v>4645</v>
      </c>
      <c r="G74" s="1">
        <v>6207</v>
      </c>
      <c r="H74" s="1">
        <v>6402</v>
      </c>
      <c r="I74" s="1">
        <v>7550</v>
      </c>
      <c r="J74" s="1">
        <v>8128</v>
      </c>
      <c r="K74" s="1">
        <v>7795</v>
      </c>
      <c r="L74" s="1">
        <v>7995</v>
      </c>
      <c r="M74" s="1">
        <v>8332</v>
      </c>
      <c r="N74" s="1">
        <v>8307</v>
      </c>
      <c r="O74" s="1">
        <v>8660</v>
      </c>
      <c r="P74" s="1">
        <v>8352</v>
      </c>
      <c r="Q74" s="1">
        <v>9707</v>
      </c>
      <c r="R74" s="1">
        <v>9686</v>
      </c>
      <c r="S74" s="1">
        <v>12525</v>
      </c>
      <c r="T74" s="1">
        <v>11991</v>
      </c>
      <c r="U74" s="1">
        <v>9789</v>
      </c>
      <c r="V74" s="1">
        <v>145090</v>
      </c>
      <c r="W74" s="1">
        <v>15204</v>
      </c>
      <c r="X74" s="1">
        <v>17370</v>
      </c>
    </row>
    <row r="75" spans="1:24" ht="16.5" customHeight="1" x14ac:dyDescent="0.35">
      <c r="A75" s="29" t="s">
        <v>35</v>
      </c>
      <c r="B75" s="1">
        <v>1964</v>
      </c>
      <c r="C75" s="1">
        <v>2163</v>
      </c>
      <c r="D75" s="1">
        <v>2262</v>
      </c>
      <c r="E75" s="1">
        <v>2481</v>
      </c>
      <c r="F75" s="1">
        <v>2284</v>
      </c>
      <c r="G75" s="1">
        <v>2506</v>
      </c>
      <c r="H75" s="1">
        <v>2538</v>
      </c>
      <c r="I75" s="1">
        <v>2562</v>
      </c>
      <c r="J75" s="1">
        <v>2624</v>
      </c>
      <c r="K75" s="1">
        <v>2606</v>
      </c>
      <c r="L75" s="1">
        <v>2389</v>
      </c>
      <c r="M75" s="1">
        <v>3033</v>
      </c>
      <c r="N75" s="1">
        <v>2712</v>
      </c>
      <c r="O75" s="1">
        <v>2805</v>
      </c>
      <c r="P75" s="1">
        <v>5864</v>
      </c>
      <c r="Q75" s="1">
        <v>3262</v>
      </c>
      <c r="R75" s="1">
        <v>2703</v>
      </c>
      <c r="S75" s="1">
        <v>3107</v>
      </c>
      <c r="T75" s="1">
        <v>3707</v>
      </c>
      <c r="U75" s="1">
        <v>2941</v>
      </c>
      <c r="V75" s="1">
        <v>4325</v>
      </c>
      <c r="W75" s="1">
        <v>5010</v>
      </c>
      <c r="X75" s="1">
        <v>5194</v>
      </c>
    </row>
    <row r="76" spans="1:24" ht="16.5" customHeight="1" x14ac:dyDescent="0.35">
      <c r="A76" s="29" t="s">
        <v>36</v>
      </c>
      <c r="B76" s="1">
        <v>752</v>
      </c>
      <c r="C76" s="1">
        <v>706</v>
      </c>
      <c r="D76" s="1">
        <v>1115</v>
      </c>
      <c r="E76" s="1">
        <v>842</v>
      </c>
      <c r="F76" s="1">
        <v>762</v>
      </c>
      <c r="G76" s="1">
        <v>999</v>
      </c>
      <c r="H76" s="1">
        <v>690</v>
      </c>
      <c r="I76" s="1">
        <v>975</v>
      </c>
      <c r="J76" s="1">
        <v>1191</v>
      </c>
      <c r="K76" s="1">
        <v>1222</v>
      </c>
      <c r="L76" s="1">
        <v>931</v>
      </c>
      <c r="M76" s="1">
        <v>1286</v>
      </c>
      <c r="N76" s="1">
        <v>1926</v>
      </c>
      <c r="O76" s="1">
        <v>2570</v>
      </c>
      <c r="P76" s="1">
        <v>2745</v>
      </c>
      <c r="Q76" s="1">
        <v>2332</v>
      </c>
      <c r="R76" s="1">
        <v>2193</v>
      </c>
      <c r="S76" s="1">
        <v>2651</v>
      </c>
      <c r="T76" s="1">
        <v>3048</v>
      </c>
      <c r="U76" s="1">
        <v>2027</v>
      </c>
      <c r="V76" s="1">
        <v>2593</v>
      </c>
      <c r="W76" s="1">
        <v>3383</v>
      </c>
      <c r="X76" s="1">
        <v>3480</v>
      </c>
    </row>
    <row r="77" spans="1:24" ht="16.5" customHeight="1" x14ac:dyDescent="0.35">
      <c r="A77" s="29" t="s">
        <v>37</v>
      </c>
    </row>
    <row r="78" spans="1:24" ht="16.5" customHeight="1" x14ac:dyDescent="0.35">
      <c r="A78" s="29" t="s">
        <v>38</v>
      </c>
      <c r="B78" s="1">
        <v>4703</v>
      </c>
      <c r="C78" s="1">
        <v>5141</v>
      </c>
      <c r="D78" s="1">
        <v>6198</v>
      </c>
      <c r="E78" s="1">
        <v>6417</v>
      </c>
      <c r="F78" s="1">
        <v>5724</v>
      </c>
      <c r="G78" s="1">
        <v>6694</v>
      </c>
      <c r="H78" s="1">
        <v>6460</v>
      </c>
      <c r="I78" s="1">
        <v>6603</v>
      </c>
      <c r="J78" s="1">
        <v>6672</v>
      </c>
      <c r="K78" s="1">
        <v>7232</v>
      </c>
      <c r="L78" s="1">
        <v>7160</v>
      </c>
      <c r="M78" s="1">
        <v>6916</v>
      </c>
      <c r="N78" s="1">
        <v>6931</v>
      </c>
      <c r="O78" s="1">
        <v>7136</v>
      </c>
      <c r="P78" s="1">
        <v>7320</v>
      </c>
      <c r="Q78" s="1">
        <v>7890</v>
      </c>
      <c r="R78" s="1">
        <v>7324</v>
      </c>
      <c r="S78" s="1">
        <v>9346</v>
      </c>
      <c r="T78" s="1">
        <v>9453</v>
      </c>
      <c r="U78" s="1">
        <v>7831</v>
      </c>
      <c r="V78" s="1">
        <v>11284</v>
      </c>
      <c r="W78" s="1">
        <v>11279</v>
      </c>
      <c r="X78" s="1">
        <v>10923</v>
      </c>
    </row>
    <row r="79" spans="1:24" ht="16.5" customHeight="1" x14ac:dyDescent="0.35">
      <c r="A79" s="29" t="s">
        <v>39</v>
      </c>
      <c r="B79" s="1">
        <v>1102</v>
      </c>
      <c r="C79" s="1">
        <v>1606</v>
      </c>
      <c r="D79" s="1">
        <v>1836</v>
      </c>
      <c r="E79" s="1">
        <v>1945</v>
      </c>
      <c r="F79" s="1">
        <v>1681</v>
      </c>
      <c r="G79" s="1">
        <v>1748</v>
      </c>
      <c r="H79" s="1">
        <v>1806</v>
      </c>
      <c r="I79" s="1">
        <v>1751</v>
      </c>
      <c r="J79" s="1">
        <v>1901</v>
      </c>
      <c r="K79" s="1">
        <v>1954</v>
      </c>
      <c r="L79" s="1">
        <v>1953</v>
      </c>
      <c r="M79" s="1">
        <v>2123</v>
      </c>
      <c r="N79" s="1">
        <v>2173</v>
      </c>
      <c r="O79" s="1">
        <v>2554</v>
      </c>
      <c r="P79" s="1">
        <v>2362</v>
      </c>
      <c r="Q79" s="1">
        <v>2575</v>
      </c>
      <c r="R79" s="1">
        <v>2390</v>
      </c>
      <c r="S79" s="1">
        <v>2846</v>
      </c>
      <c r="T79" s="1">
        <v>3231</v>
      </c>
      <c r="U79" s="1">
        <v>2838</v>
      </c>
      <c r="V79" s="1">
        <v>3801</v>
      </c>
      <c r="W79" s="1">
        <v>3720</v>
      </c>
      <c r="X79" s="1">
        <v>3881</v>
      </c>
    </row>
    <row r="80" spans="1:24" ht="16.5" customHeight="1" x14ac:dyDescent="0.35">
      <c r="A80" s="29" t="s">
        <v>40</v>
      </c>
      <c r="B80" s="1">
        <v>16131</v>
      </c>
      <c r="C80" s="1">
        <v>17591</v>
      </c>
      <c r="D80" s="1">
        <v>19891</v>
      </c>
      <c r="E80" s="1">
        <v>20433</v>
      </c>
      <c r="F80" s="1">
        <v>19880</v>
      </c>
      <c r="G80" s="1">
        <v>22064</v>
      </c>
      <c r="H80" s="1">
        <v>21024</v>
      </c>
      <c r="I80" s="1">
        <v>20642</v>
      </c>
      <c r="J80" s="1">
        <v>21608</v>
      </c>
      <c r="K80" s="1">
        <v>16921</v>
      </c>
      <c r="L80" s="1">
        <v>18294</v>
      </c>
      <c r="M80" s="1">
        <v>18964</v>
      </c>
      <c r="N80" s="1">
        <v>19213</v>
      </c>
      <c r="O80" s="1">
        <v>19645</v>
      </c>
      <c r="P80" s="1">
        <v>19834</v>
      </c>
      <c r="Q80" s="1">
        <v>21770</v>
      </c>
      <c r="R80" s="1">
        <v>22208</v>
      </c>
      <c r="S80" s="1">
        <v>27100</v>
      </c>
      <c r="T80" s="1">
        <v>28524</v>
      </c>
      <c r="U80" s="1">
        <v>24845</v>
      </c>
      <c r="V80" s="1">
        <v>35060</v>
      </c>
      <c r="W80" s="1">
        <v>35251</v>
      </c>
      <c r="X80" s="1">
        <v>36017</v>
      </c>
    </row>
    <row r="81" spans="1:24" ht="16.5" customHeight="1" x14ac:dyDescent="0.35">
      <c r="A81" s="29" t="s">
        <v>41</v>
      </c>
      <c r="B81" s="1">
        <v>10360</v>
      </c>
      <c r="C81" s="1">
        <v>11392</v>
      </c>
      <c r="D81" s="1">
        <v>13160</v>
      </c>
      <c r="E81" s="1">
        <v>13809</v>
      </c>
      <c r="F81" s="1">
        <v>13147</v>
      </c>
      <c r="G81" s="1">
        <v>13216</v>
      </c>
      <c r="H81" s="1">
        <v>14562</v>
      </c>
      <c r="I81" s="1">
        <v>17641</v>
      </c>
      <c r="J81" s="1">
        <v>14614</v>
      </c>
      <c r="K81" s="1">
        <v>14311</v>
      </c>
      <c r="L81" s="1">
        <v>14309</v>
      </c>
      <c r="M81" s="1">
        <v>14053</v>
      </c>
      <c r="N81" s="1">
        <v>14930</v>
      </c>
      <c r="O81" s="1">
        <v>16376</v>
      </c>
      <c r="P81" s="1">
        <v>17792</v>
      </c>
      <c r="Q81" s="1">
        <v>22047</v>
      </c>
      <c r="R81" s="1">
        <v>19091</v>
      </c>
      <c r="S81" s="1">
        <v>23517</v>
      </c>
      <c r="T81" s="1">
        <v>24131</v>
      </c>
      <c r="U81" s="1">
        <v>21891</v>
      </c>
      <c r="V81" s="1">
        <v>27235</v>
      </c>
      <c r="W81" s="1">
        <v>27378</v>
      </c>
      <c r="X81" s="1">
        <v>28139</v>
      </c>
    </row>
    <row r="82" spans="1:24" ht="16.5" customHeight="1" x14ac:dyDescent="0.35">
      <c r="A82" s="29" t="s">
        <v>42</v>
      </c>
      <c r="B82" s="1">
        <v>1365</v>
      </c>
      <c r="C82" s="1">
        <v>1746</v>
      </c>
      <c r="D82" s="1">
        <v>2410</v>
      </c>
      <c r="E82" s="1">
        <v>2592</v>
      </c>
      <c r="F82" s="1">
        <v>2491</v>
      </c>
      <c r="G82" s="1">
        <v>2695</v>
      </c>
      <c r="H82" s="1">
        <v>2504</v>
      </c>
      <c r="I82" s="1">
        <v>2586</v>
      </c>
      <c r="J82" s="1">
        <v>2708</v>
      </c>
      <c r="K82" s="1">
        <v>2708</v>
      </c>
      <c r="L82" s="1">
        <v>2656</v>
      </c>
      <c r="M82" s="1">
        <v>2584</v>
      </c>
      <c r="N82" s="1">
        <v>2739</v>
      </c>
      <c r="O82" s="1">
        <v>2738</v>
      </c>
      <c r="P82" s="1">
        <v>2999</v>
      </c>
      <c r="Q82" s="1">
        <v>3259</v>
      </c>
      <c r="R82" s="1">
        <v>3357</v>
      </c>
      <c r="S82" s="1">
        <v>3875</v>
      </c>
      <c r="T82" s="1">
        <v>4127</v>
      </c>
      <c r="U82" s="1">
        <v>3841</v>
      </c>
      <c r="V82" s="1">
        <v>4697</v>
      </c>
      <c r="W82" s="1">
        <v>4724</v>
      </c>
      <c r="X82" s="1">
        <v>4727</v>
      </c>
    </row>
    <row r="83" spans="1:24" ht="16.5" customHeight="1" x14ac:dyDescent="0.35">
      <c r="A83" s="29" t="s">
        <v>331</v>
      </c>
      <c r="B83" s="1">
        <v>1872</v>
      </c>
      <c r="C83" s="1">
        <v>2096</v>
      </c>
      <c r="D83" s="1">
        <v>1670</v>
      </c>
      <c r="E83" s="1">
        <v>2400</v>
      </c>
      <c r="F83" s="1">
        <v>2350</v>
      </c>
      <c r="G83" s="1">
        <v>2588</v>
      </c>
      <c r="H83" s="1">
        <v>2585</v>
      </c>
      <c r="I83" s="1">
        <v>3094</v>
      </c>
      <c r="J83" s="1">
        <v>2802</v>
      </c>
      <c r="K83" s="1">
        <v>2615</v>
      </c>
      <c r="L83" s="1">
        <v>2763</v>
      </c>
      <c r="M83" s="1">
        <v>2913</v>
      </c>
      <c r="N83" s="1">
        <v>2969</v>
      </c>
      <c r="O83" s="1">
        <v>2349</v>
      </c>
      <c r="P83" s="1">
        <v>2208</v>
      </c>
      <c r="Q83" s="1">
        <v>2407</v>
      </c>
      <c r="R83" s="1">
        <v>2532</v>
      </c>
      <c r="S83" s="1">
        <v>2964</v>
      </c>
      <c r="T83" s="1">
        <v>2750</v>
      </c>
      <c r="U83" s="1">
        <v>2258</v>
      </c>
      <c r="V83" s="1">
        <v>3065</v>
      </c>
      <c r="W83" s="1">
        <v>3183</v>
      </c>
      <c r="X83" s="1">
        <v>3186</v>
      </c>
    </row>
    <row r="84" spans="1:24" ht="16.5" customHeight="1" x14ac:dyDescent="0.35">
      <c r="A84" s="29" t="s">
        <v>43</v>
      </c>
      <c r="B84" s="1">
        <v>2528</v>
      </c>
      <c r="C84" s="1">
        <v>2897</v>
      </c>
      <c r="D84" s="1">
        <v>1845</v>
      </c>
      <c r="E84" s="1">
        <v>1800</v>
      </c>
      <c r="F84" s="1">
        <v>1725</v>
      </c>
      <c r="G84" s="1">
        <v>1883</v>
      </c>
      <c r="H84" s="1">
        <v>1708</v>
      </c>
      <c r="I84" s="1">
        <v>1763</v>
      </c>
      <c r="J84" s="1">
        <v>1886</v>
      </c>
      <c r="K84" s="1">
        <v>1795</v>
      </c>
      <c r="L84" s="1">
        <v>1876</v>
      </c>
      <c r="M84" s="1">
        <v>1959</v>
      </c>
      <c r="N84" s="1">
        <v>1908</v>
      </c>
      <c r="O84" s="1">
        <v>1940</v>
      </c>
      <c r="P84" s="1">
        <v>2020</v>
      </c>
      <c r="Q84" s="1">
        <v>2365</v>
      </c>
      <c r="R84" s="1">
        <v>2841</v>
      </c>
      <c r="S84" s="1">
        <v>3217</v>
      </c>
      <c r="T84" s="1">
        <v>3706</v>
      </c>
      <c r="U84" s="1">
        <v>2712</v>
      </c>
      <c r="V84" s="1">
        <v>4102</v>
      </c>
      <c r="W84" s="1">
        <v>4193</v>
      </c>
      <c r="X84" s="1">
        <v>4218</v>
      </c>
    </row>
    <row r="85" spans="1:24" ht="16.5" customHeight="1" x14ac:dyDescent="0.35">
      <c r="A85" s="29" t="s">
        <v>44</v>
      </c>
      <c r="B85" s="1">
        <v>2278</v>
      </c>
      <c r="C85" s="1">
        <v>2303</v>
      </c>
      <c r="D85" s="1">
        <v>2680</v>
      </c>
      <c r="E85" s="1">
        <v>2584</v>
      </c>
      <c r="F85" s="1">
        <v>2296</v>
      </c>
      <c r="G85" s="1">
        <v>2751</v>
      </c>
      <c r="H85" s="1">
        <v>2671</v>
      </c>
      <c r="I85" s="1">
        <v>2449</v>
      </c>
      <c r="J85" s="1">
        <v>2695</v>
      </c>
      <c r="K85" s="1">
        <v>2464</v>
      </c>
      <c r="L85" s="1">
        <v>2439</v>
      </c>
      <c r="M85" s="1">
        <v>2350</v>
      </c>
      <c r="N85" s="1">
        <v>2309</v>
      </c>
      <c r="O85" s="1">
        <v>2273</v>
      </c>
      <c r="P85" s="1">
        <v>2391</v>
      </c>
      <c r="Q85" s="1">
        <v>2779</v>
      </c>
      <c r="R85" s="1">
        <v>2996</v>
      </c>
      <c r="S85" s="1">
        <v>3695</v>
      </c>
      <c r="T85" s="1">
        <v>3527</v>
      </c>
      <c r="U85" s="1">
        <v>3153</v>
      </c>
      <c r="V85" s="1">
        <v>4207</v>
      </c>
      <c r="W85" s="1">
        <v>4210</v>
      </c>
      <c r="X85" s="1">
        <v>3948</v>
      </c>
    </row>
    <row r="86" spans="1:24" ht="16.5" customHeight="1" x14ac:dyDescent="0.35">
      <c r="A86" s="29" t="s">
        <v>45</v>
      </c>
      <c r="B86" s="1">
        <v>2144</v>
      </c>
      <c r="C86" s="1">
        <v>2232</v>
      </c>
      <c r="D86" s="1">
        <v>3120</v>
      </c>
      <c r="E86" s="1">
        <v>3090</v>
      </c>
      <c r="F86" s="1">
        <v>2910</v>
      </c>
      <c r="G86" s="1">
        <v>3419</v>
      </c>
      <c r="H86" s="1">
        <v>3312</v>
      </c>
      <c r="I86" s="1">
        <v>3370</v>
      </c>
      <c r="J86" s="1">
        <v>3285</v>
      </c>
      <c r="K86" s="1">
        <v>3481</v>
      </c>
      <c r="L86" s="1">
        <v>3274</v>
      </c>
      <c r="M86" s="1">
        <v>2627</v>
      </c>
      <c r="N86" s="1">
        <v>2416</v>
      </c>
      <c r="O86" s="1">
        <v>2581</v>
      </c>
      <c r="P86" s="1">
        <v>2666</v>
      </c>
      <c r="Q86" s="1">
        <v>3154</v>
      </c>
      <c r="R86" s="1">
        <v>4566</v>
      </c>
      <c r="S86" s="1">
        <v>3976</v>
      </c>
      <c r="T86" s="1">
        <v>4145</v>
      </c>
      <c r="U86" s="1">
        <v>3605</v>
      </c>
      <c r="V86" s="1">
        <v>4538</v>
      </c>
      <c r="W86" s="1">
        <v>4018</v>
      </c>
      <c r="X86" s="1">
        <v>4116</v>
      </c>
    </row>
    <row r="87" spans="1:24" ht="16.5" customHeight="1" x14ac:dyDescent="0.35">
      <c r="A87" s="29" t="s">
        <v>46</v>
      </c>
      <c r="B87" s="1">
        <v>831</v>
      </c>
      <c r="C87" s="1">
        <v>1019</v>
      </c>
      <c r="D87" s="1">
        <v>1000</v>
      </c>
      <c r="E87" s="1">
        <v>1070</v>
      </c>
      <c r="F87" s="1">
        <v>1042</v>
      </c>
      <c r="G87" s="1">
        <v>1082</v>
      </c>
      <c r="H87" s="1">
        <v>1247</v>
      </c>
      <c r="I87" s="1">
        <v>1063</v>
      </c>
      <c r="J87" s="1">
        <v>1054</v>
      </c>
      <c r="K87" s="1">
        <v>1189</v>
      </c>
      <c r="L87" s="1">
        <v>1071</v>
      </c>
      <c r="M87" s="1">
        <v>1175</v>
      </c>
      <c r="N87" s="1">
        <v>1163</v>
      </c>
      <c r="O87" s="1">
        <v>1276</v>
      </c>
      <c r="P87" s="1">
        <v>1379</v>
      </c>
      <c r="Q87" s="1">
        <v>1563</v>
      </c>
      <c r="R87" s="1">
        <v>1752</v>
      </c>
      <c r="S87" s="1">
        <v>2057</v>
      </c>
      <c r="T87" s="1">
        <v>2195</v>
      </c>
      <c r="U87" s="1">
        <v>1842</v>
      </c>
      <c r="V87" s="1">
        <v>2602</v>
      </c>
      <c r="W87" s="1">
        <v>2926</v>
      </c>
      <c r="X87" s="1">
        <v>3009</v>
      </c>
    </row>
    <row r="88" spans="1:24" ht="16.5" customHeight="1" x14ac:dyDescent="0.35">
      <c r="A88" s="29" t="s">
        <v>47</v>
      </c>
      <c r="B88" s="1">
        <v>1954</v>
      </c>
      <c r="C88" s="1">
        <v>2675</v>
      </c>
      <c r="D88" s="1">
        <v>1980</v>
      </c>
      <c r="E88" s="1">
        <v>2049</v>
      </c>
      <c r="F88" s="1">
        <v>2009</v>
      </c>
      <c r="G88" s="1">
        <v>2112</v>
      </c>
      <c r="H88" s="1">
        <v>2673</v>
      </c>
      <c r="I88" s="1">
        <v>2994</v>
      </c>
      <c r="J88" s="1">
        <v>3072</v>
      </c>
      <c r="K88" s="1">
        <v>3178</v>
      </c>
      <c r="L88" s="1">
        <v>3449</v>
      </c>
      <c r="M88" s="1">
        <v>3889</v>
      </c>
      <c r="N88" s="1">
        <v>3703</v>
      </c>
      <c r="O88" s="1">
        <v>3703</v>
      </c>
      <c r="P88" s="1">
        <v>3685</v>
      </c>
      <c r="Q88" s="1">
        <v>4561</v>
      </c>
      <c r="R88" s="1">
        <v>4787</v>
      </c>
      <c r="S88" s="1">
        <v>5218</v>
      </c>
      <c r="T88" s="1">
        <v>6151</v>
      </c>
      <c r="U88" s="1">
        <v>5105</v>
      </c>
      <c r="V88" s="1">
        <v>6287</v>
      </c>
      <c r="W88" s="1">
        <v>6008</v>
      </c>
      <c r="X88" s="1">
        <v>6086</v>
      </c>
    </row>
    <row r="89" spans="1:24" ht="16.5" customHeight="1" x14ac:dyDescent="0.35">
      <c r="A89" s="29" t="s">
        <v>48</v>
      </c>
      <c r="O89" s="1">
        <v>1294</v>
      </c>
      <c r="P89" s="1">
        <v>1531</v>
      </c>
      <c r="Q89" s="1">
        <v>1676</v>
      </c>
      <c r="R89" s="1">
        <v>1516</v>
      </c>
      <c r="S89" s="1">
        <v>1836</v>
      </c>
      <c r="T89" s="1">
        <v>2052</v>
      </c>
      <c r="U89" s="1">
        <v>1577</v>
      </c>
      <c r="V89" s="1">
        <v>1954</v>
      </c>
      <c r="W89" s="1">
        <v>2144</v>
      </c>
      <c r="X89" s="1">
        <v>1916</v>
      </c>
    </row>
    <row r="90" spans="1:24" ht="16.5" customHeight="1" x14ac:dyDescent="0.35">
      <c r="A90" s="29" t="s">
        <v>49</v>
      </c>
      <c r="Q90" s="1">
        <v>443</v>
      </c>
      <c r="R90" s="1">
        <v>2748</v>
      </c>
      <c r="S90" s="1">
        <v>3040</v>
      </c>
      <c r="T90" s="1">
        <v>3282</v>
      </c>
      <c r="U90" s="1">
        <v>2799</v>
      </c>
      <c r="V90" s="1">
        <v>3379</v>
      </c>
      <c r="W90" s="1">
        <v>2663</v>
      </c>
      <c r="X90" s="1">
        <v>2879</v>
      </c>
    </row>
    <row r="91" spans="1:24" ht="16.5" customHeight="1" x14ac:dyDescent="0.35">
      <c r="A91" s="29" t="s">
        <v>50</v>
      </c>
      <c r="B91" s="1">
        <v>37084</v>
      </c>
      <c r="C91" s="1">
        <v>35295</v>
      </c>
      <c r="D91" s="1">
        <v>18101</v>
      </c>
      <c r="E91" s="1">
        <v>25784</v>
      </c>
      <c r="F91" s="1">
        <v>15617</v>
      </c>
      <c r="G91" s="1">
        <v>14288</v>
      </c>
      <c r="H91" s="1">
        <v>15654</v>
      </c>
      <c r="I91" s="1">
        <v>23086</v>
      </c>
      <c r="J91" s="1">
        <v>14792</v>
      </c>
      <c r="K91" s="1">
        <v>25726</v>
      </c>
      <c r="L91" s="1">
        <v>29653</v>
      </c>
      <c r="M91" s="1">
        <v>35116</v>
      </c>
      <c r="N91" s="1">
        <v>32224</v>
      </c>
      <c r="O91" s="1">
        <v>52352</v>
      </c>
      <c r="P91" s="1">
        <v>50083</v>
      </c>
      <c r="Q91" s="1">
        <v>82580</v>
      </c>
      <c r="R91" s="1">
        <v>121528</v>
      </c>
      <c r="S91" s="1">
        <v>106655</v>
      </c>
      <c r="T91" s="1">
        <v>148506</v>
      </c>
      <c r="U91" s="1">
        <v>114564</v>
      </c>
      <c r="V91" s="1">
        <v>28835</v>
      </c>
      <c r="W91" s="1">
        <v>172188</v>
      </c>
      <c r="X91" s="1">
        <v>188632</v>
      </c>
    </row>
    <row r="92" spans="1:24" ht="16.5" customHeight="1" x14ac:dyDescent="0.35">
      <c r="A92" s="29" t="s">
        <v>51</v>
      </c>
      <c r="B92" s="1">
        <f t="shared" ref="B92:X92" si="11">SUM(B74:B91)</f>
        <v>91012</v>
      </c>
      <c r="C92" s="1">
        <f t="shared" si="11"/>
        <v>96000</v>
      </c>
      <c r="D92" s="1">
        <f t="shared" si="11"/>
        <v>83014</v>
      </c>
      <c r="E92" s="1">
        <f t="shared" si="11"/>
        <v>94025</v>
      </c>
      <c r="F92" s="1">
        <f t="shared" si="11"/>
        <v>78563</v>
      </c>
      <c r="G92" s="1">
        <f t="shared" si="11"/>
        <v>84252</v>
      </c>
      <c r="H92" s="1">
        <f t="shared" si="11"/>
        <v>85836</v>
      </c>
      <c r="I92" s="1">
        <f t="shared" si="11"/>
        <v>98129</v>
      </c>
      <c r="J92" s="1">
        <f t="shared" si="11"/>
        <v>89032</v>
      </c>
      <c r="K92" s="1">
        <f t="shared" si="11"/>
        <v>95197</v>
      </c>
      <c r="L92" s="1">
        <f t="shared" si="11"/>
        <v>100212</v>
      </c>
      <c r="M92" s="1">
        <f t="shared" si="11"/>
        <v>107320</v>
      </c>
      <c r="N92" s="1">
        <f t="shared" si="11"/>
        <v>105623</v>
      </c>
      <c r="O92" s="1">
        <f t="shared" si="11"/>
        <v>130252</v>
      </c>
      <c r="P92" s="1">
        <f t="shared" si="11"/>
        <v>133231</v>
      </c>
      <c r="Q92" s="1">
        <f t="shared" si="11"/>
        <v>174370</v>
      </c>
      <c r="R92" s="1">
        <f t="shared" si="11"/>
        <v>214218</v>
      </c>
      <c r="S92" s="1">
        <f t="shared" si="11"/>
        <v>217625</v>
      </c>
      <c r="T92" s="1">
        <f t="shared" si="11"/>
        <v>264526</v>
      </c>
      <c r="U92" s="1">
        <f t="shared" si="11"/>
        <v>213618</v>
      </c>
      <c r="V92" s="1">
        <f t="shared" si="11"/>
        <v>293054</v>
      </c>
      <c r="W92" s="1">
        <f t="shared" si="11"/>
        <v>307482</v>
      </c>
      <c r="X92" s="1">
        <f t="shared" si="11"/>
        <v>327721</v>
      </c>
    </row>
    <row r="93" spans="1:24" ht="16.5" customHeight="1" x14ac:dyDescent="0.35"/>
    <row r="94" spans="1:24" ht="16.5" customHeight="1" x14ac:dyDescent="0.35"/>
    <row r="95" spans="1:24" ht="16.5" customHeight="1" x14ac:dyDescent="0.35"/>
    <row r="96" spans="1:24" ht="16.5" customHeight="1" x14ac:dyDescent="0.35">
      <c r="A96" s="30" t="s">
        <v>349</v>
      </c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2"/>
    </row>
    <row r="97" spans="1:24" ht="16.5" customHeight="1" x14ac:dyDescent="0.35">
      <c r="A97" s="29" t="s">
        <v>31</v>
      </c>
    </row>
    <row r="98" spans="1:24" ht="16.5" customHeight="1" x14ac:dyDescent="0.35"/>
    <row r="99" spans="1:24" s="28" customFormat="1" ht="16.5" customHeight="1" x14ac:dyDescent="0.35">
      <c r="A99" s="29" t="s">
        <v>52</v>
      </c>
      <c r="B99" s="28">
        <v>2001</v>
      </c>
      <c r="C99" s="28">
        <v>2002</v>
      </c>
      <c r="D99" s="28">
        <v>2003</v>
      </c>
      <c r="E99" s="28">
        <v>2004</v>
      </c>
      <c r="F99" s="28">
        <v>2005</v>
      </c>
      <c r="G99" s="28">
        <v>2006</v>
      </c>
      <c r="H99" s="28">
        <v>2007</v>
      </c>
      <c r="I99" s="28">
        <v>2008</v>
      </c>
      <c r="J99" s="28">
        <v>2009</v>
      </c>
      <c r="K99" s="28">
        <v>2010</v>
      </c>
      <c r="L99" s="28">
        <v>2011</v>
      </c>
      <c r="M99" s="28">
        <v>2012</v>
      </c>
      <c r="N99" s="28">
        <v>2013</v>
      </c>
      <c r="O99" s="28">
        <v>2014</v>
      </c>
      <c r="P99" s="28">
        <v>2015</v>
      </c>
      <c r="Q99" s="28">
        <v>2016</v>
      </c>
      <c r="R99" s="28">
        <v>2017</v>
      </c>
      <c r="S99" s="28">
        <v>2018</v>
      </c>
      <c r="T99" s="28">
        <v>2019</v>
      </c>
      <c r="U99" s="28">
        <v>2020</v>
      </c>
      <c r="V99" s="28">
        <v>2021</v>
      </c>
      <c r="W99" s="28">
        <v>2022</v>
      </c>
      <c r="X99" s="28">
        <v>2023</v>
      </c>
    </row>
    <row r="100" spans="1:24" ht="16.5" customHeight="1" x14ac:dyDescent="0.35">
      <c r="A100" s="29" t="s">
        <v>53</v>
      </c>
      <c r="B100" s="1">
        <f t="shared" ref="B100:X100" si="12">B101+B119</f>
        <v>91012</v>
      </c>
      <c r="C100" s="1">
        <f t="shared" si="12"/>
        <v>96000</v>
      </c>
      <c r="D100" s="1">
        <f t="shared" si="12"/>
        <v>83014</v>
      </c>
      <c r="E100" s="1">
        <f t="shared" si="12"/>
        <v>94026</v>
      </c>
      <c r="F100" s="1">
        <f t="shared" si="12"/>
        <v>78563</v>
      </c>
      <c r="G100" s="1">
        <f t="shared" si="12"/>
        <v>84252</v>
      </c>
      <c r="H100" s="1">
        <f t="shared" si="12"/>
        <v>85836</v>
      </c>
      <c r="I100" s="1">
        <f t="shared" si="12"/>
        <v>98129</v>
      </c>
      <c r="J100" s="1">
        <f t="shared" si="12"/>
        <v>89032</v>
      </c>
      <c r="K100" s="1">
        <f t="shared" si="12"/>
        <v>95197</v>
      </c>
      <c r="L100" s="1">
        <f t="shared" si="12"/>
        <v>100212</v>
      </c>
      <c r="M100" s="1">
        <f t="shared" si="12"/>
        <v>107320</v>
      </c>
      <c r="N100" s="1">
        <f t="shared" si="12"/>
        <v>105623</v>
      </c>
      <c r="O100" s="1">
        <f t="shared" si="12"/>
        <v>130252</v>
      </c>
      <c r="P100" s="1">
        <f t="shared" si="12"/>
        <v>133231</v>
      </c>
      <c r="Q100" s="1">
        <f t="shared" si="12"/>
        <v>174370</v>
      </c>
      <c r="R100" s="1">
        <f t="shared" si="12"/>
        <v>214218</v>
      </c>
      <c r="S100" s="1">
        <f t="shared" si="12"/>
        <v>217625</v>
      </c>
      <c r="T100" s="1">
        <f t="shared" si="12"/>
        <v>264526</v>
      </c>
      <c r="U100" s="1">
        <f t="shared" si="12"/>
        <v>213618</v>
      </c>
      <c r="V100" s="1">
        <f t="shared" si="12"/>
        <v>293054</v>
      </c>
      <c r="W100" s="1">
        <f t="shared" si="12"/>
        <v>307482</v>
      </c>
      <c r="X100" s="1">
        <f t="shared" si="12"/>
        <v>327721</v>
      </c>
    </row>
    <row r="101" spans="1:24" ht="16.5" customHeight="1" x14ac:dyDescent="0.35">
      <c r="A101" s="29" t="s">
        <v>54</v>
      </c>
      <c r="B101" s="1">
        <f t="shared" ref="B101:X101" si="13">B102+B114</f>
        <v>91012</v>
      </c>
      <c r="C101" s="1">
        <f t="shared" si="13"/>
        <v>96000</v>
      </c>
      <c r="D101" s="1">
        <f t="shared" si="13"/>
        <v>82820</v>
      </c>
      <c r="E101" s="1">
        <f t="shared" si="13"/>
        <v>94011</v>
      </c>
      <c r="F101" s="1">
        <f t="shared" si="13"/>
        <v>78393</v>
      </c>
      <c r="G101" s="1">
        <f t="shared" si="13"/>
        <v>84200</v>
      </c>
      <c r="H101" s="1">
        <f t="shared" si="13"/>
        <v>85691</v>
      </c>
      <c r="I101" s="1">
        <f t="shared" si="13"/>
        <v>97865</v>
      </c>
      <c r="J101" s="1">
        <f t="shared" si="13"/>
        <v>86091</v>
      </c>
      <c r="K101" s="1">
        <f t="shared" si="13"/>
        <v>91708</v>
      </c>
      <c r="L101" s="1">
        <f t="shared" si="13"/>
        <v>99668</v>
      </c>
      <c r="M101" s="1">
        <f t="shared" si="13"/>
        <v>100457</v>
      </c>
      <c r="N101" s="1">
        <f t="shared" si="13"/>
        <v>103264</v>
      </c>
      <c r="O101" s="1">
        <f t="shared" si="13"/>
        <v>120389</v>
      </c>
      <c r="P101" s="1">
        <f t="shared" si="13"/>
        <v>132060</v>
      </c>
      <c r="Q101" s="1">
        <f t="shared" si="13"/>
        <v>173368</v>
      </c>
      <c r="R101" s="1">
        <f t="shared" si="13"/>
        <v>213602</v>
      </c>
      <c r="S101" s="1">
        <f t="shared" si="13"/>
        <v>216086</v>
      </c>
      <c r="T101" s="1">
        <f t="shared" si="13"/>
        <v>261681</v>
      </c>
      <c r="U101" s="1">
        <f t="shared" si="13"/>
        <v>210742</v>
      </c>
      <c r="V101" s="1">
        <f t="shared" si="13"/>
        <v>289314</v>
      </c>
      <c r="W101" s="1">
        <f t="shared" si="13"/>
        <v>302906</v>
      </c>
      <c r="X101" s="1">
        <f t="shared" si="13"/>
        <v>312192</v>
      </c>
    </row>
    <row r="102" spans="1:24" ht="16.5" customHeight="1" x14ac:dyDescent="0.35">
      <c r="A102" s="29" t="s">
        <v>55</v>
      </c>
      <c r="B102" s="1">
        <f t="shared" ref="B102:X102" si="14">B103+B108</f>
        <v>76341</v>
      </c>
      <c r="C102" s="1">
        <f t="shared" si="14"/>
        <v>83671</v>
      </c>
      <c r="D102" s="1">
        <f t="shared" si="14"/>
        <v>75147</v>
      </c>
      <c r="E102" s="1">
        <f t="shared" si="14"/>
        <v>89211</v>
      </c>
      <c r="F102" s="1">
        <f t="shared" si="14"/>
        <v>77567</v>
      </c>
      <c r="G102" s="1">
        <f t="shared" si="14"/>
        <v>84105</v>
      </c>
      <c r="H102" s="1">
        <f t="shared" si="14"/>
        <v>85182</v>
      </c>
      <c r="I102" s="1">
        <f t="shared" si="14"/>
        <v>96653</v>
      </c>
      <c r="J102" s="1">
        <f t="shared" si="14"/>
        <v>85595</v>
      </c>
      <c r="K102" s="1">
        <f t="shared" si="14"/>
        <v>89734</v>
      </c>
      <c r="L102" s="1">
        <f t="shared" si="14"/>
        <v>91795</v>
      </c>
      <c r="M102" s="1">
        <f t="shared" si="14"/>
        <v>92405</v>
      </c>
      <c r="N102" s="1">
        <f t="shared" si="14"/>
        <v>94212</v>
      </c>
      <c r="O102" s="1">
        <f t="shared" si="14"/>
        <v>110701</v>
      </c>
      <c r="P102" s="1">
        <f t="shared" si="14"/>
        <v>108681</v>
      </c>
      <c r="Q102" s="1">
        <f t="shared" si="14"/>
        <v>136477</v>
      </c>
      <c r="R102" s="1">
        <f t="shared" si="14"/>
        <v>151531</v>
      </c>
      <c r="S102" s="1">
        <f t="shared" si="14"/>
        <v>143500</v>
      </c>
      <c r="T102" s="1">
        <f t="shared" si="14"/>
        <v>168372</v>
      </c>
      <c r="U102" s="1">
        <f t="shared" si="14"/>
        <v>151181</v>
      </c>
      <c r="V102" s="1">
        <f t="shared" si="14"/>
        <v>240018</v>
      </c>
      <c r="W102" s="1">
        <f t="shared" si="14"/>
        <v>197214</v>
      </c>
      <c r="X102" s="1">
        <f t="shared" si="14"/>
        <v>205463</v>
      </c>
    </row>
    <row r="103" spans="1:24" ht="16.5" customHeight="1" x14ac:dyDescent="0.35">
      <c r="A103" s="29" t="s">
        <v>56</v>
      </c>
      <c r="B103" s="1">
        <f t="shared" ref="B103:X103" si="15">B104+B105+B106+B107</f>
        <v>65460</v>
      </c>
      <c r="C103" s="1">
        <f t="shared" si="15"/>
        <v>74615</v>
      </c>
      <c r="D103" s="1">
        <f t="shared" si="15"/>
        <v>68364</v>
      </c>
      <c r="E103" s="1">
        <f t="shared" si="15"/>
        <v>77142</v>
      </c>
      <c r="F103" s="1">
        <f t="shared" si="15"/>
        <v>69313</v>
      </c>
      <c r="G103" s="1">
        <f t="shared" si="15"/>
        <v>73493</v>
      </c>
      <c r="H103" s="1">
        <f t="shared" si="15"/>
        <v>74460</v>
      </c>
      <c r="I103" s="1">
        <f t="shared" si="15"/>
        <v>86250</v>
      </c>
      <c r="J103" s="1">
        <f t="shared" si="15"/>
        <v>75086</v>
      </c>
      <c r="K103" s="1">
        <f t="shared" si="15"/>
        <v>79208</v>
      </c>
      <c r="L103" s="1">
        <f t="shared" si="15"/>
        <v>78574</v>
      </c>
      <c r="M103" s="1">
        <f t="shared" si="15"/>
        <v>76351</v>
      </c>
      <c r="N103" s="1">
        <f t="shared" si="15"/>
        <v>78653</v>
      </c>
      <c r="O103" s="1">
        <f t="shared" si="15"/>
        <v>91955</v>
      </c>
      <c r="P103" s="1">
        <f t="shared" si="15"/>
        <v>91584</v>
      </c>
      <c r="Q103" s="1">
        <f t="shared" si="15"/>
        <v>102425</v>
      </c>
      <c r="R103" s="1">
        <f t="shared" si="15"/>
        <v>101261</v>
      </c>
      <c r="S103" s="1">
        <f t="shared" si="15"/>
        <v>123697</v>
      </c>
      <c r="T103" s="1">
        <f t="shared" si="15"/>
        <v>130787</v>
      </c>
      <c r="U103" s="1">
        <f t="shared" si="15"/>
        <v>115142</v>
      </c>
      <c r="V103" s="1">
        <f t="shared" si="15"/>
        <v>156062</v>
      </c>
      <c r="W103" s="1">
        <f t="shared" si="15"/>
        <v>151171</v>
      </c>
      <c r="X103" s="1">
        <f t="shared" si="15"/>
        <v>154726</v>
      </c>
    </row>
    <row r="104" spans="1:24" ht="16.5" customHeight="1" x14ac:dyDescent="0.35">
      <c r="A104" s="29" t="s">
        <v>57</v>
      </c>
      <c r="B104" s="1">
        <v>27305</v>
      </c>
      <c r="C104" s="1">
        <v>30698</v>
      </c>
      <c r="D104" s="1">
        <v>33768</v>
      </c>
      <c r="E104" s="1">
        <v>34745</v>
      </c>
      <c r="F104" s="1">
        <v>33195</v>
      </c>
      <c r="G104" s="1">
        <v>38726</v>
      </c>
      <c r="H104" s="1">
        <v>39472</v>
      </c>
      <c r="I104" s="1">
        <v>40199</v>
      </c>
      <c r="J104" s="1">
        <v>38320</v>
      </c>
      <c r="K104" s="1">
        <v>40075</v>
      </c>
      <c r="L104" s="1">
        <v>44308</v>
      </c>
      <c r="M104" s="1">
        <v>45458</v>
      </c>
      <c r="N104" s="1">
        <v>47109</v>
      </c>
      <c r="O104" s="1">
        <v>48596</v>
      </c>
      <c r="P104" s="1">
        <v>52130</v>
      </c>
      <c r="Q104" s="1">
        <v>53952</v>
      </c>
      <c r="R104" s="1">
        <v>55855</v>
      </c>
      <c r="S104" s="1">
        <v>72006</v>
      </c>
      <c r="T104" s="1">
        <v>75490</v>
      </c>
      <c r="U104" s="1">
        <v>65963</v>
      </c>
      <c r="V104" s="1">
        <v>96031</v>
      </c>
      <c r="W104" s="1">
        <v>96476</v>
      </c>
      <c r="X104" s="1">
        <v>98719</v>
      </c>
    </row>
    <row r="105" spans="1:24" ht="16.5" customHeight="1" x14ac:dyDescent="0.35">
      <c r="A105" s="29" t="s">
        <v>58</v>
      </c>
      <c r="B105" s="1">
        <v>1260</v>
      </c>
      <c r="C105" s="1">
        <v>1821</v>
      </c>
      <c r="D105" s="1">
        <v>2426</v>
      </c>
      <c r="E105" s="1">
        <v>1808</v>
      </c>
      <c r="F105" s="1">
        <v>3915</v>
      </c>
      <c r="G105" s="1">
        <v>2402</v>
      </c>
      <c r="H105" s="1">
        <v>1805</v>
      </c>
      <c r="I105" s="1">
        <v>4803</v>
      </c>
      <c r="J105" s="1">
        <v>82</v>
      </c>
      <c r="K105" s="1">
        <v>2204</v>
      </c>
      <c r="L105" s="1">
        <v>2592</v>
      </c>
      <c r="M105" s="1">
        <v>2928</v>
      </c>
      <c r="N105" s="1">
        <v>2826</v>
      </c>
      <c r="O105" s="1">
        <v>2871</v>
      </c>
      <c r="P105" s="1">
        <v>2869</v>
      </c>
      <c r="Q105" s="1">
        <v>2981</v>
      </c>
      <c r="R105" s="1">
        <v>3049</v>
      </c>
      <c r="S105" s="1">
        <v>4144</v>
      </c>
      <c r="T105" s="1">
        <v>4314</v>
      </c>
      <c r="U105" s="1">
        <v>3891</v>
      </c>
      <c r="V105" s="1">
        <v>4963</v>
      </c>
      <c r="W105" s="1">
        <v>4952</v>
      </c>
      <c r="X105" s="1">
        <v>5028</v>
      </c>
    </row>
    <row r="106" spans="1:24" ht="16.5" customHeight="1" x14ac:dyDescent="0.35">
      <c r="A106" s="29" t="s">
        <v>59</v>
      </c>
      <c r="B106" s="1">
        <v>36895</v>
      </c>
      <c r="C106" s="1">
        <v>42096</v>
      </c>
      <c r="D106" s="1">
        <v>32170</v>
      </c>
      <c r="E106" s="1">
        <v>40589</v>
      </c>
      <c r="F106" s="1">
        <v>32203</v>
      </c>
      <c r="G106" s="1">
        <v>32365</v>
      </c>
      <c r="H106" s="1">
        <v>33183</v>
      </c>
      <c r="I106" s="1">
        <v>41248</v>
      </c>
      <c r="J106" s="1">
        <v>36684</v>
      </c>
      <c r="K106" s="1">
        <v>36929</v>
      </c>
      <c r="L106" s="1">
        <v>31674</v>
      </c>
      <c r="M106" s="1">
        <v>27965</v>
      </c>
      <c r="N106" s="1">
        <v>28718</v>
      </c>
      <c r="O106" s="1">
        <v>40488</v>
      </c>
      <c r="P106" s="1">
        <v>36585</v>
      </c>
      <c r="Q106" s="1">
        <v>45492</v>
      </c>
      <c r="R106" s="1">
        <v>42357</v>
      </c>
      <c r="S106" s="1">
        <v>47547</v>
      </c>
      <c r="T106" s="1">
        <v>50983</v>
      </c>
      <c r="U106" s="1">
        <v>45288</v>
      </c>
      <c r="V106" s="1">
        <v>55068</v>
      </c>
      <c r="W106" s="1">
        <v>49743</v>
      </c>
      <c r="X106" s="1">
        <v>50979</v>
      </c>
    </row>
    <row r="107" spans="1:24" ht="16.5" customHeight="1" x14ac:dyDescent="0.35">
      <c r="A107" s="29" t="s">
        <v>60</v>
      </c>
    </row>
    <row r="108" spans="1:24" ht="16.5" customHeight="1" x14ac:dyDescent="0.35">
      <c r="A108" s="29" t="s">
        <v>61</v>
      </c>
      <c r="B108" s="1">
        <f t="shared" ref="B108:X108" si="16">B109+B110+B111+B112+B113</f>
        <v>10881</v>
      </c>
      <c r="C108" s="1">
        <f t="shared" si="16"/>
        <v>9056</v>
      </c>
      <c r="D108" s="1">
        <f t="shared" si="16"/>
        <v>6783</v>
      </c>
      <c r="E108" s="1">
        <f t="shared" si="16"/>
        <v>12069</v>
      </c>
      <c r="F108" s="1">
        <f t="shared" si="16"/>
        <v>8254</v>
      </c>
      <c r="G108" s="1">
        <f t="shared" si="16"/>
        <v>10612</v>
      </c>
      <c r="H108" s="1">
        <f t="shared" si="16"/>
        <v>10722</v>
      </c>
      <c r="I108" s="1">
        <f t="shared" si="16"/>
        <v>10403</v>
      </c>
      <c r="J108" s="1">
        <f t="shared" si="16"/>
        <v>10509</v>
      </c>
      <c r="K108" s="1">
        <f t="shared" si="16"/>
        <v>10526</v>
      </c>
      <c r="L108" s="1">
        <f t="shared" si="16"/>
        <v>13221</v>
      </c>
      <c r="M108" s="1">
        <f t="shared" si="16"/>
        <v>16054</v>
      </c>
      <c r="N108" s="1">
        <f t="shared" si="16"/>
        <v>15559</v>
      </c>
      <c r="O108" s="1">
        <f t="shared" si="16"/>
        <v>18746</v>
      </c>
      <c r="P108" s="1">
        <f t="shared" si="16"/>
        <v>17097</v>
      </c>
      <c r="Q108" s="1">
        <f t="shared" si="16"/>
        <v>34052</v>
      </c>
      <c r="R108" s="1">
        <f t="shared" si="16"/>
        <v>50270</v>
      </c>
      <c r="S108" s="1">
        <f t="shared" si="16"/>
        <v>19803</v>
      </c>
      <c r="T108" s="1">
        <f t="shared" si="16"/>
        <v>37585</v>
      </c>
      <c r="U108" s="1">
        <f t="shared" si="16"/>
        <v>36039</v>
      </c>
      <c r="V108" s="1">
        <f t="shared" si="16"/>
        <v>83956</v>
      </c>
      <c r="W108" s="1">
        <f t="shared" si="16"/>
        <v>46043</v>
      </c>
      <c r="X108" s="1">
        <f t="shared" si="16"/>
        <v>50737</v>
      </c>
    </row>
    <row r="109" spans="1:24" ht="16.5" customHeight="1" x14ac:dyDescent="0.35">
      <c r="A109" s="29" t="s">
        <v>62</v>
      </c>
      <c r="B109" s="1">
        <v>7619</v>
      </c>
      <c r="C109" s="1">
        <v>6604</v>
      </c>
      <c r="D109" s="1">
        <v>4248</v>
      </c>
      <c r="E109" s="1">
        <v>8775</v>
      </c>
      <c r="F109" s="1">
        <v>5094</v>
      </c>
      <c r="G109" s="1">
        <v>7136</v>
      </c>
      <c r="H109" s="1">
        <v>6048</v>
      </c>
      <c r="I109" s="1">
        <v>6922</v>
      </c>
      <c r="J109" s="1">
        <v>6042</v>
      </c>
      <c r="K109" s="1">
        <v>7260</v>
      </c>
      <c r="L109" s="1">
        <v>9935</v>
      </c>
      <c r="M109" s="1">
        <v>8847</v>
      </c>
      <c r="N109" s="1">
        <v>8724</v>
      </c>
      <c r="O109" s="1">
        <v>11204</v>
      </c>
      <c r="P109" s="1">
        <v>7922</v>
      </c>
      <c r="Q109" s="1">
        <v>24144</v>
      </c>
      <c r="R109" s="1">
        <v>38497</v>
      </c>
      <c r="S109" s="1">
        <v>4980</v>
      </c>
      <c r="T109" s="1">
        <v>23758</v>
      </c>
      <c r="U109" s="1">
        <v>4105</v>
      </c>
      <c r="V109" s="1">
        <v>5935</v>
      </c>
      <c r="W109" s="1">
        <v>5364</v>
      </c>
      <c r="X109" s="1">
        <v>9119</v>
      </c>
    </row>
    <row r="110" spans="1:24" ht="16.5" customHeight="1" x14ac:dyDescent="0.35">
      <c r="A110" s="29" t="s">
        <v>63</v>
      </c>
      <c r="B110" s="1">
        <v>648</v>
      </c>
      <c r="C110" s="1">
        <v>863</v>
      </c>
      <c r="D110" s="1">
        <v>1154</v>
      </c>
      <c r="E110" s="1">
        <v>1174</v>
      </c>
      <c r="F110" s="1">
        <v>1041</v>
      </c>
      <c r="G110" s="1">
        <v>1209</v>
      </c>
      <c r="H110" s="1">
        <v>1102</v>
      </c>
      <c r="I110" s="1">
        <v>1327</v>
      </c>
      <c r="J110" s="1">
        <v>1187</v>
      </c>
      <c r="K110" s="1">
        <v>1189</v>
      </c>
      <c r="L110" s="1">
        <v>1198</v>
      </c>
      <c r="M110" s="1">
        <v>1139</v>
      </c>
      <c r="N110" s="1">
        <v>1192</v>
      </c>
      <c r="O110" s="1">
        <v>1237</v>
      </c>
      <c r="P110" s="1">
        <v>1955</v>
      </c>
      <c r="Q110" s="1">
        <v>1807</v>
      </c>
      <c r="R110" s="1">
        <v>2675</v>
      </c>
      <c r="S110" s="1">
        <v>2921</v>
      </c>
      <c r="T110" s="1">
        <v>3665</v>
      </c>
      <c r="U110" s="1">
        <v>3352</v>
      </c>
      <c r="V110" s="1">
        <v>3973</v>
      </c>
      <c r="W110" s="1">
        <v>3965</v>
      </c>
      <c r="X110" s="1">
        <v>4924</v>
      </c>
    </row>
    <row r="111" spans="1:24" ht="16.5" customHeight="1" x14ac:dyDescent="0.35">
      <c r="A111" s="29" t="s">
        <v>64</v>
      </c>
      <c r="B111" s="1">
        <v>22</v>
      </c>
      <c r="C111" s="1">
        <v>18</v>
      </c>
      <c r="D111" s="1">
        <v>15</v>
      </c>
      <c r="E111" s="1">
        <v>36</v>
      </c>
      <c r="F111" s="1">
        <v>13</v>
      </c>
      <c r="G111" s="1">
        <v>3</v>
      </c>
      <c r="H111" s="1">
        <v>20</v>
      </c>
      <c r="I111" s="1">
        <v>17</v>
      </c>
      <c r="J111" s="1">
        <v>128</v>
      </c>
      <c r="K111" s="1">
        <v>20</v>
      </c>
      <c r="L111" s="1">
        <v>35</v>
      </c>
      <c r="M111" s="1">
        <v>23</v>
      </c>
      <c r="N111" s="1">
        <v>20</v>
      </c>
      <c r="O111" s="1">
        <v>15</v>
      </c>
      <c r="P111" s="1">
        <v>20</v>
      </c>
      <c r="Q111" s="1">
        <v>21</v>
      </c>
      <c r="R111" s="1">
        <v>14</v>
      </c>
      <c r="S111" s="1">
        <v>28</v>
      </c>
      <c r="T111" s="1">
        <v>23</v>
      </c>
      <c r="U111" s="1">
        <v>10</v>
      </c>
      <c r="V111" s="1">
        <v>0</v>
      </c>
      <c r="W111" s="1">
        <v>19</v>
      </c>
      <c r="X111" s="1">
        <v>10</v>
      </c>
    </row>
    <row r="112" spans="1:24" ht="16.5" customHeight="1" x14ac:dyDescent="0.35">
      <c r="A112" s="29" t="s">
        <v>65</v>
      </c>
      <c r="B112" s="1">
        <v>1527</v>
      </c>
      <c r="C112" s="1">
        <v>630</v>
      </c>
      <c r="D112" s="1">
        <v>356</v>
      </c>
      <c r="E112" s="1">
        <v>985</v>
      </c>
      <c r="F112" s="1">
        <v>1091</v>
      </c>
      <c r="G112" s="1">
        <v>922</v>
      </c>
      <c r="H112" s="1">
        <v>2056</v>
      </c>
      <c r="I112" s="1">
        <v>875</v>
      </c>
      <c r="J112" s="1">
        <v>2491</v>
      </c>
      <c r="K112" s="1">
        <v>1912</v>
      </c>
      <c r="L112" s="1">
        <v>1776</v>
      </c>
      <c r="M112" s="1">
        <v>5492</v>
      </c>
      <c r="N112" s="1">
        <v>5060</v>
      </c>
      <c r="O112" s="1">
        <v>5186</v>
      </c>
      <c r="P112" s="1">
        <v>5695</v>
      </c>
      <c r="Q112" s="1">
        <v>6476</v>
      </c>
      <c r="R112" s="1">
        <v>6479</v>
      </c>
      <c r="S112" s="1">
        <v>9626</v>
      </c>
      <c r="T112" s="1">
        <v>8350</v>
      </c>
      <c r="U112" s="1">
        <v>26929</v>
      </c>
      <c r="V112" s="1">
        <v>72979</v>
      </c>
      <c r="W112" s="1">
        <v>34660</v>
      </c>
      <c r="X112" s="1">
        <v>34186</v>
      </c>
    </row>
    <row r="113" spans="1:24" ht="16.5" customHeight="1" x14ac:dyDescent="0.35">
      <c r="A113" s="29" t="s">
        <v>66</v>
      </c>
      <c r="B113" s="1">
        <v>1065</v>
      </c>
      <c r="C113" s="1">
        <v>941</v>
      </c>
      <c r="D113" s="1">
        <v>1010</v>
      </c>
      <c r="E113" s="1">
        <v>1099</v>
      </c>
      <c r="F113" s="1">
        <v>1015</v>
      </c>
      <c r="G113" s="1">
        <v>1342</v>
      </c>
      <c r="H113" s="1">
        <v>1496</v>
      </c>
      <c r="I113" s="1">
        <v>1262</v>
      </c>
      <c r="J113" s="1">
        <v>661</v>
      </c>
      <c r="K113" s="1">
        <v>145</v>
      </c>
      <c r="L113" s="1">
        <v>277</v>
      </c>
      <c r="M113" s="1">
        <v>553</v>
      </c>
      <c r="N113" s="1">
        <v>563</v>
      </c>
      <c r="O113" s="1">
        <v>1104</v>
      </c>
      <c r="P113" s="1">
        <v>1505</v>
      </c>
      <c r="Q113" s="1">
        <v>1604</v>
      </c>
      <c r="R113" s="1">
        <v>2605</v>
      </c>
      <c r="S113" s="1">
        <v>2248</v>
      </c>
      <c r="T113" s="1">
        <v>1789</v>
      </c>
      <c r="U113" s="1">
        <v>1643</v>
      </c>
      <c r="V113" s="1">
        <v>1069</v>
      </c>
      <c r="W113" s="1">
        <v>2035</v>
      </c>
      <c r="X113" s="1">
        <v>2498</v>
      </c>
    </row>
    <row r="114" spans="1:24" ht="16.5" customHeight="1" x14ac:dyDescent="0.35">
      <c r="A114" s="29" t="s">
        <v>67</v>
      </c>
      <c r="B114" s="1">
        <f t="shared" ref="B114:X114" si="17">B115+B116+B117+B118</f>
        <v>14671</v>
      </c>
      <c r="C114" s="1">
        <f t="shared" si="17"/>
        <v>12329</v>
      </c>
      <c r="D114" s="1">
        <f t="shared" si="17"/>
        <v>7673</v>
      </c>
      <c r="E114" s="1">
        <f t="shared" si="17"/>
        <v>4800</v>
      </c>
      <c r="F114" s="1">
        <f t="shared" si="17"/>
        <v>826</v>
      </c>
      <c r="G114" s="1">
        <f t="shared" si="17"/>
        <v>95</v>
      </c>
      <c r="H114" s="1">
        <f t="shared" si="17"/>
        <v>509</v>
      </c>
      <c r="I114" s="1">
        <f t="shared" si="17"/>
        <v>1212</v>
      </c>
      <c r="J114" s="1">
        <f t="shared" si="17"/>
        <v>496</v>
      </c>
      <c r="K114" s="1">
        <f t="shared" si="17"/>
        <v>1974</v>
      </c>
      <c r="L114" s="1">
        <f t="shared" si="17"/>
        <v>7873</v>
      </c>
      <c r="M114" s="1">
        <f t="shared" si="17"/>
        <v>8052</v>
      </c>
      <c r="N114" s="1">
        <f t="shared" si="17"/>
        <v>9052</v>
      </c>
      <c r="O114" s="1">
        <f t="shared" si="17"/>
        <v>9688</v>
      </c>
      <c r="P114" s="1">
        <f t="shared" si="17"/>
        <v>23379</v>
      </c>
      <c r="Q114" s="1">
        <f t="shared" si="17"/>
        <v>36891</v>
      </c>
      <c r="R114" s="1">
        <f t="shared" si="17"/>
        <v>62071</v>
      </c>
      <c r="S114" s="1">
        <f t="shared" si="17"/>
        <v>72586</v>
      </c>
      <c r="T114" s="1">
        <f t="shared" si="17"/>
        <v>93309</v>
      </c>
      <c r="U114" s="1">
        <f t="shared" si="17"/>
        <v>59561</v>
      </c>
      <c r="V114" s="1">
        <f t="shared" si="17"/>
        <v>49296</v>
      </c>
      <c r="W114" s="1">
        <f t="shared" si="17"/>
        <v>105692</v>
      </c>
      <c r="X114" s="1">
        <f t="shared" si="17"/>
        <v>106729</v>
      </c>
    </row>
    <row r="115" spans="1:24" ht="16.5" customHeight="1" x14ac:dyDescent="0.35">
      <c r="A115" s="29" t="s">
        <v>68</v>
      </c>
      <c r="B115" s="1">
        <v>991</v>
      </c>
      <c r="C115" s="1">
        <v>1050</v>
      </c>
      <c r="D115" s="1">
        <v>1040</v>
      </c>
      <c r="E115" s="1">
        <v>1836</v>
      </c>
      <c r="F115" s="1">
        <v>826</v>
      </c>
      <c r="G115" s="1">
        <v>15</v>
      </c>
      <c r="H115" s="1">
        <v>499</v>
      </c>
      <c r="I115" s="1">
        <v>634</v>
      </c>
      <c r="J115" s="1">
        <v>466</v>
      </c>
      <c r="K115" s="1">
        <v>550</v>
      </c>
      <c r="L115" s="1">
        <v>448</v>
      </c>
      <c r="M115" s="1">
        <v>0</v>
      </c>
      <c r="N115" s="1">
        <v>0</v>
      </c>
      <c r="O115" s="1">
        <v>485</v>
      </c>
      <c r="P115" s="1">
        <v>229</v>
      </c>
      <c r="Q115" s="1">
        <v>558</v>
      </c>
      <c r="R115" s="1">
        <v>966</v>
      </c>
      <c r="S115" s="1">
        <v>217</v>
      </c>
      <c r="T115" s="1">
        <v>198</v>
      </c>
      <c r="U115" s="1">
        <v>221</v>
      </c>
      <c r="V115" s="1">
        <v>505</v>
      </c>
      <c r="W115" s="1">
        <v>149</v>
      </c>
      <c r="X115" s="1">
        <v>392</v>
      </c>
    </row>
    <row r="116" spans="1:24" ht="16.5" customHeight="1" x14ac:dyDescent="0.35">
      <c r="A116" s="29" t="s">
        <v>69</v>
      </c>
      <c r="B116" s="1">
        <v>13680</v>
      </c>
      <c r="C116" s="1">
        <v>11279</v>
      </c>
      <c r="D116" s="1">
        <v>6633</v>
      </c>
      <c r="E116" s="1">
        <v>2937</v>
      </c>
      <c r="G116" s="1">
        <v>78</v>
      </c>
      <c r="I116" s="1">
        <v>571</v>
      </c>
      <c r="J116" s="1">
        <v>30</v>
      </c>
      <c r="K116" s="1">
        <v>1424</v>
      </c>
      <c r="L116" s="1">
        <v>7425</v>
      </c>
      <c r="M116" s="1">
        <v>8052</v>
      </c>
      <c r="N116" s="1">
        <v>7898</v>
      </c>
      <c r="O116" s="1">
        <v>9203</v>
      </c>
      <c r="P116" s="1">
        <v>23150</v>
      </c>
      <c r="Q116" s="1">
        <v>36333</v>
      </c>
      <c r="R116" s="1">
        <v>61105</v>
      </c>
      <c r="S116" s="1">
        <v>72369</v>
      </c>
      <c r="T116" s="1">
        <v>93111</v>
      </c>
      <c r="U116" s="1">
        <v>59340</v>
      </c>
      <c r="V116" s="1">
        <v>48791</v>
      </c>
      <c r="W116" s="1">
        <v>105543</v>
      </c>
      <c r="X116" s="1">
        <v>106337</v>
      </c>
    </row>
    <row r="117" spans="1:24" ht="16.5" customHeight="1" x14ac:dyDescent="0.35">
      <c r="A117" s="29" t="s">
        <v>70</v>
      </c>
      <c r="E117" s="1">
        <v>27</v>
      </c>
      <c r="G117" s="1">
        <v>2</v>
      </c>
      <c r="I117" s="1">
        <v>7</v>
      </c>
      <c r="K117" s="1">
        <v>0</v>
      </c>
      <c r="L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U117" s="1">
        <v>0</v>
      </c>
      <c r="V117" s="1">
        <v>0</v>
      </c>
      <c r="W117" s="1">
        <v>0</v>
      </c>
      <c r="X117" s="1">
        <v>0</v>
      </c>
    </row>
    <row r="118" spans="1:24" ht="16.5" customHeight="1" x14ac:dyDescent="0.35">
      <c r="A118" s="29" t="s">
        <v>71</v>
      </c>
      <c r="H118" s="1">
        <v>10</v>
      </c>
      <c r="K118" s="1">
        <v>0</v>
      </c>
      <c r="L118" s="1">
        <v>0</v>
      </c>
      <c r="N118" s="1">
        <v>1154</v>
      </c>
      <c r="O118" s="1">
        <v>0</v>
      </c>
      <c r="P118" s="1">
        <v>0</v>
      </c>
      <c r="Q118" s="1">
        <v>0</v>
      </c>
      <c r="R118" s="1">
        <v>0</v>
      </c>
      <c r="U118" s="1">
        <v>0</v>
      </c>
      <c r="V118" s="1">
        <v>0</v>
      </c>
      <c r="W118" s="1">
        <v>0</v>
      </c>
      <c r="X118" s="1">
        <v>0</v>
      </c>
    </row>
    <row r="119" spans="1:24" ht="16.5" customHeight="1" x14ac:dyDescent="0.35">
      <c r="A119" s="29" t="s">
        <v>72</v>
      </c>
      <c r="B119" s="1">
        <f t="shared" ref="B119:X119" si="18">B120+B121</f>
        <v>0</v>
      </c>
      <c r="C119" s="1">
        <f t="shared" si="18"/>
        <v>0</v>
      </c>
      <c r="D119" s="1">
        <f t="shared" si="18"/>
        <v>194</v>
      </c>
      <c r="E119" s="1">
        <f t="shared" si="18"/>
        <v>15</v>
      </c>
      <c r="F119" s="1">
        <f t="shared" si="18"/>
        <v>170</v>
      </c>
      <c r="G119" s="1">
        <f t="shared" si="18"/>
        <v>52</v>
      </c>
      <c r="H119" s="1">
        <f t="shared" si="18"/>
        <v>145</v>
      </c>
      <c r="I119" s="1">
        <f t="shared" si="18"/>
        <v>264</v>
      </c>
      <c r="J119" s="1">
        <f t="shared" si="18"/>
        <v>2941</v>
      </c>
      <c r="K119" s="1">
        <f t="shared" si="18"/>
        <v>3489</v>
      </c>
      <c r="L119" s="1">
        <f t="shared" si="18"/>
        <v>544</v>
      </c>
      <c r="M119" s="1">
        <f t="shared" si="18"/>
        <v>6863</v>
      </c>
      <c r="N119" s="1">
        <f t="shared" si="18"/>
        <v>2359</v>
      </c>
      <c r="O119" s="1">
        <f t="shared" si="18"/>
        <v>9863</v>
      </c>
      <c r="P119" s="1">
        <f t="shared" si="18"/>
        <v>1171</v>
      </c>
      <c r="Q119" s="1">
        <f t="shared" si="18"/>
        <v>1002</v>
      </c>
      <c r="R119" s="1">
        <f t="shared" si="18"/>
        <v>616</v>
      </c>
      <c r="S119" s="1">
        <f t="shared" si="18"/>
        <v>1539</v>
      </c>
      <c r="T119" s="1">
        <f t="shared" si="18"/>
        <v>2845</v>
      </c>
      <c r="U119" s="1">
        <f t="shared" si="18"/>
        <v>2876</v>
      </c>
      <c r="V119" s="1">
        <f t="shared" si="18"/>
        <v>3740</v>
      </c>
      <c r="W119" s="1">
        <f t="shared" si="18"/>
        <v>4576</v>
      </c>
      <c r="X119" s="1">
        <f t="shared" si="18"/>
        <v>15529</v>
      </c>
    </row>
    <row r="120" spans="1:24" ht="16.5" customHeight="1" x14ac:dyDescent="0.35">
      <c r="A120" s="29" t="s">
        <v>73</v>
      </c>
    </row>
    <row r="121" spans="1:24" ht="16.5" customHeight="1" x14ac:dyDescent="0.35">
      <c r="A121" s="29" t="s">
        <v>74</v>
      </c>
      <c r="B121" s="1">
        <v>0</v>
      </c>
      <c r="C121" s="1">
        <v>0</v>
      </c>
      <c r="D121" s="1">
        <v>194</v>
      </c>
      <c r="E121" s="1">
        <v>15</v>
      </c>
      <c r="F121" s="1">
        <v>170</v>
      </c>
      <c r="G121" s="1">
        <v>52</v>
      </c>
      <c r="H121" s="1">
        <v>145</v>
      </c>
      <c r="I121" s="1">
        <v>264</v>
      </c>
      <c r="J121" s="1">
        <v>2941</v>
      </c>
      <c r="K121" s="1">
        <v>3489</v>
      </c>
      <c r="L121" s="1">
        <v>544</v>
      </c>
      <c r="M121" s="1">
        <v>6863</v>
      </c>
      <c r="N121" s="1">
        <v>2359</v>
      </c>
      <c r="O121" s="1">
        <v>9863</v>
      </c>
      <c r="P121" s="1">
        <v>1171</v>
      </c>
      <c r="Q121" s="1">
        <v>1002</v>
      </c>
      <c r="R121" s="1">
        <v>616</v>
      </c>
      <c r="S121" s="1">
        <v>1539</v>
      </c>
      <c r="T121" s="1">
        <v>2845</v>
      </c>
      <c r="U121" s="1">
        <v>2876</v>
      </c>
      <c r="V121" s="1">
        <v>3740</v>
      </c>
      <c r="W121" s="1">
        <v>4576</v>
      </c>
      <c r="X121" s="1">
        <v>15529</v>
      </c>
    </row>
    <row r="122" spans="1:24" ht="16.5" customHeight="1" x14ac:dyDescent="0.35">
      <c r="A122" s="29" t="s">
        <v>75</v>
      </c>
      <c r="B122" s="1">
        <f t="shared" ref="B122:X122" si="19">SUM(B100)</f>
        <v>91012</v>
      </c>
      <c r="C122" s="1">
        <f t="shared" si="19"/>
        <v>96000</v>
      </c>
      <c r="D122" s="1">
        <f t="shared" si="19"/>
        <v>83014</v>
      </c>
      <c r="E122" s="1">
        <f t="shared" si="19"/>
        <v>94026</v>
      </c>
      <c r="F122" s="1">
        <f t="shared" si="19"/>
        <v>78563</v>
      </c>
      <c r="G122" s="1">
        <f t="shared" si="19"/>
        <v>84252</v>
      </c>
      <c r="H122" s="1">
        <f t="shared" si="19"/>
        <v>85836</v>
      </c>
      <c r="I122" s="1">
        <f t="shared" si="19"/>
        <v>98129</v>
      </c>
      <c r="J122" s="1">
        <f t="shared" si="19"/>
        <v>89032</v>
      </c>
      <c r="K122" s="1">
        <f t="shared" si="19"/>
        <v>95197</v>
      </c>
      <c r="L122" s="1">
        <f t="shared" si="19"/>
        <v>100212</v>
      </c>
      <c r="M122" s="1">
        <f t="shared" si="19"/>
        <v>107320</v>
      </c>
      <c r="N122" s="1">
        <f t="shared" si="19"/>
        <v>105623</v>
      </c>
      <c r="O122" s="1">
        <f t="shared" si="19"/>
        <v>130252</v>
      </c>
      <c r="P122" s="1">
        <f t="shared" si="19"/>
        <v>133231</v>
      </c>
      <c r="Q122" s="1">
        <f t="shared" si="19"/>
        <v>174370</v>
      </c>
      <c r="R122" s="1">
        <f t="shared" si="19"/>
        <v>214218</v>
      </c>
      <c r="S122" s="1">
        <f t="shared" si="19"/>
        <v>217625</v>
      </c>
      <c r="T122" s="1">
        <f t="shared" si="19"/>
        <v>264526</v>
      </c>
      <c r="U122" s="1">
        <f t="shared" si="19"/>
        <v>213618</v>
      </c>
      <c r="V122" s="1">
        <f t="shared" si="19"/>
        <v>293054</v>
      </c>
      <c r="W122" s="1">
        <f t="shared" si="19"/>
        <v>307482</v>
      </c>
      <c r="X122" s="1">
        <f t="shared" si="19"/>
        <v>327721</v>
      </c>
    </row>
    <row r="123" spans="1:24" ht="16.5" customHeight="1" x14ac:dyDescent="0.35"/>
    <row r="124" spans="1:24" ht="16.5" customHeight="1" x14ac:dyDescent="0.35"/>
    <row r="125" spans="1:24" ht="16.5" customHeight="1" x14ac:dyDescent="0.35"/>
    <row r="126" spans="1:24" ht="16.5" customHeight="1" x14ac:dyDescent="0.35"/>
    <row r="127" spans="1:24" ht="16.5" customHeight="1" x14ac:dyDescent="0.35"/>
    <row r="128" spans="1:24" ht="16.5" customHeight="1" x14ac:dyDescent="0.35"/>
    <row r="129" spans="1:24" ht="16.5" customHeight="1" x14ac:dyDescent="0.35">
      <c r="A129" s="30" t="s">
        <v>348</v>
      </c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2"/>
    </row>
    <row r="130" spans="1:24" ht="16.5" customHeight="1" x14ac:dyDescent="0.35">
      <c r="A130" s="29" t="s">
        <v>7</v>
      </c>
    </row>
    <row r="131" spans="1:24" ht="16.5" customHeight="1" x14ac:dyDescent="0.35"/>
    <row r="132" spans="1:24" s="28" customFormat="1" ht="16.5" customHeight="1" x14ac:dyDescent="0.35">
      <c r="A132" s="29" t="s">
        <v>32</v>
      </c>
      <c r="B132" s="28">
        <v>2001</v>
      </c>
      <c r="C132" s="28">
        <v>2002</v>
      </c>
      <c r="D132" s="28">
        <v>2003</v>
      </c>
      <c r="E132" s="28">
        <v>2004</v>
      </c>
      <c r="F132" s="28">
        <v>2005</v>
      </c>
      <c r="G132" s="28">
        <v>2006</v>
      </c>
      <c r="H132" s="28">
        <v>2007</v>
      </c>
      <c r="I132" s="28">
        <v>2008</v>
      </c>
      <c r="J132" s="28">
        <v>2009</v>
      </c>
      <c r="K132" s="28">
        <v>2010</v>
      </c>
      <c r="L132" s="28">
        <v>2011</v>
      </c>
      <c r="M132" s="28">
        <v>2012</v>
      </c>
      <c r="N132" s="28">
        <v>2013</v>
      </c>
      <c r="O132" s="28">
        <v>2014</v>
      </c>
      <c r="P132" s="28">
        <v>2015</v>
      </c>
      <c r="Q132" s="28">
        <v>2016</v>
      </c>
      <c r="R132" s="28">
        <v>2017</v>
      </c>
      <c r="S132" s="28">
        <v>2018</v>
      </c>
      <c r="T132" s="28">
        <v>2019</v>
      </c>
      <c r="U132" s="28">
        <v>2020</v>
      </c>
      <c r="V132" s="28">
        <v>2021</v>
      </c>
      <c r="W132" s="28">
        <v>2022</v>
      </c>
      <c r="X132" s="28">
        <v>2023</v>
      </c>
    </row>
    <row r="133" spans="1:24" ht="16.5" customHeight="1" x14ac:dyDescent="0.35">
      <c r="A133" s="29" t="s">
        <v>76</v>
      </c>
      <c r="B133" s="1">
        <f t="shared" ref="B133:X133" si="20">B134+B148</f>
        <v>2621</v>
      </c>
      <c r="C133" s="1">
        <f t="shared" si="20"/>
        <v>3821</v>
      </c>
      <c r="D133" s="1">
        <f t="shared" si="20"/>
        <v>4665</v>
      </c>
      <c r="E133" s="1">
        <f t="shared" si="20"/>
        <v>4791</v>
      </c>
      <c r="F133" s="1">
        <f t="shared" si="20"/>
        <v>5144</v>
      </c>
      <c r="G133" s="1">
        <f t="shared" si="20"/>
        <v>5407</v>
      </c>
      <c r="H133" s="1">
        <f t="shared" si="20"/>
        <v>5373</v>
      </c>
      <c r="I133" s="1">
        <f t="shared" si="20"/>
        <v>5573</v>
      </c>
      <c r="J133" s="1">
        <f t="shared" si="20"/>
        <v>4543</v>
      </c>
      <c r="K133" s="1">
        <f t="shared" si="20"/>
        <v>5587</v>
      </c>
      <c r="L133" s="1">
        <f t="shared" si="20"/>
        <v>6179</v>
      </c>
      <c r="M133" s="1">
        <f t="shared" si="20"/>
        <v>5758</v>
      </c>
      <c r="N133" s="1">
        <f t="shared" si="20"/>
        <v>5768</v>
      </c>
      <c r="O133" s="1">
        <f t="shared" si="20"/>
        <v>5451</v>
      </c>
      <c r="P133" s="1">
        <f t="shared" si="20"/>
        <v>7744</v>
      </c>
      <c r="Q133" s="1">
        <f t="shared" si="20"/>
        <v>7046</v>
      </c>
      <c r="R133" s="1">
        <f t="shared" si="20"/>
        <v>8579</v>
      </c>
      <c r="S133" s="1">
        <f t="shared" si="20"/>
        <v>8159</v>
      </c>
      <c r="T133" s="1">
        <f t="shared" si="20"/>
        <v>8283</v>
      </c>
      <c r="U133" s="1">
        <f t="shared" si="20"/>
        <v>11197</v>
      </c>
      <c r="V133" s="1">
        <f t="shared" si="20"/>
        <v>13003</v>
      </c>
      <c r="W133" s="1">
        <f t="shared" si="20"/>
        <v>12502</v>
      </c>
      <c r="X133" s="1">
        <f t="shared" si="20"/>
        <v>12623</v>
      </c>
    </row>
    <row r="134" spans="1:24" ht="16.5" customHeight="1" x14ac:dyDescent="0.35">
      <c r="A134" s="29" t="s">
        <v>77</v>
      </c>
      <c r="B134" s="1">
        <f t="shared" ref="B134:X134" si="21">B135</f>
        <v>1973</v>
      </c>
      <c r="C134" s="1">
        <f t="shared" si="21"/>
        <v>2958</v>
      </c>
      <c r="D134" s="1">
        <f t="shared" si="21"/>
        <v>3511</v>
      </c>
      <c r="E134" s="1">
        <f t="shared" si="21"/>
        <v>3617</v>
      </c>
      <c r="F134" s="1">
        <f t="shared" si="21"/>
        <v>4103</v>
      </c>
      <c r="G134" s="1">
        <f t="shared" si="21"/>
        <v>4198</v>
      </c>
      <c r="H134" s="1">
        <f t="shared" si="21"/>
        <v>4271</v>
      </c>
      <c r="I134" s="1">
        <f t="shared" si="21"/>
        <v>4246</v>
      </c>
      <c r="J134" s="1">
        <f t="shared" si="21"/>
        <v>3356</v>
      </c>
      <c r="K134" s="1">
        <f t="shared" si="21"/>
        <v>4398</v>
      </c>
      <c r="L134" s="1">
        <f t="shared" si="21"/>
        <v>4981</v>
      </c>
      <c r="M134" s="1">
        <f t="shared" si="21"/>
        <v>4619</v>
      </c>
      <c r="N134" s="1">
        <f t="shared" si="21"/>
        <v>4576</v>
      </c>
      <c r="O134" s="1">
        <f t="shared" si="21"/>
        <v>4214</v>
      </c>
      <c r="P134" s="1">
        <f t="shared" si="21"/>
        <v>5789</v>
      </c>
      <c r="Q134" s="1">
        <f t="shared" si="21"/>
        <v>5239</v>
      </c>
      <c r="R134" s="1">
        <f t="shared" si="21"/>
        <v>5904</v>
      </c>
      <c r="S134" s="1">
        <f t="shared" si="21"/>
        <v>5238</v>
      </c>
      <c r="T134" s="1">
        <f t="shared" si="21"/>
        <v>4618</v>
      </c>
      <c r="U134" s="1">
        <f t="shared" si="21"/>
        <v>7845</v>
      </c>
      <c r="V134" s="1">
        <f t="shared" si="21"/>
        <v>9030</v>
      </c>
      <c r="W134" s="1">
        <f t="shared" si="21"/>
        <v>8537</v>
      </c>
      <c r="X134" s="1">
        <f t="shared" si="21"/>
        <v>7699</v>
      </c>
    </row>
    <row r="135" spans="1:24" ht="16.5" customHeight="1" x14ac:dyDescent="0.35">
      <c r="A135" s="29" t="s">
        <v>78</v>
      </c>
      <c r="B135" s="1">
        <f t="shared" ref="B135:X135" si="22">B136+B143</f>
        <v>1973</v>
      </c>
      <c r="C135" s="1">
        <f t="shared" si="22"/>
        <v>2958</v>
      </c>
      <c r="D135" s="1">
        <f t="shared" si="22"/>
        <v>3511</v>
      </c>
      <c r="E135" s="1">
        <f t="shared" si="22"/>
        <v>3617</v>
      </c>
      <c r="F135" s="1">
        <f t="shared" si="22"/>
        <v>4103</v>
      </c>
      <c r="G135" s="1">
        <f t="shared" si="22"/>
        <v>4198</v>
      </c>
      <c r="H135" s="1">
        <f t="shared" si="22"/>
        <v>4271</v>
      </c>
      <c r="I135" s="1">
        <f t="shared" si="22"/>
        <v>4246</v>
      </c>
      <c r="J135" s="1">
        <f t="shared" si="22"/>
        <v>3356</v>
      </c>
      <c r="K135" s="1">
        <f t="shared" si="22"/>
        <v>4398</v>
      </c>
      <c r="L135" s="1">
        <f t="shared" si="22"/>
        <v>4981</v>
      </c>
      <c r="M135" s="1">
        <f t="shared" si="22"/>
        <v>4619</v>
      </c>
      <c r="N135" s="1">
        <f t="shared" si="22"/>
        <v>4576</v>
      </c>
      <c r="O135" s="1">
        <f t="shared" si="22"/>
        <v>4214</v>
      </c>
      <c r="P135" s="1">
        <f t="shared" si="22"/>
        <v>5789</v>
      </c>
      <c r="Q135" s="1">
        <f t="shared" si="22"/>
        <v>5239</v>
      </c>
      <c r="R135" s="1">
        <f t="shared" si="22"/>
        <v>5904</v>
      </c>
      <c r="S135" s="1">
        <f t="shared" si="22"/>
        <v>5238</v>
      </c>
      <c r="T135" s="1">
        <f t="shared" si="22"/>
        <v>4618</v>
      </c>
      <c r="U135" s="1">
        <f t="shared" si="22"/>
        <v>7845</v>
      </c>
      <c r="V135" s="1">
        <f t="shared" si="22"/>
        <v>9030</v>
      </c>
      <c r="W135" s="1">
        <f t="shared" si="22"/>
        <v>8537</v>
      </c>
      <c r="X135" s="1">
        <f t="shared" si="22"/>
        <v>7699</v>
      </c>
    </row>
    <row r="136" spans="1:24" ht="16.5" customHeight="1" x14ac:dyDescent="0.35">
      <c r="A136" s="29" t="s">
        <v>79</v>
      </c>
      <c r="B136" s="1">
        <f t="shared" ref="B136:X136" si="23">B137+B138+B139+B140+B141+B142</f>
        <v>512</v>
      </c>
      <c r="C136" s="1">
        <f t="shared" si="23"/>
        <v>776</v>
      </c>
      <c r="D136" s="1">
        <f t="shared" si="23"/>
        <v>928</v>
      </c>
      <c r="E136" s="1">
        <f t="shared" si="23"/>
        <v>750</v>
      </c>
      <c r="F136" s="1">
        <f t="shared" si="23"/>
        <v>881</v>
      </c>
      <c r="G136" s="1">
        <f t="shared" si="23"/>
        <v>758</v>
      </c>
      <c r="H136" s="1">
        <f t="shared" si="23"/>
        <v>1087</v>
      </c>
      <c r="I136" s="1">
        <f t="shared" si="23"/>
        <v>1028</v>
      </c>
      <c r="J136" s="1">
        <f t="shared" si="23"/>
        <v>603</v>
      </c>
      <c r="K136" s="1">
        <f t="shared" si="23"/>
        <v>1019</v>
      </c>
      <c r="L136" s="1">
        <f t="shared" si="23"/>
        <v>1009</v>
      </c>
      <c r="M136" s="1">
        <f t="shared" si="23"/>
        <v>1004</v>
      </c>
      <c r="N136" s="1">
        <f t="shared" si="23"/>
        <v>985</v>
      </c>
      <c r="O136" s="1">
        <f t="shared" si="23"/>
        <v>669</v>
      </c>
      <c r="P136" s="1">
        <f t="shared" si="23"/>
        <v>1261</v>
      </c>
      <c r="Q136" s="1">
        <f t="shared" si="23"/>
        <v>1254</v>
      </c>
      <c r="R136" s="1">
        <f t="shared" si="23"/>
        <v>1375</v>
      </c>
      <c r="S136" s="1">
        <f t="shared" si="23"/>
        <v>1003</v>
      </c>
      <c r="T136" s="1">
        <f t="shared" si="23"/>
        <v>974</v>
      </c>
      <c r="U136" s="1">
        <f t="shared" si="23"/>
        <v>1201</v>
      </c>
      <c r="V136" s="1">
        <f t="shared" si="23"/>
        <v>1168</v>
      </c>
      <c r="W136" s="1">
        <f t="shared" si="23"/>
        <v>1157</v>
      </c>
      <c r="X136" s="1">
        <f t="shared" si="23"/>
        <v>1247</v>
      </c>
    </row>
    <row r="137" spans="1:24" ht="16.5" customHeight="1" x14ac:dyDescent="0.35">
      <c r="A137" s="29" t="s">
        <v>80</v>
      </c>
      <c r="B137" s="1">
        <v>0</v>
      </c>
      <c r="C137" s="1">
        <v>31</v>
      </c>
      <c r="D137" s="1">
        <v>38</v>
      </c>
      <c r="E137" s="1">
        <v>49</v>
      </c>
      <c r="F137" s="1">
        <v>80</v>
      </c>
      <c r="G137" s="1">
        <v>81</v>
      </c>
      <c r="H137" s="1">
        <v>88</v>
      </c>
      <c r="I137" s="1">
        <v>106</v>
      </c>
      <c r="J137" s="1">
        <v>80</v>
      </c>
      <c r="K137" s="1">
        <v>84</v>
      </c>
      <c r="L137" s="1">
        <v>73</v>
      </c>
      <c r="M137" s="1">
        <v>79</v>
      </c>
      <c r="N137" s="1">
        <v>67</v>
      </c>
      <c r="O137" s="1">
        <v>52</v>
      </c>
      <c r="P137" s="1">
        <v>55</v>
      </c>
      <c r="Q137" s="1">
        <v>46</v>
      </c>
      <c r="R137" s="1">
        <v>48</v>
      </c>
      <c r="S137" s="1">
        <v>54</v>
      </c>
      <c r="T137" s="1">
        <v>42</v>
      </c>
      <c r="U137" s="1">
        <v>31</v>
      </c>
      <c r="V137" s="1">
        <v>26</v>
      </c>
      <c r="W137" s="1">
        <v>49</v>
      </c>
      <c r="X137" s="1">
        <v>41</v>
      </c>
    </row>
    <row r="138" spans="1:24" ht="16.5" customHeight="1" x14ac:dyDescent="0.35">
      <c r="A138" s="29" t="s">
        <v>81</v>
      </c>
      <c r="B138" s="1">
        <v>63</v>
      </c>
      <c r="C138" s="1">
        <v>92</v>
      </c>
      <c r="D138" s="1">
        <v>104</v>
      </c>
      <c r="E138" s="1">
        <v>115</v>
      </c>
      <c r="F138" s="1">
        <v>134</v>
      </c>
      <c r="G138" s="1">
        <v>135</v>
      </c>
      <c r="H138" s="1">
        <v>168</v>
      </c>
      <c r="I138" s="1">
        <v>151</v>
      </c>
      <c r="J138" s="1">
        <v>117</v>
      </c>
      <c r="K138" s="1">
        <v>135</v>
      </c>
      <c r="L138" s="1">
        <v>138</v>
      </c>
      <c r="M138" s="1">
        <v>137</v>
      </c>
      <c r="N138" s="1">
        <v>129</v>
      </c>
      <c r="O138" s="1">
        <v>80</v>
      </c>
      <c r="P138" s="1">
        <v>270</v>
      </c>
      <c r="Q138" s="1">
        <v>221</v>
      </c>
      <c r="R138" s="1">
        <v>314</v>
      </c>
      <c r="S138" s="1">
        <v>260</v>
      </c>
      <c r="T138" s="1">
        <v>264</v>
      </c>
      <c r="U138" s="1">
        <v>193</v>
      </c>
      <c r="V138" s="1">
        <v>249</v>
      </c>
      <c r="W138" s="1">
        <v>311</v>
      </c>
      <c r="X138" s="1">
        <v>234</v>
      </c>
    </row>
    <row r="139" spans="1:24" ht="16.5" customHeight="1" x14ac:dyDescent="0.35">
      <c r="A139" s="29" t="s">
        <v>82</v>
      </c>
      <c r="B139" s="1">
        <v>213</v>
      </c>
      <c r="C139" s="1">
        <v>109</v>
      </c>
      <c r="D139" s="1">
        <v>167</v>
      </c>
      <c r="E139" s="1">
        <v>177</v>
      </c>
      <c r="F139" s="1">
        <v>252</v>
      </c>
      <c r="G139" s="1">
        <v>355</v>
      </c>
      <c r="H139" s="1">
        <v>454</v>
      </c>
      <c r="I139" s="1">
        <v>446</v>
      </c>
      <c r="J139" s="1">
        <v>282</v>
      </c>
      <c r="K139" s="1">
        <v>507</v>
      </c>
      <c r="L139" s="1">
        <v>499</v>
      </c>
      <c r="M139" s="1">
        <v>510</v>
      </c>
      <c r="N139" s="1">
        <v>502</v>
      </c>
      <c r="O139" s="1">
        <v>363</v>
      </c>
      <c r="P139" s="1">
        <v>670</v>
      </c>
      <c r="Q139" s="1">
        <v>736</v>
      </c>
      <c r="R139" s="1">
        <v>807</v>
      </c>
      <c r="S139" s="1">
        <v>517</v>
      </c>
      <c r="T139" s="1">
        <v>488</v>
      </c>
      <c r="U139" s="1">
        <v>743</v>
      </c>
      <c r="V139" s="1">
        <v>636</v>
      </c>
      <c r="W139" s="1">
        <v>549</v>
      </c>
      <c r="X139" s="1">
        <v>609</v>
      </c>
    </row>
    <row r="140" spans="1:24" ht="16.5" customHeight="1" x14ac:dyDescent="0.35">
      <c r="A140" s="29" t="s">
        <v>83</v>
      </c>
      <c r="B140" s="1">
        <v>69</v>
      </c>
      <c r="C140" s="1">
        <v>257</v>
      </c>
      <c r="D140" s="1">
        <v>273</v>
      </c>
      <c r="E140" s="1">
        <v>288</v>
      </c>
      <c r="F140" s="1">
        <v>299</v>
      </c>
      <c r="G140" s="1">
        <v>105</v>
      </c>
      <c r="H140" s="1">
        <v>275</v>
      </c>
      <c r="I140" s="1">
        <v>242</v>
      </c>
      <c r="J140" s="1">
        <v>66</v>
      </c>
      <c r="K140" s="1">
        <v>240</v>
      </c>
      <c r="L140" s="1">
        <v>234</v>
      </c>
      <c r="M140" s="1">
        <v>211</v>
      </c>
      <c r="N140" s="1">
        <v>207</v>
      </c>
      <c r="O140" s="1">
        <v>98</v>
      </c>
      <c r="P140" s="1">
        <v>243</v>
      </c>
      <c r="Q140" s="1">
        <v>229</v>
      </c>
      <c r="R140" s="1">
        <v>171</v>
      </c>
      <c r="S140" s="1">
        <v>160</v>
      </c>
      <c r="T140" s="1">
        <v>164</v>
      </c>
      <c r="U140" s="1">
        <v>135</v>
      </c>
      <c r="V140" s="1">
        <v>221</v>
      </c>
      <c r="W140" s="1">
        <v>160</v>
      </c>
      <c r="X140" s="1">
        <v>247</v>
      </c>
    </row>
    <row r="141" spans="1:24" ht="16.5" customHeight="1" x14ac:dyDescent="0.35">
      <c r="A141" s="29" t="s">
        <v>84</v>
      </c>
      <c r="B141" s="1">
        <v>39</v>
      </c>
      <c r="C141" s="1">
        <v>42</v>
      </c>
      <c r="D141" s="1">
        <v>44</v>
      </c>
      <c r="E141" s="1">
        <v>34</v>
      </c>
      <c r="F141" s="1">
        <v>48</v>
      </c>
      <c r="G141" s="1">
        <v>41</v>
      </c>
      <c r="H141" s="1">
        <v>39</v>
      </c>
      <c r="I141" s="1">
        <v>42</v>
      </c>
      <c r="J141" s="1">
        <v>42</v>
      </c>
      <c r="K141" s="1">
        <v>42</v>
      </c>
      <c r="L141" s="1">
        <v>51</v>
      </c>
      <c r="M141" s="1">
        <v>57</v>
      </c>
      <c r="N141" s="1">
        <v>58</v>
      </c>
      <c r="O141" s="1">
        <v>54</v>
      </c>
      <c r="P141" s="1">
        <v>13</v>
      </c>
      <c r="Q141" s="1">
        <v>6</v>
      </c>
      <c r="R141" s="1">
        <v>11</v>
      </c>
      <c r="S141" s="1">
        <v>10</v>
      </c>
      <c r="T141" s="1">
        <v>6</v>
      </c>
      <c r="U141" s="1">
        <v>9</v>
      </c>
      <c r="V141" s="1">
        <v>22</v>
      </c>
      <c r="W141" s="1">
        <v>30</v>
      </c>
      <c r="X141" s="1">
        <v>26</v>
      </c>
    </row>
    <row r="142" spans="1:24" ht="16.5" customHeight="1" x14ac:dyDescent="0.35">
      <c r="A142" s="29" t="s">
        <v>85</v>
      </c>
      <c r="B142" s="1">
        <v>128</v>
      </c>
      <c r="C142" s="1">
        <v>245</v>
      </c>
      <c r="D142" s="1">
        <v>302</v>
      </c>
      <c r="E142" s="1">
        <v>87</v>
      </c>
      <c r="F142" s="1">
        <v>68</v>
      </c>
      <c r="G142" s="1">
        <v>41</v>
      </c>
      <c r="H142" s="1">
        <v>63</v>
      </c>
      <c r="I142" s="1">
        <v>41</v>
      </c>
      <c r="J142" s="1">
        <v>16</v>
      </c>
      <c r="K142" s="1">
        <v>11</v>
      </c>
      <c r="L142" s="1">
        <v>14</v>
      </c>
      <c r="M142" s="1">
        <v>10</v>
      </c>
      <c r="N142" s="1">
        <v>22</v>
      </c>
      <c r="O142" s="1">
        <v>22</v>
      </c>
      <c r="P142" s="1">
        <v>10</v>
      </c>
      <c r="Q142" s="1">
        <v>16</v>
      </c>
      <c r="R142" s="1">
        <v>24</v>
      </c>
      <c r="S142" s="1">
        <v>2</v>
      </c>
      <c r="T142" s="1">
        <v>10</v>
      </c>
      <c r="U142" s="1">
        <v>90</v>
      </c>
      <c r="V142" s="1">
        <v>14</v>
      </c>
      <c r="W142" s="1">
        <v>58</v>
      </c>
      <c r="X142" s="1">
        <v>90</v>
      </c>
    </row>
    <row r="143" spans="1:24" ht="16.5" customHeight="1" x14ac:dyDescent="0.35">
      <c r="A143" s="29" t="s">
        <v>86</v>
      </c>
      <c r="B143" s="1">
        <f t="shared" ref="B143:X143" si="24">B144+B145+B146+B147</f>
        <v>1461</v>
      </c>
      <c r="C143" s="1">
        <f t="shared" si="24"/>
        <v>2182</v>
      </c>
      <c r="D143" s="1">
        <f t="shared" si="24"/>
        <v>2583</v>
      </c>
      <c r="E143" s="1">
        <f t="shared" si="24"/>
        <v>2867</v>
      </c>
      <c r="F143" s="1">
        <f t="shared" si="24"/>
        <v>3222</v>
      </c>
      <c r="G143" s="1">
        <f t="shared" si="24"/>
        <v>3440</v>
      </c>
      <c r="H143" s="1">
        <f t="shared" si="24"/>
        <v>3184</v>
      </c>
      <c r="I143" s="1">
        <f t="shared" si="24"/>
        <v>3218</v>
      </c>
      <c r="J143" s="1">
        <f t="shared" si="24"/>
        <v>2753</v>
      </c>
      <c r="K143" s="1">
        <f t="shared" si="24"/>
        <v>3379</v>
      </c>
      <c r="L143" s="1">
        <f t="shared" si="24"/>
        <v>3972</v>
      </c>
      <c r="M143" s="1">
        <f t="shared" si="24"/>
        <v>3615</v>
      </c>
      <c r="N143" s="1">
        <f t="shared" si="24"/>
        <v>3591</v>
      </c>
      <c r="O143" s="1">
        <f t="shared" si="24"/>
        <v>3545</v>
      </c>
      <c r="P143" s="1">
        <f t="shared" si="24"/>
        <v>4528</v>
      </c>
      <c r="Q143" s="1">
        <f t="shared" si="24"/>
        <v>3985</v>
      </c>
      <c r="R143" s="1">
        <f t="shared" si="24"/>
        <v>4529</v>
      </c>
      <c r="S143" s="1">
        <f t="shared" si="24"/>
        <v>4235</v>
      </c>
      <c r="T143" s="1">
        <f t="shared" si="24"/>
        <v>3644</v>
      </c>
      <c r="U143" s="1">
        <f t="shared" si="24"/>
        <v>6644</v>
      </c>
      <c r="V143" s="1">
        <f t="shared" si="24"/>
        <v>7862</v>
      </c>
      <c r="W143" s="1">
        <f t="shared" si="24"/>
        <v>7380</v>
      </c>
      <c r="X143" s="1">
        <f t="shared" si="24"/>
        <v>6452</v>
      </c>
    </row>
    <row r="144" spans="1:24" ht="16.5" customHeight="1" x14ac:dyDescent="0.35">
      <c r="A144" s="29" t="s">
        <v>87</v>
      </c>
      <c r="B144" s="1">
        <v>7</v>
      </c>
      <c r="C144" s="1">
        <v>886</v>
      </c>
      <c r="D144" s="1">
        <v>1131</v>
      </c>
      <c r="E144" s="1">
        <v>1244</v>
      </c>
      <c r="F144" s="1">
        <v>1310</v>
      </c>
      <c r="G144" s="1">
        <v>1163</v>
      </c>
      <c r="H144" s="1">
        <v>1246</v>
      </c>
      <c r="I144" s="1">
        <v>1358</v>
      </c>
      <c r="J144" s="1">
        <v>1141</v>
      </c>
      <c r="K144" s="1">
        <v>1167</v>
      </c>
      <c r="L144" s="1">
        <v>1446</v>
      </c>
      <c r="M144" s="1">
        <v>1272</v>
      </c>
      <c r="N144" s="1">
        <v>1221</v>
      </c>
      <c r="O144" s="1">
        <v>1430</v>
      </c>
      <c r="P144" s="1">
        <v>1243</v>
      </c>
      <c r="Q144" s="1">
        <v>1149</v>
      </c>
      <c r="R144" s="1">
        <v>2288</v>
      </c>
      <c r="S144" s="1">
        <v>2205</v>
      </c>
      <c r="T144" s="1">
        <v>2123</v>
      </c>
      <c r="U144" s="1">
        <v>3083</v>
      </c>
      <c r="V144" s="1">
        <v>3722</v>
      </c>
      <c r="W144" s="1">
        <v>4011</v>
      </c>
      <c r="X144" s="1">
        <v>3464</v>
      </c>
    </row>
    <row r="145" spans="1:24" ht="16.5" customHeight="1" x14ac:dyDescent="0.35">
      <c r="A145" s="29" t="s">
        <v>88</v>
      </c>
      <c r="B145" s="1">
        <v>5</v>
      </c>
      <c r="C145" s="1">
        <v>7</v>
      </c>
      <c r="D145" s="1">
        <v>16</v>
      </c>
      <c r="E145" s="1">
        <v>176</v>
      </c>
      <c r="F145" s="1">
        <v>19</v>
      </c>
      <c r="G145" s="1">
        <v>19</v>
      </c>
      <c r="H145" s="1">
        <v>14</v>
      </c>
      <c r="I145" s="1">
        <v>16</v>
      </c>
      <c r="J145" s="1">
        <v>29</v>
      </c>
      <c r="K145" s="1">
        <v>37</v>
      </c>
      <c r="L145" s="1">
        <v>34</v>
      </c>
      <c r="M145" s="1">
        <v>16</v>
      </c>
      <c r="N145" s="1">
        <v>50</v>
      </c>
      <c r="O145" s="1">
        <v>20</v>
      </c>
      <c r="P145" s="1">
        <v>59</v>
      </c>
      <c r="Q145" s="1">
        <v>29</v>
      </c>
      <c r="R145" s="1">
        <v>44</v>
      </c>
      <c r="S145" s="1">
        <v>77</v>
      </c>
      <c r="T145" s="1">
        <v>51</v>
      </c>
      <c r="U145" s="1">
        <v>75</v>
      </c>
      <c r="V145" s="1">
        <v>72</v>
      </c>
      <c r="W145" s="1">
        <v>64</v>
      </c>
      <c r="X145" s="1">
        <v>87</v>
      </c>
    </row>
    <row r="146" spans="1:24" ht="16.5" customHeight="1" x14ac:dyDescent="0.35">
      <c r="A146" s="29" t="s">
        <v>89</v>
      </c>
      <c r="B146" s="1">
        <v>1439</v>
      </c>
      <c r="C146" s="1">
        <v>1278</v>
      </c>
      <c r="D146" s="1">
        <v>1428</v>
      </c>
      <c r="E146" s="1">
        <v>1438</v>
      </c>
      <c r="F146" s="1">
        <v>1867</v>
      </c>
      <c r="G146" s="1">
        <v>2247</v>
      </c>
      <c r="H146" s="1">
        <v>1907</v>
      </c>
      <c r="I146" s="1">
        <v>1830</v>
      </c>
      <c r="J146" s="1">
        <v>1563</v>
      </c>
      <c r="K146" s="1">
        <v>2163</v>
      </c>
      <c r="L146" s="1">
        <v>2484</v>
      </c>
      <c r="M146" s="1">
        <v>2320</v>
      </c>
      <c r="N146" s="1">
        <v>2313</v>
      </c>
      <c r="O146" s="1">
        <v>2089</v>
      </c>
      <c r="P146" s="1">
        <v>3217</v>
      </c>
      <c r="Q146" s="1">
        <v>2803</v>
      </c>
      <c r="R146" s="1">
        <v>2192</v>
      </c>
      <c r="S146" s="1">
        <v>1949</v>
      </c>
      <c r="T146" s="1">
        <v>1467</v>
      </c>
      <c r="U146" s="1">
        <v>3477</v>
      </c>
      <c r="V146" s="1">
        <v>4062</v>
      </c>
      <c r="W146" s="1">
        <v>3302</v>
      </c>
      <c r="X146" s="1">
        <v>2896</v>
      </c>
    </row>
    <row r="147" spans="1:24" ht="16.5" customHeight="1" x14ac:dyDescent="0.35">
      <c r="A147" s="29" t="s">
        <v>90</v>
      </c>
      <c r="B147" s="1">
        <v>10</v>
      </c>
      <c r="C147" s="1">
        <v>11</v>
      </c>
      <c r="D147" s="1">
        <v>8</v>
      </c>
      <c r="E147" s="1">
        <v>9</v>
      </c>
      <c r="F147" s="1">
        <v>26</v>
      </c>
      <c r="G147" s="1">
        <v>11</v>
      </c>
      <c r="H147" s="1">
        <v>17</v>
      </c>
      <c r="I147" s="1">
        <v>14</v>
      </c>
      <c r="J147" s="1">
        <v>20</v>
      </c>
      <c r="K147" s="1">
        <v>12</v>
      </c>
      <c r="L147" s="1">
        <v>8</v>
      </c>
      <c r="M147" s="1">
        <v>7</v>
      </c>
      <c r="N147" s="1">
        <v>7</v>
      </c>
      <c r="O147" s="1">
        <v>6</v>
      </c>
      <c r="P147" s="1">
        <v>9</v>
      </c>
      <c r="Q147" s="1">
        <v>4</v>
      </c>
      <c r="R147" s="1">
        <v>5</v>
      </c>
      <c r="S147" s="1">
        <v>4</v>
      </c>
      <c r="T147" s="1">
        <v>3</v>
      </c>
      <c r="U147" s="1">
        <v>9</v>
      </c>
      <c r="V147" s="1">
        <v>6</v>
      </c>
      <c r="W147" s="1">
        <v>3</v>
      </c>
      <c r="X147" s="1">
        <v>5</v>
      </c>
    </row>
    <row r="148" spans="1:24" ht="16.5" customHeight="1" x14ac:dyDescent="0.35">
      <c r="A148" s="29" t="s">
        <v>91</v>
      </c>
      <c r="B148" s="1">
        <f t="shared" ref="B148:V148" si="25">+B110</f>
        <v>648</v>
      </c>
      <c r="C148" s="1">
        <f t="shared" si="25"/>
        <v>863</v>
      </c>
      <c r="D148" s="1">
        <f t="shared" si="25"/>
        <v>1154</v>
      </c>
      <c r="E148" s="1">
        <f t="shared" si="25"/>
        <v>1174</v>
      </c>
      <c r="F148" s="1">
        <f t="shared" si="25"/>
        <v>1041</v>
      </c>
      <c r="G148" s="1">
        <f t="shared" si="25"/>
        <v>1209</v>
      </c>
      <c r="H148" s="1">
        <f t="shared" si="25"/>
        <v>1102</v>
      </c>
      <c r="I148" s="1">
        <f t="shared" si="25"/>
        <v>1327</v>
      </c>
      <c r="J148" s="1">
        <f t="shared" si="25"/>
        <v>1187</v>
      </c>
      <c r="K148" s="1">
        <f t="shared" si="25"/>
        <v>1189</v>
      </c>
      <c r="L148" s="1">
        <f t="shared" si="25"/>
        <v>1198</v>
      </c>
      <c r="M148" s="1">
        <f t="shared" si="25"/>
        <v>1139</v>
      </c>
      <c r="N148" s="1">
        <f t="shared" si="25"/>
        <v>1192</v>
      </c>
      <c r="O148" s="1">
        <f t="shared" si="25"/>
        <v>1237</v>
      </c>
      <c r="P148" s="1">
        <f t="shared" si="25"/>
        <v>1955</v>
      </c>
      <c r="Q148" s="1">
        <f t="shared" si="25"/>
        <v>1807</v>
      </c>
      <c r="R148" s="1">
        <f t="shared" si="25"/>
        <v>2675</v>
      </c>
      <c r="S148" s="1">
        <f t="shared" si="25"/>
        <v>2921</v>
      </c>
      <c r="T148" s="1">
        <f t="shared" si="25"/>
        <v>3665</v>
      </c>
      <c r="U148" s="1">
        <f t="shared" si="25"/>
        <v>3352</v>
      </c>
      <c r="V148" s="1">
        <f t="shared" si="25"/>
        <v>3973</v>
      </c>
      <c r="W148" s="1">
        <v>3965</v>
      </c>
      <c r="X148" s="1">
        <v>4924</v>
      </c>
    </row>
    <row r="149" spans="1:24" ht="16.5" customHeight="1" x14ac:dyDescent="0.35"/>
    <row r="150" spans="1:24" ht="16.5" customHeight="1" x14ac:dyDescent="0.35">
      <c r="A150" s="29" t="s">
        <v>92</v>
      </c>
      <c r="B150" s="1">
        <f t="shared" ref="B150:X150" si="26">SUM(B133)</f>
        <v>2621</v>
      </c>
      <c r="C150" s="1">
        <f t="shared" si="26"/>
        <v>3821</v>
      </c>
      <c r="D150" s="1">
        <f t="shared" si="26"/>
        <v>4665</v>
      </c>
      <c r="E150" s="1">
        <f t="shared" si="26"/>
        <v>4791</v>
      </c>
      <c r="F150" s="1">
        <f t="shared" si="26"/>
        <v>5144</v>
      </c>
      <c r="G150" s="1">
        <f t="shared" si="26"/>
        <v>5407</v>
      </c>
      <c r="H150" s="1">
        <f t="shared" si="26"/>
        <v>5373</v>
      </c>
      <c r="I150" s="1">
        <f t="shared" si="26"/>
        <v>5573</v>
      </c>
      <c r="J150" s="1">
        <f t="shared" si="26"/>
        <v>4543</v>
      </c>
      <c r="K150" s="1">
        <f t="shared" si="26"/>
        <v>5587</v>
      </c>
      <c r="L150" s="1">
        <f t="shared" si="26"/>
        <v>6179</v>
      </c>
      <c r="M150" s="1">
        <f t="shared" si="26"/>
        <v>5758</v>
      </c>
      <c r="N150" s="1">
        <f t="shared" si="26"/>
        <v>5768</v>
      </c>
      <c r="O150" s="1">
        <f t="shared" si="26"/>
        <v>5451</v>
      </c>
      <c r="P150" s="1">
        <f t="shared" si="26"/>
        <v>7744</v>
      </c>
      <c r="Q150" s="1">
        <f t="shared" si="26"/>
        <v>7046</v>
      </c>
      <c r="R150" s="1">
        <f t="shared" si="26"/>
        <v>8579</v>
      </c>
      <c r="S150" s="1">
        <f t="shared" si="26"/>
        <v>8159</v>
      </c>
      <c r="T150" s="1">
        <f t="shared" si="26"/>
        <v>8283</v>
      </c>
      <c r="U150" s="1">
        <f t="shared" si="26"/>
        <v>11197</v>
      </c>
      <c r="V150" s="1">
        <f t="shared" si="26"/>
        <v>13003</v>
      </c>
      <c r="W150" s="1">
        <f t="shared" si="26"/>
        <v>12502</v>
      </c>
      <c r="X150" s="1">
        <f t="shared" si="26"/>
        <v>12623</v>
      </c>
    </row>
    <row r="151" spans="1:24" ht="16.5" customHeight="1" x14ac:dyDescent="0.35"/>
    <row r="152" spans="1:24" ht="16.5" customHeight="1" x14ac:dyDescent="0.35"/>
    <row r="153" spans="1:24" ht="16.5" customHeight="1" x14ac:dyDescent="0.35"/>
    <row r="154" spans="1:24" ht="16.5" customHeight="1" x14ac:dyDescent="0.35">
      <c r="A154" s="30" t="s">
        <v>347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2"/>
    </row>
    <row r="155" spans="1:24" ht="16.5" customHeight="1" x14ac:dyDescent="0.35">
      <c r="A155" s="29" t="s">
        <v>7</v>
      </c>
    </row>
    <row r="156" spans="1:24" ht="16.5" customHeight="1" x14ac:dyDescent="0.35"/>
    <row r="157" spans="1:24" s="28" customFormat="1" ht="16.5" customHeight="1" x14ac:dyDescent="0.35">
      <c r="A157" s="29" t="s">
        <v>52</v>
      </c>
      <c r="B157" s="28">
        <v>2001</v>
      </c>
      <c r="C157" s="28">
        <v>2002</v>
      </c>
      <c r="D157" s="28">
        <v>2003</v>
      </c>
      <c r="E157" s="28">
        <v>2004</v>
      </c>
      <c r="F157" s="28">
        <v>2005</v>
      </c>
      <c r="G157" s="28">
        <v>2006</v>
      </c>
      <c r="H157" s="28">
        <v>2007</v>
      </c>
      <c r="I157" s="28">
        <v>2008</v>
      </c>
      <c r="J157" s="28">
        <v>2009</v>
      </c>
      <c r="K157" s="28">
        <v>2010</v>
      </c>
      <c r="L157" s="28">
        <v>2011</v>
      </c>
      <c r="M157" s="28">
        <v>2012</v>
      </c>
      <c r="N157" s="28">
        <v>2013</v>
      </c>
      <c r="O157" s="28">
        <v>2014</v>
      </c>
      <c r="P157" s="28">
        <v>2015</v>
      </c>
      <c r="Q157" s="28">
        <v>2016</v>
      </c>
      <c r="R157" s="28">
        <v>2017</v>
      </c>
      <c r="S157" s="28">
        <v>2018</v>
      </c>
      <c r="T157" s="28">
        <v>2019</v>
      </c>
      <c r="U157" s="28">
        <v>2020</v>
      </c>
      <c r="V157" s="28">
        <v>2021</v>
      </c>
      <c r="W157" s="28">
        <v>2022</v>
      </c>
      <c r="X157" s="28">
        <v>2023</v>
      </c>
    </row>
    <row r="158" spans="1:24" ht="16.5" customHeight="1" x14ac:dyDescent="0.35">
      <c r="A158" s="29" t="s">
        <v>93</v>
      </c>
      <c r="B158" s="1">
        <f t="shared" ref="B158:X158" si="27">B159+B169</f>
        <v>2449</v>
      </c>
      <c r="C158" s="1">
        <f t="shared" si="27"/>
        <v>2941</v>
      </c>
      <c r="D158" s="1">
        <f t="shared" si="27"/>
        <v>3082</v>
      </c>
      <c r="E158" s="1">
        <f t="shared" si="27"/>
        <v>3427</v>
      </c>
      <c r="F158" s="1">
        <f t="shared" si="27"/>
        <v>4023</v>
      </c>
      <c r="G158" s="1">
        <f t="shared" si="27"/>
        <v>3947</v>
      </c>
      <c r="H158" s="1">
        <f t="shared" si="27"/>
        <v>4103</v>
      </c>
      <c r="I158" s="1">
        <f t="shared" si="27"/>
        <v>4132</v>
      </c>
      <c r="J158" s="1">
        <f t="shared" si="27"/>
        <v>3313</v>
      </c>
      <c r="K158" s="1">
        <f t="shared" si="27"/>
        <v>4380</v>
      </c>
      <c r="L158" s="1">
        <f t="shared" si="27"/>
        <v>4961</v>
      </c>
      <c r="M158" s="1">
        <f t="shared" si="27"/>
        <v>4596</v>
      </c>
      <c r="N158" s="1">
        <f t="shared" si="27"/>
        <v>4475</v>
      </c>
      <c r="O158" s="1">
        <f t="shared" si="27"/>
        <v>4248</v>
      </c>
      <c r="P158" s="1">
        <f t="shared" si="27"/>
        <v>5351</v>
      </c>
      <c r="Q158" s="1">
        <f t="shared" si="27"/>
        <v>4740</v>
      </c>
      <c r="R158" s="1">
        <f t="shared" si="27"/>
        <v>5594</v>
      </c>
      <c r="S158" s="1">
        <f t="shared" si="27"/>
        <v>6547</v>
      </c>
      <c r="T158" s="1">
        <f t="shared" si="27"/>
        <v>4236</v>
      </c>
      <c r="U158" s="1">
        <f t="shared" si="27"/>
        <v>7655</v>
      </c>
      <c r="V158" s="1">
        <f t="shared" si="27"/>
        <v>8148</v>
      </c>
      <c r="W158" s="1">
        <f t="shared" si="27"/>
        <v>7814</v>
      </c>
      <c r="X158" s="1">
        <f t="shared" si="27"/>
        <v>7295</v>
      </c>
    </row>
    <row r="159" spans="1:24" ht="16.5" customHeight="1" x14ac:dyDescent="0.35">
      <c r="A159" s="29" t="s">
        <v>94</v>
      </c>
      <c r="B159" s="1">
        <f t="shared" ref="B159:X159" si="28">B160+B167</f>
        <v>2352</v>
      </c>
      <c r="C159" s="1">
        <f t="shared" si="28"/>
        <v>2890</v>
      </c>
      <c r="D159" s="1">
        <f t="shared" si="28"/>
        <v>3036</v>
      </c>
      <c r="E159" s="1">
        <f t="shared" si="28"/>
        <v>3407</v>
      </c>
      <c r="F159" s="1">
        <f t="shared" si="28"/>
        <v>3884</v>
      </c>
      <c r="G159" s="1">
        <f t="shared" si="28"/>
        <v>3833</v>
      </c>
      <c r="H159" s="1">
        <f t="shared" si="28"/>
        <v>4046</v>
      </c>
      <c r="I159" s="1">
        <f t="shared" si="28"/>
        <v>4036</v>
      </c>
      <c r="J159" s="1">
        <f t="shared" si="28"/>
        <v>3257</v>
      </c>
      <c r="K159" s="1">
        <f t="shared" si="28"/>
        <v>4281</v>
      </c>
      <c r="L159" s="1">
        <f t="shared" si="28"/>
        <v>4904</v>
      </c>
      <c r="M159" s="1">
        <f t="shared" si="28"/>
        <v>4554</v>
      </c>
      <c r="N159" s="1">
        <f t="shared" si="28"/>
        <v>4448</v>
      </c>
      <c r="O159" s="1">
        <f t="shared" si="28"/>
        <v>4229</v>
      </c>
      <c r="P159" s="1">
        <f t="shared" si="28"/>
        <v>4916</v>
      </c>
      <c r="Q159" s="1">
        <f t="shared" si="28"/>
        <v>4403</v>
      </c>
      <c r="R159" s="1">
        <f t="shared" si="28"/>
        <v>5200</v>
      </c>
      <c r="S159" s="1">
        <f t="shared" si="28"/>
        <v>4342</v>
      </c>
      <c r="T159" s="1">
        <f t="shared" si="28"/>
        <v>3192</v>
      </c>
      <c r="U159" s="1">
        <f t="shared" si="28"/>
        <v>6518</v>
      </c>
      <c r="V159" s="1">
        <f t="shared" si="28"/>
        <v>7288</v>
      </c>
      <c r="W159" s="1">
        <f t="shared" si="28"/>
        <v>5776</v>
      </c>
      <c r="X159" s="1">
        <f t="shared" si="28"/>
        <v>5984</v>
      </c>
    </row>
    <row r="160" spans="1:24" ht="16.5" customHeight="1" x14ac:dyDescent="0.35">
      <c r="A160" s="29" t="s">
        <v>95</v>
      </c>
      <c r="B160" s="1">
        <f t="shared" ref="B160:X160" si="29">B161+B165</f>
        <v>2346</v>
      </c>
      <c r="C160" s="1">
        <f t="shared" si="29"/>
        <v>2846</v>
      </c>
      <c r="D160" s="1">
        <f t="shared" si="29"/>
        <v>3026</v>
      </c>
      <c r="E160" s="1">
        <f t="shared" si="29"/>
        <v>3375</v>
      </c>
      <c r="F160" s="1">
        <f t="shared" si="29"/>
        <v>3836</v>
      </c>
      <c r="G160" s="1">
        <f t="shared" si="29"/>
        <v>3798</v>
      </c>
      <c r="H160" s="1">
        <f t="shared" si="29"/>
        <v>4008</v>
      </c>
      <c r="I160" s="1">
        <f t="shared" si="29"/>
        <v>3996</v>
      </c>
      <c r="J160" s="1">
        <f t="shared" si="29"/>
        <v>3228</v>
      </c>
      <c r="K160" s="1">
        <f t="shared" si="29"/>
        <v>4243</v>
      </c>
      <c r="L160" s="1">
        <f t="shared" si="29"/>
        <v>4862</v>
      </c>
      <c r="M160" s="1">
        <f t="shared" si="29"/>
        <v>4512</v>
      </c>
      <c r="N160" s="1">
        <f t="shared" si="29"/>
        <v>4409</v>
      </c>
      <c r="O160" s="1">
        <f t="shared" si="29"/>
        <v>4204</v>
      </c>
      <c r="P160" s="1">
        <f t="shared" si="29"/>
        <v>4851</v>
      </c>
      <c r="Q160" s="1">
        <f t="shared" si="29"/>
        <v>4360</v>
      </c>
      <c r="R160" s="1">
        <f t="shared" si="29"/>
        <v>5103</v>
      </c>
      <c r="S160" s="1">
        <f t="shared" si="29"/>
        <v>4267</v>
      </c>
      <c r="T160" s="1">
        <f t="shared" si="29"/>
        <v>3149</v>
      </c>
      <c r="U160" s="1">
        <f t="shared" si="29"/>
        <v>6449</v>
      </c>
      <c r="V160" s="1">
        <f t="shared" si="29"/>
        <v>7202</v>
      </c>
      <c r="W160" s="1">
        <f t="shared" si="29"/>
        <v>5697</v>
      </c>
      <c r="X160" s="1">
        <f t="shared" si="29"/>
        <v>5911</v>
      </c>
    </row>
    <row r="161" spans="1:24" ht="16.5" customHeight="1" x14ac:dyDescent="0.35">
      <c r="A161" s="29" t="s">
        <v>96</v>
      </c>
      <c r="B161" s="1">
        <f t="shared" ref="B161:X161" si="30">B162+B163+B164</f>
        <v>2322</v>
      </c>
      <c r="C161" s="1">
        <f t="shared" si="30"/>
        <v>2843</v>
      </c>
      <c r="D161" s="1">
        <f t="shared" si="30"/>
        <v>3024</v>
      </c>
      <c r="E161" s="1">
        <f t="shared" si="30"/>
        <v>3371</v>
      </c>
      <c r="F161" s="1">
        <f t="shared" si="30"/>
        <v>3830</v>
      </c>
      <c r="G161" s="1">
        <f t="shared" si="30"/>
        <v>3794</v>
      </c>
      <c r="H161" s="1">
        <f t="shared" si="30"/>
        <v>4006</v>
      </c>
      <c r="I161" s="1">
        <f t="shared" si="30"/>
        <v>3991</v>
      </c>
      <c r="J161" s="1">
        <f t="shared" si="30"/>
        <v>3224</v>
      </c>
      <c r="K161" s="1">
        <f t="shared" si="30"/>
        <v>4239</v>
      </c>
      <c r="L161" s="1">
        <f t="shared" si="30"/>
        <v>4858</v>
      </c>
      <c r="M161" s="1">
        <f t="shared" si="30"/>
        <v>4508</v>
      </c>
      <c r="N161" s="1">
        <f t="shared" si="30"/>
        <v>4406</v>
      </c>
      <c r="O161" s="1">
        <f t="shared" si="30"/>
        <v>4190</v>
      </c>
      <c r="P161" s="1">
        <f t="shared" si="30"/>
        <v>4834</v>
      </c>
      <c r="Q161" s="1">
        <f t="shared" si="30"/>
        <v>4359</v>
      </c>
      <c r="R161" s="1">
        <f t="shared" si="30"/>
        <v>5063</v>
      </c>
      <c r="S161" s="1">
        <f t="shared" si="30"/>
        <v>4243</v>
      </c>
      <c r="T161" s="1">
        <f t="shared" si="30"/>
        <v>3131</v>
      </c>
      <c r="U161" s="1">
        <f t="shared" si="30"/>
        <v>6427</v>
      </c>
      <c r="V161" s="1">
        <f t="shared" si="30"/>
        <v>7165</v>
      </c>
      <c r="W161" s="1">
        <f t="shared" si="30"/>
        <v>5679</v>
      </c>
      <c r="X161" s="1">
        <f t="shared" si="30"/>
        <v>5902</v>
      </c>
    </row>
    <row r="162" spans="1:24" ht="16.5" customHeight="1" x14ac:dyDescent="0.35">
      <c r="A162" s="29" t="s">
        <v>97</v>
      </c>
      <c r="B162" s="1">
        <v>1322</v>
      </c>
      <c r="C162" s="1">
        <v>1674</v>
      </c>
      <c r="D162" s="1">
        <v>1852</v>
      </c>
      <c r="E162" s="1">
        <v>2072</v>
      </c>
      <c r="F162" s="1">
        <v>2297</v>
      </c>
      <c r="G162" s="1">
        <v>2260</v>
      </c>
      <c r="H162" s="1">
        <v>2541</v>
      </c>
      <c r="I162" s="1">
        <v>2504</v>
      </c>
      <c r="J162" s="1">
        <v>1531</v>
      </c>
      <c r="K162" s="1">
        <v>2321</v>
      </c>
      <c r="L162" s="1">
        <v>2457</v>
      </c>
      <c r="M162" s="1">
        <v>2430</v>
      </c>
      <c r="N162" s="1">
        <v>2269</v>
      </c>
      <c r="O162" s="1">
        <v>1760</v>
      </c>
      <c r="P162" s="1">
        <v>2276</v>
      </c>
      <c r="Q162" s="1">
        <v>2164</v>
      </c>
      <c r="R162" s="1">
        <v>2747</v>
      </c>
      <c r="S162" s="1">
        <v>2779</v>
      </c>
      <c r="T162" s="1">
        <v>2022</v>
      </c>
      <c r="U162" s="1">
        <v>3905</v>
      </c>
      <c r="V162" s="1">
        <v>3923</v>
      </c>
      <c r="W162" s="1">
        <v>3653</v>
      </c>
      <c r="X162" s="1">
        <v>3708</v>
      </c>
    </row>
    <row r="163" spans="1:24" ht="16.5" customHeight="1" x14ac:dyDescent="0.35">
      <c r="A163" s="29" t="s">
        <v>98</v>
      </c>
      <c r="B163" s="1">
        <v>120</v>
      </c>
      <c r="C163" s="1">
        <v>153</v>
      </c>
      <c r="D163" s="1">
        <v>165</v>
      </c>
      <c r="E163" s="1">
        <v>188</v>
      </c>
      <c r="F163" s="1">
        <v>266</v>
      </c>
      <c r="G163" s="1">
        <v>253</v>
      </c>
      <c r="H163" s="1">
        <v>282</v>
      </c>
      <c r="I163" s="1">
        <v>324</v>
      </c>
      <c r="J163" s="1">
        <v>248</v>
      </c>
      <c r="K163" s="1">
        <v>284</v>
      </c>
      <c r="L163" s="1">
        <v>284</v>
      </c>
      <c r="M163" s="1">
        <v>266</v>
      </c>
      <c r="N163" s="1">
        <v>261</v>
      </c>
      <c r="O163" s="1">
        <v>171</v>
      </c>
      <c r="P163" s="1">
        <v>194</v>
      </c>
      <c r="Q163" s="1">
        <v>129</v>
      </c>
      <c r="R163" s="1">
        <v>79</v>
      </c>
      <c r="S163" s="1">
        <v>151</v>
      </c>
      <c r="T163" s="1">
        <v>166</v>
      </c>
      <c r="U163" s="1">
        <v>186</v>
      </c>
      <c r="V163" s="1">
        <v>405</v>
      </c>
      <c r="W163" s="1">
        <v>278</v>
      </c>
      <c r="X163" s="1">
        <v>270</v>
      </c>
    </row>
    <row r="164" spans="1:24" ht="16.5" customHeight="1" x14ac:dyDescent="0.35">
      <c r="A164" s="29" t="s">
        <v>99</v>
      </c>
      <c r="B164" s="1">
        <v>880</v>
      </c>
      <c r="C164" s="1">
        <v>1016</v>
      </c>
      <c r="D164" s="1">
        <v>1007</v>
      </c>
      <c r="E164" s="1">
        <v>1111</v>
      </c>
      <c r="F164" s="1">
        <v>1267</v>
      </c>
      <c r="G164" s="1">
        <v>1281</v>
      </c>
      <c r="H164" s="1">
        <v>1183</v>
      </c>
      <c r="I164" s="1">
        <v>1163</v>
      </c>
      <c r="J164" s="1">
        <v>1445</v>
      </c>
      <c r="K164" s="1">
        <v>1634</v>
      </c>
      <c r="L164" s="1">
        <v>2117</v>
      </c>
      <c r="M164" s="1">
        <v>1812</v>
      </c>
      <c r="N164" s="1">
        <v>1876</v>
      </c>
      <c r="O164" s="1">
        <v>2259</v>
      </c>
      <c r="P164" s="1">
        <v>2364</v>
      </c>
      <c r="Q164" s="1">
        <v>2066</v>
      </c>
      <c r="R164" s="1">
        <v>2237</v>
      </c>
      <c r="S164" s="1">
        <v>1313</v>
      </c>
      <c r="T164" s="1">
        <v>943</v>
      </c>
      <c r="U164" s="1">
        <v>2336</v>
      </c>
      <c r="V164" s="1">
        <v>2837</v>
      </c>
      <c r="W164" s="1">
        <v>1748</v>
      </c>
      <c r="X164" s="1">
        <v>1924</v>
      </c>
    </row>
    <row r="165" spans="1:24" ht="16.5" customHeight="1" x14ac:dyDescent="0.35">
      <c r="A165" s="29" t="s">
        <v>61</v>
      </c>
      <c r="B165" s="1">
        <f t="shared" ref="B165:X165" si="31">B166</f>
        <v>24</v>
      </c>
      <c r="C165" s="1">
        <f t="shared" si="31"/>
        <v>3</v>
      </c>
      <c r="D165" s="1">
        <f t="shared" si="31"/>
        <v>2</v>
      </c>
      <c r="E165" s="1">
        <f t="shared" si="31"/>
        <v>4</v>
      </c>
      <c r="F165" s="1">
        <f t="shared" si="31"/>
        <v>6</v>
      </c>
      <c r="G165" s="1">
        <f t="shared" si="31"/>
        <v>4</v>
      </c>
      <c r="H165" s="1">
        <f t="shared" si="31"/>
        <v>2</v>
      </c>
      <c r="I165" s="1">
        <f t="shared" si="31"/>
        <v>5</v>
      </c>
      <c r="J165" s="1">
        <f t="shared" si="31"/>
        <v>4</v>
      </c>
      <c r="K165" s="1">
        <f t="shared" si="31"/>
        <v>4</v>
      </c>
      <c r="L165" s="1">
        <f t="shared" si="31"/>
        <v>4</v>
      </c>
      <c r="M165" s="1">
        <f t="shared" si="31"/>
        <v>4</v>
      </c>
      <c r="N165" s="1">
        <f t="shared" si="31"/>
        <v>3</v>
      </c>
      <c r="O165" s="1">
        <f t="shared" si="31"/>
        <v>14</v>
      </c>
      <c r="P165" s="1">
        <f t="shared" si="31"/>
        <v>17</v>
      </c>
      <c r="Q165" s="1">
        <f t="shared" si="31"/>
        <v>1</v>
      </c>
      <c r="R165" s="1">
        <f t="shared" si="31"/>
        <v>40</v>
      </c>
      <c r="S165" s="1">
        <f t="shared" si="31"/>
        <v>24</v>
      </c>
      <c r="T165" s="1">
        <f t="shared" si="31"/>
        <v>18</v>
      </c>
      <c r="U165" s="1">
        <f t="shared" si="31"/>
        <v>22</v>
      </c>
      <c r="V165" s="1">
        <f t="shared" si="31"/>
        <v>37</v>
      </c>
      <c r="W165" s="1">
        <f t="shared" si="31"/>
        <v>18</v>
      </c>
      <c r="X165" s="1">
        <f t="shared" si="31"/>
        <v>9</v>
      </c>
    </row>
    <row r="166" spans="1:24" ht="16.5" customHeight="1" x14ac:dyDescent="0.35">
      <c r="A166" s="29" t="s">
        <v>100</v>
      </c>
      <c r="B166" s="1">
        <v>24</v>
      </c>
      <c r="C166" s="1">
        <v>3</v>
      </c>
      <c r="D166" s="1">
        <v>2</v>
      </c>
      <c r="E166" s="1">
        <v>4</v>
      </c>
      <c r="F166" s="1">
        <v>6</v>
      </c>
      <c r="G166" s="1">
        <v>4</v>
      </c>
      <c r="H166" s="1">
        <v>2</v>
      </c>
      <c r="I166" s="1">
        <v>5</v>
      </c>
      <c r="J166" s="1">
        <v>4</v>
      </c>
      <c r="K166" s="1">
        <v>4</v>
      </c>
      <c r="L166" s="1">
        <v>4</v>
      </c>
      <c r="M166" s="1">
        <v>4</v>
      </c>
      <c r="N166" s="1">
        <v>3</v>
      </c>
      <c r="O166" s="1">
        <v>14</v>
      </c>
      <c r="P166" s="1">
        <v>17</v>
      </c>
      <c r="Q166" s="1">
        <v>1</v>
      </c>
      <c r="R166" s="1">
        <v>40</v>
      </c>
      <c r="S166" s="1">
        <v>24</v>
      </c>
      <c r="T166" s="1">
        <v>18</v>
      </c>
      <c r="U166" s="1">
        <v>22</v>
      </c>
      <c r="V166" s="1">
        <v>37</v>
      </c>
      <c r="W166" s="1">
        <v>18</v>
      </c>
      <c r="X166" s="1">
        <v>9</v>
      </c>
    </row>
    <row r="167" spans="1:24" ht="16.5" customHeight="1" x14ac:dyDescent="0.35">
      <c r="A167" s="29" t="s">
        <v>101</v>
      </c>
      <c r="B167" s="1">
        <f t="shared" ref="B167:X167" si="32">B168</f>
        <v>6</v>
      </c>
      <c r="C167" s="1">
        <f t="shared" si="32"/>
        <v>44</v>
      </c>
      <c r="D167" s="1">
        <f t="shared" si="32"/>
        <v>10</v>
      </c>
      <c r="E167" s="1">
        <f t="shared" si="32"/>
        <v>32</v>
      </c>
      <c r="F167" s="1">
        <f t="shared" si="32"/>
        <v>48</v>
      </c>
      <c r="G167" s="1">
        <f t="shared" si="32"/>
        <v>35</v>
      </c>
      <c r="H167" s="1">
        <f t="shared" si="32"/>
        <v>38</v>
      </c>
      <c r="I167" s="1">
        <f t="shared" si="32"/>
        <v>40</v>
      </c>
      <c r="J167" s="1">
        <f t="shared" si="32"/>
        <v>29</v>
      </c>
      <c r="K167" s="1">
        <f t="shared" si="32"/>
        <v>38</v>
      </c>
      <c r="L167" s="1">
        <f t="shared" si="32"/>
        <v>42</v>
      </c>
      <c r="M167" s="1">
        <f t="shared" si="32"/>
        <v>42</v>
      </c>
      <c r="N167" s="1">
        <f t="shared" si="32"/>
        <v>39</v>
      </c>
      <c r="O167" s="1">
        <f t="shared" si="32"/>
        <v>25</v>
      </c>
      <c r="P167" s="1">
        <f t="shared" si="32"/>
        <v>65</v>
      </c>
      <c r="Q167" s="1">
        <f t="shared" si="32"/>
        <v>43</v>
      </c>
      <c r="R167" s="1">
        <f t="shared" si="32"/>
        <v>97</v>
      </c>
      <c r="S167" s="1">
        <f t="shared" si="32"/>
        <v>75</v>
      </c>
      <c r="T167" s="1">
        <f t="shared" si="32"/>
        <v>43</v>
      </c>
      <c r="U167" s="1">
        <f t="shared" si="32"/>
        <v>69</v>
      </c>
      <c r="V167" s="1">
        <f t="shared" si="32"/>
        <v>86</v>
      </c>
      <c r="W167" s="1">
        <f t="shared" si="32"/>
        <v>79</v>
      </c>
      <c r="X167" s="1">
        <f t="shared" si="32"/>
        <v>73</v>
      </c>
    </row>
    <row r="168" spans="1:24" ht="16.5" customHeight="1" x14ac:dyDescent="0.35">
      <c r="A168" s="29" t="s">
        <v>102</v>
      </c>
      <c r="B168" s="1">
        <v>6</v>
      </c>
      <c r="C168" s="1">
        <v>44</v>
      </c>
      <c r="D168" s="1">
        <v>10</v>
      </c>
      <c r="E168" s="1">
        <v>32</v>
      </c>
      <c r="F168" s="1">
        <v>48</v>
      </c>
      <c r="G168" s="1">
        <v>35</v>
      </c>
      <c r="H168" s="1">
        <v>38</v>
      </c>
      <c r="I168" s="1">
        <v>40</v>
      </c>
      <c r="J168" s="1">
        <v>29</v>
      </c>
      <c r="K168" s="1">
        <v>38</v>
      </c>
      <c r="L168" s="1">
        <v>42</v>
      </c>
      <c r="M168" s="1">
        <v>42</v>
      </c>
      <c r="N168" s="1">
        <v>39</v>
      </c>
      <c r="O168" s="1">
        <v>25</v>
      </c>
      <c r="P168" s="1">
        <v>65</v>
      </c>
      <c r="Q168" s="1">
        <v>43</v>
      </c>
      <c r="R168" s="1">
        <v>97</v>
      </c>
      <c r="S168" s="1">
        <v>75</v>
      </c>
      <c r="T168" s="1">
        <v>43</v>
      </c>
      <c r="U168" s="1">
        <v>69</v>
      </c>
      <c r="V168" s="1">
        <v>86</v>
      </c>
      <c r="W168" s="1">
        <v>79</v>
      </c>
      <c r="X168" s="1">
        <v>73</v>
      </c>
    </row>
    <row r="169" spans="1:24" ht="16.5" customHeight="1" x14ac:dyDescent="0.35">
      <c r="A169" s="29" t="s">
        <v>103</v>
      </c>
      <c r="B169" s="1">
        <v>97</v>
      </c>
      <c r="C169" s="1">
        <v>51</v>
      </c>
      <c r="D169" s="1">
        <v>46</v>
      </c>
      <c r="E169" s="1">
        <v>20</v>
      </c>
      <c r="F169" s="1">
        <v>139</v>
      </c>
      <c r="G169" s="1">
        <v>114</v>
      </c>
      <c r="H169" s="1">
        <v>57</v>
      </c>
      <c r="I169" s="1">
        <v>96</v>
      </c>
      <c r="J169" s="1">
        <v>56</v>
      </c>
      <c r="K169" s="1">
        <v>99</v>
      </c>
      <c r="L169" s="1">
        <v>57</v>
      </c>
      <c r="M169" s="1">
        <v>42</v>
      </c>
      <c r="N169" s="1">
        <v>27</v>
      </c>
      <c r="O169" s="1">
        <v>19</v>
      </c>
      <c r="P169" s="1">
        <v>435</v>
      </c>
      <c r="Q169" s="1">
        <v>337</v>
      </c>
      <c r="R169" s="1">
        <v>394</v>
      </c>
      <c r="S169" s="1">
        <v>2205</v>
      </c>
      <c r="T169" s="1">
        <v>1044</v>
      </c>
      <c r="U169" s="1">
        <v>1137</v>
      </c>
      <c r="V169" s="1">
        <v>860</v>
      </c>
      <c r="W169" s="1">
        <v>2038</v>
      </c>
      <c r="X169" s="1">
        <v>1311</v>
      </c>
    </row>
    <row r="170" spans="1:24" ht="16.5" customHeight="1" x14ac:dyDescent="0.35"/>
    <row r="171" spans="1:24" ht="16.5" customHeight="1" x14ac:dyDescent="0.35">
      <c r="A171" s="29" t="s">
        <v>75</v>
      </c>
      <c r="B171" s="1">
        <f t="shared" ref="B171:X171" si="33">SUM(B158)</f>
        <v>2449</v>
      </c>
      <c r="C171" s="1">
        <f t="shared" si="33"/>
        <v>2941</v>
      </c>
      <c r="D171" s="1">
        <f t="shared" si="33"/>
        <v>3082</v>
      </c>
      <c r="E171" s="1">
        <f t="shared" si="33"/>
        <v>3427</v>
      </c>
      <c r="F171" s="1">
        <f t="shared" si="33"/>
        <v>4023</v>
      </c>
      <c r="G171" s="1">
        <f t="shared" si="33"/>
        <v>3947</v>
      </c>
      <c r="H171" s="1">
        <f t="shared" si="33"/>
        <v>4103</v>
      </c>
      <c r="I171" s="1">
        <f t="shared" si="33"/>
        <v>4132</v>
      </c>
      <c r="J171" s="1">
        <f t="shared" si="33"/>
        <v>3313</v>
      </c>
      <c r="K171" s="1">
        <f t="shared" si="33"/>
        <v>4380</v>
      </c>
      <c r="L171" s="1">
        <f t="shared" si="33"/>
        <v>4961</v>
      </c>
      <c r="M171" s="1">
        <f t="shared" si="33"/>
        <v>4596</v>
      </c>
      <c r="N171" s="1">
        <f t="shared" si="33"/>
        <v>4475</v>
      </c>
      <c r="O171" s="1">
        <f t="shared" si="33"/>
        <v>4248</v>
      </c>
      <c r="P171" s="1">
        <f t="shared" si="33"/>
        <v>5351</v>
      </c>
      <c r="Q171" s="1">
        <f t="shared" si="33"/>
        <v>4740</v>
      </c>
      <c r="R171" s="1">
        <f t="shared" si="33"/>
        <v>5594</v>
      </c>
      <c r="S171" s="1">
        <f t="shared" si="33"/>
        <v>6547</v>
      </c>
      <c r="T171" s="1">
        <f t="shared" si="33"/>
        <v>4236</v>
      </c>
      <c r="U171" s="1">
        <f t="shared" si="33"/>
        <v>7655</v>
      </c>
      <c r="V171" s="1">
        <f t="shared" si="33"/>
        <v>8148</v>
      </c>
      <c r="W171" s="1">
        <f t="shared" si="33"/>
        <v>7814</v>
      </c>
      <c r="X171" s="1">
        <f t="shared" si="33"/>
        <v>7295</v>
      </c>
    </row>
    <row r="172" spans="1:24" ht="16.5" customHeight="1" x14ac:dyDescent="0.35"/>
    <row r="173" spans="1:24" ht="16.5" customHeight="1" x14ac:dyDescent="0.35"/>
    <row r="174" spans="1:24" ht="16.5" customHeight="1" x14ac:dyDescent="0.35"/>
    <row r="175" spans="1:24" ht="16.5" customHeight="1" x14ac:dyDescent="0.35">
      <c r="A175" s="30" t="s">
        <v>346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2"/>
    </row>
    <row r="176" spans="1:24" ht="16.5" customHeight="1" x14ac:dyDescent="0.35">
      <c r="A176" s="29" t="s">
        <v>7</v>
      </c>
    </row>
    <row r="178" spans="1:24" s="28" customFormat="1" ht="16.5" customHeight="1" x14ac:dyDescent="0.35">
      <c r="A178" s="29" t="s">
        <v>104</v>
      </c>
      <c r="B178" s="28">
        <v>2001</v>
      </c>
      <c r="C178" s="28">
        <v>2002</v>
      </c>
      <c r="D178" s="28">
        <v>2003</v>
      </c>
      <c r="E178" s="28">
        <v>2004</v>
      </c>
      <c r="F178" s="28">
        <v>2005</v>
      </c>
      <c r="G178" s="28">
        <v>2006</v>
      </c>
      <c r="H178" s="28">
        <v>2007</v>
      </c>
      <c r="I178" s="28">
        <v>2008</v>
      </c>
      <c r="J178" s="28">
        <v>2009</v>
      </c>
      <c r="K178" s="28">
        <v>2010</v>
      </c>
      <c r="L178" s="28">
        <v>2011</v>
      </c>
      <c r="M178" s="28">
        <v>2012</v>
      </c>
      <c r="N178" s="28">
        <v>2013</v>
      </c>
      <c r="O178" s="28">
        <v>2014</v>
      </c>
      <c r="P178" s="28">
        <v>2015</v>
      </c>
      <c r="Q178" s="28">
        <v>2016</v>
      </c>
      <c r="R178" s="28">
        <v>2017</v>
      </c>
      <c r="S178" s="28">
        <v>2018</v>
      </c>
      <c r="T178" s="28">
        <v>2019</v>
      </c>
      <c r="U178" s="28">
        <v>2020</v>
      </c>
      <c r="V178" s="28">
        <v>2021</v>
      </c>
      <c r="W178" s="28">
        <v>2022</v>
      </c>
      <c r="X178" s="28">
        <v>2023</v>
      </c>
    </row>
    <row r="179" spans="1:24" ht="16.5" customHeight="1" x14ac:dyDescent="0.35">
      <c r="A179" s="29" t="s">
        <v>105</v>
      </c>
      <c r="B179" s="1">
        <v>1</v>
      </c>
      <c r="C179" s="1">
        <v>0</v>
      </c>
      <c r="D179" s="1">
        <v>4</v>
      </c>
      <c r="E179" s="1">
        <v>9</v>
      </c>
      <c r="F179" s="1">
        <v>7</v>
      </c>
      <c r="G179" s="1">
        <v>6</v>
      </c>
      <c r="H179" s="1">
        <v>4</v>
      </c>
      <c r="I179" s="1">
        <v>1</v>
      </c>
      <c r="J179" s="1">
        <v>3</v>
      </c>
      <c r="K179" s="1">
        <v>9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W179" s="1">
        <v>0</v>
      </c>
      <c r="X179" s="1">
        <v>0</v>
      </c>
    </row>
    <row r="180" spans="1:24" ht="16.5" customHeight="1" x14ac:dyDescent="0.35">
      <c r="A180" s="29" t="s">
        <v>106</v>
      </c>
      <c r="B180" s="1">
        <v>53</v>
      </c>
      <c r="C180" s="1">
        <v>49</v>
      </c>
      <c r="D180" s="1">
        <v>54</v>
      </c>
      <c r="E180" s="1">
        <v>76</v>
      </c>
      <c r="F180" s="1">
        <v>58</v>
      </c>
      <c r="G180" s="1">
        <v>84</v>
      </c>
      <c r="H180" s="1">
        <v>90</v>
      </c>
      <c r="I180" s="1">
        <v>277</v>
      </c>
      <c r="J180" s="1">
        <v>5916</v>
      </c>
      <c r="K180" s="1">
        <v>229</v>
      </c>
      <c r="L180" s="1">
        <v>750</v>
      </c>
      <c r="M180" s="1">
        <v>71</v>
      </c>
      <c r="N180" s="1">
        <v>64</v>
      </c>
      <c r="O180" s="1">
        <v>95</v>
      </c>
      <c r="P180" s="1">
        <v>138</v>
      </c>
      <c r="Q180" s="1">
        <v>817</v>
      </c>
      <c r="R180" s="1">
        <v>401</v>
      </c>
      <c r="S180" s="1">
        <v>465</v>
      </c>
      <c r="T180" s="1">
        <v>713</v>
      </c>
      <c r="U180" s="1">
        <v>634</v>
      </c>
      <c r="V180" s="1">
        <v>282</v>
      </c>
      <c r="W180" s="1">
        <v>250</v>
      </c>
      <c r="X180" s="1">
        <v>386</v>
      </c>
    </row>
    <row r="181" spans="1:24" ht="16.5" customHeight="1" x14ac:dyDescent="0.35">
      <c r="A181" s="29" t="s">
        <v>107</v>
      </c>
      <c r="B181" s="1">
        <v>18</v>
      </c>
      <c r="C181" s="1">
        <v>66</v>
      </c>
      <c r="D181" s="1">
        <v>69</v>
      </c>
      <c r="E181" s="1">
        <v>34</v>
      </c>
      <c r="F181" s="1">
        <v>34</v>
      </c>
      <c r="G181" s="1">
        <v>65</v>
      </c>
      <c r="H181" s="1">
        <v>39</v>
      </c>
      <c r="I181" s="1">
        <v>37</v>
      </c>
      <c r="J181" s="1">
        <v>42</v>
      </c>
      <c r="K181" s="1">
        <v>52</v>
      </c>
      <c r="L181" s="1">
        <v>118</v>
      </c>
      <c r="M181" s="1">
        <v>63</v>
      </c>
      <c r="N181" s="1">
        <v>63</v>
      </c>
      <c r="O181" s="1">
        <v>80</v>
      </c>
      <c r="P181" s="1">
        <v>56</v>
      </c>
      <c r="Q181" s="1">
        <v>76</v>
      </c>
      <c r="R181" s="1">
        <v>130</v>
      </c>
      <c r="S181" s="1">
        <v>111</v>
      </c>
      <c r="T181" s="1">
        <v>106</v>
      </c>
      <c r="U181" s="1">
        <v>108</v>
      </c>
      <c r="V181" s="1">
        <v>110</v>
      </c>
      <c r="W181" s="1">
        <v>170</v>
      </c>
      <c r="X181" s="1">
        <v>123</v>
      </c>
    </row>
    <row r="182" spans="1:24" ht="16.5" customHeight="1" x14ac:dyDescent="0.35">
      <c r="A182" s="29" t="s">
        <v>108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</row>
    <row r="183" spans="1:24" ht="16.5" customHeight="1" x14ac:dyDescent="0.35">
      <c r="A183" s="29" t="s">
        <v>109</v>
      </c>
      <c r="B183" s="1">
        <v>262</v>
      </c>
      <c r="C183" s="1">
        <v>145</v>
      </c>
      <c r="D183" s="1">
        <v>114</v>
      </c>
      <c r="E183" s="1">
        <v>152</v>
      </c>
      <c r="F183" s="1">
        <v>116</v>
      </c>
      <c r="G183" s="1">
        <v>191</v>
      </c>
      <c r="H183" s="1">
        <v>219</v>
      </c>
      <c r="I183" s="1">
        <v>227</v>
      </c>
      <c r="J183" s="1">
        <v>49</v>
      </c>
      <c r="K183" s="1">
        <v>32</v>
      </c>
      <c r="L183" s="1">
        <v>94</v>
      </c>
      <c r="M183" s="1">
        <v>99</v>
      </c>
      <c r="N183" s="1">
        <v>60</v>
      </c>
      <c r="O183" s="1">
        <v>66</v>
      </c>
      <c r="P183" s="1">
        <v>95</v>
      </c>
      <c r="Q183" s="1">
        <v>115</v>
      </c>
      <c r="R183" s="1">
        <v>201</v>
      </c>
      <c r="S183" s="1">
        <v>182</v>
      </c>
      <c r="T183" s="1">
        <v>172</v>
      </c>
      <c r="U183" s="1">
        <v>51</v>
      </c>
      <c r="V183" s="1">
        <v>306</v>
      </c>
      <c r="W183" s="1">
        <v>88</v>
      </c>
      <c r="X183" s="1">
        <v>110</v>
      </c>
    </row>
    <row r="184" spans="1:24" ht="16.5" customHeight="1" x14ac:dyDescent="0.35">
      <c r="A184" s="29" t="s">
        <v>110</v>
      </c>
      <c r="B184" s="1">
        <v>2</v>
      </c>
      <c r="C184" s="1">
        <v>5</v>
      </c>
      <c r="D184" s="1">
        <v>3</v>
      </c>
      <c r="E184" s="1">
        <v>3</v>
      </c>
      <c r="F184" s="1">
        <v>1</v>
      </c>
      <c r="G184" s="1">
        <v>4</v>
      </c>
      <c r="H184" s="1">
        <v>5</v>
      </c>
      <c r="I184" s="1">
        <v>4</v>
      </c>
      <c r="J184" s="1">
        <v>2</v>
      </c>
      <c r="K184" s="1">
        <v>11</v>
      </c>
      <c r="L184" s="1">
        <v>11</v>
      </c>
      <c r="M184" s="1">
        <v>8</v>
      </c>
      <c r="N184" s="1">
        <v>14</v>
      </c>
      <c r="O184" s="1">
        <v>4</v>
      </c>
      <c r="P184" s="1">
        <v>3</v>
      </c>
      <c r="Q184" s="1">
        <v>10</v>
      </c>
      <c r="R184" s="1">
        <v>6</v>
      </c>
      <c r="S184" s="1">
        <v>9</v>
      </c>
      <c r="T184" s="1">
        <v>15</v>
      </c>
      <c r="U184" s="1">
        <v>106</v>
      </c>
      <c r="V184" s="1">
        <v>44</v>
      </c>
      <c r="W184" s="1">
        <v>8</v>
      </c>
      <c r="X184" s="1">
        <v>7</v>
      </c>
    </row>
    <row r="185" spans="1:24" ht="16.5" customHeight="1" x14ac:dyDescent="0.35">
      <c r="A185" s="29" t="s">
        <v>111</v>
      </c>
      <c r="B185" s="1">
        <v>44</v>
      </c>
      <c r="C185" s="1">
        <v>5</v>
      </c>
      <c r="D185" s="1">
        <v>2</v>
      </c>
      <c r="E185" s="1">
        <v>1</v>
      </c>
      <c r="F185" s="1">
        <v>3</v>
      </c>
      <c r="G185" s="1">
        <v>2</v>
      </c>
      <c r="H185" s="1">
        <v>1</v>
      </c>
      <c r="I185" s="1">
        <v>2</v>
      </c>
      <c r="J185" s="1">
        <v>1</v>
      </c>
      <c r="K185" s="1">
        <v>1</v>
      </c>
      <c r="L185" s="1">
        <v>0</v>
      </c>
      <c r="M185" s="1">
        <v>0</v>
      </c>
      <c r="N185" s="1">
        <v>0</v>
      </c>
      <c r="O185" s="1">
        <v>10</v>
      </c>
      <c r="P185" s="1">
        <v>0</v>
      </c>
      <c r="Q185" s="1">
        <v>1</v>
      </c>
      <c r="R185" s="1">
        <v>1</v>
      </c>
      <c r="S185" s="1">
        <v>1</v>
      </c>
      <c r="T185" s="1">
        <v>0</v>
      </c>
      <c r="U185" s="1">
        <v>0</v>
      </c>
      <c r="V185" s="1">
        <v>0.4</v>
      </c>
      <c r="W185" s="1">
        <v>0</v>
      </c>
      <c r="X185" s="1">
        <v>1</v>
      </c>
    </row>
    <row r="186" spans="1:24" ht="16.5" customHeight="1" x14ac:dyDescent="0.35">
      <c r="A186" s="29" t="s">
        <v>112</v>
      </c>
      <c r="B186" s="1">
        <v>15</v>
      </c>
      <c r="C186" s="1">
        <v>0</v>
      </c>
      <c r="D186" s="1">
        <v>9</v>
      </c>
      <c r="E186" s="1">
        <v>17</v>
      </c>
      <c r="F186" s="1">
        <v>9</v>
      </c>
      <c r="G186" s="1">
        <v>6</v>
      </c>
      <c r="H186" s="1">
        <v>18</v>
      </c>
      <c r="I186" s="1">
        <v>19</v>
      </c>
      <c r="J186" s="1">
        <v>78</v>
      </c>
      <c r="K186" s="1">
        <v>17</v>
      </c>
      <c r="L186" s="1">
        <v>50</v>
      </c>
      <c r="M186" s="1">
        <v>13</v>
      </c>
      <c r="N186" s="1">
        <v>3</v>
      </c>
      <c r="O186" s="1">
        <v>30</v>
      </c>
      <c r="P186" s="1">
        <v>40</v>
      </c>
      <c r="Q186" s="1">
        <v>43</v>
      </c>
      <c r="R186" s="1">
        <v>80</v>
      </c>
      <c r="S186" s="1">
        <v>28</v>
      </c>
      <c r="T186" s="1">
        <v>0</v>
      </c>
      <c r="U186" s="1">
        <v>3</v>
      </c>
      <c r="V186" s="1">
        <v>28</v>
      </c>
      <c r="W186" s="1">
        <v>73</v>
      </c>
      <c r="X186" s="1">
        <v>44</v>
      </c>
    </row>
    <row r="187" spans="1:24" ht="16.5" customHeight="1" x14ac:dyDescent="0.35">
      <c r="A187" s="29" t="s">
        <v>113</v>
      </c>
    </row>
    <row r="188" spans="1:24" ht="16.5" customHeight="1" x14ac:dyDescent="0.35">
      <c r="A188" s="29" t="s">
        <v>114</v>
      </c>
      <c r="B188" s="1">
        <v>304</v>
      </c>
      <c r="C188" s="1">
        <v>152</v>
      </c>
      <c r="D188" s="1">
        <v>124</v>
      </c>
      <c r="E188" s="1">
        <v>39</v>
      </c>
      <c r="F188" s="1">
        <v>13</v>
      </c>
      <c r="G188" s="1">
        <v>22</v>
      </c>
      <c r="H188" s="1">
        <v>59</v>
      </c>
      <c r="I188" s="1">
        <v>46</v>
      </c>
      <c r="J188" s="1">
        <v>47</v>
      </c>
      <c r="K188" s="1">
        <v>54</v>
      </c>
      <c r="L188" s="1">
        <v>75</v>
      </c>
      <c r="M188" s="1">
        <v>77</v>
      </c>
      <c r="N188" s="1">
        <v>111</v>
      </c>
      <c r="O188" s="1">
        <v>9</v>
      </c>
      <c r="P188" s="1">
        <v>7</v>
      </c>
      <c r="Q188" s="1">
        <v>11</v>
      </c>
      <c r="R188" s="1">
        <v>0</v>
      </c>
      <c r="S188" s="1">
        <v>1</v>
      </c>
      <c r="T188" s="1">
        <v>1</v>
      </c>
      <c r="U188" s="1">
        <v>3</v>
      </c>
      <c r="V188" s="1">
        <v>2</v>
      </c>
      <c r="W188" s="1">
        <v>7</v>
      </c>
      <c r="X188" s="1">
        <v>2</v>
      </c>
    </row>
    <row r="189" spans="1:24" ht="16.5" customHeight="1" x14ac:dyDescent="0.35">
      <c r="A189" s="29" t="s">
        <v>115</v>
      </c>
      <c r="B189" s="1">
        <v>212</v>
      </c>
      <c r="C189" s="1">
        <v>136</v>
      </c>
      <c r="D189" s="1">
        <v>624</v>
      </c>
      <c r="E189" s="1">
        <v>351</v>
      </c>
      <c r="F189" s="1">
        <v>917</v>
      </c>
      <c r="G189" s="1">
        <v>40</v>
      </c>
      <c r="H189" s="1">
        <v>437</v>
      </c>
      <c r="I189" s="1">
        <v>1091</v>
      </c>
      <c r="J189" s="1">
        <v>1455</v>
      </c>
      <c r="K189" s="1">
        <v>890</v>
      </c>
      <c r="L189" s="1">
        <v>48997</v>
      </c>
      <c r="M189" s="1">
        <v>66280</v>
      </c>
      <c r="N189" s="1">
        <v>38357</v>
      </c>
      <c r="O189" s="1">
        <v>50679</v>
      </c>
      <c r="P189" s="1">
        <v>41630</v>
      </c>
      <c r="Q189" s="1">
        <v>44970</v>
      </c>
      <c r="R189" s="1">
        <v>58719</v>
      </c>
      <c r="S189" s="1">
        <v>81437</v>
      </c>
      <c r="T189" s="1">
        <v>52458</v>
      </c>
      <c r="U189" s="1">
        <v>60878</v>
      </c>
      <c r="V189" s="1">
        <v>74865</v>
      </c>
      <c r="W189" s="1">
        <v>87173</v>
      </c>
      <c r="X189" s="1">
        <v>115230</v>
      </c>
    </row>
    <row r="190" spans="1:24" ht="16.5" customHeight="1" x14ac:dyDescent="0.35">
      <c r="A190" s="29" t="s">
        <v>116</v>
      </c>
      <c r="B190" s="1">
        <v>135</v>
      </c>
      <c r="C190" s="1">
        <v>197</v>
      </c>
      <c r="D190" s="1">
        <v>142</v>
      </c>
      <c r="E190" s="1">
        <v>40</v>
      </c>
      <c r="F190" s="1">
        <v>25</v>
      </c>
      <c r="G190" s="1">
        <v>62</v>
      </c>
      <c r="H190" s="1">
        <v>92</v>
      </c>
      <c r="I190" s="1">
        <v>93</v>
      </c>
      <c r="J190" s="1">
        <v>176</v>
      </c>
      <c r="K190" s="1">
        <v>311</v>
      </c>
      <c r="L190" s="1">
        <v>29197</v>
      </c>
      <c r="M190" s="1">
        <v>58829</v>
      </c>
      <c r="N190" s="1">
        <v>89777</v>
      </c>
      <c r="O190" s="1">
        <v>142682</v>
      </c>
      <c r="P190" s="1">
        <v>207104</v>
      </c>
      <c r="Q190" s="1">
        <v>158994</v>
      </c>
      <c r="R190" s="1">
        <v>174672</v>
      </c>
      <c r="S190" s="1">
        <v>176333</v>
      </c>
      <c r="T190" s="1">
        <v>226522</v>
      </c>
      <c r="U190" s="1">
        <v>184069</v>
      </c>
      <c r="V190" s="1">
        <v>169374</v>
      </c>
      <c r="W190" s="1">
        <v>141020</v>
      </c>
      <c r="X190" s="1">
        <v>212291</v>
      </c>
    </row>
    <row r="191" spans="1:24" ht="16.5" customHeight="1" x14ac:dyDescent="0.35">
      <c r="A191" s="29" t="s">
        <v>117</v>
      </c>
      <c r="B191" s="1">
        <v>122</v>
      </c>
      <c r="C191" s="1">
        <v>62</v>
      </c>
      <c r="D191" s="1">
        <v>53</v>
      </c>
      <c r="E191" s="1">
        <v>56</v>
      </c>
      <c r="F191" s="1">
        <v>51</v>
      </c>
      <c r="G191" s="1">
        <v>113</v>
      </c>
      <c r="H191" s="1">
        <v>111</v>
      </c>
      <c r="I191" s="1">
        <v>90</v>
      </c>
      <c r="J191" s="1">
        <v>78</v>
      </c>
      <c r="K191" s="1">
        <v>97</v>
      </c>
      <c r="L191" s="1">
        <v>106</v>
      </c>
      <c r="M191" s="1">
        <v>124</v>
      </c>
      <c r="N191" s="1">
        <v>108</v>
      </c>
      <c r="O191" s="1">
        <v>103</v>
      </c>
      <c r="P191" s="1">
        <v>115</v>
      </c>
      <c r="Q191" s="1">
        <v>71</v>
      </c>
      <c r="R191" s="1">
        <v>113</v>
      </c>
      <c r="S191" s="1">
        <v>131</v>
      </c>
      <c r="T191" s="1">
        <v>141</v>
      </c>
      <c r="U191" s="1">
        <v>108</v>
      </c>
      <c r="V191" s="1">
        <v>186</v>
      </c>
      <c r="W191" s="1">
        <v>187</v>
      </c>
      <c r="X191" s="1">
        <v>123</v>
      </c>
    </row>
    <row r="192" spans="1:24" ht="16.5" customHeight="1" x14ac:dyDescent="0.35">
      <c r="A192" s="29" t="s">
        <v>118</v>
      </c>
      <c r="B192" s="1">
        <v>290</v>
      </c>
      <c r="C192" s="1">
        <v>258</v>
      </c>
      <c r="D192" s="1">
        <v>135</v>
      </c>
      <c r="E192" s="1">
        <v>117</v>
      </c>
      <c r="F192" s="1">
        <v>194</v>
      </c>
      <c r="G192" s="1">
        <v>394</v>
      </c>
      <c r="H192" s="1">
        <v>130</v>
      </c>
      <c r="I192" s="1">
        <v>127</v>
      </c>
      <c r="J192" s="1">
        <v>155</v>
      </c>
      <c r="K192" s="1">
        <v>134</v>
      </c>
      <c r="L192" s="1">
        <v>141</v>
      </c>
      <c r="M192" s="1">
        <v>135</v>
      </c>
      <c r="N192" s="1">
        <v>273</v>
      </c>
      <c r="O192" s="1">
        <v>295</v>
      </c>
      <c r="P192" s="1">
        <v>258</v>
      </c>
      <c r="Q192" s="1">
        <v>213</v>
      </c>
      <c r="R192" s="1">
        <v>184</v>
      </c>
      <c r="S192" s="1">
        <v>208</v>
      </c>
      <c r="T192" s="1">
        <v>313</v>
      </c>
      <c r="U192" s="1">
        <v>286</v>
      </c>
      <c r="V192" s="1">
        <v>380</v>
      </c>
      <c r="W192" s="1">
        <v>368</v>
      </c>
      <c r="X192" s="1">
        <v>490</v>
      </c>
    </row>
    <row r="193" spans="1:24" ht="16.5" customHeight="1" x14ac:dyDescent="0.35">
      <c r="A193" s="29" t="s">
        <v>119</v>
      </c>
      <c r="B193" s="1">
        <v>713</v>
      </c>
      <c r="C193" s="1">
        <v>859</v>
      </c>
      <c r="D193" s="1">
        <v>605</v>
      </c>
      <c r="E193" s="1">
        <v>766</v>
      </c>
      <c r="F193" s="1">
        <v>491</v>
      </c>
      <c r="G193" s="1">
        <v>593</v>
      </c>
      <c r="H193" s="1">
        <v>693</v>
      </c>
      <c r="I193" s="1">
        <v>1134</v>
      </c>
      <c r="J193" s="1">
        <v>1067</v>
      </c>
      <c r="K193" s="1">
        <v>968</v>
      </c>
      <c r="L193" s="1">
        <v>1203</v>
      </c>
      <c r="M193" s="1">
        <v>2319</v>
      </c>
      <c r="N193" s="1">
        <v>3944</v>
      </c>
      <c r="O193" s="1">
        <v>2671</v>
      </c>
      <c r="P193" s="1">
        <v>2924</v>
      </c>
      <c r="Q193" s="1">
        <v>2754</v>
      </c>
      <c r="R193" s="1">
        <v>2747</v>
      </c>
      <c r="S193" s="1">
        <v>2815</v>
      </c>
      <c r="T193" s="1">
        <v>2691</v>
      </c>
      <c r="U193" s="1">
        <v>687</v>
      </c>
      <c r="V193" s="1">
        <v>2081</v>
      </c>
      <c r="W193" s="1">
        <v>2235</v>
      </c>
      <c r="X193" s="1">
        <v>1986</v>
      </c>
    </row>
    <row r="194" spans="1:24" ht="16.5" customHeight="1" x14ac:dyDescent="0.35">
      <c r="A194" s="29" t="s">
        <v>120</v>
      </c>
      <c r="B194" s="1">
        <v>110</v>
      </c>
      <c r="C194" s="1">
        <v>93</v>
      </c>
      <c r="D194" s="1">
        <v>68</v>
      </c>
      <c r="E194" s="1">
        <v>105</v>
      </c>
      <c r="F194" s="1">
        <v>74</v>
      </c>
      <c r="G194" s="1">
        <v>107</v>
      </c>
      <c r="H194" s="1">
        <v>201</v>
      </c>
      <c r="I194" s="1">
        <v>47</v>
      </c>
      <c r="J194" s="1">
        <v>57</v>
      </c>
      <c r="K194" s="1">
        <v>45</v>
      </c>
      <c r="L194" s="1">
        <v>85</v>
      </c>
      <c r="M194" s="1">
        <v>70</v>
      </c>
      <c r="N194" s="1">
        <v>46</v>
      </c>
      <c r="O194" s="1">
        <v>40</v>
      </c>
      <c r="P194" s="1">
        <v>32</v>
      </c>
      <c r="Q194" s="1">
        <v>31</v>
      </c>
      <c r="R194" s="1">
        <v>39</v>
      </c>
      <c r="S194" s="1">
        <v>49</v>
      </c>
      <c r="T194" s="1">
        <v>40</v>
      </c>
      <c r="U194" s="1">
        <v>58</v>
      </c>
      <c r="V194" s="1">
        <v>62</v>
      </c>
      <c r="W194" s="1">
        <v>167</v>
      </c>
      <c r="X194" s="1">
        <v>45</v>
      </c>
    </row>
    <row r="195" spans="1:24" ht="16.5" customHeight="1" x14ac:dyDescent="0.35">
      <c r="A195" s="29" t="s">
        <v>121</v>
      </c>
      <c r="B195" s="1">
        <v>174</v>
      </c>
      <c r="C195" s="1">
        <v>15</v>
      </c>
      <c r="D195" s="1">
        <v>18</v>
      </c>
      <c r="E195" s="1">
        <v>55</v>
      </c>
      <c r="F195" s="1">
        <v>19</v>
      </c>
      <c r="G195" s="1">
        <v>28</v>
      </c>
      <c r="H195" s="1">
        <v>93</v>
      </c>
      <c r="I195" s="1">
        <v>35</v>
      </c>
      <c r="J195" s="1">
        <v>37</v>
      </c>
      <c r="K195" s="1">
        <v>64</v>
      </c>
      <c r="L195" s="1">
        <v>97</v>
      </c>
      <c r="M195" s="1">
        <v>55</v>
      </c>
      <c r="N195" s="1">
        <v>88</v>
      </c>
      <c r="O195" s="1">
        <v>84</v>
      </c>
      <c r="P195" s="1">
        <v>72</v>
      </c>
      <c r="Q195" s="1">
        <v>85</v>
      </c>
      <c r="R195" s="1">
        <v>78</v>
      </c>
      <c r="S195" s="1">
        <v>106</v>
      </c>
      <c r="T195" s="1">
        <v>110</v>
      </c>
      <c r="U195" s="1">
        <v>90</v>
      </c>
      <c r="V195" s="1">
        <v>106</v>
      </c>
      <c r="W195" s="1">
        <v>102</v>
      </c>
      <c r="X195" s="1">
        <v>132</v>
      </c>
    </row>
    <row r="196" spans="1:24" ht="16.5" customHeight="1" x14ac:dyDescent="0.35">
      <c r="A196" s="29" t="s">
        <v>122</v>
      </c>
      <c r="B196" s="1">
        <v>42</v>
      </c>
      <c r="C196" s="1">
        <v>51</v>
      </c>
      <c r="D196" s="1">
        <v>44</v>
      </c>
      <c r="E196" s="1">
        <v>136</v>
      </c>
      <c r="F196" s="1">
        <v>157</v>
      </c>
      <c r="G196" s="1">
        <v>169</v>
      </c>
      <c r="H196" s="1">
        <v>254</v>
      </c>
      <c r="I196" s="1">
        <v>313</v>
      </c>
      <c r="J196" s="1">
        <v>96</v>
      </c>
      <c r="K196" s="1">
        <v>154</v>
      </c>
      <c r="L196" s="1">
        <v>132</v>
      </c>
      <c r="M196" s="1">
        <v>204</v>
      </c>
      <c r="N196" s="1">
        <v>192</v>
      </c>
      <c r="O196" s="1">
        <v>278</v>
      </c>
      <c r="P196" s="1">
        <v>118</v>
      </c>
      <c r="Q196" s="1">
        <v>183</v>
      </c>
      <c r="R196" s="1">
        <v>188</v>
      </c>
      <c r="S196" s="1">
        <v>692</v>
      </c>
      <c r="T196" s="1">
        <v>494</v>
      </c>
      <c r="U196" s="1">
        <v>392</v>
      </c>
      <c r="V196" s="1">
        <v>793</v>
      </c>
      <c r="W196" s="1">
        <v>265</v>
      </c>
      <c r="X196" s="1">
        <v>425</v>
      </c>
    </row>
    <row r="197" spans="1:24" ht="16.5" customHeight="1" x14ac:dyDescent="0.35">
      <c r="A197" s="29" t="s">
        <v>123</v>
      </c>
      <c r="B197" s="1">
        <v>8</v>
      </c>
      <c r="C197" s="1">
        <v>6</v>
      </c>
      <c r="D197" s="1">
        <v>8</v>
      </c>
      <c r="E197" s="1">
        <v>19</v>
      </c>
      <c r="F197" s="1">
        <v>20</v>
      </c>
      <c r="G197" s="1">
        <v>26</v>
      </c>
      <c r="H197" s="1">
        <v>43</v>
      </c>
      <c r="I197" s="1">
        <v>40</v>
      </c>
      <c r="J197" s="1">
        <v>63</v>
      </c>
      <c r="K197" s="1">
        <v>77</v>
      </c>
      <c r="L197" s="1">
        <v>107</v>
      </c>
      <c r="M197" s="1">
        <v>34</v>
      </c>
      <c r="N197" s="1">
        <v>69</v>
      </c>
      <c r="O197" s="1">
        <v>92</v>
      </c>
      <c r="P197" s="1">
        <v>128</v>
      </c>
      <c r="Q197" s="1">
        <v>179</v>
      </c>
      <c r="R197" s="1">
        <v>241</v>
      </c>
      <c r="S197" s="1">
        <v>268</v>
      </c>
      <c r="T197" s="1">
        <v>250</v>
      </c>
      <c r="U197" s="1">
        <v>195</v>
      </c>
      <c r="V197" s="1">
        <v>232</v>
      </c>
      <c r="W197" s="1">
        <v>265</v>
      </c>
      <c r="X197" s="1">
        <v>316</v>
      </c>
    </row>
    <row r="198" spans="1:24" ht="16.5" customHeight="1" x14ac:dyDescent="0.35">
      <c r="A198" s="29" t="s">
        <v>124</v>
      </c>
      <c r="B198" s="1">
        <v>399</v>
      </c>
      <c r="C198" s="1">
        <v>456</v>
      </c>
      <c r="D198" s="1">
        <v>289</v>
      </c>
      <c r="E198" s="1">
        <v>769</v>
      </c>
      <c r="F198" s="1">
        <v>43</v>
      </c>
      <c r="G198" s="1">
        <v>356</v>
      </c>
      <c r="H198" s="1">
        <v>369</v>
      </c>
      <c r="I198" s="1">
        <v>477</v>
      </c>
      <c r="J198" s="1">
        <v>348</v>
      </c>
      <c r="K198" s="1">
        <v>330</v>
      </c>
      <c r="L198" s="1">
        <v>384</v>
      </c>
      <c r="M198" s="1">
        <v>457</v>
      </c>
      <c r="N198" s="1">
        <v>595</v>
      </c>
      <c r="O198" s="1">
        <v>513</v>
      </c>
      <c r="P198" s="1">
        <v>487</v>
      </c>
      <c r="Q198" s="1">
        <v>577</v>
      </c>
      <c r="R198" s="1">
        <v>589</v>
      </c>
      <c r="S198" s="1">
        <v>809</v>
      </c>
      <c r="T198" s="1">
        <v>845</v>
      </c>
      <c r="U198" s="1">
        <v>917</v>
      </c>
      <c r="V198" s="1">
        <v>832</v>
      </c>
      <c r="W198" s="1">
        <v>774</v>
      </c>
      <c r="X198" s="1">
        <v>980</v>
      </c>
    </row>
    <row r="199" spans="1:24" ht="16.5" customHeight="1" x14ac:dyDescent="0.35">
      <c r="A199" s="29" t="s">
        <v>125</v>
      </c>
      <c r="P199" s="1">
        <v>108</v>
      </c>
      <c r="Q199" s="1">
        <v>127</v>
      </c>
      <c r="R199" s="1">
        <v>26</v>
      </c>
      <c r="S199" s="1">
        <v>42</v>
      </c>
      <c r="T199" s="1">
        <v>33</v>
      </c>
      <c r="U199" s="1">
        <v>17</v>
      </c>
      <c r="V199" s="1">
        <v>35</v>
      </c>
      <c r="W199" s="1">
        <v>34</v>
      </c>
      <c r="X199" s="1">
        <v>17</v>
      </c>
    </row>
    <row r="200" spans="1:24" ht="16.5" customHeight="1" x14ac:dyDescent="0.35">
      <c r="A200" s="29" t="s">
        <v>126</v>
      </c>
      <c r="Q200" s="1">
        <v>1</v>
      </c>
      <c r="R200" s="1">
        <v>329</v>
      </c>
      <c r="S200" s="1">
        <v>151</v>
      </c>
      <c r="T200" s="1">
        <v>353</v>
      </c>
      <c r="U200" s="1">
        <v>268</v>
      </c>
      <c r="V200" s="1">
        <v>238</v>
      </c>
      <c r="W200" s="1">
        <v>186</v>
      </c>
      <c r="X200" s="1">
        <v>268</v>
      </c>
    </row>
    <row r="201" spans="1:24" ht="16.5" customHeight="1" x14ac:dyDescent="0.35">
      <c r="A201" s="29" t="s">
        <v>127</v>
      </c>
      <c r="B201" s="1">
        <v>95712</v>
      </c>
      <c r="C201" s="1">
        <v>79231</v>
      </c>
      <c r="D201" s="1">
        <v>69017</v>
      </c>
      <c r="E201" s="1">
        <v>87430</v>
      </c>
      <c r="F201" s="1">
        <v>70825</v>
      </c>
      <c r="G201" s="1">
        <v>90724</v>
      </c>
      <c r="H201" s="1">
        <v>103512</v>
      </c>
      <c r="I201" s="1">
        <v>88299</v>
      </c>
      <c r="J201" s="1">
        <v>77909</v>
      </c>
      <c r="K201" s="1">
        <v>92261</v>
      </c>
      <c r="L201" s="1">
        <v>2</v>
      </c>
      <c r="M201" s="1">
        <v>0</v>
      </c>
      <c r="N201" s="1">
        <v>0</v>
      </c>
      <c r="O201" s="1">
        <v>110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8</v>
      </c>
      <c r="W201" s="1">
        <v>201</v>
      </c>
      <c r="X201" s="1">
        <v>0</v>
      </c>
    </row>
    <row r="202" spans="1:24" ht="16.5" customHeight="1" x14ac:dyDescent="0.35">
      <c r="A202" s="29" t="s">
        <v>128</v>
      </c>
      <c r="B202" s="1">
        <f t="shared" ref="B202:M202" si="34">SUM(B179:B201)</f>
        <v>98616</v>
      </c>
      <c r="C202" s="1">
        <f t="shared" si="34"/>
        <v>81786</v>
      </c>
      <c r="D202" s="1">
        <f t="shared" si="34"/>
        <v>71382</v>
      </c>
      <c r="E202" s="1">
        <f t="shared" si="34"/>
        <v>90175</v>
      </c>
      <c r="F202" s="1">
        <f t="shared" si="34"/>
        <v>73057</v>
      </c>
      <c r="G202" s="1">
        <f t="shared" si="34"/>
        <v>92992</v>
      </c>
      <c r="H202" s="1">
        <f t="shared" si="34"/>
        <v>106370</v>
      </c>
      <c r="I202" s="1">
        <f t="shared" si="34"/>
        <v>92359</v>
      </c>
      <c r="J202" s="1">
        <f t="shared" si="34"/>
        <v>87579</v>
      </c>
      <c r="K202" s="1">
        <f t="shared" si="34"/>
        <v>95736</v>
      </c>
      <c r="L202" s="1">
        <f t="shared" si="34"/>
        <v>81549</v>
      </c>
      <c r="M202" s="1">
        <f t="shared" si="34"/>
        <v>128838</v>
      </c>
      <c r="N202" s="1">
        <v>133764</v>
      </c>
      <c r="O202" s="1">
        <f>SUM(O180:O201)</f>
        <v>197841</v>
      </c>
      <c r="P202" s="1">
        <f>SUM(P180:P201)</f>
        <v>253315</v>
      </c>
      <c r="Q202" s="1">
        <f>SUM(Q180:Q201)</f>
        <v>209258</v>
      </c>
      <c r="R202" s="1">
        <f>SUM(R180:R201)</f>
        <v>238744</v>
      </c>
      <c r="S202" s="1">
        <f t="shared" ref="S202:X202" si="35">SUM(S179:S201)</f>
        <v>263838</v>
      </c>
      <c r="T202" s="1">
        <f t="shared" si="35"/>
        <v>285257</v>
      </c>
      <c r="U202" s="1">
        <f t="shared" si="35"/>
        <v>248870</v>
      </c>
      <c r="V202" s="1">
        <f t="shared" si="35"/>
        <v>249964.4</v>
      </c>
      <c r="W202" s="1">
        <f t="shared" si="35"/>
        <v>233573</v>
      </c>
      <c r="X202" s="1">
        <f t="shared" si="35"/>
        <v>332976</v>
      </c>
    </row>
    <row r="203" spans="1:24" ht="16.5" customHeight="1" x14ac:dyDescent="0.35"/>
    <row r="204" spans="1:24" ht="16.5" customHeight="1" x14ac:dyDescent="0.35"/>
    <row r="205" spans="1:24" ht="16.5" customHeight="1" x14ac:dyDescent="0.35">
      <c r="A205" s="30" t="s">
        <v>345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2"/>
    </row>
    <row r="206" spans="1:24" ht="16.5" customHeight="1" x14ac:dyDescent="0.35">
      <c r="A206" s="29" t="s">
        <v>7</v>
      </c>
    </row>
    <row r="207" spans="1:24" ht="16.5" customHeight="1" x14ac:dyDescent="0.35"/>
    <row r="208" spans="1:24" s="28" customFormat="1" ht="16.5" customHeight="1" x14ac:dyDescent="0.35">
      <c r="A208" s="29" t="s">
        <v>129</v>
      </c>
      <c r="B208" s="28">
        <v>2001</v>
      </c>
      <c r="C208" s="28">
        <v>2002</v>
      </c>
      <c r="D208" s="28">
        <v>2003</v>
      </c>
      <c r="E208" s="28">
        <v>2004</v>
      </c>
      <c r="F208" s="28">
        <v>2005</v>
      </c>
      <c r="G208" s="28">
        <v>2006</v>
      </c>
      <c r="H208" s="28">
        <v>2007</v>
      </c>
      <c r="I208" s="28">
        <v>2008</v>
      </c>
      <c r="J208" s="28">
        <v>2009</v>
      </c>
      <c r="K208" s="28">
        <v>2010</v>
      </c>
      <c r="L208" s="28">
        <v>2011</v>
      </c>
      <c r="M208" s="28">
        <v>2012</v>
      </c>
      <c r="N208" s="28">
        <v>2013</v>
      </c>
      <c r="O208" s="28">
        <v>2014</v>
      </c>
      <c r="P208" s="28">
        <v>2015</v>
      </c>
      <c r="Q208" s="28">
        <v>2016</v>
      </c>
      <c r="R208" s="28">
        <v>2017</v>
      </c>
      <c r="S208" s="28">
        <v>2018</v>
      </c>
      <c r="T208" s="28">
        <v>2019</v>
      </c>
      <c r="U208" s="28">
        <v>2020</v>
      </c>
      <c r="V208" s="28">
        <v>2021</v>
      </c>
      <c r="W208" s="28">
        <v>2022</v>
      </c>
      <c r="X208" s="28">
        <v>2023</v>
      </c>
    </row>
    <row r="209" spans="1:24" ht="16.5" customHeight="1" x14ac:dyDescent="0.35">
      <c r="A209" s="29" t="s">
        <v>130</v>
      </c>
      <c r="B209" s="1">
        <v>5615</v>
      </c>
      <c r="C209" s="1">
        <v>4936</v>
      </c>
      <c r="D209" s="1">
        <v>6004</v>
      </c>
      <c r="E209" s="1">
        <v>5730</v>
      </c>
      <c r="F209" s="1">
        <v>6059</v>
      </c>
      <c r="G209" s="1">
        <v>6918</v>
      </c>
      <c r="H209" s="1">
        <v>7235</v>
      </c>
      <c r="I209" s="1">
        <v>7631</v>
      </c>
      <c r="J209" s="1">
        <v>6157</v>
      </c>
      <c r="K209" s="1">
        <v>6053</v>
      </c>
      <c r="L209" s="1">
        <v>6090</v>
      </c>
      <c r="M209" s="1">
        <v>7300</v>
      </c>
      <c r="N209" s="1">
        <v>7309</v>
      </c>
      <c r="O209" s="1">
        <v>6963</v>
      </c>
      <c r="P209" s="1">
        <v>6794</v>
      </c>
      <c r="Q209" s="1">
        <v>7900</v>
      </c>
      <c r="R209" s="1">
        <v>7822</v>
      </c>
      <c r="S209" s="1">
        <v>10615</v>
      </c>
      <c r="T209" s="1">
        <v>12789</v>
      </c>
      <c r="U209" s="1">
        <v>12365</v>
      </c>
      <c r="V209" s="1">
        <v>13612</v>
      </c>
      <c r="W209" s="1">
        <v>13966</v>
      </c>
      <c r="X209" s="1">
        <v>15032</v>
      </c>
    </row>
    <row r="210" spans="1:24" ht="16.5" customHeight="1" x14ac:dyDescent="0.35">
      <c r="A210" s="29" t="s">
        <v>131</v>
      </c>
      <c r="B210" s="1">
        <v>4013</v>
      </c>
      <c r="C210" s="1">
        <v>3462</v>
      </c>
      <c r="D210" s="1">
        <v>3328</v>
      </c>
      <c r="E210" s="1">
        <v>5581</v>
      </c>
      <c r="F210" s="1">
        <v>5033</v>
      </c>
      <c r="G210" s="1">
        <v>5105</v>
      </c>
      <c r="H210" s="1">
        <v>4613</v>
      </c>
      <c r="I210" s="1">
        <v>5892</v>
      </c>
      <c r="J210" s="1">
        <v>7008</v>
      </c>
      <c r="K210" s="1">
        <v>7346</v>
      </c>
      <c r="L210" s="1">
        <v>5678</v>
      </c>
      <c r="M210" s="1">
        <v>4734</v>
      </c>
      <c r="N210" s="1">
        <v>4885</v>
      </c>
      <c r="O210" s="1">
        <v>4478</v>
      </c>
      <c r="P210" s="1">
        <v>7461</v>
      </c>
      <c r="Q210" s="1">
        <v>7843</v>
      </c>
      <c r="R210" s="1">
        <v>10173</v>
      </c>
      <c r="S210" s="1">
        <v>9954</v>
      </c>
      <c r="T210" s="1">
        <v>8703</v>
      </c>
      <c r="U210" s="1">
        <v>9703</v>
      </c>
      <c r="V210" s="1">
        <v>12692</v>
      </c>
      <c r="W210" s="1">
        <v>12899</v>
      </c>
      <c r="X210" s="1">
        <v>14070</v>
      </c>
    </row>
    <row r="211" spans="1:24" ht="16.5" customHeight="1" x14ac:dyDescent="0.35">
      <c r="A211" s="29" t="s">
        <v>132</v>
      </c>
      <c r="B211" s="1">
        <v>275</v>
      </c>
      <c r="C211" s="1">
        <v>159</v>
      </c>
      <c r="D211" s="1">
        <v>121</v>
      </c>
      <c r="E211" s="1">
        <v>100</v>
      </c>
      <c r="F211" s="1">
        <v>17</v>
      </c>
      <c r="G211" s="1">
        <v>68</v>
      </c>
      <c r="H211" s="1">
        <v>59</v>
      </c>
      <c r="I211" s="1">
        <v>42</v>
      </c>
      <c r="J211" s="1">
        <v>103</v>
      </c>
      <c r="K211" s="1">
        <v>78</v>
      </c>
      <c r="L211" s="1">
        <v>65</v>
      </c>
      <c r="M211" s="1">
        <v>92</v>
      </c>
      <c r="N211" s="1">
        <v>68</v>
      </c>
      <c r="O211" s="1">
        <v>63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</row>
    <row r="212" spans="1:24" ht="16.5" customHeight="1" x14ac:dyDescent="0.35">
      <c r="A212" s="29" t="s">
        <v>133</v>
      </c>
      <c r="B212" s="1">
        <v>14235</v>
      </c>
      <c r="C212" s="1">
        <v>16572</v>
      </c>
      <c r="D212" s="1">
        <v>17768</v>
      </c>
      <c r="E212" s="1">
        <v>17719</v>
      </c>
      <c r="F212" s="1">
        <v>16567</v>
      </c>
      <c r="G212" s="1">
        <v>16572</v>
      </c>
      <c r="H212" s="1">
        <v>17993</v>
      </c>
      <c r="I212" s="1">
        <v>16078</v>
      </c>
      <c r="J212" s="1">
        <v>15510</v>
      </c>
      <c r="K212" s="1">
        <v>14799</v>
      </c>
      <c r="L212" s="1">
        <v>15427</v>
      </c>
      <c r="M212" s="1">
        <v>15216</v>
      </c>
      <c r="N212" s="1">
        <v>17355</v>
      </c>
      <c r="O212" s="1">
        <v>4006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</row>
    <row r="213" spans="1:24" ht="16.5" customHeight="1" x14ac:dyDescent="0.35">
      <c r="A213" s="29" t="s">
        <v>134</v>
      </c>
      <c r="B213" s="1">
        <v>87</v>
      </c>
      <c r="E213" s="1">
        <v>147</v>
      </c>
      <c r="G213" s="1">
        <v>64</v>
      </c>
      <c r="H213" s="1">
        <v>177</v>
      </c>
      <c r="I213" s="1">
        <v>169</v>
      </c>
      <c r="J213" s="1">
        <v>143</v>
      </c>
      <c r="K213" s="1">
        <v>175</v>
      </c>
      <c r="L213" s="1">
        <v>7</v>
      </c>
      <c r="M213" s="1">
        <v>0</v>
      </c>
      <c r="N213" s="1">
        <v>0</v>
      </c>
      <c r="O213" s="1">
        <v>12892</v>
      </c>
      <c r="P213" s="1">
        <v>20721</v>
      </c>
      <c r="Q213" s="1">
        <v>22626</v>
      </c>
      <c r="R213" s="1">
        <v>25000</v>
      </c>
      <c r="S213" s="1">
        <v>28412</v>
      </c>
      <c r="T213" s="1">
        <v>27949</v>
      </c>
      <c r="U213" s="1">
        <v>29582</v>
      </c>
      <c r="V213" s="1">
        <v>39666</v>
      </c>
      <c r="W213" s="1">
        <v>36115</v>
      </c>
      <c r="X213" s="1">
        <v>19804</v>
      </c>
    </row>
    <row r="214" spans="1:24" ht="16.5" customHeight="1" x14ac:dyDescent="0.35">
      <c r="A214" s="29" t="s">
        <v>135</v>
      </c>
      <c r="B214" s="1">
        <v>22</v>
      </c>
      <c r="D214" s="1">
        <v>27</v>
      </c>
      <c r="E214" s="1">
        <v>13</v>
      </c>
      <c r="F214" s="1">
        <v>5</v>
      </c>
      <c r="G214" s="1">
        <v>32</v>
      </c>
      <c r="H214" s="1">
        <v>106</v>
      </c>
      <c r="I214" s="1">
        <v>107</v>
      </c>
      <c r="J214" s="1">
        <v>124</v>
      </c>
      <c r="K214" s="1">
        <v>85</v>
      </c>
      <c r="L214" s="1">
        <v>42</v>
      </c>
      <c r="M214" s="1">
        <v>95</v>
      </c>
      <c r="N214" s="1">
        <v>0</v>
      </c>
      <c r="O214" s="1">
        <v>109</v>
      </c>
      <c r="P214" s="1">
        <v>114</v>
      </c>
      <c r="Q214" s="1">
        <v>148</v>
      </c>
      <c r="R214" s="1">
        <v>136</v>
      </c>
      <c r="S214" s="1">
        <v>134</v>
      </c>
      <c r="T214" s="1">
        <v>0</v>
      </c>
      <c r="U214" s="1">
        <v>0</v>
      </c>
      <c r="V214" s="1">
        <v>117</v>
      </c>
      <c r="X214" s="1">
        <v>0</v>
      </c>
    </row>
    <row r="215" spans="1:24" ht="16.5" customHeight="1" x14ac:dyDescent="0.35">
      <c r="A215" s="29" t="s">
        <v>136</v>
      </c>
      <c r="B215" s="1">
        <v>90</v>
      </c>
      <c r="C215" s="1">
        <v>120</v>
      </c>
      <c r="D215" s="1">
        <v>175</v>
      </c>
      <c r="E215" s="1">
        <v>153</v>
      </c>
      <c r="F215" s="1">
        <v>112</v>
      </c>
      <c r="G215" s="1">
        <v>115</v>
      </c>
      <c r="H215" s="1">
        <v>84</v>
      </c>
      <c r="I215" s="1">
        <v>60</v>
      </c>
      <c r="J215" s="1">
        <v>47</v>
      </c>
      <c r="K215" s="1">
        <v>51</v>
      </c>
      <c r="L215" s="1">
        <v>39</v>
      </c>
      <c r="M215" s="1">
        <v>32</v>
      </c>
      <c r="N215" s="1">
        <v>102</v>
      </c>
      <c r="O215" s="1">
        <v>18</v>
      </c>
      <c r="P215" s="1">
        <v>7</v>
      </c>
      <c r="Q215" s="1">
        <v>0</v>
      </c>
      <c r="R215" s="1">
        <v>25</v>
      </c>
      <c r="S215" s="1">
        <v>59</v>
      </c>
      <c r="T215" s="1">
        <v>42</v>
      </c>
      <c r="U215" s="1">
        <v>52</v>
      </c>
      <c r="V215" s="1">
        <v>17</v>
      </c>
      <c r="W215" s="1">
        <v>27</v>
      </c>
      <c r="X215" s="1">
        <v>35</v>
      </c>
    </row>
    <row r="216" spans="1:24" ht="16.5" customHeight="1" x14ac:dyDescent="0.35">
      <c r="A216" s="29" t="s">
        <v>137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</row>
    <row r="217" spans="1:24" ht="16.5" customHeight="1" x14ac:dyDescent="0.35">
      <c r="A217" s="29" t="s">
        <v>138</v>
      </c>
      <c r="B217" s="1">
        <v>46435</v>
      </c>
      <c r="C217" s="1">
        <v>41719</v>
      </c>
      <c r="D217" s="1">
        <v>30188</v>
      </c>
      <c r="E217" s="1">
        <v>25649</v>
      </c>
      <c r="F217" s="1">
        <v>24957</v>
      </c>
      <c r="G217" s="1">
        <v>25825</v>
      </c>
      <c r="H217" s="1">
        <v>25420</v>
      </c>
      <c r="I217" s="1">
        <v>31240</v>
      </c>
      <c r="J217" s="1">
        <v>29516</v>
      </c>
      <c r="K217" s="1">
        <v>41707</v>
      </c>
      <c r="L217" s="1">
        <v>29070</v>
      </c>
      <c r="M217" s="1">
        <v>58329</v>
      </c>
      <c r="N217" s="1">
        <v>88999</v>
      </c>
      <c r="O217" s="1">
        <v>141574</v>
      </c>
      <c r="P217" s="1">
        <v>197754</v>
      </c>
      <c r="Q217" s="1">
        <v>143295</v>
      </c>
      <c r="R217" s="1">
        <v>169478</v>
      </c>
      <c r="S217" s="1">
        <v>170177</v>
      </c>
      <c r="T217" s="1">
        <v>210642</v>
      </c>
      <c r="U217" s="1">
        <v>170736</v>
      </c>
      <c r="V217" s="1">
        <v>161445</v>
      </c>
      <c r="W217" s="1">
        <v>130567</v>
      </c>
      <c r="X217" s="1">
        <v>205821</v>
      </c>
    </row>
    <row r="218" spans="1:24" ht="16.5" customHeight="1" x14ac:dyDescent="0.35">
      <c r="A218" s="29" t="s">
        <v>139</v>
      </c>
      <c r="B218" s="1">
        <v>12600</v>
      </c>
      <c r="C218" s="1">
        <v>0</v>
      </c>
      <c r="D218" s="1">
        <v>5100</v>
      </c>
      <c r="E218" s="1">
        <v>29412</v>
      </c>
      <c r="F218" s="1">
        <v>14999</v>
      </c>
      <c r="G218" s="1">
        <v>33499</v>
      </c>
      <c r="H218" s="1">
        <v>45000</v>
      </c>
      <c r="I218" s="1">
        <v>25000</v>
      </c>
      <c r="J218" s="1">
        <v>18000</v>
      </c>
      <c r="K218" s="1">
        <v>17300</v>
      </c>
      <c r="L218" s="1">
        <v>19700</v>
      </c>
      <c r="M218" s="1">
        <v>37500</v>
      </c>
      <c r="N218" s="1">
        <v>7000</v>
      </c>
      <c r="O218" s="1">
        <v>10000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</row>
    <row r="219" spans="1:24" ht="16.5" customHeight="1" x14ac:dyDescent="0.35">
      <c r="A219" s="29" t="s">
        <v>140</v>
      </c>
      <c r="B219" s="1">
        <v>6289</v>
      </c>
      <c r="C219" s="1">
        <v>2556</v>
      </c>
      <c r="D219" s="1">
        <v>179</v>
      </c>
      <c r="E219" s="1">
        <v>512</v>
      </c>
      <c r="F219" s="1">
        <v>898</v>
      </c>
      <c r="G219" s="1">
        <v>1234</v>
      </c>
      <c r="H219" s="1">
        <v>1762</v>
      </c>
      <c r="I219" s="1">
        <v>1028</v>
      </c>
      <c r="J219" s="1">
        <v>0</v>
      </c>
      <c r="K219" s="1">
        <v>2672</v>
      </c>
      <c r="L219" s="1">
        <v>1702</v>
      </c>
      <c r="M219" s="1">
        <v>872</v>
      </c>
      <c r="N219" s="1">
        <v>1125</v>
      </c>
      <c r="O219" s="1">
        <v>1239</v>
      </c>
      <c r="P219" s="1">
        <v>1262</v>
      </c>
      <c r="Q219" s="1">
        <v>1358</v>
      </c>
      <c r="R219" s="1">
        <v>2017</v>
      </c>
      <c r="S219" s="1">
        <v>2483</v>
      </c>
      <c r="T219" s="1">
        <v>2082</v>
      </c>
      <c r="U219" s="1">
        <v>540</v>
      </c>
      <c r="V219" s="1">
        <v>4536</v>
      </c>
      <c r="W219" s="1">
        <v>2069</v>
      </c>
      <c r="X219" s="1">
        <v>2547</v>
      </c>
    </row>
    <row r="220" spans="1:24" ht="16.5" customHeight="1" x14ac:dyDescent="0.35">
      <c r="A220" s="29" t="s">
        <v>141</v>
      </c>
      <c r="B220" s="1">
        <v>429</v>
      </c>
      <c r="C220" s="1">
        <v>0</v>
      </c>
      <c r="D220" s="1">
        <v>11</v>
      </c>
      <c r="E220" s="1">
        <v>60</v>
      </c>
      <c r="F220" s="1">
        <v>9</v>
      </c>
      <c r="G220" s="1">
        <v>-44</v>
      </c>
      <c r="H220" s="1">
        <v>-77</v>
      </c>
      <c r="I220" s="1">
        <v>59</v>
      </c>
      <c r="J220" s="1">
        <v>1</v>
      </c>
      <c r="K220" s="1">
        <v>228</v>
      </c>
      <c r="L220" s="1">
        <v>66</v>
      </c>
      <c r="M220" s="1">
        <v>111</v>
      </c>
      <c r="O220" s="1">
        <v>332</v>
      </c>
      <c r="P220" s="1">
        <v>88</v>
      </c>
      <c r="Q220" s="1">
        <v>137</v>
      </c>
      <c r="R220" s="1">
        <v>0</v>
      </c>
      <c r="S220" s="1">
        <v>0</v>
      </c>
      <c r="T220" s="1">
        <v>212</v>
      </c>
      <c r="U220" s="1">
        <v>251</v>
      </c>
      <c r="V220" s="1">
        <v>96</v>
      </c>
      <c r="W220" s="1">
        <v>271</v>
      </c>
      <c r="X220" s="1">
        <v>567</v>
      </c>
    </row>
    <row r="221" spans="1:24" ht="16.5" customHeight="1" x14ac:dyDescent="0.35">
      <c r="A221" s="29" t="s">
        <v>142</v>
      </c>
      <c r="B221" s="1">
        <v>10</v>
      </c>
      <c r="C221" s="1">
        <v>155</v>
      </c>
      <c r="D221" s="1">
        <v>2</v>
      </c>
      <c r="E221" s="1">
        <v>5</v>
      </c>
      <c r="F221" s="1">
        <v>136</v>
      </c>
      <c r="G221" s="1">
        <v>19</v>
      </c>
      <c r="H221" s="1">
        <v>19</v>
      </c>
      <c r="I221" s="1">
        <v>251</v>
      </c>
      <c r="J221" s="1">
        <v>93</v>
      </c>
      <c r="K221" s="1">
        <v>13</v>
      </c>
      <c r="L221" s="1">
        <v>3</v>
      </c>
      <c r="P221" s="1">
        <v>646</v>
      </c>
      <c r="Q221" s="1">
        <v>789</v>
      </c>
      <c r="R221" s="1">
        <v>1975</v>
      </c>
      <c r="S221" s="1">
        <v>1892</v>
      </c>
      <c r="T221" s="1">
        <v>824</v>
      </c>
      <c r="U221" s="1">
        <v>161</v>
      </c>
      <c r="V221" s="1">
        <v>713</v>
      </c>
      <c r="W221" s="1">
        <v>1426</v>
      </c>
      <c r="X221" s="1">
        <v>1503</v>
      </c>
    </row>
    <row r="222" spans="1:24" ht="16.5" customHeight="1" x14ac:dyDescent="0.35">
      <c r="A222" s="29" t="s">
        <v>143</v>
      </c>
      <c r="B222" s="1">
        <v>120</v>
      </c>
      <c r="C222" s="1">
        <v>28</v>
      </c>
      <c r="D222" s="1">
        <v>85</v>
      </c>
      <c r="E222" s="1">
        <v>38</v>
      </c>
      <c r="F222" s="1">
        <v>93</v>
      </c>
      <c r="G222" s="1">
        <v>207</v>
      </c>
      <c r="H222" s="1">
        <v>97</v>
      </c>
      <c r="I222" s="1">
        <v>91</v>
      </c>
      <c r="J222" s="1">
        <v>99</v>
      </c>
      <c r="K222" s="1">
        <v>107</v>
      </c>
      <c r="L222" s="1">
        <v>116</v>
      </c>
      <c r="M222" s="1">
        <v>125</v>
      </c>
      <c r="N222" s="1">
        <v>128</v>
      </c>
      <c r="O222" s="1">
        <v>123</v>
      </c>
      <c r="P222" s="1">
        <v>131</v>
      </c>
      <c r="Q222" s="1">
        <v>117</v>
      </c>
      <c r="R222" s="1">
        <v>87</v>
      </c>
      <c r="S222" s="1">
        <v>145</v>
      </c>
      <c r="T222" s="1">
        <v>118</v>
      </c>
      <c r="U222" s="1">
        <v>109</v>
      </c>
      <c r="V222" s="1">
        <v>125</v>
      </c>
      <c r="W222" s="1">
        <v>113</v>
      </c>
      <c r="X222" s="1">
        <v>113</v>
      </c>
    </row>
    <row r="223" spans="1:24" ht="16.5" customHeight="1" x14ac:dyDescent="0.35">
      <c r="A223" s="29" t="s">
        <v>144</v>
      </c>
      <c r="B223" s="1">
        <v>56</v>
      </c>
      <c r="C223" s="1">
        <v>95</v>
      </c>
      <c r="D223" s="1">
        <v>14</v>
      </c>
      <c r="E223" s="1">
        <v>17</v>
      </c>
      <c r="F223" s="1">
        <v>2</v>
      </c>
      <c r="G223" s="1">
        <v>23</v>
      </c>
      <c r="H223" s="1">
        <v>27</v>
      </c>
      <c r="I223" s="1">
        <v>34</v>
      </c>
      <c r="J223" s="1">
        <v>18</v>
      </c>
      <c r="K223" s="1">
        <v>22</v>
      </c>
      <c r="L223" s="1">
        <v>25</v>
      </c>
      <c r="M223" s="1">
        <v>23</v>
      </c>
      <c r="N223" s="1">
        <v>34</v>
      </c>
      <c r="O223" s="1">
        <v>31</v>
      </c>
      <c r="P223" s="1">
        <v>28</v>
      </c>
      <c r="Q223" s="1">
        <v>29</v>
      </c>
      <c r="R223" s="1">
        <v>75</v>
      </c>
      <c r="S223" s="1">
        <v>66</v>
      </c>
      <c r="T223" s="1">
        <v>53</v>
      </c>
      <c r="U223" s="1">
        <v>11</v>
      </c>
      <c r="V223" s="1">
        <v>1</v>
      </c>
      <c r="W223" s="1">
        <v>25</v>
      </c>
      <c r="X223" s="1">
        <v>27</v>
      </c>
    </row>
    <row r="224" spans="1:24" ht="16.5" customHeight="1" x14ac:dyDescent="0.35">
      <c r="A224" s="29" t="s">
        <v>145</v>
      </c>
      <c r="B224" s="1">
        <v>103</v>
      </c>
      <c r="C224" s="1">
        <v>72</v>
      </c>
      <c r="D224" s="1">
        <v>55</v>
      </c>
      <c r="E224" s="1">
        <v>54</v>
      </c>
      <c r="F224" s="1">
        <v>47</v>
      </c>
      <c r="G224" s="1">
        <v>67</v>
      </c>
      <c r="H224" s="1">
        <v>70</v>
      </c>
      <c r="I224" s="1">
        <v>69</v>
      </c>
      <c r="J224" s="1">
        <v>74</v>
      </c>
      <c r="K224" s="1">
        <v>66</v>
      </c>
      <c r="L224" s="1">
        <v>0</v>
      </c>
      <c r="M224" s="1">
        <v>29</v>
      </c>
      <c r="P224" s="1">
        <v>65</v>
      </c>
      <c r="Q224" s="1">
        <v>57</v>
      </c>
      <c r="R224" s="1">
        <v>60</v>
      </c>
      <c r="S224" s="1">
        <v>78</v>
      </c>
      <c r="T224" s="1">
        <v>78</v>
      </c>
      <c r="U224" s="1">
        <v>82</v>
      </c>
      <c r="V224" s="1">
        <v>73</v>
      </c>
      <c r="W224" s="1">
        <v>72</v>
      </c>
      <c r="X224" s="1">
        <v>0</v>
      </c>
    </row>
    <row r="225" spans="1:24" ht="16.5" customHeight="1" x14ac:dyDescent="0.35">
      <c r="A225" s="29" t="s">
        <v>146</v>
      </c>
      <c r="B225" s="1">
        <v>2309</v>
      </c>
      <c r="C225" s="1">
        <v>2570</v>
      </c>
      <c r="D225" s="1">
        <v>1974</v>
      </c>
      <c r="E225" s="1">
        <v>1873</v>
      </c>
      <c r="F225" s="1">
        <v>1818</v>
      </c>
      <c r="G225" s="1">
        <v>472</v>
      </c>
      <c r="H225" s="1">
        <v>1041</v>
      </c>
      <c r="I225" s="1">
        <v>1137</v>
      </c>
      <c r="J225" s="1">
        <v>3034</v>
      </c>
      <c r="K225" s="1">
        <v>1453</v>
      </c>
      <c r="L225" s="1">
        <v>0</v>
      </c>
      <c r="M225" s="1">
        <v>0</v>
      </c>
      <c r="N225" s="1">
        <v>2846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</row>
    <row r="226" spans="1:24" ht="16.5" customHeight="1" x14ac:dyDescent="0.35">
      <c r="A226" s="29" t="s">
        <v>147</v>
      </c>
      <c r="B226" s="1">
        <v>134</v>
      </c>
      <c r="C226" s="1">
        <v>1384</v>
      </c>
      <c r="D226" s="1">
        <v>1210</v>
      </c>
      <c r="E226" s="1">
        <v>733</v>
      </c>
      <c r="F226" s="1">
        <v>470</v>
      </c>
      <c r="G226" s="1">
        <v>337</v>
      </c>
      <c r="H226" s="1">
        <v>0</v>
      </c>
      <c r="I226" s="1">
        <v>207</v>
      </c>
      <c r="J226" s="1">
        <v>65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</row>
    <row r="227" spans="1:24" ht="16.5" customHeight="1" x14ac:dyDescent="0.35">
      <c r="M227" s="1">
        <v>0</v>
      </c>
      <c r="N227" s="1">
        <v>0</v>
      </c>
      <c r="O227" s="1">
        <v>0</v>
      </c>
      <c r="P227" s="1">
        <v>0</v>
      </c>
    </row>
    <row r="228" spans="1:24" ht="16.5" customHeight="1" x14ac:dyDescent="0.35">
      <c r="A228" s="29" t="s">
        <v>148</v>
      </c>
      <c r="B228" s="1">
        <v>26</v>
      </c>
      <c r="C228" s="1">
        <v>11</v>
      </c>
      <c r="D228" s="1">
        <v>26</v>
      </c>
      <c r="E228" s="1">
        <v>5</v>
      </c>
      <c r="F228" s="1">
        <v>21</v>
      </c>
      <c r="G228" s="1">
        <v>20</v>
      </c>
      <c r="H228" s="1">
        <v>2</v>
      </c>
      <c r="I228" s="1">
        <v>0</v>
      </c>
      <c r="J228" s="1">
        <v>8</v>
      </c>
      <c r="L228" s="1">
        <v>109</v>
      </c>
      <c r="M228" s="1">
        <v>1</v>
      </c>
      <c r="N228" s="1">
        <v>0</v>
      </c>
      <c r="O228" s="1">
        <v>0</v>
      </c>
      <c r="P228" s="1">
        <v>0</v>
      </c>
      <c r="Q228" s="1">
        <v>19</v>
      </c>
      <c r="R228" s="1">
        <v>4</v>
      </c>
      <c r="S228" s="1">
        <v>16</v>
      </c>
      <c r="T228" s="1">
        <v>22</v>
      </c>
      <c r="U228" s="1">
        <v>4</v>
      </c>
      <c r="V228" s="1">
        <v>9</v>
      </c>
      <c r="W228" s="1">
        <v>0</v>
      </c>
      <c r="X228" s="1">
        <v>2</v>
      </c>
    </row>
    <row r="229" spans="1:24" ht="16.5" customHeight="1" x14ac:dyDescent="0.35">
      <c r="A229" s="29" t="s">
        <v>149</v>
      </c>
      <c r="B229" s="1">
        <v>3290</v>
      </c>
      <c r="C229" s="1">
        <v>7112</v>
      </c>
      <c r="D229" s="1">
        <v>2986</v>
      </c>
      <c r="E229" s="1">
        <v>37</v>
      </c>
      <c r="F229" s="1">
        <v>51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</row>
    <row r="230" spans="1:24" ht="16.5" customHeight="1" x14ac:dyDescent="0.35">
      <c r="A230" s="29" t="s">
        <v>150</v>
      </c>
      <c r="B230" s="1">
        <v>2478</v>
      </c>
      <c r="C230" s="1">
        <v>835</v>
      </c>
      <c r="D230" s="1">
        <v>2129</v>
      </c>
      <c r="E230" s="1">
        <v>236</v>
      </c>
      <c r="F230" s="1">
        <v>1725</v>
      </c>
      <c r="G230" s="1">
        <v>1791</v>
      </c>
      <c r="H230" s="1">
        <v>2742</v>
      </c>
      <c r="I230" s="1">
        <v>3264</v>
      </c>
      <c r="J230" s="1">
        <v>7579</v>
      </c>
      <c r="K230" s="1">
        <v>2948</v>
      </c>
      <c r="L230" s="1">
        <v>3410</v>
      </c>
      <c r="M230" s="1">
        <v>4379</v>
      </c>
      <c r="N230" s="1">
        <v>3908</v>
      </c>
      <c r="O230" s="1">
        <v>16013</v>
      </c>
      <c r="P230" s="1">
        <v>18244</v>
      </c>
      <c r="Q230" s="1">
        <v>24940</v>
      </c>
      <c r="R230" s="1">
        <v>21892</v>
      </c>
      <c r="S230" s="1">
        <v>39489</v>
      </c>
      <c r="T230" s="1">
        <v>21743</v>
      </c>
      <c r="U230" s="1">
        <v>25277</v>
      </c>
      <c r="V230" s="1">
        <v>16862</v>
      </c>
      <c r="W230" s="1">
        <v>36023</v>
      </c>
      <c r="X230" s="1">
        <v>73455</v>
      </c>
    </row>
    <row r="231" spans="1:24" ht="16.5" customHeight="1" x14ac:dyDescent="0.35">
      <c r="A231" s="29" t="s">
        <v>128</v>
      </c>
      <c r="B231" s="1">
        <f t="shared" ref="B231:M231" si="36">SUM(B209:B230)</f>
        <v>98616</v>
      </c>
      <c r="C231" s="1">
        <f t="shared" si="36"/>
        <v>81786</v>
      </c>
      <c r="D231" s="1">
        <f t="shared" si="36"/>
        <v>71382</v>
      </c>
      <c r="E231" s="1">
        <f t="shared" si="36"/>
        <v>88074</v>
      </c>
      <c r="F231" s="1">
        <f t="shared" si="36"/>
        <v>73019</v>
      </c>
      <c r="G231" s="1">
        <f t="shared" si="36"/>
        <v>92324</v>
      </c>
      <c r="H231" s="1">
        <f t="shared" si="36"/>
        <v>106370</v>
      </c>
      <c r="I231" s="1">
        <f t="shared" si="36"/>
        <v>92359</v>
      </c>
      <c r="J231" s="1">
        <f t="shared" si="36"/>
        <v>87579</v>
      </c>
      <c r="K231" s="1">
        <f t="shared" si="36"/>
        <v>95103</v>
      </c>
      <c r="L231" s="1">
        <f t="shared" si="36"/>
        <v>81549</v>
      </c>
      <c r="M231" s="1">
        <f t="shared" si="36"/>
        <v>128838</v>
      </c>
      <c r="N231" s="1">
        <v>133759</v>
      </c>
      <c r="O231" s="1">
        <f t="shared" ref="O231:X231" si="37">SUM(O209:O230)</f>
        <v>197841</v>
      </c>
      <c r="P231" s="1">
        <f t="shared" si="37"/>
        <v>253315</v>
      </c>
      <c r="Q231" s="1">
        <f t="shared" si="37"/>
        <v>209258</v>
      </c>
      <c r="R231" s="1">
        <f t="shared" si="37"/>
        <v>238744</v>
      </c>
      <c r="S231" s="1">
        <f t="shared" si="37"/>
        <v>263520</v>
      </c>
      <c r="T231" s="1">
        <f t="shared" si="37"/>
        <v>285257</v>
      </c>
      <c r="U231" s="1">
        <f t="shared" si="37"/>
        <v>248873</v>
      </c>
      <c r="V231" s="1">
        <f t="shared" si="37"/>
        <v>249964</v>
      </c>
      <c r="W231" s="1">
        <f t="shared" si="37"/>
        <v>233573</v>
      </c>
      <c r="X231" s="1">
        <f t="shared" si="37"/>
        <v>332976</v>
      </c>
    </row>
    <row r="232" spans="1:24" ht="16.5" customHeight="1" x14ac:dyDescent="0.35"/>
    <row r="233" spans="1:24" ht="16.5" customHeight="1" x14ac:dyDescent="0.35"/>
    <row r="234" spans="1:24" ht="16.5" customHeight="1" x14ac:dyDescent="0.35">
      <c r="A234" s="30" t="s">
        <v>344</v>
      </c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2"/>
    </row>
    <row r="235" spans="1:24" ht="16.5" customHeight="1" x14ac:dyDescent="0.35">
      <c r="A235" s="29" t="s">
        <v>7</v>
      </c>
    </row>
    <row r="236" spans="1:24" ht="16.5" customHeight="1" x14ac:dyDescent="0.35"/>
    <row r="237" spans="1:24" s="28" customFormat="1" ht="16.5" customHeight="1" x14ac:dyDescent="0.35">
      <c r="A237" s="29"/>
      <c r="B237" s="28">
        <v>2001</v>
      </c>
      <c r="C237" s="28">
        <v>2002</v>
      </c>
      <c r="D237" s="28">
        <v>2003</v>
      </c>
      <c r="E237" s="28">
        <v>2004</v>
      </c>
      <c r="F237" s="28">
        <v>2005</v>
      </c>
      <c r="G237" s="28">
        <v>2006</v>
      </c>
      <c r="H237" s="28">
        <v>2007</v>
      </c>
      <c r="I237" s="28">
        <v>2008</v>
      </c>
      <c r="J237" s="28">
        <v>2009</v>
      </c>
      <c r="K237" s="28">
        <v>2010</v>
      </c>
      <c r="L237" s="28">
        <v>2011</v>
      </c>
      <c r="M237" s="28">
        <v>2012</v>
      </c>
      <c r="N237" s="28">
        <v>2013</v>
      </c>
      <c r="O237" s="28">
        <v>2014</v>
      </c>
      <c r="P237" s="28">
        <v>2015</v>
      </c>
      <c r="Q237" s="28">
        <v>2016</v>
      </c>
      <c r="R237" s="28">
        <v>2017</v>
      </c>
      <c r="S237" s="28">
        <v>2018</v>
      </c>
      <c r="T237" s="28">
        <v>2019</v>
      </c>
      <c r="U237" s="28">
        <v>2020</v>
      </c>
      <c r="V237" s="28">
        <v>2021</v>
      </c>
      <c r="W237" s="28">
        <v>2022</v>
      </c>
      <c r="X237" s="28">
        <v>2023</v>
      </c>
    </row>
    <row r="238" spans="1:24" ht="16.5" customHeight="1" x14ac:dyDescent="0.35"/>
    <row r="239" spans="1:24" ht="16.5" customHeight="1" x14ac:dyDescent="0.35">
      <c r="A239" s="29" t="s">
        <v>151</v>
      </c>
      <c r="B239" s="1">
        <v>1024</v>
      </c>
      <c r="C239" s="1">
        <v>2082</v>
      </c>
      <c r="D239" s="1">
        <v>1045</v>
      </c>
      <c r="E239" s="1">
        <v>1145</v>
      </c>
      <c r="F239" s="1">
        <v>997</v>
      </c>
      <c r="G239" s="1">
        <v>1094</v>
      </c>
      <c r="H239" s="1">
        <v>908</v>
      </c>
      <c r="I239" s="1">
        <v>1005</v>
      </c>
      <c r="J239" s="1">
        <v>1121</v>
      </c>
      <c r="K239" s="1">
        <v>1065</v>
      </c>
      <c r="L239" s="1">
        <v>1315</v>
      </c>
      <c r="M239" s="1">
        <v>1174</v>
      </c>
      <c r="N239" s="1">
        <v>1545</v>
      </c>
      <c r="O239" s="1">
        <v>1700</v>
      </c>
      <c r="P239" s="1">
        <v>1797</v>
      </c>
      <c r="Q239" s="1">
        <v>1972</v>
      </c>
      <c r="R239" s="1">
        <v>1991</v>
      </c>
      <c r="S239" s="1">
        <v>2189</v>
      </c>
      <c r="T239" s="1">
        <v>2478</v>
      </c>
      <c r="U239" s="1">
        <v>2207</v>
      </c>
      <c r="V239" s="1">
        <v>2743</v>
      </c>
      <c r="W239" s="1">
        <v>2816</v>
      </c>
      <c r="X239" s="1">
        <v>2857</v>
      </c>
    </row>
    <row r="240" spans="1:24" ht="16.5" customHeight="1" x14ac:dyDescent="0.35">
      <c r="A240" s="29" t="s">
        <v>106</v>
      </c>
      <c r="B240" s="1">
        <v>839</v>
      </c>
      <c r="C240" s="1">
        <v>1190</v>
      </c>
      <c r="D240" s="1">
        <v>1258</v>
      </c>
      <c r="E240" s="1">
        <v>1394</v>
      </c>
      <c r="F240" s="1">
        <v>1231</v>
      </c>
      <c r="G240" s="1">
        <v>1334</v>
      </c>
      <c r="H240" s="1">
        <v>1404</v>
      </c>
      <c r="I240" s="1">
        <v>1341</v>
      </c>
      <c r="J240" s="1">
        <v>1478</v>
      </c>
      <c r="K240" s="1">
        <v>1478</v>
      </c>
      <c r="L240" s="1">
        <v>1455</v>
      </c>
      <c r="M240" s="1">
        <v>1554</v>
      </c>
      <c r="N240" s="1">
        <v>1568</v>
      </c>
      <c r="O240" s="1">
        <v>1887</v>
      </c>
      <c r="P240" s="1">
        <v>1654</v>
      </c>
      <c r="Q240" s="1">
        <v>1834</v>
      </c>
      <c r="R240" s="1">
        <v>1823</v>
      </c>
      <c r="S240" s="1">
        <v>2159</v>
      </c>
      <c r="T240" s="1">
        <v>2355</v>
      </c>
      <c r="U240" s="1">
        <v>2177</v>
      </c>
      <c r="V240" s="1">
        <v>2863</v>
      </c>
      <c r="W240" s="1">
        <v>2823</v>
      </c>
      <c r="X240" s="1">
        <v>2879</v>
      </c>
    </row>
    <row r="241" spans="1:24" ht="16.5" customHeight="1" x14ac:dyDescent="0.35">
      <c r="A241" s="29" t="s">
        <v>107</v>
      </c>
      <c r="B241" s="1">
        <v>4703</v>
      </c>
      <c r="C241" s="1">
        <v>5141</v>
      </c>
      <c r="D241" s="1">
        <v>6198</v>
      </c>
      <c r="E241" s="1">
        <v>6417</v>
      </c>
      <c r="F241" s="1">
        <v>5724</v>
      </c>
      <c r="G241" s="1">
        <v>6694</v>
      </c>
      <c r="H241" s="1">
        <v>6460</v>
      </c>
      <c r="I241" s="1">
        <v>6603</v>
      </c>
      <c r="J241" s="1">
        <v>6672</v>
      </c>
      <c r="K241" s="1">
        <v>7232</v>
      </c>
      <c r="L241" s="1">
        <v>7160</v>
      </c>
      <c r="M241" s="1">
        <v>6916</v>
      </c>
      <c r="N241" s="1">
        <v>6931</v>
      </c>
      <c r="O241" s="1">
        <v>7136</v>
      </c>
      <c r="P241" s="1">
        <v>7329</v>
      </c>
      <c r="Q241" s="1">
        <v>7890</v>
      </c>
      <c r="R241" s="1">
        <v>7324</v>
      </c>
      <c r="S241" s="1">
        <v>9349</v>
      </c>
      <c r="T241" s="1">
        <v>9453</v>
      </c>
      <c r="U241" s="1">
        <v>7831</v>
      </c>
      <c r="V241" s="1">
        <v>11284</v>
      </c>
      <c r="W241" s="1">
        <v>11279</v>
      </c>
      <c r="X241" s="1">
        <v>10923</v>
      </c>
    </row>
    <row r="242" spans="1:24" ht="16.5" customHeight="1" x14ac:dyDescent="0.35">
      <c r="A242" s="29" t="s">
        <v>108</v>
      </c>
      <c r="B242" s="1">
        <v>125</v>
      </c>
      <c r="C242" s="1">
        <v>134</v>
      </c>
      <c r="D242" s="1">
        <v>143</v>
      </c>
      <c r="E242" s="1">
        <v>178</v>
      </c>
      <c r="F242" s="1">
        <v>120</v>
      </c>
      <c r="G242" s="1">
        <v>223</v>
      </c>
      <c r="H242" s="1">
        <v>167</v>
      </c>
      <c r="I242" s="1">
        <v>219</v>
      </c>
      <c r="J242" s="1">
        <v>205</v>
      </c>
      <c r="K242" s="1">
        <v>243</v>
      </c>
      <c r="L242" s="1">
        <v>225</v>
      </c>
      <c r="M242" s="1">
        <v>214</v>
      </c>
      <c r="N242" s="1">
        <v>255</v>
      </c>
      <c r="O242" s="1">
        <v>239</v>
      </c>
      <c r="P242" s="1">
        <v>257</v>
      </c>
      <c r="Q242" s="1">
        <v>243</v>
      </c>
      <c r="R242" s="1">
        <v>284</v>
      </c>
      <c r="S242" s="1">
        <v>341</v>
      </c>
      <c r="T242" s="1">
        <v>314</v>
      </c>
      <c r="U242" s="1">
        <v>283</v>
      </c>
      <c r="V242" s="1">
        <v>363</v>
      </c>
      <c r="W242" s="1">
        <v>371</v>
      </c>
      <c r="X242" s="1">
        <v>393</v>
      </c>
    </row>
    <row r="243" spans="1:24" ht="16.5" customHeight="1" x14ac:dyDescent="0.35">
      <c r="A243" s="29" t="s">
        <v>109</v>
      </c>
      <c r="B243" s="1">
        <v>752</v>
      </c>
      <c r="C243" s="1">
        <v>706</v>
      </c>
      <c r="D243" s="1">
        <v>1115</v>
      </c>
      <c r="E243" s="1">
        <v>842</v>
      </c>
      <c r="F243" s="1">
        <v>762</v>
      </c>
      <c r="G243" s="1">
        <v>999</v>
      </c>
      <c r="H243" s="1">
        <v>690</v>
      </c>
      <c r="I243" s="1">
        <v>975</v>
      </c>
      <c r="J243" s="1">
        <v>1191</v>
      </c>
      <c r="K243" s="1">
        <v>1223</v>
      </c>
      <c r="L243" s="1">
        <v>931</v>
      </c>
      <c r="M243" s="1">
        <v>1286</v>
      </c>
      <c r="N243" s="1">
        <v>1927</v>
      </c>
      <c r="O243" s="1">
        <v>2570</v>
      </c>
      <c r="P243" s="1">
        <v>2745</v>
      </c>
      <c r="Q243" s="1">
        <v>2332</v>
      </c>
      <c r="R243" s="1">
        <v>2193</v>
      </c>
      <c r="S243" s="1">
        <v>2642</v>
      </c>
      <c r="T243" s="1">
        <v>3048</v>
      </c>
      <c r="U243" s="1">
        <v>2027</v>
      </c>
      <c r="V243" s="1">
        <v>2598</v>
      </c>
      <c r="W243" s="1">
        <v>3383</v>
      </c>
      <c r="X243" s="1">
        <v>3480</v>
      </c>
    </row>
    <row r="244" spans="1:24" ht="16.5" customHeight="1" x14ac:dyDescent="0.35">
      <c r="A244" s="29" t="s">
        <v>110</v>
      </c>
      <c r="B244" s="1">
        <v>1559</v>
      </c>
      <c r="C244" s="1">
        <v>1748</v>
      </c>
      <c r="D244" s="1">
        <v>1838</v>
      </c>
      <c r="E244" s="1">
        <v>1603</v>
      </c>
      <c r="F244" s="1">
        <v>1568</v>
      </c>
      <c r="G244" s="1">
        <v>1556</v>
      </c>
      <c r="H244" s="1">
        <v>1888</v>
      </c>
      <c r="I244" s="1">
        <v>2422</v>
      </c>
      <c r="J244" s="1">
        <v>2812</v>
      </c>
      <c r="K244" s="1">
        <v>2570</v>
      </c>
      <c r="L244" s="1">
        <v>2280</v>
      </c>
      <c r="M244" s="1">
        <v>2585</v>
      </c>
      <c r="N244" s="1">
        <v>3213</v>
      </c>
      <c r="O244" s="1">
        <v>2978</v>
      </c>
      <c r="P244" s="1">
        <v>2809</v>
      </c>
      <c r="Q244" s="1">
        <v>3340</v>
      </c>
      <c r="R244" s="1">
        <v>3356</v>
      </c>
      <c r="S244" s="1">
        <v>3982</v>
      </c>
      <c r="T244" s="1">
        <v>4092</v>
      </c>
      <c r="U244" s="1">
        <v>3148</v>
      </c>
      <c r="V244" s="1">
        <v>5575</v>
      </c>
      <c r="W244" s="1">
        <v>6368</v>
      </c>
      <c r="X244" s="1">
        <v>8265</v>
      </c>
    </row>
    <row r="245" spans="1:24" ht="16.5" customHeight="1" x14ac:dyDescent="0.35">
      <c r="A245" s="29" t="s">
        <v>111</v>
      </c>
      <c r="B245" s="1">
        <v>263</v>
      </c>
      <c r="C245" s="1">
        <v>416</v>
      </c>
      <c r="D245" s="1">
        <v>577</v>
      </c>
      <c r="E245" s="1">
        <v>551</v>
      </c>
      <c r="F245" s="1">
        <v>450</v>
      </c>
      <c r="G245" s="1">
        <v>413</v>
      </c>
      <c r="H245" s="1">
        <v>401</v>
      </c>
      <c r="I245" s="1">
        <v>410</v>
      </c>
      <c r="J245" s="1">
        <v>423</v>
      </c>
      <c r="K245" s="1">
        <v>478</v>
      </c>
      <c r="L245" s="1">
        <v>498</v>
      </c>
      <c r="M245" s="1">
        <v>569</v>
      </c>
      <c r="N245" s="1">
        <v>605</v>
      </c>
      <c r="O245" s="1">
        <v>666</v>
      </c>
      <c r="P245" s="1">
        <v>708</v>
      </c>
      <c r="Q245" s="1">
        <v>741</v>
      </c>
      <c r="R245" s="1">
        <v>567</v>
      </c>
      <c r="S245" s="1">
        <v>665</v>
      </c>
      <c r="T245" s="1">
        <v>877</v>
      </c>
      <c r="U245" s="1">
        <v>661</v>
      </c>
      <c r="V245" s="1">
        <v>937</v>
      </c>
      <c r="W245" s="1">
        <v>897</v>
      </c>
      <c r="X245" s="1">
        <v>1035</v>
      </c>
    </row>
    <row r="246" spans="1:24" ht="16.5" customHeight="1" x14ac:dyDescent="0.35">
      <c r="A246" s="29" t="s">
        <v>152</v>
      </c>
      <c r="B246" s="1">
        <v>533</v>
      </c>
      <c r="C246" s="1">
        <v>495</v>
      </c>
      <c r="D246" s="1">
        <v>521</v>
      </c>
      <c r="E246" s="1">
        <v>520</v>
      </c>
      <c r="F246" s="1">
        <v>518</v>
      </c>
      <c r="G246" s="1">
        <v>567</v>
      </c>
      <c r="H246" s="1">
        <v>526</v>
      </c>
      <c r="I246" s="1">
        <v>564</v>
      </c>
      <c r="J246" s="1">
        <v>593</v>
      </c>
      <c r="K246" s="1">
        <v>604</v>
      </c>
      <c r="L246" s="1">
        <v>575</v>
      </c>
      <c r="M246" s="1">
        <v>692</v>
      </c>
      <c r="N246" s="1">
        <v>701</v>
      </c>
      <c r="O246" s="1">
        <v>680</v>
      </c>
      <c r="P246" s="1">
        <v>662</v>
      </c>
      <c r="Q246" s="1">
        <v>738</v>
      </c>
      <c r="R246" s="1">
        <v>691</v>
      </c>
      <c r="S246" s="1">
        <v>724</v>
      </c>
      <c r="T246" s="1">
        <v>845</v>
      </c>
      <c r="U246" s="1">
        <v>645</v>
      </c>
      <c r="V246" s="1">
        <v>1029</v>
      </c>
      <c r="W246" s="1">
        <v>955</v>
      </c>
      <c r="X246" s="1">
        <v>1039</v>
      </c>
    </row>
    <row r="247" spans="1:24" ht="16.5" customHeight="1" x14ac:dyDescent="0.35">
      <c r="A247" s="29" t="s">
        <v>113</v>
      </c>
    </row>
    <row r="248" spans="1:24" ht="16.5" customHeight="1" x14ac:dyDescent="0.35">
      <c r="A248" s="29" t="s">
        <v>153</v>
      </c>
      <c r="B248" s="1">
        <v>1872</v>
      </c>
      <c r="C248" s="1">
        <v>2096</v>
      </c>
      <c r="D248" s="1">
        <v>1670</v>
      </c>
      <c r="E248" s="1">
        <v>2400</v>
      </c>
      <c r="F248" s="1">
        <v>2350</v>
      </c>
      <c r="G248" s="1">
        <v>2588</v>
      </c>
      <c r="H248" s="1">
        <v>2594</v>
      </c>
      <c r="I248" s="1">
        <v>3094</v>
      </c>
      <c r="J248" s="1">
        <v>2802</v>
      </c>
      <c r="K248" s="1">
        <v>2615</v>
      </c>
      <c r="L248" s="1">
        <v>2763</v>
      </c>
      <c r="M248" s="1">
        <v>2912</v>
      </c>
      <c r="N248" s="1">
        <v>2969</v>
      </c>
      <c r="O248" s="1">
        <v>2349</v>
      </c>
      <c r="P248" s="1">
        <v>2208</v>
      </c>
      <c r="Q248" s="1">
        <v>2407</v>
      </c>
      <c r="R248" s="1">
        <v>2532</v>
      </c>
      <c r="S248" s="1">
        <v>2964</v>
      </c>
      <c r="T248" s="1">
        <v>2751</v>
      </c>
      <c r="U248" s="1">
        <v>2257</v>
      </c>
      <c r="V248" s="1">
        <v>3065</v>
      </c>
      <c r="W248" s="1">
        <v>3182</v>
      </c>
      <c r="X248" s="1">
        <v>3186</v>
      </c>
    </row>
    <row r="249" spans="1:24" ht="16.5" customHeight="1" x14ac:dyDescent="0.35">
      <c r="A249" s="29" t="s">
        <v>115</v>
      </c>
      <c r="B249" s="1">
        <v>1964</v>
      </c>
      <c r="C249" s="1">
        <v>2163</v>
      </c>
      <c r="D249" s="1">
        <v>2262</v>
      </c>
      <c r="E249" s="1">
        <v>2481</v>
      </c>
      <c r="F249" s="1">
        <v>2284</v>
      </c>
      <c r="G249" s="1">
        <v>2506</v>
      </c>
      <c r="H249" s="1">
        <v>2537</v>
      </c>
      <c r="I249" s="1">
        <v>2562</v>
      </c>
      <c r="J249" s="1">
        <v>2624</v>
      </c>
      <c r="K249" s="1">
        <v>2606</v>
      </c>
      <c r="L249" s="1">
        <v>2389</v>
      </c>
      <c r="M249" s="1">
        <v>3033</v>
      </c>
      <c r="N249" s="1">
        <v>2711</v>
      </c>
      <c r="O249" s="1">
        <v>2805</v>
      </c>
      <c r="P249" s="1">
        <v>5864</v>
      </c>
      <c r="Q249" s="1">
        <v>3262</v>
      </c>
      <c r="R249" s="1">
        <v>2703</v>
      </c>
      <c r="S249" s="1">
        <v>3118</v>
      </c>
      <c r="T249" s="1">
        <v>3707</v>
      </c>
      <c r="U249" s="1">
        <v>2911</v>
      </c>
      <c r="V249" s="1">
        <v>4328</v>
      </c>
      <c r="W249" s="1">
        <v>5011</v>
      </c>
      <c r="X249" s="1">
        <v>5194</v>
      </c>
    </row>
    <row r="250" spans="1:24" ht="16.5" customHeight="1" x14ac:dyDescent="0.35">
      <c r="A250" s="29" t="s">
        <v>154</v>
      </c>
      <c r="B250" s="1">
        <v>2528</v>
      </c>
      <c r="C250" s="1">
        <v>2897</v>
      </c>
      <c r="D250" s="1">
        <v>1845</v>
      </c>
      <c r="E250" s="1">
        <v>1800</v>
      </c>
      <c r="F250" s="1">
        <v>1724</v>
      </c>
      <c r="G250" s="1">
        <v>1883</v>
      </c>
      <c r="H250" s="1">
        <v>1707</v>
      </c>
      <c r="I250" s="1">
        <v>1763</v>
      </c>
      <c r="J250" s="1">
        <v>1886</v>
      </c>
      <c r="K250" s="1">
        <v>1795</v>
      </c>
      <c r="L250" s="1">
        <v>1876</v>
      </c>
      <c r="M250" s="1">
        <v>1959</v>
      </c>
      <c r="N250" s="1">
        <v>1908</v>
      </c>
      <c r="O250" s="1">
        <v>1940</v>
      </c>
      <c r="P250" s="1">
        <v>2020</v>
      </c>
      <c r="Q250" s="1">
        <v>2365</v>
      </c>
      <c r="R250" s="1">
        <v>2840</v>
      </c>
      <c r="S250" s="1">
        <v>3211</v>
      </c>
      <c r="T250" s="1">
        <v>3706</v>
      </c>
      <c r="U250" s="1">
        <v>2712</v>
      </c>
      <c r="V250" s="1">
        <v>4102</v>
      </c>
      <c r="W250" s="1">
        <v>4193</v>
      </c>
      <c r="X250" s="1">
        <v>4218</v>
      </c>
    </row>
    <row r="251" spans="1:24" ht="16.5" customHeight="1" x14ac:dyDescent="0.35">
      <c r="A251" s="29" t="s">
        <v>155</v>
      </c>
      <c r="B251" s="1">
        <v>10360</v>
      </c>
      <c r="C251" s="1">
        <v>11392</v>
      </c>
      <c r="D251" s="1">
        <v>13160</v>
      </c>
      <c r="E251" s="1">
        <v>13809</v>
      </c>
      <c r="F251" s="1">
        <v>13147</v>
      </c>
      <c r="G251" s="1">
        <v>13216</v>
      </c>
      <c r="H251" s="1">
        <v>14561</v>
      </c>
      <c r="I251" s="1">
        <v>17641</v>
      </c>
      <c r="J251" s="1">
        <v>14613</v>
      </c>
      <c r="K251" s="1">
        <v>14311</v>
      </c>
      <c r="L251" s="1">
        <v>14309</v>
      </c>
      <c r="M251" s="1">
        <v>14053</v>
      </c>
      <c r="N251" s="1">
        <v>14930</v>
      </c>
      <c r="O251" s="1">
        <v>16376</v>
      </c>
      <c r="P251" s="1">
        <v>17793</v>
      </c>
      <c r="Q251" s="1">
        <v>22047</v>
      </c>
      <c r="R251" s="1">
        <v>19091</v>
      </c>
      <c r="S251" s="1">
        <v>23512</v>
      </c>
      <c r="T251" s="1">
        <v>24131</v>
      </c>
      <c r="U251" s="1">
        <v>21891</v>
      </c>
      <c r="V251" s="1">
        <v>27242</v>
      </c>
      <c r="W251" s="1">
        <v>27378</v>
      </c>
      <c r="X251" s="1">
        <v>28139</v>
      </c>
    </row>
    <row r="252" spans="1:24" ht="16.5" customHeight="1" x14ac:dyDescent="0.35">
      <c r="A252" s="29" t="s">
        <v>156</v>
      </c>
      <c r="B252" s="1">
        <v>1365</v>
      </c>
      <c r="C252" s="1">
        <v>1746</v>
      </c>
      <c r="D252" s="1">
        <v>2410</v>
      </c>
      <c r="E252" s="1">
        <v>2592</v>
      </c>
      <c r="F252" s="1">
        <v>2490</v>
      </c>
      <c r="G252" s="1">
        <v>2696</v>
      </c>
      <c r="H252" s="1">
        <v>2503</v>
      </c>
      <c r="I252" s="1">
        <v>2586</v>
      </c>
      <c r="J252" s="1">
        <v>2708</v>
      </c>
      <c r="K252" s="1">
        <v>2708</v>
      </c>
      <c r="L252" s="1">
        <v>2655</v>
      </c>
      <c r="M252" s="1">
        <v>2584</v>
      </c>
      <c r="N252" s="1">
        <v>2739</v>
      </c>
      <c r="O252" s="1">
        <v>2738</v>
      </c>
      <c r="P252" s="1">
        <v>2999</v>
      </c>
      <c r="Q252" s="1">
        <v>3259</v>
      </c>
      <c r="R252" s="1">
        <v>3359</v>
      </c>
      <c r="S252" s="1">
        <v>3858</v>
      </c>
      <c r="T252" s="1">
        <v>4127</v>
      </c>
      <c r="U252" s="1">
        <v>3841</v>
      </c>
      <c r="V252" s="1">
        <v>6287</v>
      </c>
      <c r="W252" s="1">
        <v>4724</v>
      </c>
      <c r="X252" s="1">
        <v>4727</v>
      </c>
    </row>
    <row r="253" spans="1:24" ht="16.5" customHeight="1" x14ac:dyDescent="0.35">
      <c r="A253" s="29" t="s">
        <v>157</v>
      </c>
      <c r="B253" s="1">
        <v>16131</v>
      </c>
      <c r="C253" s="1">
        <v>17591</v>
      </c>
      <c r="D253" s="1">
        <v>19891</v>
      </c>
      <c r="E253" s="1">
        <v>20433</v>
      </c>
      <c r="F253" s="1">
        <v>19880</v>
      </c>
      <c r="G253" s="1">
        <v>22064</v>
      </c>
      <c r="H253" s="1">
        <v>21023</v>
      </c>
      <c r="I253" s="1">
        <v>20642</v>
      </c>
      <c r="J253" s="1">
        <v>21608</v>
      </c>
      <c r="K253" s="1">
        <v>16921</v>
      </c>
      <c r="L253" s="1">
        <v>18294</v>
      </c>
      <c r="M253" s="1">
        <v>18964</v>
      </c>
      <c r="N253" s="1">
        <v>19213</v>
      </c>
      <c r="O253" s="1">
        <v>19645</v>
      </c>
      <c r="P253" s="1">
        <v>19834</v>
      </c>
      <c r="Q253" s="1">
        <v>21770</v>
      </c>
      <c r="R253" s="1">
        <v>22208</v>
      </c>
      <c r="S253" s="1">
        <v>27075</v>
      </c>
      <c r="T253" s="1">
        <v>28524</v>
      </c>
      <c r="U253" s="1">
        <v>24845</v>
      </c>
      <c r="V253" s="1">
        <v>35172</v>
      </c>
      <c r="W253" s="1">
        <v>35251</v>
      </c>
      <c r="X253" s="1">
        <v>36017</v>
      </c>
    </row>
    <row r="254" spans="1:24" ht="16.5" customHeight="1" x14ac:dyDescent="0.35">
      <c r="A254" s="29" t="s">
        <v>158</v>
      </c>
      <c r="B254" s="1">
        <v>2144</v>
      </c>
      <c r="C254" s="1">
        <v>2232</v>
      </c>
      <c r="D254" s="1">
        <v>3120</v>
      </c>
      <c r="E254" s="1">
        <v>3090</v>
      </c>
      <c r="F254" s="1">
        <v>2910</v>
      </c>
      <c r="G254" s="1">
        <v>3420</v>
      </c>
      <c r="H254" s="1">
        <v>3311</v>
      </c>
      <c r="I254" s="1">
        <v>3370</v>
      </c>
      <c r="J254" s="1">
        <v>3285</v>
      </c>
      <c r="K254" s="1">
        <v>3482</v>
      </c>
      <c r="L254" s="1">
        <v>3274</v>
      </c>
      <c r="M254" s="1">
        <v>2627</v>
      </c>
      <c r="N254" s="1">
        <v>2416</v>
      </c>
      <c r="O254" s="1">
        <v>2581</v>
      </c>
      <c r="P254" s="1">
        <v>2666</v>
      </c>
      <c r="Q254" s="1">
        <v>3154</v>
      </c>
      <c r="R254" s="1">
        <v>4566</v>
      </c>
      <c r="S254" s="1">
        <v>3953</v>
      </c>
      <c r="T254" s="1">
        <v>4145</v>
      </c>
      <c r="U254" s="1">
        <v>3604</v>
      </c>
      <c r="V254" s="1">
        <v>4587</v>
      </c>
      <c r="W254" s="1">
        <v>4018</v>
      </c>
      <c r="X254" s="1">
        <v>4116</v>
      </c>
    </row>
    <row r="255" spans="1:24" ht="16.5" customHeight="1" x14ac:dyDescent="0.35">
      <c r="A255" s="29" t="s">
        <v>159</v>
      </c>
      <c r="B255" s="1">
        <v>2278</v>
      </c>
      <c r="C255" s="1">
        <v>2302</v>
      </c>
      <c r="D255" s="1">
        <v>2680</v>
      </c>
      <c r="E255" s="1">
        <v>2584</v>
      </c>
      <c r="F255" s="1">
        <v>2296</v>
      </c>
      <c r="G255" s="1">
        <v>2751</v>
      </c>
      <c r="H255" s="1">
        <v>2671</v>
      </c>
      <c r="I255" s="1">
        <v>2449</v>
      </c>
      <c r="J255" s="1">
        <v>2695</v>
      </c>
      <c r="K255" s="1">
        <v>2463</v>
      </c>
      <c r="L255" s="1">
        <v>2439</v>
      </c>
      <c r="M255" s="1">
        <v>2350</v>
      </c>
      <c r="N255" s="1">
        <v>2308</v>
      </c>
      <c r="O255" s="1">
        <v>2273</v>
      </c>
      <c r="P255" s="1">
        <v>2391</v>
      </c>
      <c r="Q255" s="1">
        <v>2779</v>
      </c>
      <c r="R255" s="1">
        <v>2996</v>
      </c>
      <c r="S255" s="1">
        <v>3691</v>
      </c>
      <c r="T255" s="1">
        <v>3527</v>
      </c>
      <c r="U255" s="1">
        <v>3153</v>
      </c>
      <c r="V255" s="1">
        <v>4226</v>
      </c>
      <c r="W255" s="1">
        <v>4210</v>
      </c>
      <c r="X255" s="1">
        <v>3948</v>
      </c>
    </row>
    <row r="256" spans="1:24" ht="16.5" customHeight="1" x14ac:dyDescent="0.35">
      <c r="A256" s="29" t="s">
        <v>121</v>
      </c>
      <c r="B256" s="1">
        <v>831</v>
      </c>
      <c r="C256" s="1">
        <v>1019</v>
      </c>
      <c r="D256" s="1">
        <v>1000</v>
      </c>
      <c r="E256" s="1">
        <v>1070</v>
      </c>
      <c r="F256" s="1">
        <v>1042</v>
      </c>
      <c r="G256" s="1">
        <v>1082</v>
      </c>
      <c r="H256" s="1">
        <v>1247</v>
      </c>
      <c r="I256" s="1">
        <v>1063</v>
      </c>
      <c r="J256" s="1">
        <v>1054</v>
      </c>
      <c r="K256" s="1">
        <v>1189</v>
      </c>
      <c r="L256" s="1">
        <v>1070</v>
      </c>
      <c r="M256" s="1">
        <v>1175</v>
      </c>
      <c r="N256" s="1">
        <v>1164</v>
      </c>
      <c r="O256" s="1">
        <v>1277</v>
      </c>
      <c r="P256" s="1">
        <v>1379</v>
      </c>
      <c r="Q256" s="1">
        <v>1563</v>
      </c>
      <c r="R256" s="1">
        <v>1752</v>
      </c>
      <c r="S256" s="1">
        <v>2057</v>
      </c>
      <c r="T256" s="1">
        <v>2195</v>
      </c>
      <c r="U256" s="1">
        <v>1841</v>
      </c>
      <c r="V256" s="1">
        <v>2602</v>
      </c>
      <c r="W256" s="1">
        <v>2926</v>
      </c>
      <c r="X256" s="1">
        <v>3009</v>
      </c>
    </row>
    <row r="257" spans="1:24" ht="16.5" customHeight="1" x14ac:dyDescent="0.35">
      <c r="A257" s="29" t="s">
        <v>160</v>
      </c>
      <c r="B257" s="1">
        <v>1954</v>
      </c>
      <c r="C257" s="1">
        <v>2675</v>
      </c>
      <c r="D257" s="1">
        <v>1980</v>
      </c>
      <c r="E257" s="1">
        <v>2049</v>
      </c>
      <c r="F257" s="1">
        <v>2009</v>
      </c>
      <c r="G257" s="1">
        <v>2112</v>
      </c>
      <c r="H257" s="1">
        <v>2673</v>
      </c>
      <c r="I257" s="1">
        <v>2994</v>
      </c>
      <c r="J257" s="1">
        <v>3072</v>
      </c>
      <c r="K257" s="1">
        <v>3178</v>
      </c>
      <c r="L257" s="1">
        <v>3448</v>
      </c>
      <c r="M257" s="1">
        <v>3889</v>
      </c>
      <c r="N257" s="1">
        <v>3702</v>
      </c>
      <c r="O257" s="1">
        <v>3702</v>
      </c>
      <c r="P257" s="1">
        <v>3685</v>
      </c>
      <c r="Q257" s="1">
        <v>4561</v>
      </c>
      <c r="R257" s="1">
        <v>4787</v>
      </c>
      <c r="S257" s="1">
        <v>5213</v>
      </c>
      <c r="T257" s="1">
        <v>6150</v>
      </c>
      <c r="U257" s="1">
        <v>5105</v>
      </c>
      <c r="V257" s="1">
        <v>6287</v>
      </c>
      <c r="W257" s="1">
        <v>6008</v>
      </c>
      <c r="X257" s="1">
        <v>6086</v>
      </c>
    </row>
    <row r="258" spans="1:24" ht="16.5" customHeight="1" x14ac:dyDescent="0.35">
      <c r="A258" s="29" t="s">
        <v>161</v>
      </c>
      <c r="B258" s="1">
        <v>2704</v>
      </c>
      <c r="C258" s="1">
        <v>2679</v>
      </c>
      <c r="D258" s="1">
        <v>2200</v>
      </c>
      <c r="E258" s="1">
        <v>3283</v>
      </c>
      <c r="F258" s="1">
        <v>1442</v>
      </c>
      <c r="G258" s="1">
        <v>2766</v>
      </c>
      <c r="H258" s="1">
        <v>2912</v>
      </c>
      <c r="I258" s="1">
        <v>3339</v>
      </c>
      <c r="J258" s="1">
        <v>3397</v>
      </c>
      <c r="K258" s="1">
        <v>3312</v>
      </c>
      <c r="L258" s="1">
        <v>3600</v>
      </c>
      <c r="M258" s="1">
        <v>3667</v>
      </c>
      <c r="N258" s="1">
        <v>2594</v>
      </c>
      <c r="O258" s="1">
        <v>2684</v>
      </c>
      <c r="P258" s="1">
        <v>2829</v>
      </c>
      <c r="Q258" s="1">
        <v>3411</v>
      </c>
      <c r="R258" s="1">
        <v>3699</v>
      </c>
      <c r="S258" s="1">
        <v>3882</v>
      </c>
      <c r="T258" s="1">
        <v>4261</v>
      </c>
      <c r="U258" s="1">
        <v>3507</v>
      </c>
      <c r="V258" s="1">
        <v>4906</v>
      </c>
      <c r="W258" s="1">
        <v>4694</v>
      </c>
      <c r="X258" s="1">
        <v>4816</v>
      </c>
    </row>
    <row r="259" spans="1:24" ht="16.5" customHeight="1" x14ac:dyDescent="0.35">
      <c r="A259" s="29" t="s">
        <v>162</v>
      </c>
      <c r="P259" s="1">
        <v>1531</v>
      </c>
      <c r="Q259" s="1">
        <v>1676</v>
      </c>
      <c r="R259" s="1">
        <v>1516</v>
      </c>
      <c r="S259" s="1">
        <v>1819</v>
      </c>
      <c r="T259" s="1">
        <v>2052</v>
      </c>
      <c r="U259" s="1">
        <v>1577</v>
      </c>
      <c r="V259" s="1">
        <v>1956</v>
      </c>
      <c r="W259" s="1">
        <v>2144</v>
      </c>
      <c r="X259" s="1">
        <v>1916</v>
      </c>
    </row>
    <row r="260" spans="1:24" ht="16.5" customHeight="1" x14ac:dyDescent="0.35">
      <c r="A260" s="29" t="s">
        <v>163</v>
      </c>
      <c r="Q260" s="1">
        <v>443</v>
      </c>
      <c r="R260" s="1">
        <v>2748</v>
      </c>
      <c r="S260" s="1">
        <v>2996</v>
      </c>
      <c r="T260" s="1">
        <v>3282</v>
      </c>
      <c r="U260" s="1">
        <v>2799</v>
      </c>
      <c r="V260" s="1">
        <v>3536</v>
      </c>
      <c r="W260" s="1">
        <v>2663</v>
      </c>
      <c r="X260" s="1">
        <v>1035</v>
      </c>
    </row>
    <row r="261" spans="1:24" ht="16.5" customHeight="1" x14ac:dyDescent="0.35">
      <c r="A261" s="29" t="s">
        <v>164</v>
      </c>
      <c r="B261" s="1">
        <v>13680</v>
      </c>
      <c r="C261" s="1">
        <v>13278</v>
      </c>
      <c r="D261" s="1">
        <v>6633</v>
      </c>
      <c r="E261" s="1">
        <v>2937</v>
      </c>
      <c r="G261" s="1">
        <v>78</v>
      </c>
      <c r="I261" s="1">
        <v>0</v>
      </c>
      <c r="J261" s="1">
        <v>30</v>
      </c>
      <c r="K261" s="1">
        <v>1424</v>
      </c>
      <c r="L261" s="1">
        <v>7425</v>
      </c>
      <c r="M261" s="1">
        <v>8052</v>
      </c>
      <c r="N261" s="1">
        <v>7898</v>
      </c>
      <c r="O261" s="1">
        <v>9203</v>
      </c>
      <c r="P261" s="1">
        <v>23150</v>
      </c>
      <c r="Q261" s="1">
        <v>36333</v>
      </c>
      <c r="R261" s="1">
        <v>61105</v>
      </c>
      <c r="S261" s="1">
        <v>72369</v>
      </c>
      <c r="T261" s="1">
        <v>93111</v>
      </c>
      <c r="U261" s="1">
        <v>59340</v>
      </c>
      <c r="V261" s="1">
        <v>48791</v>
      </c>
      <c r="W261" s="1">
        <v>105543</v>
      </c>
      <c r="X261" s="1">
        <v>106338</v>
      </c>
    </row>
    <row r="262" spans="1:24" ht="16.5" customHeight="1" x14ac:dyDescent="0.35">
      <c r="A262" s="29" t="s">
        <v>165</v>
      </c>
      <c r="B262" s="1">
        <v>23403</v>
      </c>
      <c r="C262" s="1">
        <v>22018</v>
      </c>
      <c r="D262" s="1">
        <v>11468</v>
      </c>
      <c r="E262" s="1">
        <v>22848</v>
      </c>
      <c r="F262" s="1">
        <v>15619</v>
      </c>
      <c r="G262" s="1">
        <v>14210</v>
      </c>
      <c r="H262" s="1">
        <v>15653</v>
      </c>
      <c r="I262" s="1">
        <v>23087</v>
      </c>
      <c r="J262" s="1">
        <v>14763</v>
      </c>
      <c r="K262" s="1">
        <v>24300</v>
      </c>
      <c r="L262" s="1">
        <v>22231</v>
      </c>
      <c r="M262" s="1">
        <v>27065</v>
      </c>
      <c r="N262" s="1">
        <v>24326</v>
      </c>
      <c r="O262" s="1">
        <v>44825</v>
      </c>
      <c r="P262" s="1">
        <v>26921</v>
      </c>
      <c r="Q262" s="1">
        <v>46250</v>
      </c>
      <c r="R262" s="1">
        <v>60087</v>
      </c>
      <c r="S262" s="1">
        <v>35797</v>
      </c>
      <c r="T262" s="1">
        <v>55393</v>
      </c>
      <c r="U262" s="1">
        <v>55256</v>
      </c>
      <c r="V262" s="1">
        <v>108575</v>
      </c>
      <c r="W262" s="1">
        <v>66645</v>
      </c>
      <c r="X262" s="1">
        <v>84105</v>
      </c>
    </row>
    <row r="263" spans="1:24" ht="16.5" customHeight="1" x14ac:dyDescent="0.35">
      <c r="A263" s="29" t="s">
        <v>75</v>
      </c>
      <c r="B263" s="1">
        <f t="shared" ref="B263:M263" si="38">SUM(B239:B262)</f>
        <v>91012</v>
      </c>
      <c r="C263" s="1">
        <f t="shared" si="38"/>
        <v>96000</v>
      </c>
      <c r="D263" s="1">
        <f t="shared" si="38"/>
        <v>83014</v>
      </c>
      <c r="E263" s="1">
        <f t="shared" si="38"/>
        <v>94026</v>
      </c>
      <c r="F263" s="1">
        <f t="shared" si="38"/>
        <v>78563</v>
      </c>
      <c r="G263" s="1">
        <f t="shared" si="38"/>
        <v>84252</v>
      </c>
      <c r="H263" s="1">
        <f t="shared" si="38"/>
        <v>85836</v>
      </c>
      <c r="I263" s="1">
        <f t="shared" si="38"/>
        <v>98129</v>
      </c>
      <c r="J263" s="1">
        <f t="shared" si="38"/>
        <v>89032</v>
      </c>
      <c r="K263" s="1">
        <f t="shared" si="38"/>
        <v>95197</v>
      </c>
      <c r="L263" s="1">
        <f t="shared" si="38"/>
        <v>100212</v>
      </c>
      <c r="M263" s="1">
        <f t="shared" si="38"/>
        <v>107320</v>
      </c>
      <c r="N263" s="1">
        <v>105623</v>
      </c>
      <c r="O263" s="1">
        <f t="shared" ref="O263:X263" si="39">SUM(O239:O262)</f>
        <v>130254</v>
      </c>
      <c r="P263" s="1">
        <f t="shared" si="39"/>
        <v>133231</v>
      </c>
      <c r="Q263" s="1">
        <f t="shared" si="39"/>
        <v>174370</v>
      </c>
      <c r="R263" s="1">
        <f t="shared" si="39"/>
        <v>214218</v>
      </c>
      <c r="S263" s="1">
        <f t="shared" si="39"/>
        <v>217566</v>
      </c>
      <c r="T263" s="1">
        <f t="shared" si="39"/>
        <v>264524</v>
      </c>
      <c r="U263" s="1">
        <f t="shared" si="39"/>
        <v>213618</v>
      </c>
      <c r="V263" s="1">
        <f t="shared" si="39"/>
        <v>293054</v>
      </c>
      <c r="W263" s="1">
        <f t="shared" si="39"/>
        <v>307482</v>
      </c>
      <c r="X263" s="1">
        <f t="shared" si="39"/>
        <v>327721</v>
      </c>
    </row>
    <row r="264" spans="1:24" ht="16.5" customHeight="1" x14ac:dyDescent="0.35"/>
    <row r="265" spans="1:24" ht="16.5" customHeight="1" x14ac:dyDescent="0.35">
      <c r="A265" s="30" t="s">
        <v>338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2"/>
    </row>
    <row r="266" spans="1:24" ht="16.5" customHeight="1" x14ac:dyDescent="0.35">
      <c r="A266" s="29" t="s">
        <v>7</v>
      </c>
    </row>
    <row r="267" spans="1:24" ht="16.5" customHeight="1" x14ac:dyDescent="0.35"/>
    <row r="268" spans="1:24" s="28" customFormat="1" ht="16.5" customHeight="1" x14ac:dyDescent="0.35">
      <c r="A268" s="29" t="s">
        <v>166</v>
      </c>
      <c r="B268" s="28">
        <v>2001</v>
      </c>
      <c r="C268" s="28">
        <v>2002</v>
      </c>
      <c r="D268" s="28">
        <v>2003</v>
      </c>
      <c r="E268" s="28">
        <v>2004</v>
      </c>
      <c r="F268" s="28">
        <v>2005</v>
      </c>
      <c r="G268" s="28">
        <v>2006</v>
      </c>
      <c r="H268" s="28">
        <v>2007</v>
      </c>
      <c r="I268" s="28">
        <v>2008</v>
      </c>
      <c r="J268" s="28">
        <v>2009</v>
      </c>
      <c r="K268" s="28">
        <v>2010</v>
      </c>
      <c r="L268" s="28">
        <v>2011</v>
      </c>
      <c r="M268" s="28">
        <v>2012</v>
      </c>
      <c r="N268" s="28">
        <v>2013</v>
      </c>
      <c r="O268" s="28">
        <v>2014</v>
      </c>
      <c r="P268" s="28">
        <v>2015</v>
      </c>
      <c r="Q268" s="28">
        <v>2016</v>
      </c>
      <c r="R268" s="28">
        <v>2017</v>
      </c>
      <c r="S268" s="28">
        <v>2018</v>
      </c>
      <c r="T268" s="28">
        <v>2019</v>
      </c>
      <c r="U268" s="28">
        <v>2020</v>
      </c>
      <c r="V268" s="28">
        <v>2021</v>
      </c>
      <c r="W268" s="28">
        <v>2022</v>
      </c>
      <c r="X268" s="28">
        <v>2023</v>
      </c>
    </row>
    <row r="269" spans="1:24" ht="16.5" customHeight="1" x14ac:dyDescent="0.35">
      <c r="A269" s="29" t="s">
        <v>167</v>
      </c>
      <c r="B269" s="1">
        <v>22043</v>
      </c>
      <c r="C269" s="1">
        <v>20424</v>
      </c>
      <c r="D269" s="1">
        <v>23233</v>
      </c>
      <c r="E269" s="1">
        <v>26362</v>
      </c>
      <c r="F269" s="1">
        <v>25307</v>
      </c>
      <c r="G269" s="1">
        <v>29545</v>
      </c>
      <c r="H269" s="1">
        <v>28828</v>
      </c>
      <c r="I269" s="1">
        <v>28876</v>
      </c>
      <c r="J269" s="1">
        <v>30406</v>
      </c>
      <c r="K269" s="1">
        <v>32161</v>
      </c>
      <c r="L269" s="1">
        <v>33707</v>
      </c>
      <c r="M269" s="1">
        <v>34163</v>
      </c>
      <c r="N269" s="1">
        <v>34431</v>
      </c>
      <c r="O269" s="1">
        <v>35744</v>
      </c>
      <c r="P269" s="1">
        <v>35379</v>
      </c>
      <c r="Q269" s="1">
        <v>36691</v>
      </c>
      <c r="R269" s="1">
        <v>38197</v>
      </c>
      <c r="S269" s="1">
        <v>49923</v>
      </c>
      <c r="T269" s="1">
        <v>52531</v>
      </c>
      <c r="U269" s="1">
        <v>48476</v>
      </c>
      <c r="V269" s="1">
        <v>61783</v>
      </c>
      <c r="W269" s="1">
        <v>61491</v>
      </c>
      <c r="X269" s="1">
        <v>61819</v>
      </c>
    </row>
    <row r="270" spans="1:24" ht="16.5" customHeight="1" x14ac:dyDescent="0.35">
      <c r="A270" s="29" t="s">
        <v>168</v>
      </c>
      <c r="B270" s="1">
        <v>2312</v>
      </c>
      <c r="C270" s="1">
        <v>2297</v>
      </c>
      <c r="D270" s="1">
        <v>2604</v>
      </c>
      <c r="E270" s="1">
        <v>2133</v>
      </c>
      <c r="F270" s="1">
        <v>2284</v>
      </c>
      <c r="G270" s="1">
        <v>2369</v>
      </c>
      <c r="H270" s="1">
        <v>2803</v>
      </c>
      <c r="I270" s="1">
        <v>2605</v>
      </c>
      <c r="J270" s="1">
        <v>3054</v>
      </c>
      <c r="K270" s="1">
        <v>3059</v>
      </c>
      <c r="L270" s="1">
        <v>3113</v>
      </c>
      <c r="M270" s="1">
        <v>3841</v>
      </c>
      <c r="N270" s="1">
        <v>3526</v>
      </c>
      <c r="O270" s="1">
        <v>3879</v>
      </c>
      <c r="P270" s="1">
        <v>4098</v>
      </c>
      <c r="Q270" s="1">
        <v>4531</v>
      </c>
      <c r="R270" s="1">
        <v>4583</v>
      </c>
      <c r="S270" s="1">
        <v>4715</v>
      </c>
      <c r="T270" s="1">
        <v>5252</v>
      </c>
      <c r="U270" s="1">
        <v>6172</v>
      </c>
      <c r="V270" s="1">
        <v>8190</v>
      </c>
      <c r="W270" s="1">
        <v>9755</v>
      </c>
      <c r="X270" s="1">
        <v>10861</v>
      </c>
    </row>
    <row r="271" spans="1:24" ht="16.5" customHeight="1" x14ac:dyDescent="0.35">
      <c r="A271" s="29" t="s">
        <v>169</v>
      </c>
      <c r="B271" s="1">
        <v>3101</v>
      </c>
      <c r="C271" s="1">
        <v>1222</v>
      </c>
      <c r="D271" s="1">
        <v>288</v>
      </c>
      <c r="E271" s="1">
        <v>26</v>
      </c>
      <c r="F271" s="1">
        <v>6</v>
      </c>
      <c r="G271" s="1">
        <v>58</v>
      </c>
      <c r="H271" s="1">
        <v>6</v>
      </c>
      <c r="I271" s="1">
        <v>56</v>
      </c>
      <c r="J271" s="1">
        <v>59</v>
      </c>
      <c r="K271" s="1">
        <v>59</v>
      </c>
      <c r="L271" s="1">
        <v>50</v>
      </c>
      <c r="M271" s="1">
        <v>69</v>
      </c>
      <c r="N271" s="1">
        <v>86</v>
      </c>
      <c r="O271" s="1">
        <v>118</v>
      </c>
      <c r="P271" s="1">
        <v>121</v>
      </c>
      <c r="Q271" s="1">
        <v>155</v>
      </c>
      <c r="R271" s="1">
        <v>114</v>
      </c>
      <c r="S271" s="1">
        <v>162</v>
      </c>
      <c r="T271" s="1">
        <v>143</v>
      </c>
      <c r="U271" s="1">
        <v>109</v>
      </c>
      <c r="V271" s="1">
        <v>474</v>
      </c>
      <c r="W271" s="1">
        <v>297</v>
      </c>
      <c r="X271" s="1">
        <v>387</v>
      </c>
    </row>
    <row r="272" spans="1:24" ht="16.5" customHeight="1" x14ac:dyDescent="0.35">
      <c r="A272" s="29" t="s">
        <v>170</v>
      </c>
      <c r="B272" s="1">
        <v>1260</v>
      </c>
      <c r="C272" s="1">
        <v>1821</v>
      </c>
      <c r="D272" s="1">
        <v>2426</v>
      </c>
      <c r="E272" s="1">
        <v>1808</v>
      </c>
      <c r="F272" s="1">
        <v>3914</v>
      </c>
      <c r="G272" s="1">
        <v>2403</v>
      </c>
      <c r="H272" s="1">
        <v>1805</v>
      </c>
      <c r="I272" s="1">
        <v>4803</v>
      </c>
      <c r="J272" s="1">
        <v>82</v>
      </c>
      <c r="K272" s="1">
        <v>2204</v>
      </c>
      <c r="L272" s="1">
        <v>2592</v>
      </c>
      <c r="M272" s="1">
        <v>2928</v>
      </c>
      <c r="N272" s="1">
        <v>2810</v>
      </c>
      <c r="O272" s="1">
        <v>2865</v>
      </c>
      <c r="P272" s="1">
        <v>2874</v>
      </c>
      <c r="Q272" s="1">
        <v>2982</v>
      </c>
      <c r="R272" s="1">
        <v>3045</v>
      </c>
      <c r="S272" s="1">
        <v>4145</v>
      </c>
      <c r="T272" s="1">
        <v>4264</v>
      </c>
      <c r="U272" s="1">
        <v>3870</v>
      </c>
      <c r="V272" s="1">
        <v>4955</v>
      </c>
      <c r="W272" s="1">
        <v>4955</v>
      </c>
      <c r="X272" s="1">
        <v>5031</v>
      </c>
    </row>
    <row r="273" spans="1:24" ht="16.5" customHeight="1" x14ac:dyDescent="0.35">
      <c r="A273" s="29" t="s">
        <v>171</v>
      </c>
      <c r="B273" s="1">
        <v>556</v>
      </c>
      <c r="C273" s="1">
        <v>445</v>
      </c>
      <c r="D273" s="1">
        <v>415</v>
      </c>
      <c r="E273" s="1">
        <v>434</v>
      </c>
      <c r="F273" s="1">
        <v>634</v>
      </c>
      <c r="G273" s="1">
        <v>344</v>
      </c>
      <c r="H273" s="1">
        <v>358</v>
      </c>
      <c r="I273" s="1">
        <v>309</v>
      </c>
      <c r="J273" s="1">
        <v>377</v>
      </c>
      <c r="K273" s="1">
        <v>429</v>
      </c>
      <c r="L273" s="1">
        <v>421</v>
      </c>
      <c r="M273" s="1">
        <v>565</v>
      </c>
      <c r="N273" s="1">
        <v>696</v>
      </c>
      <c r="O273" s="1">
        <v>906</v>
      </c>
      <c r="P273" s="1">
        <v>993</v>
      </c>
      <c r="Q273" s="1">
        <v>1127</v>
      </c>
      <c r="R273" s="1">
        <v>1149</v>
      </c>
      <c r="S273" s="1">
        <v>1160</v>
      </c>
      <c r="T273" s="1">
        <v>1287</v>
      </c>
      <c r="U273" s="1">
        <v>1343</v>
      </c>
      <c r="V273" s="1">
        <v>1392</v>
      </c>
      <c r="W273" s="1">
        <v>1632</v>
      </c>
      <c r="X273" s="1">
        <v>1555</v>
      </c>
    </row>
    <row r="274" spans="1:24" ht="16.5" customHeight="1" x14ac:dyDescent="0.35">
      <c r="A274" s="29" t="s">
        <v>172</v>
      </c>
      <c r="B274" s="1">
        <v>384</v>
      </c>
      <c r="C274" s="1">
        <v>6468</v>
      </c>
      <c r="D274" s="1">
        <v>7421</v>
      </c>
      <c r="E274" s="1">
        <v>5983</v>
      </c>
      <c r="F274" s="1">
        <v>5212</v>
      </c>
      <c r="G274" s="1">
        <v>6409</v>
      </c>
      <c r="H274" s="1">
        <v>7985</v>
      </c>
      <c r="I274" s="1">
        <v>8353</v>
      </c>
      <c r="J274" s="1">
        <v>6557</v>
      </c>
      <c r="K274" s="1">
        <v>4180</v>
      </c>
      <c r="L274" s="1">
        <v>7018</v>
      </c>
      <c r="M274" s="1">
        <v>7140</v>
      </c>
      <c r="N274" s="1">
        <v>8365</v>
      </c>
      <c r="O274" s="1">
        <v>7956</v>
      </c>
      <c r="P274" s="1">
        <v>11329</v>
      </c>
      <c r="Q274" s="1">
        <v>11605</v>
      </c>
      <c r="R274" s="1">
        <v>11843</v>
      </c>
      <c r="S274" s="1">
        <v>14913</v>
      </c>
      <c r="T274" s="1">
        <v>15481</v>
      </c>
      <c r="U274" s="1">
        <v>9370</v>
      </c>
      <c r="V274" s="1">
        <v>18827</v>
      </c>
      <c r="W274" s="1">
        <v>23506</v>
      </c>
      <c r="X274" s="1">
        <v>24159</v>
      </c>
    </row>
    <row r="275" spans="1:24" ht="16.5" customHeight="1" x14ac:dyDescent="0.35">
      <c r="A275" s="29" t="s">
        <v>173</v>
      </c>
      <c r="B275" s="1">
        <f t="shared" ref="B275:M275" si="40">SUM(B269:B274)</f>
        <v>29656</v>
      </c>
      <c r="C275" s="1">
        <f t="shared" si="40"/>
        <v>32677</v>
      </c>
      <c r="D275" s="1">
        <f t="shared" si="40"/>
        <v>36387</v>
      </c>
      <c r="E275" s="1">
        <f t="shared" si="40"/>
        <v>36746</v>
      </c>
      <c r="F275" s="1">
        <f t="shared" si="40"/>
        <v>37357</v>
      </c>
      <c r="G275" s="1">
        <f t="shared" si="40"/>
        <v>41128</v>
      </c>
      <c r="H275" s="1">
        <f t="shared" si="40"/>
        <v>41785</v>
      </c>
      <c r="I275" s="1">
        <f t="shared" si="40"/>
        <v>45002</v>
      </c>
      <c r="J275" s="1">
        <f t="shared" si="40"/>
        <v>40535</v>
      </c>
      <c r="K275" s="1">
        <f t="shared" si="40"/>
        <v>42092</v>
      </c>
      <c r="L275" s="1">
        <f t="shared" si="40"/>
        <v>46901</v>
      </c>
      <c r="M275" s="1">
        <f t="shared" si="40"/>
        <v>48706</v>
      </c>
      <c r="N275" s="1">
        <v>49914</v>
      </c>
      <c r="O275" s="1">
        <f t="shared" ref="O275:X275" si="41">SUM(O269:O274)</f>
        <v>51468</v>
      </c>
      <c r="P275" s="1">
        <f t="shared" si="41"/>
        <v>54794</v>
      </c>
      <c r="Q275" s="1">
        <f t="shared" si="41"/>
        <v>57091</v>
      </c>
      <c r="R275" s="1">
        <f t="shared" si="41"/>
        <v>58931</v>
      </c>
      <c r="S275" s="1">
        <f t="shared" si="41"/>
        <v>75018</v>
      </c>
      <c r="T275" s="1">
        <f t="shared" si="41"/>
        <v>78958</v>
      </c>
      <c r="U275" s="1">
        <f t="shared" si="41"/>
        <v>69340</v>
      </c>
      <c r="V275" s="1">
        <f t="shared" si="41"/>
        <v>95621</v>
      </c>
      <c r="W275" s="1">
        <f t="shared" si="41"/>
        <v>101636</v>
      </c>
      <c r="X275" s="1">
        <f t="shared" si="41"/>
        <v>103812</v>
      </c>
    </row>
    <row r="276" spans="1:24" ht="16.5" customHeight="1" x14ac:dyDescent="0.35">
      <c r="A276" s="29" t="s">
        <v>174</v>
      </c>
      <c r="B276" s="1">
        <v>515</v>
      </c>
      <c r="C276" s="1">
        <v>1473</v>
      </c>
      <c r="D276" s="1">
        <v>994</v>
      </c>
      <c r="E276" s="1">
        <v>1107</v>
      </c>
      <c r="F276" s="1">
        <v>1048</v>
      </c>
      <c r="G276" s="1">
        <v>1385</v>
      </c>
      <c r="H276" s="1">
        <v>1481</v>
      </c>
      <c r="I276" s="1">
        <v>1556</v>
      </c>
      <c r="J276" s="1">
        <v>1658</v>
      </c>
      <c r="K276" s="1">
        <v>1651</v>
      </c>
      <c r="L276" s="1">
        <v>1429</v>
      </c>
      <c r="M276" s="1">
        <v>1516</v>
      </c>
      <c r="N276" s="1">
        <v>1679</v>
      </c>
      <c r="O276" s="1">
        <v>1868</v>
      </c>
      <c r="P276" s="1">
        <v>2273</v>
      </c>
      <c r="Q276" s="1">
        <v>2407</v>
      </c>
      <c r="R276" s="1">
        <v>2583</v>
      </c>
      <c r="S276" s="1">
        <v>3049</v>
      </c>
      <c r="T276" s="1">
        <v>2385</v>
      </c>
      <c r="U276" s="1">
        <v>4094</v>
      </c>
      <c r="V276" s="1">
        <v>5757</v>
      </c>
      <c r="W276" s="1">
        <v>5091</v>
      </c>
      <c r="X276" s="1">
        <v>6248</v>
      </c>
    </row>
    <row r="277" spans="1:24" ht="16.5" customHeight="1" x14ac:dyDescent="0.35">
      <c r="A277" s="29" t="s">
        <v>175</v>
      </c>
      <c r="B277" s="1">
        <v>1640</v>
      </c>
      <c r="C277" s="1">
        <v>1728</v>
      </c>
      <c r="D277" s="1">
        <v>1529</v>
      </c>
      <c r="E277" s="1">
        <v>1752</v>
      </c>
      <c r="F277" s="1">
        <v>1203</v>
      </c>
      <c r="G277" s="1">
        <v>1292</v>
      </c>
      <c r="H277" s="1">
        <v>1334</v>
      </c>
      <c r="I277" s="1">
        <v>1426</v>
      </c>
      <c r="J277" s="1">
        <v>1793</v>
      </c>
      <c r="K277" s="1">
        <v>1622</v>
      </c>
      <c r="L277" s="1">
        <v>1740</v>
      </c>
      <c r="M277" s="1">
        <v>2065</v>
      </c>
      <c r="N277" s="1">
        <v>1307</v>
      </c>
      <c r="O277" s="1">
        <v>1634</v>
      </c>
      <c r="P277" s="1">
        <v>1444</v>
      </c>
      <c r="Q277" s="1">
        <v>2042</v>
      </c>
      <c r="R277" s="1">
        <v>1456</v>
      </c>
      <c r="S277" s="1">
        <v>1029</v>
      </c>
      <c r="T277" s="1">
        <v>849</v>
      </c>
      <c r="U277" s="1">
        <v>995</v>
      </c>
      <c r="V277" s="1">
        <v>628</v>
      </c>
      <c r="W277" s="1">
        <v>525</v>
      </c>
      <c r="X277" s="1">
        <v>725</v>
      </c>
    </row>
    <row r="278" spans="1:24" ht="16.5" customHeight="1" x14ac:dyDescent="0.35">
      <c r="A278" s="29" t="s">
        <v>176</v>
      </c>
      <c r="B278" s="1">
        <v>2039</v>
      </c>
      <c r="C278" s="1">
        <v>5171</v>
      </c>
      <c r="D278" s="1">
        <v>3831</v>
      </c>
      <c r="E278" s="1">
        <v>3023</v>
      </c>
      <c r="F278" s="1">
        <v>2705</v>
      </c>
      <c r="G278" s="1">
        <v>2239</v>
      </c>
      <c r="H278" s="1">
        <v>2250</v>
      </c>
      <c r="I278" s="1">
        <v>2309</v>
      </c>
      <c r="J278" s="1">
        <v>2763</v>
      </c>
      <c r="K278" s="1">
        <v>2303</v>
      </c>
      <c r="L278" s="1">
        <v>2175</v>
      </c>
      <c r="M278" s="1">
        <v>2258</v>
      </c>
      <c r="N278" s="1">
        <v>2882</v>
      </c>
      <c r="O278" s="1">
        <v>3413</v>
      </c>
      <c r="P278" s="1">
        <v>4299</v>
      </c>
      <c r="Q278" s="1">
        <v>3669</v>
      </c>
      <c r="R278" s="1">
        <v>3703</v>
      </c>
      <c r="S278" s="1">
        <v>3589</v>
      </c>
      <c r="T278" s="1">
        <v>4964</v>
      </c>
      <c r="U278" s="1">
        <v>555</v>
      </c>
      <c r="V278" s="1">
        <v>632</v>
      </c>
      <c r="W278" s="1">
        <v>4226</v>
      </c>
      <c r="X278" s="1">
        <v>6944</v>
      </c>
    </row>
    <row r="279" spans="1:24" ht="16.5" customHeight="1" x14ac:dyDescent="0.35">
      <c r="A279" s="29" t="s">
        <v>177</v>
      </c>
      <c r="B279" s="1">
        <v>1615</v>
      </c>
      <c r="C279" s="1">
        <v>1810</v>
      </c>
      <c r="D279" s="1">
        <v>2007</v>
      </c>
      <c r="E279" s="1">
        <v>1967</v>
      </c>
      <c r="F279" s="1">
        <v>1700</v>
      </c>
      <c r="G279" s="1">
        <v>2121</v>
      </c>
      <c r="H279" s="1">
        <v>2323</v>
      </c>
      <c r="I279" s="1">
        <v>2970</v>
      </c>
      <c r="J279" s="1">
        <v>3201</v>
      </c>
      <c r="K279" s="1">
        <v>3149</v>
      </c>
      <c r="L279" s="1">
        <v>3144</v>
      </c>
      <c r="M279" s="1">
        <v>3261</v>
      </c>
      <c r="N279" s="1">
        <v>2493</v>
      </c>
      <c r="O279" s="1">
        <v>2938</v>
      </c>
      <c r="P279" s="1">
        <v>2763</v>
      </c>
      <c r="Q279" s="1">
        <v>2839</v>
      </c>
      <c r="R279" s="1">
        <v>3229</v>
      </c>
      <c r="S279" s="1">
        <v>3363</v>
      </c>
      <c r="T279" s="1">
        <v>3748</v>
      </c>
      <c r="U279" s="1">
        <v>3771</v>
      </c>
      <c r="V279" s="1">
        <v>3864</v>
      </c>
      <c r="W279" s="1">
        <v>3911</v>
      </c>
      <c r="X279" s="1">
        <v>3787</v>
      </c>
    </row>
    <row r="280" spans="1:24" ht="16.5" customHeight="1" x14ac:dyDescent="0.35">
      <c r="A280" s="29" t="s">
        <v>178</v>
      </c>
      <c r="B280" s="1">
        <v>1436</v>
      </c>
      <c r="C280" s="1">
        <v>1441</v>
      </c>
      <c r="D280" s="1">
        <v>1441</v>
      </c>
      <c r="E280" s="1">
        <v>1472</v>
      </c>
      <c r="F280" s="1">
        <v>2151</v>
      </c>
      <c r="G280" s="1">
        <v>1862</v>
      </c>
      <c r="H280" s="1">
        <v>1661</v>
      </c>
      <c r="I280" s="1">
        <v>425</v>
      </c>
      <c r="J280" s="1">
        <v>3087</v>
      </c>
      <c r="K280" s="1">
        <v>2144</v>
      </c>
      <c r="L280" s="1">
        <v>2276</v>
      </c>
      <c r="M280" s="1">
        <v>2304</v>
      </c>
      <c r="N280" s="1">
        <v>2966</v>
      </c>
      <c r="O280" s="1">
        <v>2907</v>
      </c>
      <c r="P280" s="1">
        <v>2816</v>
      </c>
      <c r="Q280" s="1">
        <v>3893</v>
      </c>
      <c r="R280" s="1">
        <v>4305</v>
      </c>
      <c r="S280" s="1">
        <v>4274</v>
      </c>
      <c r="T280" s="1">
        <v>4229</v>
      </c>
      <c r="U280" s="1">
        <v>0</v>
      </c>
      <c r="V280" s="1">
        <v>7826</v>
      </c>
      <c r="W280" s="1">
        <v>7419</v>
      </c>
      <c r="X280" s="1">
        <v>7875</v>
      </c>
    </row>
    <row r="281" spans="1:24" ht="16.5" customHeight="1" x14ac:dyDescent="0.35">
      <c r="A281" s="29" t="s">
        <v>179</v>
      </c>
      <c r="B281" s="1">
        <f t="shared" ref="B281:K281" si="42">SUM(B276:B280)</f>
        <v>7245</v>
      </c>
      <c r="C281" s="1">
        <f t="shared" si="42"/>
        <v>11623</v>
      </c>
      <c r="D281" s="1">
        <f t="shared" si="42"/>
        <v>9802</v>
      </c>
      <c r="E281" s="1">
        <f t="shared" si="42"/>
        <v>9321</v>
      </c>
      <c r="F281" s="1">
        <f t="shared" si="42"/>
        <v>8807</v>
      </c>
      <c r="G281" s="1">
        <f t="shared" si="42"/>
        <v>8899</v>
      </c>
      <c r="H281" s="1">
        <f t="shared" si="42"/>
        <v>9049</v>
      </c>
      <c r="I281" s="1">
        <f t="shared" si="42"/>
        <v>8686</v>
      </c>
      <c r="J281" s="1">
        <f t="shared" si="42"/>
        <v>12502</v>
      </c>
      <c r="K281" s="1">
        <f t="shared" si="42"/>
        <v>10869</v>
      </c>
      <c r="L281" s="1">
        <v>10764</v>
      </c>
      <c r="M281" s="1">
        <f>SUM(M276:M280)</f>
        <v>11404</v>
      </c>
      <c r="N281" s="1">
        <v>11327</v>
      </c>
      <c r="O281" s="1">
        <f t="shared" ref="O281:X281" si="43">SUM(O276:O280)</f>
        <v>12760</v>
      </c>
      <c r="P281" s="1">
        <f t="shared" si="43"/>
        <v>13595</v>
      </c>
      <c r="Q281" s="1">
        <f t="shared" si="43"/>
        <v>14850</v>
      </c>
      <c r="R281" s="1">
        <f t="shared" si="43"/>
        <v>15276</v>
      </c>
      <c r="S281" s="1">
        <f t="shared" si="43"/>
        <v>15304</v>
      </c>
      <c r="T281" s="1">
        <f t="shared" si="43"/>
        <v>16175</v>
      </c>
      <c r="U281" s="1">
        <f t="shared" si="43"/>
        <v>9415</v>
      </c>
      <c r="V281" s="1">
        <f t="shared" si="43"/>
        <v>18707</v>
      </c>
      <c r="W281" s="1">
        <f t="shared" si="43"/>
        <v>21172</v>
      </c>
      <c r="X281" s="1">
        <f t="shared" si="43"/>
        <v>25579</v>
      </c>
    </row>
    <row r="282" spans="1:24" ht="16.5" customHeight="1" x14ac:dyDescent="0.35">
      <c r="A282" s="29" t="s">
        <v>180</v>
      </c>
      <c r="B282" s="1">
        <v>110</v>
      </c>
      <c r="C282" s="1">
        <v>131</v>
      </c>
      <c r="D282" s="1">
        <v>105</v>
      </c>
      <c r="E282" s="1">
        <v>57</v>
      </c>
      <c r="F282" s="1">
        <v>120</v>
      </c>
      <c r="G282" s="1">
        <v>83</v>
      </c>
      <c r="H282" s="1">
        <v>68</v>
      </c>
      <c r="I282" s="1">
        <v>143</v>
      </c>
      <c r="J282" s="1">
        <v>166</v>
      </c>
      <c r="K282" s="1">
        <v>131</v>
      </c>
      <c r="L282" s="1">
        <v>148</v>
      </c>
      <c r="M282" s="1">
        <v>142</v>
      </c>
      <c r="N282" s="1">
        <v>156</v>
      </c>
      <c r="O282" s="1">
        <v>350</v>
      </c>
      <c r="P282" s="1">
        <v>202</v>
      </c>
      <c r="Q282" s="1">
        <v>463</v>
      </c>
      <c r="R282" s="1">
        <v>294</v>
      </c>
      <c r="S282" s="1">
        <v>417</v>
      </c>
      <c r="T282" s="1">
        <v>311</v>
      </c>
      <c r="U282" s="1">
        <v>360</v>
      </c>
      <c r="V282" s="1">
        <v>565</v>
      </c>
      <c r="W282" s="1">
        <v>623</v>
      </c>
      <c r="X282" s="1">
        <v>811</v>
      </c>
    </row>
    <row r="283" spans="1:24" ht="16.5" customHeight="1" x14ac:dyDescent="0.35">
      <c r="A283" s="29" t="s">
        <v>181</v>
      </c>
      <c r="B283" s="1">
        <v>1609</v>
      </c>
      <c r="C283" s="1">
        <v>1413</v>
      </c>
      <c r="D283" s="1">
        <v>1355</v>
      </c>
      <c r="E283" s="1">
        <v>1456</v>
      </c>
      <c r="F283" s="1">
        <v>2949</v>
      </c>
      <c r="G283" s="1">
        <v>473</v>
      </c>
      <c r="H283" s="1">
        <v>0</v>
      </c>
      <c r="I283" s="1">
        <v>23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2035</v>
      </c>
      <c r="U283" s="1">
        <v>758</v>
      </c>
      <c r="V283" s="1">
        <v>1574</v>
      </c>
      <c r="X283" s="1">
        <v>2324</v>
      </c>
    </row>
    <row r="284" spans="1:24" ht="16.5" customHeight="1" x14ac:dyDescent="0.35">
      <c r="A284" s="29" t="s">
        <v>182</v>
      </c>
      <c r="B284" s="1">
        <v>260</v>
      </c>
      <c r="C284" s="1">
        <v>260</v>
      </c>
      <c r="D284" s="1">
        <v>198</v>
      </c>
      <c r="E284" s="1">
        <v>260</v>
      </c>
      <c r="F284" s="1">
        <v>260</v>
      </c>
      <c r="G284" s="1">
        <v>0</v>
      </c>
      <c r="H284" s="1">
        <v>0</v>
      </c>
      <c r="I284" s="1">
        <v>250</v>
      </c>
      <c r="J284" s="1">
        <v>246</v>
      </c>
      <c r="K284" s="1">
        <v>250</v>
      </c>
      <c r="L284" s="1">
        <v>250</v>
      </c>
      <c r="M284" s="1">
        <v>250</v>
      </c>
      <c r="N284" s="1">
        <v>250</v>
      </c>
      <c r="O284" s="1">
        <v>250</v>
      </c>
      <c r="P284" s="1">
        <v>0</v>
      </c>
      <c r="Q284" s="1">
        <v>0</v>
      </c>
      <c r="R284" s="1">
        <v>187</v>
      </c>
      <c r="S284" s="1">
        <v>0</v>
      </c>
      <c r="T284" s="1">
        <v>250</v>
      </c>
      <c r="U284" s="1">
        <v>250</v>
      </c>
      <c r="V284" s="1">
        <v>250</v>
      </c>
      <c r="W284" s="1">
        <v>250</v>
      </c>
      <c r="X284" s="1">
        <v>250</v>
      </c>
    </row>
    <row r="285" spans="1:24" ht="16.5" customHeight="1" x14ac:dyDescent="0.35">
      <c r="A285" s="29" t="s">
        <v>183</v>
      </c>
      <c r="B285" s="1">
        <v>4000</v>
      </c>
      <c r="C285" s="1">
        <v>4000</v>
      </c>
      <c r="D285" s="1">
        <v>1121</v>
      </c>
      <c r="E285" s="1">
        <v>6522</v>
      </c>
      <c r="F285" s="1">
        <v>1285</v>
      </c>
      <c r="G285" s="1">
        <v>6100</v>
      </c>
      <c r="H285" s="1">
        <v>5500</v>
      </c>
      <c r="I285" s="1">
        <v>5400</v>
      </c>
      <c r="J285" s="1">
        <v>5150</v>
      </c>
      <c r="K285" s="1">
        <v>5150</v>
      </c>
      <c r="L285" s="1">
        <v>9050</v>
      </c>
      <c r="M285" s="1">
        <v>6507</v>
      </c>
      <c r="N285" s="1">
        <v>7723</v>
      </c>
      <c r="O285" s="1">
        <v>5311</v>
      </c>
      <c r="P285" s="1">
        <v>7922</v>
      </c>
      <c r="Q285" s="1">
        <v>22794</v>
      </c>
      <c r="R285" s="1">
        <v>32231</v>
      </c>
      <c r="S285" s="1">
        <v>0</v>
      </c>
      <c r="T285" s="1">
        <v>18118</v>
      </c>
      <c r="U285" s="1">
        <v>0</v>
      </c>
      <c r="V285" s="1">
        <v>0</v>
      </c>
      <c r="W285" s="1">
        <v>0</v>
      </c>
      <c r="X285" s="1">
        <v>0</v>
      </c>
    </row>
    <row r="286" spans="1:24" ht="16.5" customHeight="1" x14ac:dyDescent="0.35">
      <c r="A286" s="29" t="s">
        <v>184</v>
      </c>
      <c r="B286" s="1">
        <v>850</v>
      </c>
      <c r="C286" s="1">
        <v>800</v>
      </c>
      <c r="D286" s="1">
        <v>480</v>
      </c>
      <c r="E286" s="1">
        <v>480</v>
      </c>
      <c r="F286" s="1">
        <v>480</v>
      </c>
      <c r="G286" s="1">
        <v>480</v>
      </c>
      <c r="H286" s="1">
        <v>480</v>
      </c>
      <c r="I286" s="1">
        <v>984</v>
      </c>
      <c r="J286" s="1">
        <v>480</v>
      </c>
      <c r="K286" s="1">
        <v>480</v>
      </c>
      <c r="L286" s="1">
        <v>480</v>
      </c>
      <c r="M286" s="1">
        <v>480</v>
      </c>
      <c r="N286" s="1">
        <v>480</v>
      </c>
      <c r="O286" s="1">
        <v>480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14</v>
      </c>
      <c r="V286" s="1">
        <v>0</v>
      </c>
      <c r="W286" s="1">
        <v>0</v>
      </c>
      <c r="X286" s="1">
        <v>0</v>
      </c>
    </row>
    <row r="287" spans="1:24" ht="16.5" customHeight="1" x14ac:dyDescent="0.35">
      <c r="A287" s="29" t="s">
        <v>185</v>
      </c>
      <c r="B287" s="1">
        <v>790</v>
      </c>
      <c r="C287" s="1">
        <v>0</v>
      </c>
      <c r="D287" s="1">
        <v>989</v>
      </c>
      <c r="E287" s="1">
        <v>0</v>
      </c>
      <c r="F287" s="1">
        <v>0</v>
      </c>
      <c r="G287" s="1">
        <v>0</v>
      </c>
      <c r="H287" s="1">
        <v>2</v>
      </c>
      <c r="I287" s="1">
        <v>122</v>
      </c>
      <c r="J287" s="1">
        <v>0</v>
      </c>
      <c r="K287" s="1">
        <v>1249</v>
      </c>
      <c r="L287" s="1">
        <v>8</v>
      </c>
      <c r="M287" s="1">
        <v>1466</v>
      </c>
      <c r="N287" s="1">
        <v>1425</v>
      </c>
      <c r="O287" s="1">
        <v>5163</v>
      </c>
      <c r="P287" s="1">
        <v>0</v>
      </c>
      <c r="Q287" s="1">
        <v>10</v>
      </c>
      <c r="R287" s="1">
        <v>60</v>
      </c>
      <c r="S287" s="1">
        <v>0</v>
      </c>
      <c r="T287" s="1">
        <v>3355</v>
      </c>
      <c r="U287" s="1">
        <v>3097</v>
      </c>
      <c r="V287" s="1">
        <v>2987</v>
      </c>
      <c r="W287" s="1">
        <v>4491</v>
      </c>
      <c r="X287" s="1">
        <v>5734</v>
      </c>
    </row>
    <row r="288" spans="1:24" ht="16.5" customHeight="1" x14ac:dyDescent="0.35">
      <c r="A288" s="29" t="s">
        <v>186</v>
      </c>
      <c r="B288" s="1">
        <f t="shared" ref="B288:G288" si="44">SUM(B282:B287)</f>
        <v>7619</v>
      </c>
      <c r="C288" s="1">
        <f t="shared" si="44"/>
        <v>6604</v>
      </c>
      <c r="D288" s="1">
        <f t="shared" si="44"/>
        <v>4248</v>
      </c>
      <c r="E288" s="1">
        <f t="shared" si="44"/>
        <v>8775</v>
      </c>
      <c r="F288" s="1">
        <f t="shared" si="44"/>
        <v>5094</v>
      </c>
      <c r="G288" s="1">
        <f t="shared" si="44"/>
        <v>7136</v>
      </c>
      <c r="H288" s="1">
        <f>SUM(H282:H286)</f>
        <v>6048</v>
      </c>
      <c r="I288" s="1">
        <f>SUM(I282:I287)</f>
        <v>6922</v>
      </c>
      <c r="J288" s="1">
        <f>SUM(J282:J287)</f>
        <v>6042</v>
      </c>
      <c r="K288" s="1">
        <f>SUM(K282:K287)</f>
        <v>7260</v>
      </c>
      <c r="L288" s="1">
        <f>SUM(L282:L287)</f>
        <v>9936</v>
      </c>
      <c r="M288" s="1">
        <f>SUM(M282:M287)</f>
        <v>8845</v>
      </c>
      <c r="N288" s="1">
        <v>10034</v>
      </c>
      <c r="O288" s="1">
        <f t="shared" ref="O288:X288" si="45">SUM(O282:O287)</f>
        <v>11554</v>
      </c>
      <c r="P288" s="1">
        <f t="shared" si="45"/>
        <v>8124</v>
      </c>
      <c r="Q288" s="1">
        <f t="shared" si="45"/>
        <v>23267</v>
      </c>
      <c r="R288" s="1">
        <f t="shared" si="45"/>
        <v>32772</v>
      </c>
      <c r="S288" s="1">
        <f t="shared" si="45"/>
        <v>417</v>
      </c>
      <c r="T288" s="1">
        <f t="shared" si="45"/>
        <v>24069</v>
      </c>
      <c r="U288" s="1">
        <f t="shared" si="45"/>
        <v>4479</v>
      </c>
      <c r="V288" s="1">
        <f t="shared" si="45"/>
        <v>5376</v>
      </c>
      <c r="W288" s="1">
        <f t="shared" si="45"/>
        <v>5364</v>
      </c>
      <c r="X288" s="1">
        <f t="shared" si="45"/>
        <v>9119</v>
      </c>
    </row>
    <row r="289" spans="1:24" ht="16.5" customHeight="1" x14ac:dyDescent="0.35">
      <c r="A289" s="29" t="s">
        <v>187</v>
      </c>
      <c r="B289" s="1">
        <v>648</v>
      </c>
      <c r="C289" s="1">
        <v>865</v>
      </c>
      <c r="D289" s="1">
        <v>1153</v>
      </c>
      <c r="E289" s="1">
        <v>1174</v>
      </c>
      <c r="F289" s="1">
        <v>1040</v>
      </c>
      <c r="G289" s="1">
        <v>1209</v>
      </c>
      <c r="H289" s="1">
        <v>1101</v>
      </c>
      <c r="I289" s="1">
        <v>1327</v>
      </c>
      <c r="J289" s="1">
        <v>1187</v>
      </c>
      <c r="K289" s="1">
        <v>1189</v>
      </c>
      <c r="L289" s="1">
        <v>1198</v>
      </c>
      <c r="M289" s="1">
        <v>1138</v>
      </c>
      <c r="N289" s="1">
        <v>1192</v>
      </c>
      <c r="O289" s="1">
        <v>1237</v>
      </c>
      <c r="P289" s="1">
        <v>1945</v>
      </c>
      <c r="Q289" s="1">
        <v>1807</v>
      </c>
      <c r="R289" s="1">
        <v>2539</v>
      </c>
      <c r="S289" s="1">
        <v>2672</v>
      </c>
      <c r="T289" s="1">
        <v>3027</v>
      </c>
      <c r="U289" s="1">
        <v>3352</v>
      </c>
      <c r="V289" s="1">
        <v>3973</v>
      </c>
      <c r="W289" s="1">
        <v>3965</v>
      </c>
      <c r="X289" s="1">
        <v>4924</v>
      </c>
    </row>
    <row r="290" spans="1:24" ht="16.5" customHeight="1" x14ac:dyDescent="0.35">
      <c r="A290" s="29" t="s">
        <v>188</v>
      </c>
      <c r="B290" s="1">
        <v>22</v>
      </c>
      <c r="C290" s="1">
        <v>18</v>
      </c>
      <c r="D290" s="1">
        <v>15</v>
      </c>
      <c r="E290" s="1">
        <v>36</v>
      </c>
      <c r="F290" s="1">
        <v>13</v>
      </c>
      <c r="G290" s="1">
        <v>4</v>
      </c>
      <c r="H290" s="1">
        <v>20</v>
      </c>
      <c r="I290" s="1">
        <v>17</v>
      </c>
      <c r="J290" s="1">
        <v>129</v>
      </c>
      <c r="K290" s="1">
        <v>20</v>
      </c>
      <c r="L290" s="1">
        <v>35</v>
      </c>
      <c r="M290" s="1">
        <v>22</v>
      </c>
      <c r="N290" s="1">
        <v>19</v>
      </c>
      <c r="O290" s="1">
        <v>15</v>
      </c>
      <c r="P290" s="1">
        <v>20</v>
      </c>
      <c r="Q290" s="1">
        <v>21</v>
      </c>
      <c r="R290" s="1">
        <v>14</v>
      </c>
      <c r="S290" s="1">
        <v>19</v>
      </c>
      <c r="T290" s="1">
        <v>23</v>
      </c>
      <c r="U290" s="1">
        <v>10</v>
      </c>
      <c r="V290" s="1">
        <v>0</v>
      </c>
      <c r="W290" s="1">
        <v>1946</v>
      </c>
      <c r="X290" s="1">
        <v>2498</v>
      </c>
    </row>
    <row r="291" spans="1:24" ht="16.5" customHeight="1" x14ac:dyDescent="0.35">
      <c r="A291" s="29" t="s">
        <v>189</v>
      </c>
      <c r="B291" s="1">
        <v>4218</v>
      </c>
      <c r="C291" s="1">
        <v>4423</v>
      </c>
      <c r="D291" s="1">
        <v>4232</v>
      </c>
      <c r="E291" s="1">
        <v>5480</v>
      </c>
      <c r="F291" s="1">
        <v>4338</v>
      </c>
      <c r="G291" s="1">
        <v>4247</v>
      </c>
      <c r="H291" s="1">
        <v>4002</v>
      </c>
      <c r="I291" s="1">
        <v>4229</v>
      </c>
      <c r="J291" s="1">
        <v>3793</v>
      </c>
      <c r="K291" s="1">
        <v>2972</v>
      </c>
      <c r="L291" s="1">
        <v>4147</v>
      </c>
      <c r="M291" s="1">
        <v>5399</v>
      </c>
      <c r="N291" s="1">
        <v>4944</v>
      </c>
      <c r="O291" s="1">
        <v>5816</v>
      </c>
      <c r="P291" s="1">
        <v>2734</v>
      </c>
      <c r="Q291" s="1">
        <v>3042</v>
      </c>
      <c r="R291" s="1">
        <v>3389</v>
      </c>
      <c r="S291" s="1">
        <v>3514</v>
      </c>
      <c r="T291" s="1">
        <v>3786</v>
      </c>
      <c r="U291" s="1">
        <v>9389</v>
      </c>
      <c r="V291" s="1">
        <v>45245</v>
      </c>
      <c r="W291" s="1">
        <v>34660</v>
      </c>
      <c r="X291" s="1">
        <v>36423</v>
      </c>
    </row>
    <row r="292" spans="1:24" ht="16.5" customHeight="1" x14ac:dyDescent="0.35">
      <c r="A292" s="29" t="s">
        <v>190</v>
      </c>
      <c r="B292" s="1">
        <v>1609</v>
      </c>
      <c r="C292" s="1">
        <v>941</v>
      </c>
      <c r="D292" s="1">
        <v>1010</v>
      </c>
      <c r="E292" s="1">
        <v>1099</v>
      </c>
      <c r="F292" s="1">
        <v>1015</v>
      </c>
      <c r="G292" s="1">
        <v>1343</v>
      </c>
      <c r="H292" s="1">
        <v>1496</v>
      </c>
      <c r="I292" s="1">
        <v>1262</v>
      </c>
      <c r="J292" s="1">
        <v>661</v>
      </c>
      <c r="K292" s="1">
        <v>145</v>
      </c>
      <c r="L292" s="1">
        <v>277</v>
      </c>
      <c r="M292" s="1">
        <v>669</v>
      </c>
      <c r="N292" s="1">
        <v>563</v>
      </c>
      <c r="O292" s="1">
        <v>1104</v>
      </c>
      <c r="P292" s="1">
        <v>1506</v>
      </c>
      <c r="Q292" s="1">
        <v>1604</v>
      </c>
      <c r="R292" s="1">
        <v>2605</v>
      </c>
      <c r="S292" s="1">
        <v>1591</v>
      </c>
      <c r="T292" s="1">
        <v>1789</v>
      </c>
      <c r="U292" s="1">
        <v>1643</v>
      </c>
      <c r="V292" s="1">
        <v>1069</v>
      </c>
      <c r="W292" s="1">
        <v>105</v>
      </c>
      <c r="X292" s="1">
        <v>10</v>
      </c>
    </row>
    <row r="293" spans="1:24" ht="16.5" customHeight="1" x14ac:dyDescent="0.35">
      <c r="A293" s="29" t="s">
        <v>191</v>
      </c>
      <c r="B293" s="1">
        <f t="shared" ref="B293:X293" si="46">SUM(B289:B292)</f>
        <v>6497</v>
      </c>
      <c r="C293" s="1">
        <f t="shared" si="46"/>
        <v>6247</v>
      </c>
      <c r="D293" s="1">
        <f t="shared" si="46"/>
        <v>6410</v>
      </c>
      <c r="E293" s="1">
        <f t="shared" si="46"/>
        <v>7789</v>
      </c>
      <c r="F293" s="1">
        <f t="shared" si="46"/>
        <v>6406</v>
      </c>
      <c r="G293" s="1">
        <f t="shared" si="46"/>
        <v>6803</v>
      </c>
      <c r="H293" s="1">
        <f t="shared" si="46"/>
        <v>6619</v>
      </c>
      <c r="I293" s="1">
        <f t="shared" si="46"/>
        <v>6835</v>
      </c>
      <c r="J293" s="1">
        <f t="shared" si="46"/>
        <v>5770</v>
      </c>
      <c r="K293" s="1">
        <f t="shared" si="46"/>
        <v>4326</v>
      </c>
      <c r="L293" s="1">
        <f t="shared" si="46"/>
        <v>5657</v>
      </c>
      <c r="M293" s="1">
        <f t="shared" si="46"/>
        <v>7228</v>
      </c>
      <c r="N293" s="1">
        <f t="shared" si="46"/>
        <v>6718</v>
      </c>
      <c r="O293" s="1">
        <f t="shared" si="46"/>
        <v>8172</v>
      </c>
      <c r="P293" s="1">
        <f t="shared" si="46"/>
        <v>6205</v>
      </c>
      <c r="Q293" s="1">
        <f t="shared" si="46"/>
        <v>6474</v>
      </c>
      <c r="R293" s="1">
        <f t="shared" si="46"/>
        <v>8547</v>
      </c>
      <c r="S293" s="1">
        <f t="shared" si="46"/>
        <v>7796</v>
      </c>
      <c r="T293" s="1">
        <f t="shared" si="46"/>
        <v>8625</v>
      </c>
      <c r="U293" s="1">
        <f t="shared" si="46"/>
        <v>14394</v>
      </c>
      <c r="V293" s="1">
        <f t="shared" si="46"/>
        <v>50287</v>
      </c>
      <c r="W293" s="1">
        <f t="shared" si="46"/>
        <v>40676</v>
      </c>
      <c r="X293" s="1">
        <f t="shared" si="46"/>
        <v>43855</v>
      </c>
    </row>
    <row r="294" spans="1:24" ht="16.5" customHeight="1" x14ac:dyDescent="0.35">
      <c r="A294" s="29" t="s">
        <v>192</v>
      </c>
      <c r="B294" s="1">
        <v>39995</v>
      </c>
      <c r="C294" s="1">
        <v>38849</v>
      </c>
      <c r="D294" s="1">
        <v>26167</v>
      </c>
      <c r="E294" s="1">
        <v>31395</v>
      </c>
      <c r="F294" s="1">
        <v>20899</v>
      </c>
      <c r="G294" s="1">
        <v>20286</v>
      </c>
      <c r="H294" s="1">
        <v>22335</v>
      </c>
      <c r="I294" s="1">
        <v>30684</v>
      </c>
      <c r="J294" s="1">
        <v>24183</v>
      </c>
      <c r="K294" s="1">
        <v>30650</v>
      </c>
      <c r="L294" s="1">
        <v>26954</v>
      </c>
      <c r="M294" s="1">
        <v>31137</v>
      </c>
      <c r="N294" s="1">
        <v>27630</v>
      </c>
      <c r="O294" s="1">
        <v>46300</v>
      </c>
      <c r="P294" s="1">
        <v>50513</v>
      </c>
      <c r="Q294" s="1">
        <v>72688</v>
      </c>
      <c r="R294" s="1">
        <v>98692</v>
      </c>
      <c r="S294" s="1">
        <v>119030</v>
      </c>
      <c r="T294" s="1">
        <v>136697</v>
      </c>
      <c r="U294" s="1">
        <v>115990</v>
      </c>
      <c r="V294" s="1">
        <v>123063</v>
      </c>
      <c r="W294" s="1">
        <v>138634</v>
      </c>
      <c r="X294" s="1">
        <v>145356</v>
      </c>
    </row>
    <row r="295" spans="1:24" ht="16.5" customHeight="1" x14ac:dyDescent="0.35">
      <c r="A295" s="29" t="s">
        <v>193</v>
      </c>
      <c r="B295" s="1">
        <f t="shared" ref="B295:X295" si="47">+B294+B293+B288+B281+B275</f>
        <v>91012</v>
      </c>
      <c r="C295" s="1">
        <f t="shared" si="47"/>
        <v>96000</v>
      </c>
      <c r="D295" s="1">
        <f t="shared" si="47"/>
        <v>83014</v>
      </c>
      <c r="E295" s="1">
        <f t="shared" si="47"/>
        <v>94026</v>
      </c>
      <c r="F295" s="1">
        <f t="shared" si="47"/>
        <v>78563</v>
      </c>
      <c r="G295" s="1">
        <f t="shared" si="47"/>
        <v>84252</v>
      </c>
      <c r="H295" s="1">
        <f t="shared" si="47"/>
        <v>85836</v>
      </c>
      <c r="I295" s="1">
        <f t="shared" si="47"/>
        <v>98129</v>
      </c>
      <c r="J295" s="1">
        <f t="shared" si="47"/>
        <v>89032</v>
      </c>
      <c r="K295" s="1">
        <f t="shared" si="47"/>
        <v>95197</v>
      </c>
      <c r="L295" s="1">
        <f t="shared" si="47"/>
        <v>100212</v>
      </c>
      <c r="M295" s="1">
        <f t="shared" si="47"/>
        <v>107320</v>
      </c>
      <c r="N295" s="1">
        <f t="shared" si="47"/>
        <v>105623</v>
      </c>
      <c r="O295" s="1">
        <f t="shared" si="47"/>
        <v>130254</v>
      </c>
      <c r="P295" s="1">
        <f t="shared" si="47"/>
        <v>133231</v>
      </c>
      <c r="Q295" s="1">
        <f t="shared" si="47"/>
        <v>174370</v>
      </c>
      <c r="R295" s="1">
        <f t="shared" si="47"/>
        <v>214218</v>
      </c>
      <c r="S295" s="1">
        <f t="shared" si="47"/>
        <v>217565</v>
      </c>
      <c r="T295" s="1">
        <f t="shared" si="47"/>
        <v>264524</v>
      </c>
      <c r="U295" s="1">
        <f t="shared" si="47"/>
        <v>213618</v>
      </c>
      <c r="V295" s="1">
        <f t="shared" si="47"/>
        <v>293054</v>
      </c>
      <c r="W295" s="1">
        <f t="shared" si="47"/>
        <v>307482</v>
      </c>
      <c r="X295" s="1">
        <f t="shared" si="47"/>
        <v>327721</v>
      </c>
    </row>
    <row r="296" spans="1:24" ht="16.5" customHeight="1" x14ac:dyDescent="0.35"/>
    <row r="297" spans="1:24" ht="16.5" customHeight="1" x14ac:dyDescent="0.35"/>
    <row r="298" spans="1:24" ht="16.5" customHeight="1" x14ac:dyDescent="0.35">
      <c r="A298" s="30" t="s">
        <v>339</v>
      </c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2"/>
    </row>
    <row r="299" spans="1:24" ht="16.5" customHeight="1" x14ac:dyDescent="0.35">
      <c r="A299" s="29" t="s">
        <v>31</v>
      </c>
    </row>
    <row r="300" spans="1:24" ht="16.5" customHeight="1" x14ac:dyDescent="0.35"/>
    <row r="301" spans="1:24" s="28" customFormat="1" ht="16.5" customHeight="1" x14ac:dyDescent="0.35">
      <c r="A301" s="29"/>
      <c r="B301" s="28">
        <v>2001</v>
      </c>
      <c r="C301" s="28">
        <v>2002</v>
      </c>
      <c r="D301" s="28">
        <v>2003</v>
      </c>
      <c r="E301" s="28">
        <v>2004</v>
      </c>
      <c r="F301" s="28">
        <v>2005</v>
      </c>
      <c r="G301" s="28">
        <v>2006</v>
      </c>
      <c r="H301" s="28">
        <v>2007</v>
      </c>
      <c r="I301" s="28">
        <v>2008</v>
      </c>
      <c r="J301" s="28">
        <v>2009</v>
      </c>
      <c r="K301" s="28">
        <v>2010</v>
      </c>
      <c r="L301" s="28">
        <v>2011</v>
      </c>
      <c r="M301" s="28">
        <v>2012</v>
      </c>
      <c r="N301" s="28">
        <v>2013</v>
      </c>
      <c r="O301" s="28" t="s">
        <v>194</v>
      </c>
      <c r="P301" s="28" t="s">
        <v>195</v>
      </c>
      <c r="Q301" s="28">
        <v>2016</v>
      </c>
      <c r="R301" s="28">
        <v>2017</v>
      </c>
      <c r="S301" s="28">
        <v>2018</v>
      </c>
      <c r="T301" s="28">
        <v>2019</v>
      </c>
      <c r="U301" s="28">
        <v>2020</v>
      </c>
      <c r="V301" s="28">
        <v>2021</v>
      </c>
      <c r="W301" s="28">
        <v>2022</v>
      </c>
      <c r="X301" s="28">
        <v>2023</v>
      </c>
    </row>
    <row r="302" spans="1:24" ht="16.5" customHeight="1" x14ac:dyDescent="0.35">
      <c r="A302" s="29" t="s">
        <v>196</v>
      </c>
      <c r="B302" s="1">
        <v>658003</v>
      </c>
      <c r="C302" s="1">
        <v>635887</v>
      </c>
      <c r="D302" s="1">
        <v>575987</v>
      </c>
      <c r="E302" s="1">
        <v>562577</v>
      </c>
      <c r="F302" s="1">
        <v>589074.56197000004</v>
      </c>
      <c r="G302" s="1">
        <v>646817</v>
      </c>
      <c r="H302" s="1">
        <v>659584</v>
      </c>
      <c r="I302" s="1">
        <v>637336</v>
      </c>
      <c r="J302" s="1">
        <v>561601</v>
      </c>
      <c r="K302" s="1">
        <v>570913</v>
      </c>
      <c r="L302" s="1">
        <v>580916</v>
      </c>
      <c r="M302" s="1">
        <v>578939</v>
      </c>
      <c r="N302" s="1">
        <v>613871</v>
      </c>
      <c r="O302" s="1">
        <v>660916</v>
      </c>
      <c r="P302" s="1">
        <v>678970</v>
      </c>
      <c r="Q302" s="1">
        <v>757110</v>
      </c>
      <c r="R302" s="1">
        <v>446644</v>
      </c>
      <c r="S302" s="1">
        <v>898954</v>
      </c>
      <c r="T302" s="1">
        <v>973207</v>
      </c>
      <c r="U302" s="1">
        <v>1132769</v>
      </c>
      <c r="V302" s="1">
        <v>1177300</v>
      </c>
      <c r="W302" s="1">
        <v>1392249</v>
      </c>
      <c r="X302" s="1">
        <v>1152646</v>
      </c>
    </row>
    <row r="303" spans="1:24" ht="16.5" customHeight="1" x14ac:dyDescent="0.35"/>
    <row r="304" spans="1:24" ht="16.5" customHeight="1" x14ac:dyDescent="0.35">
      <c r="A304" s="29" t="s">
        <v>197</v>
      </c>
      <c r="D304" s="1">
        <v>593707</v>
      </c>
      <c r="E304" s="1">
        <v>581202</v>
      </c>
      <c r="F304" s="1">
        <v>567142</v>
      </c>
      <c r="G304" s="1">
        <v>573474</v>
      </c>
      <c r="H304" s="1">
        <v>622039</v>
      </c>
      <c r="I304" s="1">
        <v>623578</v>
      </c>
      <c r="J304" s="1">
        <v>582447</v>
      </c>
      <c r="K304" s="1">
        <v>600528</v>
      </c>
      <c r="L304" s="1">
        <v>612057</v>
      </c>
      <c r="M304" s="1">
        <v>611278</v>
      </c>
      <c r="N304" s="1">
        <v>601408</v>
      </c>
      <c r="O304" s="1">
        <v>606475</v>
      </c>
      <c r="P304" s="1">
        <v>642330</v>
      </c>
      <c r="Q304" s="1">
        <v>384169</v>
      </c>
      <c r="R304" s="1">
        <v>875332</v>
      </c>
      <c r="S304" s="1">
        <v>948635</v>
      </c>
      <c r="T304" s="1">
        <v>1113706</v>
      </c>
      <c r="U304" s="1">
        <v>975636</v>
      </c>
      <c r="V304" s="1">
        <v>975636</v>
      </c>
      <c r="W304" s="1">
        <v>975636</v>
      </c>
      <c r="X304" s="1">
        <v>975636</v>
      </c>
    </row>
    <row r="305" spans="1:24" ht="16.5" customHeight="1" x14ac:dyDescent="0.35"/>
    <row r="306" spans="1:24" ht="16.5" customHeight="1" x14ac:dyDescent="0.35">
      <c r="A306" s="29" t="s">
        <v>198</v>
      </c>
      <c r="B306" s="1">
        <v>-8415</v>
      </c>
      <c r="C306" s="1">
        <v>-57998</v>
      </c>
      <c r="D306" s="1">
        <v>-5823</v>
      </c>
      <c r="E306" s="1">
        <v>13603.561970000001</v>
      </c>
      <c r="F306" s="1">
        <v>23145</v>
      </c>
      <c r="G306" s="1">
        <v>83658</v>
      </c>
      <c r="H306" s="1">
        <v>48332</v>
      </c>
      <c r="I306" s="1">
        <v>-14704</v>
      </c>
      <c r="J306" s="1">
        <v>37419</v>
      </c>
      <c r="K306" s="1">
        <v>30234</v>
      </c>
      <c r="L306" s="1">
        <v>20510</v>
      </c>
      <c r="M306" s="1">
        <v>29095</v>
      </c>
      <c r="N306" s="1">
        <v>16417</v>
      </c>
      <c r="O306" s="1">
        <v>55824</v>
      </c>
      <c r="P306" s="1">
        <v>121006</v>
      </c>
      <c r="Q306" s="1">
        <v>69986</v>
      </c>
      <c r="R306" s="1">
        <v>-1478</v>
      </c>
      <c r="S306" s="1">
        <v>55858</v>
      </c>
      <c r="T306" s="1">
        <v>15031</v>
      </c>
      <c r="U306" s="1">
        <v>66808</v>
      </c>
      <c r="V306" s="1">
        <v>40135</v>
      </c>
      <c r="W306" s="1">
        <v>42005</v>
      </c>
      <c r="X306" s="1">
        <v>174675</v>
      </c>
    </row>
    <row r="307" spans="1:24" ht="16.5" customHeight="1" x14ac:dyDescent="0.35">
      <c r="A307" s="29" t="s">
        <v>199</v>
      </c>
    </row>
    <row r="308" spans="1:24" ht="16.5" customHeight="1" x14ac:dyDescent="0.35">
      <c r="A308" s="29" t="s">
        <v>200</v>
      </c>
      <c r="K308" s="1">
        <v>5900</v>
      </c>
      <c r="L308" s="1">
        <v>0</v>
      </c>
      <c r="M308" s="1">
        <v>0</v>
      </c>
      <c r="N308" s="1">
        <v>0</v>
      </c>
      <c r="O308" s="1">
        <v>10000</v>
      </c>
      <c r="P308" s="1">
        <v>50000</v>
      </c>
      <c r="Q308" s="1">
        <v>70000</v>
      </c>
      <c r="R308" s="1">
        <v>0</v>
      </c>
      <c r="S308" s="1">
        <v>0</v>
      </c>
      <c r="T308" s="1">
        <v>523</v>
      </c>
      <c r="U308" s="1">
        <v>523</v>
      </c>
      <c r="V308" s="1">
        <v>0</v>
      </c>
      <c r="W308" s="1">
        <v>0</v>
      </c>
      <c r="X308" s="1">
        <v>0</v>
      </c>
    </row>
    <row r="309" spans="1:24" ht="16.5" customHeight="1" x14ac:dyDescent="0.35">
      <c r="A309" s="29" t="s">
        <v>201</v>
      </c>
      <c r="B309" s="1">
        <v>6455</v>
      </c>
      <c r="C309" s="1">
        <v>14274</v>
      </c>
      <c r="D309" s="1">
        <v>13967</v>
      </c>
      <c r="E309" s="1">
        <v>14499.95681</v>
      </c>
      <c r="F309" s="1">
        <v>13491</v>
      </c>
      <c r="G309" s="1">
        <v>18451</v>
      </c>
      <c r="H309" s="1">
        <v>26175</v>
      </c>
      <c r="I309" s="1">
        <v>30186</v>
      </c>
      <c r="J309" s="1">
        <v>17091</v>
      </c>
      <c r="K309" s="1">
        <v>18883</v>
      </c>
      <c r="L309" s="1">
        <v>18144</v>
      </c>
      <c r="M309" s="1">
        <v>17094</v>
      </c>
      <c r="N309" s="1">
        <v>16796</v>
      </c>
      <c r="O309" s="1">
        <v>15152</v>
      </c>
      <c r="P309" s="1">
        <v>12861</v>
      </c>
      <c r="Q309" s="1">
        <v>0</v>
      </c>
      <c r="R309" s="1">
        <v>0</v>
      </c>
      <c r="S309" s="1">
        <v>17440</v>
      </c>
      <c r="T309" s="1">
        <v>14385</v>
      </c>
      <c r="U309" s="1">
        <v>14038</v>
      </c>
      <c r="V309" s="1">
        <v>11651</v>
      </c>
      <c r="W309" s="1">
        <v>10666</v>
      </c>
      <c r="X309" s="1">
        <v>10923</v>
      </c>
    </row>
    <row r="310" spans="1:24" ht="16.5" customHeight="1" x14ac:dyDescent="0.35">
      <c r="A310" s="29" t="s">
        <v>202</v>
      </c>
      <c r="B310" s="1">
        <v>5293</v>
      </c>
      <c r="C310" s="1">
        <v>6065</v>
      </c>
      <c r="D310" s="1">
        <v>6976</v>
      </c>
      <c r="E310" s="1">
        <v>7077.6051600000001</v>
      </c>
      <c r="F310" s="1">
        <v>7514</v>
      </c>
      <c r="G310" s="1">
        <v>3987</v>
      </c>
      <c r="H310" s="1">
        <v>3854</v>
      </c>
      <c r="I310" s="1">
        <v>4051</v>
      </c>
      <c r="J310" s="1">
        <v>4475</v>
      </c>
      <c r="K310" s="1">
        <v>4342</v>
      </c>
      <c r="L310" s="1">
        <v>5260</v>
      </c>
      <c r="M310" s="1">
        <v>5219</v>
      </c>
      <c r="N310" s="1">
        <v>1961</v>
      </c>
      <c r="O310" s="1">
        <v>5565</v>
      </c>
      <c r="P310" s="1">
        <v>6685</v>
      </c>
      <c r="Q310" s="1">
        <v>0</v>
      </c>
      <c r="R310" s="1">
        <v>1</v>
      </c>
      <c r="S310" s="1">
        <v>40297</v>
      </c>
      <c r="T310" s="1">
        <v>3</v>
      </c>
      <c r="U310" s="1">
        <v>38982</v>
      </c>
      <c r="V310" s="1">
        <v>31775</v>
      </c>
      <c r="W310" s="1">
        <v>32133</v>
      </c>
      <c r="X310" s="1">
        <v>41195</v>
      </c>
    </row>
    <row r="311" spans="1:24" ht="16.5" customHeight="1" x14ac:dyDescent="0.35">
      <c r="A311" s="29" t="s">
        <v>203</v>
      </c>
      <c r="B311" s="1">
        <v>-20163</v>
      </c>
      <c r="C311" s="1">
        <v>-78337</v>
      </c>
      <c r="D311" s="1">
        <v>-26766</v>
      </c>
      <c r="E311" s="1">
        <v>-7974</v>
      </c>
      <c r="F311" s="1">
        <v>2140</v>
      </c>
      <c r="G311" s="1">
        <v>61220</v>
      </c>
      <c r="H311" s="1">
        <v>18303</v>
      </c>
      <c r="I311" s="1">
        <v>-48941</v>
      </c>
      <c r="J311" s="1">
        <v>15853</v>
      </c>
      <c r="K311" s="1">
        <v>1109</v>
      </c>
      <c r="L311" s="1">
        <v>-2894</v>
      </c>
      <c r="M311" s="1">
        <v>6782</v>
      </c>
      <c r="N311" s="1">
        <v>-2340</v>
      </c>
      <c r="O311" s="1">
        <v>25107</v>
      </c>
      <c r="P311" s="1">
        <v>51460</v>
      </c>
      <c r="Q311" s="1">
        <v>-14</v>
      </c>
      <c r="R311" s="1">
        <v>-1479</v>
      </c>
      <c r="S311" s="1">
        <v>-1879</v>
      </c>
      <c r="T311" s="1">
        <v>120</v>
      </c>
      <c r="U311" s="1">
        <v>13265</v>
      </c>
      <c r="V311" s="1">
        <v>-3291</v>
      </c>
      <c r="W311" s="1">
        <v>-794</v>
      </c>
      <c r="X311" s="1">
        <v>122557</v>
      </c>
    </row>
    <row r="312" spans="1:24" ht="16.5" customHeight="1" x14ac:dyDescent="0.35"/>
    <row r="313" spans="1:24" ht="16.5" customHeight="1" x14ac:dyDescent="0.35">
      <c r="A313" s="29" t="s">
        <v>204</v>
      </c>
      <c r="U313" s="1">
        <v>131</v>
      </c>
      <c r="V313" s="1">
        <v>13395</v>
      </c>
      <c r="W313" s="1">
        <v>13903</v>
      </c>
      <c r="X313" s="1">
        <v>13109</v>
      </c>
    </row>
    <row r="314" spans="1:24" ht="16.5" customHeight="1" x14ac:dyDescent="0.35">
      <c r="A314" s="29" t="s">
        <v>205</v>
      </c>
      <c r="U314" s="1">
        <v>34622</v>
      </c>
      <c r="V314" s="1">
        <v>81968</v>
      </c>
      <c r="W314" s="1">
        <v>121790</v>
      </c>
      <c r="X314" s="1">
        <v>163724</v>
      </c>
    </row>
    <row r="315" spans="1:24" ht="16.5" customHeight="1" x14ac:dyDescent="0.35"/>
    <row r="316" spans="1:24" ht="16.5" customHeight="1" x14ac:dyDescent="0.35"/>
    <row r="317" spans="1:24" ht="16.5" customHeight="1" x14ac:dyDescent="0.35">
      <c r="A317" s="29" t="s">
        <v>206</v>
      </c>
      <c r="D317" s="1">
        <v>-18624</v>
      </c>
      <c r="E317" s="1">
        <v>21904</v>
      </c>
      <c r="F317" s="1">
        <v>73343</v>
      </c>
      <c r="G317" s="1">
        <v>37545</v>
      </c>
      <c r="H317" s="1">
        <v>13757</v>
      </c>
      <c r="I317" s="1">
        <v>-20846</v>
      </c>
      <c r="J317" s="1">
        <v>-29614</v>
      </c>
      <c r="K317" s="1">
        <v>-31141</v>
      </c>
      <c r="L317" s="1">
        <v>-32339</v>
      </c>
      <c r="M317" s="1">
        <v>12466</v>
      </c>
      <c r="N317" s="1">
        <v>54441</v>
      </c>
      <c r="O317" s="1">
        <v>36641</v>
      </c>
      <c r="P317" s="1">
        <v>-4645</v>
      </c>
      <c r="Q317" s="1">
        <v>-7236</v>
      </c>
      <c r="R317" s="1">
        <v>25839</v>
      </c>
      <c r="S317" s="1">
        <v>-28789</v>
      </c>
      <c r="T317" s="1">
        <v>4312</v>
      </c>
      <c r="U317" s="1">
        <v>141063</v>
      </c>
      <c r="V317" s="1">
        <v>281585</v>
      </c>
      <c r="W317" s="1">
        <v>0</v>
      </c>
      <c r="X317" s="1">
        <v>0</v>
      </c>
    </row>
    <row r="318" spans="1:24" ht="16.5" customHeight="1" x14ac:dyDescent="0.35">
      <c r="A318" s="29" t="s">
        <v>207</v>
      </c>
      <c r="B318" s="1">
        <v>-8415</v>
      </c>
      <c r="C318" s="1">
        <v>-57998</v>
      </c>
      <c r="D318" s="1">
        <v>569260</v>
      </c>
      <c r="E318" s="1">
        <v>616709.56197000004</v>
      </c>
      <c r="F318" s="1">
        <v>663630</v>
      </c>
      <c r="G318" s="1">
        <v>694677</v>
      </c>
      <c r="H318" s="1">
        <v>684128</v>
      </c>
      <c r="I318" s="1">
        <v>588028</v>
      </c>
      <c r="J318" s="1">
        <v>590252</v>
      </c>
      <c r="K318" s="1">
        <v>599621</v>
      </c>
      <c r="L318" s="1">
        <v>600228</v>
      </c>
      <c r="M318" s="1">
        <v>652839</v>
      </c>
      <c r="N318" s="1">
        <v>672266</v>
      </c>
      <c r="O318" s="1">
        <v>698940</v>
      </c>
      <c r="P318" s="1">
        <v>758691</v>
      </c>
      <c r="Q318" s="1">
        <v>446919</v>
      </c>
      <c r="R318" s="1">
        <v>899693</v>
      </c>
      <c r="S318" s="1">
        <v>975704</v>
      </c>
      <c r="T318" s="1">
        <v>1133049</v>
      </c>
      <c r="U318" s="1">
        <v>1218260</v>
      </c>
      <c r="V318" s="1">
        <v>1392719</v>
      </c>
      <c r="W318" s="1">
        <v>1153334</v>
      </c>
      <c r="X318" s="1">
        <v>1327144</v>
      </c>
    </row>
    <row r="319" spans="1:24" ht="16.5" customHeight="1" x14ac:dyDescent="0.35"/>
    <row r="320" spans="1:24" ht="16.5" customHeight="1" x14ac:dyDescent="0.35">
      <c r="A320" s="29" t="s">
        <v>208</v>
      </c>
    </row>
    <row r="321" spans="1:24" ht="16.5" customHeight="1" x14ac:dyDescent="0.35">
      <c r="A321" s="29" t="s">
        <v>209</v>
      </c>
      <c r="B321" s="1">
        <v>13701</v>
      </c>
      <c r="C321" s="1">
        <v>1902</v>
      </c>
      <c r="D321" s="1">
        <v>6683</v>
      </c>
      <c r="E321" s="1">
        <v>27635</v>
      </c>
      <c r="F321" s="1">
        <v>16813</v>
      </c>
      <c r="G321" s="1">
        <v>35093</v>
      </c>
      <c r="H321" s="1">
        <v>46792</v>
      </c>
      <c r="I321" s="1">
        <v>26427</v>
      </c>
      <c r="J321" s="1">
        <v>19339</v>
      </c>
      <c r="K321" s="1">
        <v>18705</v>
      </c>
      <c r="L321" s="1">
        <v>21289</v>
      </c>
      <c r="M321" s="1">
        <v>38968</v>
      </c>
      <c r="N321" s="1">
        <v>11350</v>
      </c>
      <c r="O321" s="1">
        <v>19970</v>
      </c>
      <c r="P321" s="1">
        <v>1581</v>
      </c>
      <c r="Q321" s="1">
        <v>275</v>
      </c>
      <c r="R321" s="1">
        <v>739</v>
      </c>
      <c r="S321" s="1">
        <v>605</v>
      </c>
      <c r="T321" s="1">
        <v>280</v>
      </c>
      <c r="U321" s="1">
        <v>40959</v>
      </c>
      <c r="V321" s="1">
        <v>470</v>
      </c>
      <c r="W321" s="1">
        <v>688</v>
      </c>
      <c r="X321" s="1">
        <v>564</v>
      </c>
    </row>
    <row r="322" spans="1:24" ht="16.5" customHeight="1" x14ac:dyDescent="0.35"/>
    <row r="323" spans="1:24" ht="16.5" customHeight="1" x14ac:dyDescent="0.35">
      <c r="A323" s="29" t="s">
        <v>210</v>
      </c>
      <c r="B323" s="1">
        <v>12600</v>
      </c>
      <c r="C323" s="1">
        <v>0</v>
      </c>
      <c r="D323" s="1">
        <v>5100</v>
      </c>
      <c r="E323" s="1">
        <v>25650</v>
      </c>
      <c r="F323" s="1">
        <v>15000</v>
      </c>
      <c r="G323" s="1">
        <v>33500</v>
      </c>
      <c r="H323" s="1">
        <v>45000</v>
      </c>
      <c r="I323" s="1">
        <v>25000</v>
      </c>
      <c r="J323" s="1">
        <v>18000</v>
      </c>
      <c r="K323" s="1">
        <v>17300</v>
      </c>
      <c r="L323" s="1">
        <v>19700</v>
      </c>
      <c r="M323" s="1">
        <v>37500</v>
      </c>
      <c r="N323" s="1">
        <v>9623</v>
      </c>
      <c r="O323" s="1">
        <v>18370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40000</v>
      </c>
      <c r="V323" s="1">
        <v>0</v>
      </c>
      <c r="W323" s="1">
        <v>0</v>
      </c>
      <c r="X323" s="1">
        <v>0</v>
      </c>
    </row>
    <row r="324" spans="1:24" ht="16.5" customHeight="1" x14ac:dyDescent="0.35">
      <c r="A324" s="29" t="s">
        <v>211</v>
      </c>
      <c r="B324" s="1">
        <v>1101</v>
      </c>
      <c r="C324" s="1">
        <v>1902</v>
      </c>
      <c r="D324" s="1">
        <v>1255</v>
      </c>
      <c r="E324" s="1">
        <v>1544</v>
      </c>
      <c r="F324" s="1">
        <v>1415</v>
      </c>
      <c r="G324" s="1">
        <v>1296</v>
      </c>
      <c r="H324" s="1">
        <v>1464</v>
      </c>
      <c r="I324" s="1">
        <v>1191</v>
      </c>
      <c r="J324" s="1">
        <v>1147</v>
      </c>
      <c r="K324" s="1">
        <v>1243</v>
      </c>
      <c r="L324" s="1">
        <v>1318</v>
      </c>
      <c r="M324" s="1">
        <v>1225</v>
      </c>
      <c r="N324" s="1">
        <v>1471</v>
      </c>
      <c r="O324" s="1">
        <v>1387</v>
      </c>
      <c r="P324" s="1">
        <v>1329</v>
      </c>
      <c r="Q324" s="1">
        <v>275</v>
      </c>
      <c r="R324" s="1">
        <v>739</v>
      </c>
      <c r="S324" s="1">
        <v>604</v>
      </c>
      <c r="T324" s="1">
        <v>267</v>
      </c>
      <c r="U324" s="1">
        <v>480</v>
      </c>
      <c r="V324" s="1">
        <v>235</v>
      </c>
      <c r="W324" s="1">
        <v>381</v>
      </c>
      <c r="X324" s="1">
        <v>267</v>
      </c>
    </row>
    <row r="325" spans="1:24" ht="16.5" customHeight="1" x14ac:dyDescent="0.35">
      <c r="A325" s="29" t="s">
        <v>212</v>
      </c>
      <c r="B325" s="1">
        <v>1101</v>
      </c>
      <c r="C325" s="1">
        <v>1902</v>
      </c>
      <c r="D325" s="1">
        <v>1255</v>
      </c>
      <c r="E325" s="1">
        <v>1544</v>
      </c>
      <c r="F325" s="1">
        <v>1415</v>
      </c>
      <c r="G325" s="1">
        <v>1296</v>
      </c>
      <c r="H325" s="1">
        <v>1464</v>
      </c>
      <c r="I325" s="1">
        <v>1191</v>
      </c>
      <c r="J325" s="1">
        <v>1147</v>
      </c>
      <c r="K325" s="1">
        <v>1243</v>
      </c>
      <c r="L325" s="1">
        <v>1318</v>
      </c>
      <c r="M325" s="1">
        <v>1225</v>
      </c>
      <c r="N325" s="1">
        <v>1471</v>
      </c>
      <c r="O325" s="1">
        <v>1387</v>
      </c>
      <c r="P325" s="1">
        <v>1329</v>
      </c>
      <c r="Q325" s="1">
        <v>275</v>
      </c>
      <c r="R325" s="1">
        <v>739</v>
      </c>
      <c r="S325" s="1">
        <v>604</v>
      </c>
      <c r="T325" s="1">
        <v>267</v>
      </c>
      <c r="U325" s="1">
        <v>480</v>
      </c>
      <c r="V325" s="1">
        <v>235</v>
      </c>
      <c r="W325" s="1">
        <v>381</v>
      </c>
      <c r="X325" s="1">
        <v>267</v>
      </c>
    </row>
    <row r="326" spans="1:24" ht="16.5" customHeight="1" x14ac:dyDescent="0.35">
      <c r="A326" s="29" t="s">
        <v>213</v>
      </c>
    </row>
    <row r="327" spans="1:24" ht="16.5" customHeight="1" x14ac:dyDescent="0.35">
      <c r="A327" s="29" t="s">
        <v>214</v>
      </c>
    </row>
    <row r="328" spans="1:24" ht="16.5" customHeight="1" x14ac:dyDescent="0.35">
      <c r="A328" s="29" t="s">
        <v>215</v>
      </c>
      <c r="D328" s="1">
        <v>328</v>
      </c>
      <c r="E328" s="1">
        <v>441</v>
      </c>
      <c r="F328" s="1">
        <v>398</v>
      </c>
      <c r="G328" s="1">
        <v>297</v>
      </c>
      <c r="H328" s="1">
        <v>328</v>
      </c>
      <c r="I328" s="1">
        <v>236</v>
      </c>
      <c r="J328" s="1">
        <v>192</v>
      </c>
      <c r="K328" s="1">
        <v>162</v>
      </c>
      <c r="L328" s="1">
        <v>271</v>
      </c>
      <c r="M328" s="1">
        <v>243</v>
      </c>
      <c r="N328" s="1">
        <v>256</v>
      </c>
      <c r="O328" s="1">
        <v>213</v>
      </c>
      <c r="P328" s="1">
        <v>252</v>
      </c>
      <c r="Q328" s="1">
        <v>0</v>
      </c>
      <c r="R328" s="1">
        <v>0</v>
      </c>
      <c r="S328" s="1">
        <v>1</v>
      </c>
      <c r="T328" s="1">
        <v>13</v>
      </c>
      <c r="U328" s="1">
        <v>479</v>
      </c>
      <c r="V328" s="1">
        <v>235</v>
      </c>
      <c r="W328" s="1">
        <v>307</v>
      </c>
      <c r="X328" s="1">
        <v>297</v>
      </c>
    </row>
    <row r="329" spans="1:24" ht="16.5" customHeight="1" x14ac:dyDescent="0.35">
      <c r="A329" s="29" t="s">
        <v>216</v>
      </c>
      <c r="B329" s="1">
        <v>635887</v>
      </c>
      <c r="C329" s="1">
        <v>575987</v>
      </c>
      <c r="D329" s="1">
        <v>562577</v>
      </c>
      <c r="E329" s="1">
        <v>589074.56197000004</v>
      </c>
      <c r="F329" s="1">
        <v>646817</v>
      </c>
      <c r="G329" s="1">
        <v>659584</v>
      </c>
      <c r="H329" s="1">
        <v>637336</v>
      </c>
      <c r="I329" s="1">
        <v>561601</v>
      </c>
      <c r="J329" s="1">
        <v>570913</v>
      </c>
      <c r="K329" s="1">
        <v>580916</v>
      </c>
      <c r="L329" s="1">
        <v>578939</v>
      </c>
      <c r="M329" s="1">
        <v>613871</v>
      </c>
      <c r="N329" s="1">
        <v>660916</v>
      </c>
      <c r="O329" s="1">
        <v>678970</v>
      </c>
      <c r="P329" s="1">
        <v>757110</v>
      </c>
      <c r="Q329" s="1">
        <v>446644</v>
      </c>
      <c r="R329" s="1">
        <v>898954</v>
      </c>
      <c r="S329" s="1">
        <v>975099</v>
      </c>
      <c r="T329" s="1">
        <v>1132769</v>
      </c>
      <c r="U329" s="1">
        <v>1177301</v>
      </c>
      <c r="V329" s="1">
        <v>1392249</v>
      </c>
      <c r="W329" s="1">
        <v>1152646</v>
      </c>
      <c r="X329" s="1">
        <v>1326580</v>
      </c>
    </row>
    <row r="330" spans="1:24" ht="16.5" customHeight="1" x14ac:dyDescent="0.35"/>
    <row r="331" spans="1:24" ht="16.5" customHeight="1" x14ac:dyDescent="0.35"/>
    <row r="332" spans="1:24" ht="16.5" customHeight="1" x14ac:dyDescent="0.35"/>
    <row r="333" spans="1:24" ht="16.5" customHeight="1" x14ac:dyDescent="0.35">
      <c r="A333" s="30" t="s">
        <v>340</v>
      </c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2"/>
    </row>
    <row r="334" spans="1:24" ht="16.5" customHeight="1" x14ac:dyDescent="0.35">
      <c r="A334" s="29" t="s">
        <v>31</v>
      </c>
    </row>
    <row r="335" spans="1:24" ht="16.5" customHeight="1" x14ac:dyDescent="0.35"/>
    <row r="336" spans="1:24" s="28" customFormat="1" ht="16.5" customHeight="1" x14ac:dyDescent="0.35">
      <c r="A336" s="29"/>
      <c r="B336" s="28">
        <v>2001</v>
      </c>
      <c r="C336" s="28">
        <v>2002</v>
      </c>
      <c r="D336" s="28">
        <v>2003</v>
      </c>
      <c r="E336" s="28">
        <v>2004</v>
      </c>
      <c r="F336" s="28">
        <v>2005</v>
      </c>
      <c r="G336" s="28">
        <v>2006</v>
      </c>
      <c r="H336" s="28">
        <v>2007</v>
      </c>
      <c r="I336" s="28">
        <v>2008</v>
      </c>
      <c r="J336" s="28">
        <v>2009</v>
      </c>
      <c r="K336" s="28">
        <v>2010</v>
      </c>
      <c r="L336" s="28">
        <v>2011</v>
      </c>
      <c r="M336" s="28">
        <v>2012</v>
      </c>
      <c r="N336" s="28">
        <v>2013</v>
      </c>
      <c r="O336" s="28">
        <v>2014</v>
      </c>
      <c r="P336" s="28">
        <v>2015</v>
      </c>
      <c r="Q336" s="28">
        <v>2016</v>
      </c>
      <c r="R336" s="28">
        <v>2017</v>
      </c>
      <c r="S336" s="28">
        <v>2018</v>
      </c>
      <c r="T336" s="28">
        <v>2019</v>
      </c>
      <c r="U336" s="28">
        <v>2020</v>
      </c>
      <c r="V336" s="28">
        <v>2021</v>
      </c>
      <c r="W336" s="28">
        <v>2022</v>
      </c>
      <c r="X336" s="28">
        <v>2023</v>
      </c>
    </row>
    <row r="337" spans="1:24" ht="16.5" customHeight="1" x14ac:dyDescent="0.35">
      <c r="A337" s="29" t="s">
        <v>217</v>
      </c>
      <c r="B337" s="1">
        <v>392764</v>
      </c>
      <c r="C337" s="1">
        <f t="shared" ref="C337:L337" si="48">+B347</f>
        <v>409720</v>
      </c>
      <c r="D337" s="1">
        <f t="shared" si="48"/>
        <v>425531</v>
      </c>
      <c r="E337" s="1">
        <f t="shared" si="48"/>
        <v>441122</v>
      </c>
      <c r="F337" s="1">
        <f t="shared" si="48"/>
        <v>159043</v>
      </c>
      <c r="G337" s="1">
        <f t="shared" si="48"/>
        <v>164183</v>
      </c>
      <c r="H337" s="1">
        <f t="shared" si="48"/>
        <v>169805</v>
      </c>
      <c r="I337" s="1">
        <f t="shared" si="48"/>
        <v>176806</v>
      </c>
      <c r="J337" s="1">
        <f t="shared" si="48"/>
        <v>184724</v>
      </c>
      <c r="K337" s="1">
        <f t="shared" si="48"/>
        <v>188445</v>
      </c>
      <c r="L337" s="1">
        <f t="shared" si="48"/>
        <v>60611</v>
      </c>
      <c r="M337" s="1">
        <v>60816</v>
      </c>
      <c r="N337" s="1">
        <f>+M347</f>
        <v>59352</v>
      </c>
      <c r="O337" s="1">
        <f>+N347</f>
        <v>59352</v>
      </c>
      <c r="P337" s="1">
        <f>+O347</f>
        <v>59352</v>
      </c>
      <c r="Q337" s="1">
        <v>59352</v>
      </c>
      <c r="R337" s="1">
        <f t="shared" ref="R337:X337" si="49">+Q347</f>
        <v>59352</v>
      </c>
      <c r="S337" s="1">
        <f t="shared" si="49"/>
        <v>59352</v>
      </c>
      <c r="T337" s="1">
        <f t="shared" si="49"/>
        <v>59352</v>
      </c>
      <c r="U337" s="1">
        <f t="shared" si="49"/>
        <v>59352</v>
      </c>
      <c r="V337" s="1">
        <f t="shared" si="49"/>
        <v>59352</v>
      </c>
      <c r="W337" s="1">
        <f t="shared" si="49"/>
        <v>59352</v>
      </c>
      <c r="X337" s="1">
        <f t="shared" si="49"/>
        <v>59352</v>
      </c>
    </row>
    <row r="338" spans="1:24" ht="16.5" customHeight="1" x14ac:dyDescent="0.35">
      <c r="A338" s="29" t="s">
        <v>218</v>
      </c>
    </row>
    <row r="339" spans="1:24" ht="16.5" customHeight="1" x14ac:dyDescent="0.35"/>
    <row r="340" spans="1:24" ht="16.5" customHeight="1" x14ac:dyDescent="0.35">
      <c r="A340" s="29" t="s">
        <v>219</v>
      </c>
      <c r="B340" s="1">
        <v>16956</v>
      </c>
      <c r="C340" s="1">
        <v>15811</v>
      </c>
      <c r="D340" s="1">
        <v>15591</v>
      </c>
      <c r="E340" s="1">
        <v>17921</v>
      </c>
      <c r="F340" s="1">
        <v>5140</v>
      </c>
      <c r="G340" s="1">
        <v>5622</v>
      </c>
      <c r="H340" s="1">
        <v>7001</v>
      </c>
      <c r="I340" s="1">
        <v>7918</v>
      </c>
      <c r="J340" s="1">
        <v>3721</v>
      </c>
      <c r="K340" s="1">
        <v>306162</v>
      </c>
      <c r="L340" s="1">
        <v>0</v>
      </c>
      <c r="M340" s="1">
        <v>1391</v>
      </c>
    </row>
    <row r="341" spans="1:24" ht="16.5" customHeight="1" x14ac:dyDescent="0.35">
      <c r="A341" s="29" t="s">
        <v>220</v>
      </c>
    </row>
    <row r="342" spans="1:24" ht="16.5" customHeight="1" x14ac:dyDescent="0.35"/>
    <row r="343" spans="1:24" ht="16.5" customHeight="1" x14ac:dyDescent="0.35"/>
    <row r="344" spans="1:24" ht="16.5" customHeight="1" x14ac:dyDescent="0.35">
      <c r="A344" s="29" t="s">
        <v>221</v>
      </c>
      <c r="B344" s="1">
        <v>0</v>
      </c>
      <c r="C344" s="1">
        <v>0</v>
      </c>
      <c r="D344" s="1">
        <v>0</v>
      </c>
      <c r="E344" s="1">
        <v>300000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433996</v>
      </c>
      <c r="L344" s="1">
        <v>0</v>
      </c>
      <c r="M344" s="1">
        <v>2855</v>
      </c>
    </row>
    <row r="345" spans="1:24" ht="16.5" customHeight="1" x14ac:dyDescent="0.35"/>
    <row r="346" spans="1:24" ht="16.5" customHeight="1" x14ac:dyDescent="0.35"/>
    <row r="347" spans="1:24" ht="16.5" customHeight="1" x14ac:dyDescent="0.35">
      <c r="A347" s="29" t="s">
        <v>222</v>
      </c>
      <c r="B347" s="1">
        <f>SUM(B337+B339+B340+B341-B344)</f>
        <v>409720</v>
      </c>
      <c r="C347" s="1">
        <f>SUM(C337+C339+C340+C341-C344)</f>
        <v>425531</v>
      </c>
      <c r="D347" s="1">
        <f>SUM(D337+D339+D340+D341-D344)</f>
        <v>441122</v>
      </c>
      <c r="E347" s="1">
        <f>SUM(E337+E340+E341-E344)</f>
        <v>159043</v>
      </c>
      <c r="F347" s="1">
        <f t="shared" ref="F347:P347" si="50">SUM(F337+F339+F340+F341-F344)</f>
        <v>164183</v>
      </c>
      <c r="G347" s="1">
        <f t="shared" si="50"/>
        <v>169805</v>
      </c>
      <c r="H347" s="1">
        <f t="shared" si="50"/>
        <v>176806</v>
      </c>
      <c r="I347" s="1">
        <f t="shared" si="50"/>
        <v>184724</v>
      </c>
      <c r="J347" s="1">
        <f t="shared" si="50"/>
        <v>188445</v>
      </c>
      <c r="K347" s="1">
        <f t="shared" si="50"/>
        <v>60611</v>
      </c>
      <c r="L347" s="1">
        <f t="shared" si="50"/>
        <v>60611</v>
      </c>
      <c r="M347" s="1">
        <f t="shared" si="50"/>
        <v>59352</v>
      </c>
      <c r="N347" s="1">
        <f t="shared" si="50"/>
        <v>59352</v>
      </c>
      <c r="O347" s="1">
        <f t="shared" si="50"/>
        <v>59352</v>
      </c>
      <c r="P347" s="1">
        <f t="shared" si="50"/>
        <v>59352</v>
      </c>
      <c r="Q347" s="1">
        <v>59352</v>
      </c>
      <c r="R347" s="1">
        <f t="shared" ref="R347:X347" si="51">R337</f>
        <v>59352</v>
      </c>
      <c r="S347" s="1">
        <f t="shared" si="51"/>
        <v>59352</v>
      </c>
      <c r="T347" s="1">
        <f t="shared" si="51"/>
        <v>59352</v>
      </c>
      <c r="U347" s="1">
        <f t="shared" si="51"/>
        <v>59352</v>
      </c>
      <c r="V347" s="1">
        <f t="shared" si="51"/>
        <v>59352</v>
      </c>
      <c r="W347" s="1">
        <f t="shared" si="51"/>
        <v>59352</v>
      </c>
      <c r="X347" s="1">
        <f t="shared" si="51"/>
        <v>59352</v>
      </c>
    </row>
    <row r="348" spans="1:24" ht="16.5" customHeight="1" x14ac:dyDescent="0.35"/>
    <row r="349" spans="1:24" ht="16.5" customHeight="1" x14ac:dyDescent="0.35"/>
    <row r="350" spans="1:24" ht="16.5" customHeight="1" x14ac:dyDescent="0.35">
      <c r="A350" s="30" t="s">
        <v>341</v>
      </c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2"/>
    </row>
    <row r="351" spans="1:24" ht="16.5" customHeight="1" x14ac:dyDescent="0.35">
      <c r="A351" s="29" t="s">
        <v>31</v>
      </c>
    </row>
    <row r="352" spans="1:24" s="28" customFormat="1" ht="16.5" customHeight="1" x14ac:dyDescent="0.35">
      <c r="A352" s="29" t="s">
        <v>223</v>
      </c>
      <c r="B352" s="28">
        <v>2001</v>
      </c>
      <c r="C352" s="28">
        <v>2002</v>
      </c>
      <c r="D352" s="28">
        <v>2003</v>
      </c>
      <c r="E352" s="28">
        <v>2004</v>
      </c>
      <c r="F352" s="28">
        <v>2005</v>
      </c>
      <c r="G352" s="28">
        <v>2006</v>
      </c>
      <c r="H352" s="28">
        <v>2007</v>
      </c>
      <c r="I352" s="28">
        <v>2008</v>
      </c>
      <c r="J352" s="28">
        <v>2009</v>
      </c>
      <c r="K352" s="28">
        <v>2010</v>
      </c>
      <c r="L352" s="28">
        <v>2011</v>
      </c>
      <c r="M352" s="28">
        <v>2012</v>
      </c>
      <c r="N352" s="28">
        <v>2013</v>
      </c>
      <c r="O352" s="28">
        <v>2014</v>
      </c>
      <c r="P352" s="28">
        <v>2015</v>
      </c>
      <c r="Q352" s="28">
        <v>2016</v>
      </c>
      <c r="R352" s="28">
        <v>2017</v>
      </c>
      <c r="S352" s="28">
        <v>2018</v>
      </c>
      <c r="T352" s="28">
        <v>2019</v>
      </c>
      <c r="U352" s="28">
        <v>2020</v>
      </c>
      <c r="V352" s="28">
        <v>2021</v>
      </c>
      <c r="W352" s="28">
        <v>2022</v>
      </c>
      <c r="X352" s="28">
        <v>2023</v>
      </c>
    </row>
    <row r="353" spans="1:24" ht="16.5" customHeight="1" x14ac:dyDescent="0.35"/>
    <row r="354" spans="1:24" ht="16.5" customHeight="1" x14ac:dyDescent="0.35">
      <c r="A354" s="29" t="s">
        <v>224</v>
      </c>
      <c r="B354" s="1">
        <v>1200</v>
      </c>
      <c r="C354" s="1">
        <v>145</v>
      </c>
      <c r="D354" s="1">
        <v>162</v>
      </c>
      <c r="E354" s="1">
        <v>183</v>
      </c>
      <c r="F354" s="1">
        <v>22</v>
      </c>
      <c r="G354" s="1">
        <v>0</v>
      </c>
      <c r="H354" s="1">
        <v>14</v>
      </c>
      <c r="I354" s="1">
        <v>10</v>
      </c>
      <c r="J354" s="1">
        <v>0</v>
      </c>
      <c r="O354" s="1">
        <v>0</v>
      </c>
      <c r="W354" s="1">
        <v>5</v>
      </c>
    </row>
    <row r="355" spans="1:24" ht="16.5" customHeight="1" x14ac:dyDescent="0.35">
      <c r="A355" s="29" t="s">
        <v>225</v>
      </c>
      <c r="B355" s="1">
        <v>6000</v>
      </c>
      <c r="C355" s="1">
        <v>7000</v>
      </c>
      <c r="D355" s="1">
        <v>7000</v>
      </c>
      <c r="E355" s="1">
        <v>7966</v>
      </c>
      <c r="F355" s="1">
        <v>8706</v>
      </c>
      <c r="G355" s="1">
        <v>6528</v>
      </c>
      <c r="H355" s="1">
        <v>8217</v>
      </c>
      <c r="I355" s="1">
        <v>10325</v>
      </c>
      <c r="J355" s="1">
        <v>9961</v>
      </c>
      <c r="K355" s="1">
        <v>13937</v>
      </c>
      <c r="L355" s="1">
        <v>15233</v>
      </c>
      <c r="M355" s="1">
        <v>16481</v>
      </c>
      <c r="N355" s="1">
        <v>17461</v>
      </c>
      <c r="O355" s="1">
        <v>30434</v>
      </c>
      <c r="P355" s="1">
        <v>24724</v>
      </c>
      <c r="Q355" s="1">
        <v>39858</v>
      </c>
      <c r="R355" s="1">
        <v>26197</v>
      </c>
      <c r="S355" s="1">
        <v>26599</v>
      </c>
      <c r="T355" s="1">
        <v>29021</v>
      </c>
      <c r="U355" s="1">
        <v>5347</v>
      </c>
      <c r="V355" s="1">
        <v>661</v>
      </c>
      <c r="W355" s="1">
        <v>84</v>
      </c>
      <c r="X355" s="1">
        <v>3999</v>
      </c>
    </row>
    <row r="356" spans="1:24" ht="16.5" customHeight="1" x14ac:dyDescent="0.35">
      <c r="A356" s="29" t="s">
        <v>226</v>
      </c>
      <c r="B356" s="1">
        <v>2244</v>
      </c>
      <c r="C356" s="1">
        <v>3695</v>
      </c>
      <c r="D356" s="1">
        <v>2147</v>
      </c>
      <c r="E356" s="1">
        <v>1867</v>
      </c>
      <c r="F356" s="1">
        <v>3099</v>
      </c>
      <c r="G356" s="1">
        <v>3244</v>
      </c>
      <c r="H356" s="1">
        <v>3240</v>
      </c>
      <c r="I356" s="1">
        <v>3617</v>
      </c>
      <c r="J356" s="1">
        <v>5537</v>
      </c>
      <c r="K356" s="1">
        <v>6023</v>
      </c>
      <c r="L356" s="1">
        <v>5019</v>
      </c>
      <c r="M356" s="1">
        <v>14773</v>
      </c>
      <c r="N356" s="1">
        <v>4226</v>
      </c>
      <c r="O356" s="1">
        <v>19018</v>
      </c>
      <c r="P356" s="1">
        <v>13557</v>
      </c>
      <c r="Q356" s="1">
        <v>4572</v>
      </c>
      <c r="R356" s="1">
        <v>10380</v>
      </c>
      <c r="S356" s="1">
        <v>14196</v>
      </c>
      <c r="T356" s="1">
        <v>13259</v>
      </c>
      <c r="U356" s="1">
        <v>8286</v>
      </c>
      <c r="V356" s="1">
        <v>3930</v>
      </c>
      <c r="X356" s="1">
        <v>3023</v>
      </c>
    </row>
    <row r="357" spans="1:24" ht="16.5" customHeight="1" x14ac:dyDescent="0.35">
      <c r="A357" s="29" t="s">
        <v>227</v>
      </c>
      <c r="B357" s="1">
        <v>195.6</v>
      </c>
      <c r="C357" s="1">
        <v>11760</v>
      </c>
      <c r="D357" s="1">
        <v>69.599999999999994</v>
      </c>
      <c r="E357" s="1">
        <v>17392.8</v>
      </c>
      <c r="F357" s="1">
        <v>10296</v>
      </c>
      <c r="G357" s="1">
        <v>15423.6</v>
      </c>
      <c r="H357" s="1">
        <v>13156.8</v>
      </c>
      <c r="I357" s="1">
        <v>6606</v>
      </c>
      <c r="J357" s="1">
        <v>1940.4</v>
      </c>
      <c r="K357" s="1">
        <v>1452</v>
      </c>
      <c r="L357" s="1">
        <v>1969</v>
      </c>
      <c r="M357" s="1">
        <v>5548</v>
      </c>
      <c r="N357" s="1">
        <v>171</v>
      </c>
      <c r="O357" s="1">
        <v>11814</v>
      </c>
      <c r="P357" s="1">
        <v>30</v>
      </c>
      <c r="Q357" s="1">
        <v>3386</v>
      </c>
      <c r="R357" s="1">
        <v>20691</v>
      </c>
      <c r="S357" s="1">
        <v>23897</v>
      </c>
      <c r="T357" s="1">
        <v>981</v>
      </c>
      <c r="U357" s="1">
        <v>84</v>
      </c>
      <c r="V357" s="1">
        <v>142</v>
      </c>
      <c r="W357" s="1">
        <v>145</v>
      </c>
    </row>
    <row r="358" spans="1:24" ht="16.5" customHeight="1" x14ac:dyDescent="0.35">
      <c r="A358" s="29" t="s">
        <v>228</v>
      </c>
      <c r="B358" s="1">
        <v>140</v>
      </c>
      <c r="C358" s="1">
        <v>4083</v>
      </c>
      <c r="D358" s="1">
        <v>14610</v>
      </c>
      <c r="E358" s="1">
        <v>7600</v>
      </c>
      <c r="U358" s="1">
        <v>1482</v>
      </c>
      <c r="V358" s="1">
        <v>9694</v>
      </c>
      <c r="W358" s="1">
        <v>19331</v>
      </c>
      <c r="X358" s="1">
        <v>569</v>
      </c>
    </row>
    <row r="359" spans="1:24" ht="16.5" customHeight="1" x14ac:dyDescent="0.35">
      <c r="A359" s="29" t="s">
        <v>229</v>
      </c>
      <c r="F359" s="1">
        <v>13223</v>
      </c>
      <c r="G359" s="1">
        <v>10148</v>
      </c>
      <c r="H359" s="1">
        <v>10399</v>
      </c>
      <c r="I359" s="1">
        <v>10425</v>
      </c>
      <c r="J359" s="1">
        <v>12283</v>
      </c>
      <c r="K359" s="1">
        <v>11009</v>
      </c>
      <c r="L359" s="1">
        <v>11114</v>
      </c>
      <c r="M359" s="1">
        <v>7287</v>
      </c>
      <c r="N359" s="1">
        <v>13564</v>
      </c>
      <c r="O359" s="1">
        <v>7571</v>
      </c>
      <c r="P359" s="1">
        <v>9377</v>
      </c>
      <c r="Q359" s="1">
        <v>5810</v>
      </c>
      <c r="R359" s="1">
        <v>11749</v>
      </c>
      <c r="S359" s="1">
        <v>22100</v>
      </c>
      <c r="T359" s="1">
        <v>10000</v>
      </c>
      <c r="V359" s="1">
        <v>439</v>
      </c>
    </row>
    <row r="360" spans="1:24" ht="16.5" customHeight="1" x14ac:dyDescent="0.35">
      <c r="A360" s="29" t="s">
        <v>230</v>
      </c>
      <c r="B360" s="1">
        <v>2000</v>
      </c>
      <c r="C360" s="1">
        <v>3000</v>
      </c>
      <c r="D360" s="1">
        <v>3000</v>
      </c>
      <c r="E360" s="1">
        <v>4000</v>
      </c>
      <c r="F360" s="1">
        <v>6000</v>
      </c>
      <c r="G360" s="1">
        <v>1200</v>
      </c>
      <c r="H360" s="1">
        <v>956</v>
      </c>
      <c r="I360" s="1">
        <v>3717</v>
      </c>
      <c r="J360" s="1">
        <v>4238</v>
      </c>
      <c r="K360" s="1">
        <v>1467</v>
      </c>
      <c r="L360" s="1">
        <v>5644</v>
      </c>
      <c r="M360" s="1">
        <v>3138</v>
      </c>
      <c r="N360" s="1">
        <v>2462</v>
      </c>
      <c r="O360" s="1">
        <v>1050</v>
      </c>
      <c r="P360" s="1">
        <v>8517</v>
      </c>
      <c r="Q360" s="1">
        <v>385</v>
      </c>
      <c r="R360" s="1">
        <v>5586</v>
      </c>
      <c r="S360" s="1">
        <v>21903</v>
      </c>
      <c r="T360" s="1">
        <v>11481</v>
      </c>
      <c r="U360" s="1">
        <v>232</v>
      </c>
      <c r="V360" s="1">
        <v>36</v>
      </c>
      <c r="W360" s="1">
        <v>40</v>
      </c>
    </row>
    <row r="361" spans="1:24" ht="16.5" customHeight="1" x14ac:dyDescent="0.35">
      <c r="A361" s="29" t="s">
        <v>231</v>
      </c>
      <c r="L361" s="1">
        <v>558</v>
      </c>
      <c r="P361" s="1">
        <v>0</v>
      </c>
      <c r="Q361" s="1">
        <v>117</v>
      </c>
      <c r="R361" s="1">
        <v>238</v>
      </c>
      <c r="S361" s="1">
        <v>124</v>
      </c>
      <c r="V361" s="1">
        <v>0</v>
      </c>
    </row>
    <row r="362" spans="1:24" ht="16.5" customHeight="1" x14ac:dyDescent="0.35">
      <c r="A362" s="29" t="s">
        <v>232</v>
      </c>
      <c r="L362" s="1">
        <v>332</v>
      </c>
      <c r="P362" s="1">
        <v>0</v>
      </c>
      <c r="Q362" s="1">
        <v>0</v>
      </c>
      <c r="R362" s="1">
        <v>1333</v>
      </c>
      <c r="S362" s="1">
        <v>1062</v>
      </c>
      <c r="U362" s="1">
        <v>412</v>
      </c>
      <c r="V362" s="1">
        <v>73</v>
      </c>
      <c r="W362" s="1">
        <v>291</v>
      </c>
    </row>
    <row r="363" spans="1:24" ht="16.5" customHeight="1" x14ac:dyDescent="0.35">
      <c r="A363" s="29" t="s">
        <v>233</v>
      </c>
      <c r="P363" s="1">
        <v>222</v>
      </c>
      <c r="Q363" s="1">
        <v>370</v>
      </c>
      <c r="R363" s="1">
        <v>798</v>
      </c>
      <c r="S363" s="1">
        <v>789</v>
      </c>
      <c r="V363" s="1">
        <v>0</v>
      </c>
    </row>
    <row r="364" spans="1:24" ht="16.5" customHeight="1" x14ac:dyDescent="0.35">
      <c r="A364" s="29" t="s">
        <v>234</v>
      </c>
      <c r="P364" s="1">
        <v>123</v>
      </c>
      <c r="Q364" s="1">
        <v>0</v>
      </c>
      <c r="R364" s="1">
        <v>160</v>
      </c>
      <c r="V364" s="1">
        <v>0</v>
      </c>
    </row>
    <row r="365" spans="1:24" ht="16.5" customHeight="1" x14ac:dyDescent="0.35">
      <c r="A365" s="29" t="s">
        <v>235</v>
      </c>
      <c r="B365" s="1">
        <v>2000</v>
      </c>
      <c r="C365" s="1">
        <v>4000</v>
      </c>
      <c r="D365" s="1">
        <v>9000</v>
      </c>
      <c r="E365" s="1">
        <v>6000</v>
      </c>
      <c r="F365" s="1">
        <v>10000</v>
      </c>
      <c r="G365" s="1">
        <v>0</v>
      </c>
      <c r="H365" s="1">
        <v>0</v>
      </c>
      <c r="I365" s="1">
        <v>0</v>
      </c>
      <c r="J365" s="1">
        <v>0</v>
      </c>
      <c r="K365" s="1">
        <v>333</v>
      </c>
      <c r="L365" s="1">
        <v>1169</v>
      </c>
      <c r="M365" s="1">
        <v>278</v>
      </c>
      <c r="N365" s="1">
        <v>2436</v>
      </c>
      <c r="O365" s="1">
        <v>9869</v>
      </c>
      <c r="P365" s="1">
        <v>3279</v>
      </c>
      <c r="Q365" s="1">
        <v>38213</v>
      </c>
      <c r="R365" s="1">
        <v>11267</v>
      </c>
      <c r="S365" s="1">
        <v>33366</v>
      </c>
      <c r="T365" s="1">
        <v>30911</v>
      </c>
      <c r="U365" s="1">
        <v>2066</v>
      </c>
      <c r="V365" s="1">
        <v>1701</v>
      </c>
      <c r="W365" s="1">
        <v>5112</v>
      </c>
      <c r="X365" s="1">
        <v>11603</v>
      </c>
    </row>
    <row r="366" spans="1:24" ht="16.5" customHeight="1" x14ac:dyDescent="0.35">
      <c r="A366" s="29" t="s">
        <v>236</v>
      </c>
      <c r="E366" s="1">
        <v>550</v>
      </c>
      <c r="F366" s="1">
        <v>6208</v>
      </c>
      <c r="G366" s="1">
        <v>1058</v>
      </c>
      <c r="H366" s="1">
        <v>2531</v>
      </c>
      <c r="I366" s="1">
        <v>4379</v>
      </c>
      <c r="J366" s="1">
        <v>3627</v>
      </c>
      <c r="K366" s="1">
        <v>4000</v>
      </c>
      <c r="L366" s="1">
        <v>8812</v>
      </c>
      <c r="M366" s="1">
        <v>11556</v>
      </c>
      <c r="N366" s="1">
        <v>15959</v>
      </c>
      <c r="O366" s="1">
        <v>20013</v>
      </c>
      <c r="P366" s="1">
        <v>15561</v>
      </c>
      <c r="Q366" s="1">
        <v>15336</v>
      </c>
      <c r="R366" s="1">
        <v>19947</v>
      </c>
      <c r="S366" s="1">
        <v>28140</v>
      </c>
      <c r="T366" s="1">
        <v>38476</v>
      </c>
      <c r="U366" s="1">
        <v>0</v>
      </c>
      <c r="V366" s="1">
        <v>0</v>
      </c>
    </row>
    <row r="367" spans="1:24" ht="16.5" customHeight="1" x14ac:dyDescent="0.35">
      <c r="A367" s="29" t="s">
        <v>237</v>
      </c>
      <c r="P367" s="1">
        <v>0</v>
      </c>
      <c r="Q367" s="1">
        <v>0</v>
      </c>
      <c r="U367" s="1">
        <v>0</v>
      </c>
      <c r="V367" s="1">
        <v>0</v>
      </c>
    </row>
    <row r="368" spans="1:24" ht="16.5" customHeight="1" x14ac:dyDescent="0.35">
      <c r="A368" s="29" t="s">
        <v>238</v>
      </c>
      <c r="B368" s="1">
        <v>75</v>
      </c>
      <c r="C368" s="1">
        <v>175</v>
      </c>
      <c r="D368" s="1">
        <v>225</v>
      </c>
      <c r="E368" s="1">
        <v>132</v>
      </c>
      <c r="F368" s="1">
        <v>139</v>
      </c>
      <c r="H368" s="1">
        <v>46</v>
      </c>
      <c r="I368" s="1">
        <v>313</v>
      </c>
      <c r="J368" s="1">
        <v>3479</v>
      </c>
      <c r="K368" s="1">
        <v>204</v>
      </c>
      <c r="M368" s="1">
        <v>543</v>
      </c>
      <c r="N368" s="1">
        <v>601</v>
      </c>
      <c r="O368" s="1">
        <v>614</v>
      </c>
      <c r="P368" s="1">
        <v>549</v>
      </c>
      <c r="Q368" s="1">
        <v>1461</v>
      </c>
      <c r="R368" s="1">
        <v>186</v>
      </c>
      <c r="S368" s="1">
        <v>423</v>
      </c>
      <c r="U368" s="1">
        <v>1161</v>
      </c>
      <c r="V368" s="1">
        <v>881</v>
      </c>
      <c r="W368" s="1">
        <v>805</v>
      </c>
      <c r="X368" s="1">
        <v>665</v>
      </c>
    </row>
    <row r="369" spans="1:24" ht="16.5" customHeight="1" x14ac:dyDescent="0.35">
      <c r="A369" s="29" t="s">
        <v>239</v>
      </c>
      <c r="B369" s="1">
        <v>2000</v>
      </c>
      <c r="C369" s="1">
        <v>0</v>
      </c>
      <c r="D369" s="1">
        <v>156</v>
      </c>
      <c r="E369" s="1">
        <v>636</v>
      </c>
      <c r="F369" s="1">
        <v>682</v>
      </c>
      <c r="G369" s="1">
        <v>300</v>
      </c>
      <c r="H369" s="1">
        <v>360</v>
      </c>
      <c r="I369" s="1">
        <v>667</v>
      </c>
      <c r="J369" s="1">
        <v>3748</v>
      </c>
      <c r="K369" s="1">
        <v>1299</v>
      </c>
      <c r="L369" s="1">
        <v>607</v>
      </c>
      <c r="M369" s="1">
        <v>209</v>
      </c>
      <c r="N369" s="1">
        <v>165</v>
      </c>
      <c r="O369" s="1">
        <v>124</v>
      </c>
      <c r="P369" s="1">
        <v>33</v>
      </c>
      <c r="Q369" s="1">
        <v>204</v>
      </c>
      <c r="R369" s="1">
        <v>361</v>
      </c>
      <c r="S369" s="1">
        <v>436</v>
      </c>
      <c r="T369" s="1">
        <v>1200</v>
      </c>
      <c r="U369" s="1">
        <v>437</v>
      </c>
      <c r="V369" s="1">
        <v>703</v>
      </c>
      <c r="W369" s="1">
        <v>596</v>
      </c>
    </row>
    <row r="370" spans="1:24" ht="16.5" customHeight="1" x14ac:dyDescent="0.35">
      <c r="A370" s="29" t="s">
        <v>240</v>
      </c>
      <c r="B370" s="1">
        <v>489</v>
      </c>
      <c r="C370" s="1">
        <v>100</v>
      </c>
      <c r="D370" s="1">
        <v>225</v>
      </c>
      <c r="E370" s="1">
        <v>47</v>
      </c>
      <c r="F370" s="1">
        <v>112</v>
      </c>
      <c r="G370" s="1">
        <v>0</v>
      </c>
      <c r="H370" s="1">
        <v>39</v>
      </c>
      <c r="I370" s="1">
        <v>0</v>
      </c>
      <c r="J370" s="1">
        <v>668</v>
      </c>
      <c r="K370" s="1">
        <v>500</v>
      </c>
      <c r="L370" s="1">
        <v>189</v>
      </c>
      <c r="M370" s="1">
        <v>90</v>
      </c>
      <c r="N370" s="1">
        <v>333</v>
      </c>
      <c r="O370" s="1">
        <v>68</v>
      </c>
      <c r="P370" s="1">
        <v>65</v>
      </c>
      <c r="Q370" s="1">
        <v>240</v>
      </c>
      <c r="R370" s="1">
        <v>224</v>
      </c>
      <c r="S370" s="1">
        <v>258</v>
      </c>
      <c r="U370" s="1">
        <v>235</v>
      </c>
      <c r="V370" s="1">
        <v>244</v>
      </c>
      <c r="W370" s="1">
        <v>266</v>
      </c>
    </row>
    <row r="371" spans="1:24" ht="16.5" customHeight="1" x14ac:dyDescent="0.35">
      <c r="A371" s="29" t="s">
        <v>241</v>
      </c>
      <c r="B371" s="1">
        <v>489</v>
      </c>
      <c r="C371" s="1">
        <v>853</v>
      </c>
      <c r="D371" s="1">
        <v>831</v>
      </c>
      <c r="E371" s="1">
        <v>1311</v>
      </c>
      <c r="F371" s="1">
        <v>272</v>
      </c>
      <c r="H371" s="1">
        <v>108</v>
      </c>
      <c r="J371" s="1">
        <v>8</v>
      </c>
      <c r="K371" s="1">
        <v>365</v>
      </c>
      <c r="L371" s="1">
        <v>778</v>
      </c>
      <c r="M371" s="1">
        <v>193</v>
      </c>
      <c r="N371" s="1">
        <v>401</v>
      </c>
      <c r="O371" s="1">
        <v>219</v>
      </c>
      <c r="P371" s="1">
        <v>129</v>
      </c>
      <c r="Q371" s="1">
        <v>529</v>
      </c>
      <c r="R371" s="1">
        <v>206</v>
      </c>
      <c r="S371" s="1">
        <v>101</v>
      </c>
      <c r="U371" s="1">
        <v>49</v>
      </c>
      <c r="V371" s="1">
        <v>54</v>
      </c>
      <c r="W371" s="1">
        <v>170</v>
      </c>
      <c r="X371" s="1">
        <v>63</v>
      </c>
    </row>
    <row r="372" spans="1:24" ht="16.5" customHeight="1" x14ac:dyDescent="0.35">
      <c r="A372" s="29" t="s">
        <v>242</v>
      </c>
      <c r="B372" s="1">
        <f t="shared" ref="B372:X372" si="52">SUM(B354:B371)</f>
        <v>16832.599999999999</v>
      </c>
      <c r="C372" s="1">
        <f t="shared" si="52"/>
        <v>34811</v>
      </c>
      <c r="D372" s="1">
        <f t="shared" si="52"/>
        <v>37425.599999999999</v>
      </c>
      <c r="E372" s="1">
        <f t="shared" si="52"/>
        <v>47684.800000000003</v>
      </c>
      <c r="F372" s="1">
        <f t="shared" si="52"/>
        <v>58759</v>
      </c>
      <c r="G372" s="1">
        <f t="shared" si="52"/>
        <v>37901.599999999999</v>
      </c>
      <c r="H372" s="1">
        <f t="shared" si="52"/>
        <v>39066.800000000003</v>
      </c>
      <c r="I372" s="1">
        <f t="shared" si="52"/>
        <v>40059</v>
      </c>
      <c r="J372" s="1">
        <f t="shared" si="52"/>
        <v>45489.4</v>
      </c>
      <c r="K372" s="1">
        <f t="shared" si="52"/>
        <v>40589</v>
      </c>
      <c r="L372" s="1">
        <f t="shared" si="52"/>
        <v>51424</v>
      </c>
      <c r="M372" s="1">
        <f t="shared" si="52"/>
        <v>60096</v>
      </c>
      <c r="N372" s="1">
        <f t="shared" si="52"/>
        <v>57779</v>
      </c>
      <c r="O372" s="1">
        <f t="shared" si="52"/>
        <v>100794</v>
      </c>
      <c r="P372" s="1">
        <f t="shared" si="52"/>
        <v>76166</v>
      </c>
      <c r="Q372" s="1">
        <f t="shared" si="52"/>
        <v>110481</v>
      </c>
      <c r="R372" s="1">
        <f t="shared" si="52"/>
        <v>109323</v>
      </c>
      <c r="S372" s="1">
        <f t="shared" si="52"/>
        <v>173394</v>
      </c>
      <c r="T372" s="1">
        <f t="shared" si="52"/>
        <v>135329</v>
      </c>
      <c r="U372" s="1">
        <f t="shared" si="52"/>
        <v>19791</v>
      </c>
      <c r="V372" s="1">
        <f t="shared" si="52"/>
        <v>18558</v>
      </c>
      <c r="W372" s="1">
        <f t="shared" si="52"/>
        <v>26845</v>
      </c>
      <c r="X372" s="1">
        <f t="shared" si="52"/>
        <v>19922</v>
      </c>
    </row>
    <row r="373" spans="1:24" ht="16.5" customHeight="1" x14ac:dyDescent="0.35">
      <c r="A373" s="29" t="s">
        <v>243</v>
      </c>
      <c r="B373" s="1">
        <v>334</v>
      </c>
      <c r="C373" s="1">
        <v>297</v>
      </c>
      <c r="D373" s="1">
        <v>413</v>
      </c>
      <c r="E373" s="1">
        <v>115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O373" s="1">
        <v>0</v>
      </c>
      <c r="P373" s="1">
        <v>12</v>
      </c>
      <c r="Q373" s="1">
        <v>0</v>
      </c>
      <c r="R373" s="1">
        <v>0</v>
      </c>
      <c r="U373" s="1">
        <v>113</v>
      </c>
      <c r="V373" s="1">
        <v>0</v>
      </c>
    </row>
    <row r="374" spans="1:24" ht="16.5" customHeight="1" x14ac:dyDescent="0.35">
      <c r="A374" s="29" t="s">
        <v>244</v>
      </c>
      <c r="B374" s="1">
        <v>401</v>
      </c>
      <c r="C374" s="1">
        <v>500</v>
      </c>
      <c r="D374" s="1">
        <v>2500</v>
      </c>
      <c r="E374" s="1">
        <v>2500</v>
      </c>
      <c r="F374" s="1">
        <v>2500</v>
      </c>
      <c r="G374" s="1">
        <v>2500</v>
      </c>
      <c r="H374" s="1">
        <v>2500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O374" s="1">
        <v>0</v>
      </c>
      <c r="P374" s="1">
        <v>0</v>
      </c>
      <c r="Q374" s="1">
        <v>0</v>
      </c>
      <c r="R374" s="1">
        <v>0</v>
      </c>
      <c r="V374" s="1">
        <v>0</v>
      </c>
      <c r="X374" s="1">
        <v>2</v>
      </c>
    </row>
    <row r="375" spans="1:24" ht="16.5" customHeight="1" x14ac:dyDescent="0.35">
      <c r="A375" s="29" t="s">
        <v>245</v>
      </c>
      <c r="B375" s="1">
        <v>200</v>
      </c>
      <c r="C375" s="1">
        <v>375</v>
      </c>
      <c r="D375" s="1">
        <v>391</v>
      </c>
      <c r="E375" s="1">
        <v>156</v>
      </c>
      <c r="F375" s="1">
        <v>109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O375" s="1">
        <v>0</v>
      </c>
      <c r="P375" s="1">
        <v>0</v>
      </c>
      <c r="Q375" s="1">
        <v>0</v>
      </c>
      <c r="R375" s="1">
        <v>0</v>
      </c>
      <c r="V375" s="1">
        <v>0</v>
      </c>
    </row>
    <row r="376" spans="1:24" ht="16.5" customHeight="1" x14ac:dyDescent="0.35">
      <c r="A376" s="29" t="s">
        <v>246</v>
      </c>
      <c r="P376" s="1">
        <v>0</v>
      </c>
      <c r="Q376" s="1">
        <v>1</v>
      </c>
      <c r="R376" s="1">
        <v>0</v>
      </c>
      <c r="V376" s="1">
        <v>0</v>
      </c>
    </row>
    <row r="377" spans="1:24" ht="16.5" customHeight="1" x14ac:dyDescent="0.35">
      <c r="A377" s="29" t="s">
        <v>247</v>
      </c>
      <c r="L377" s="1">
        <v>29</v>
      </c>
      <c r="M377" s="1">
        <v>29</v>
      </c>
      <c r="N377" s="1">
        <v>11</v>
      </c>
      <c r="O377" s="1">
        <v>6</v>
      </c>
      <c r="P377" s="1">
        <v>58</v>
      </c>
      <c r="Q377" s="1">
        <v>0</v>
      </c>
      <c r="R377" s="1">
        <v>0</v>
      </c>
      <c r="S377" s="1">
        <v>50</v>
      </c>
      <c r="V377" s="1">
        <v>18</v>
      </c>
    </row>
    <row r="378" spans="1:24" ht="16.5" customHeight="1" x14ac:dyDescent="0.35">
      <c r="A378" s="29" t="s">
        <v>248</v>
      </c>
      <c r="L378" s="1">
        <v>71</v>
      </c>
      <c r="M378" s="1">
        <v>535</v>
      </c>
      <c r="N378" s="1">
        <v>65</v>
      </c>
      <c r="O378" s="1">
        <v>442</v>
      </c>
      <c r="P378" s="1">
        <v>124</v>
      </c>
      <c r="Q378" s="1">
        <v>101</v>
      </c>
      <c r="R378" s="1">
        <v>227</v>
      </c>
      <c r="S378" s="1">
        <v>247</v>
      </c>
      <c r="U378" s="1">
        <v>184</v>
      </c>
      <c r="V378" s="1">
        <v>214</v>
      </c>
      <c r="W378" s="1">
        <v>30</v>
      </c>
    </row>
    <row r="379" spans="1:24" ht="16.5" customHeight="1" x14ac:dyDescent="0.35">
      <c r="A379" s="29" t="s">
        <v>334</v>
      </c>
      <c r="W379" s="1">
        <v>82</v>
      </c>
    </row>
    <row r="380" spans="1:24" ht="16.5" customHeight="1" x14ac:dyDescent="0.35">
      <c r="A380" s="29" t="s">
        <v>335</v>
      </c>
      <c r="W380" s="1">
        <v>7775</v>
      </c>
    </row>
    <row r="381" spans="1:24" ht="16.5" customHeight="1" x14ac:dyDescent="0.35">
      <c r="A381" s="29" t="s">
        <v>249</v>
      </c>
      <c r="O381" s="1">
        <v>1946</v>
      </c>
      <c r="P381" s="1">
        <v>2194</v>
      </c>
      <c r="Q381" s="1">
        <v>0</v>
      </c>
      <c r="V381" s="1">
        <v>0</v>
      </c>
      <c r="X381" s="1">
        <v>11</v>
      </c>
    </row>
    <row r="382" spans="1:24" ht="16.5" customHeight="1" x14ac:dyDescent="0.35">
      <c r="A382" s="29" t="s">
        <v>250</v>
      </c>
      <c r="O382" s="1">
        <v>112</v>
      </c>
      <c r="P382" s="1">
        <v>11</v>
      </c>
      <c r="Q382" s="1">
        <v>0</v>
      </c>
      <c r="R382" s="1">
        <v>2000</v>
      </c>
      <c r="V382" s="1">
        <v>0</v>
      </c>
    </row>
    <row r="383" spans="1:24" ht="16.5" customHeight="1" x14ac:dyDescent="0.35">
      <c r="A383" s="29" t="s">
        <v>251</v>
      </c>
      <c r="B383" s="1">
        <v>90</v>
      </c>
      <c r="C383" s="1">
        <v>45</v>
      </c>
      <c r="D383" s="1">
        <v>33</v>
      </c>
      <c r="E383" s="1">
        <v>24</v>
      </c>
      <c r="F383" s="1">
        <v>43</v>
      </c>
      <c r="G383" s="1">
        <v>0</v>
      </c>
      <c r="H383" s="1">
        <v>175</v>
      </c>
      <c r="I383" s="1">
        <v>258</v>
      </c>
      <c r="J383" s="1">
        <v>0</v>
      </c>
      <c r="L383" s="1">
        <v>6</v>
      </c>
      <c r="M383" s="1">
        <v>52</v>
      </c>
      <c r="N383" s="1">
        <v>152</v>
      </c>
      <c r="O383" s="1">
        <v>12</v>
      </c>
      <c r="P383" s="1">
        <v>0</v>
      </c>
      <c r="Q383" s="1">
        <v>117</v>
      </c>
      <c r="U383" s="1">
        <v>3</v>
      </c>
      <c r="V383" s="1">
        <v>0</v>
      </c>
    </row>
    <row r="384" spans="1:24" ht="16.5" customHeight="1" x14ac:dyDescent="0.35">
      <c r="A384" s="29" t="s">
        <v>252</v>
      </c>
      <c r="O384" s="1">
        <v>25</v>
      </c>
      <c r="U384" s="1">
        <v>55</v>
      </c>
      <c r="V384" s="1">
        <v>0</v>
      </c>
    </row>
    <row r="385" spans="1:24" ht="16.5" customHeight="1" x14ac:dyDescent="0.35">
      <c r="A385" s="29" t="s">
        <v>253</v>
      </c>
      <c r="B385" s="1">
        <v>121</v>
      </c>
      <c r="C385" s="1">
        <v>37</v>
      </c>
      <c r="D385" s="1">
        <v>32</v>
      </c>
      <c r="E385" s="1">
        <v>26</v>
      </c>
      <c r="F385" s="1">
        <v>25</v>
      </c>
      <c r="H385" s="1">
        <v>43</v>
      </c>
      <c r="I385" s="1">
        <v>858</v>
      </c>
      <c r="L385" s="1">
        <v>851</v>
      </c>
      <c r="M385" s="1">
        <v>264</v>
      </c>
      <c r="N385" s="1">
        <v>269</v>
      </c>
      <c r="O385" s="1">
        <v>326</v>
      </c>
      <c r="P385" s="1">
        <v>215</v>
      </c>
      <c r="R385" s="1">
        <v>27</v>
      </c>
      <c r="S385" s="1">
        <v>19</v>
      </c>
      <c r="V385" s="1">
        <v>235</v>
      </c>
      <c r="W385" s="1">
        <v>165</v>
      </c>
    </row>
    <row r="386" spans="1:24" ht="16.5" customHeight="1" x14ac:dyDescent="0.35">
      <c r="A386" s="29" t="s">
        <v>254</v>
      </c>
      <c r="B386" s="1">
        <v>10</v>
      </c>
      <c r="C386" s="1">
        <v>200</v>
      </c>
      <c r="D386" s="1">
        <v>281</v>
      </c>
      <c r="E386" s="1">
        <v>53</v>
      </c>
      <c r="F386" s="1">
        <v>272</v>
      </c>
      <c r="J386" s="1">
        <v>308</v>
      </c>
      <c r="L386" s="1">
        <v>136</v>
      </c>
      <c r="M386" s="1">
        <v>9</v>
      </c>
      <c r="O386" s="1">
        <v>79</v>
      </c>
      <c r="P386" s="1">
        <v>0</v>
      </c>
      <c r="S386" s="1">
        <v>12</v>
      </c>
      <c r="V386" s="1">
        <v>7</v>
      </c>
    </row>
    <row r="387" spans="1:24" ht="16.5" customHeight="1" x14ac:dyDescent="0.35">
      <c r="A387" s="29" t="s">
        <v>255</v>
      </c>
      <c r="P387" s="1">
        <v>372</v>
      </c>
      <c r="Q387" s="1">
        <v>1654</v>
      </c>
      <c r="R387" s="1">
        <v>267</v>
      </c>
      <c r="T387" s="1">
        <v>1041</v>
      </c>
      <c r="V387" s="1">
        <v>0</v>
      </c>
    </row>
    <row r="388" spans="1:24" ht="16.5" customHeight="1" x14ac:dyDescent="0.35">
      <c r="A388" s="29" t="s">
        <v>256</v>
      </c>
      <c r="P388" s="1">
        <v>262</v>
      </c>
      <c r="Q388" s="1">
        <v>820</v>
      </c>
      <c r="R388" s="1">
        <v>500</v>
      </c>
      <c r="S388" s="1">
        <v>990</v>
      </c>
      <c r="T388" s="1">
        <v>891</v>
      </c>
      <c r="V388" s="1">
        <v>0</v>
      </c>
    </row>
    <row r="389" spans="1:24" ht="16.5" customHeight="1" x14ac:dyDescent="0.35">
      <c r="A389" s="29" t="s">
        <v>332</v>
      </c>
      <c r="W389" s="1">
        <v>233</v>
      </c>
    </row>
    <row r="390" spans="1:24" ht="16.5" customHeight="1" x14ac:dyDescent="0.35">
      <c r="A390" s="29" t="s">
        <v>333</v>
      </c>
      <c r="W390" s="1">
        <v>532</v>
      </c>
    </row>
    <row r="391" spans="1:24" ht="16.5" customHeight="1" x14ac:dyDescent="0.35">
      <c r="A391" s="29" t="s">
        <v>257</v>
      </c>
      <c r="B391" s="1">
        <v>195</v>
      </c>
      <c r="C391" s="1">
        <v>582</v>
      </c>
      <c r="D391" s="1">
        <v>173</v>
      </c>
      <c r="E391" s="1">
        <v>106</v>
      </c>
      <c r="F391" s="1">
        <v>116</v>
      </c>
      <c r="G391" s="1">
        <v>100</v>
      </c>
      <c r="I391" s="1">
        <v>32</v>
      </c>
      <c r="L391" s="1">
        <v>76</v>
      </c>
      <c r="M391" s="1">
        <v>10</v>
      </c>
      <c r="N391" s="1">
        <v>60</v>
      </c>
      <c r="O391" s="1">
        <v>99</v>
      </c>
      <c r="P391" s="1">
        <v>227</v>
      </c>
      <c r="Q391" s="1">
        <v>129</v>
      </c>
      <c r="R391" s="1">
        <v>895</v>
      </c>
      <c r="S391" s="1">
        <v>62</v>
      </c>
      <c r="U391" s="1">
        <v>36</v>
      </c>
      <c r="V391" s="1">
        <v>45</v>
      </c>
      <c r="W391" s="1">
        <v>22</v>
      </c>
    </row>
    <row r="392" spans="1:24" ht="16.5" customHeight="1" x14ac:dyDescent="0.35">
      <c r="A392" s="29" t="s">
        <v>258</v>
      </c>
      <c r="L392" s="1">
        <v>46</v>
      </c>
      <c r="N392" s="1">
        <v>207</v>
      </c>
      <c r="O392" s="1">
        <v>72</v>
      </c>
      <c r="P392" s="1">
        <v>12</v>
      </c>
      <c r="Q392" s="1">
        <v>66</v>
      </c>
      <c r="R392" s="1">
        <v>10</v>
      </c>
      <c r="S392" s="1">
        <v>246</v>
      </c>
      <c r="U392" s="1">
        <v>268</v>
      </c>
      <c r="V392" s="1">
        <v>292</v>
      </c>
      <c r="W392" s="1">
        <v>469</v>
      </c>
    </row>
    <row r="393" spans="1:24" ht="16.5" customHeight="1" x14ac:dyDescent="0.35">
      <c r="A393" s="29" t="s">
        <v>259</v>
      </c>
      <c r="O393" s="1">
        <v>0</v>
      </c>
      <c r="Q393" s="1">
        <v>26</v>
      </c>
      <c r="R393" s="1">
        <v>26</v>
      </c>
      <c r="V393" s="1">
        <v>0</v>
      </c>
      <c r="W393" s="1">
        <v>140</v>
      </c>
    </row>
    <row r="394" spans="1:24" ht="16.5" customHeight="1" x14ac:dyDescent="0.35">
      <c r="A394" s="29" t="s">
        <v>260</v>
      </c>
      <c r="L394" s="1">
        <v>474</v>
      </c>
      <c r="V394" s="1">
        <v>0</v>
      </c>
    </row>
    <row r="395" spans="1:24" ht="16.5" customHeight="1" x14ac:dyDescent="0.35">
      <c r="A395" s="29" t="s">
        <v>261</v>
      </c>
      <c r="O395" s="1">
        <v>0</v>
      </c>
      <c r="Q395" s="1">
        <v>1</v>
      </c>
      <c r="R395" s="1">
        <v>2</v>
      </c>
      <c r="V395" s="1">
        <v>0</v>
      </c>
    </row>
    <row r="396" spans="1:24" ht="16.5" customHeight="1" x14ac:dyDescent="0.35">
      <c r="A396" s="29" t="s">
        <v>262</v>
      </c>
      <c r="L396" s="1">
        <v>739</v>
      </c>
      <c r="M396" s="1">
        <v>489</v>
      </c>
      <c r="N396" s="1">
        <v>344</v>
      </c>
      <c r="O396" s="1">
        <v>462</v>
      </c>
      <c r="P396" s="1">
        <v>2518</v>
      </c>
      <c r="Q396" s="1">
        <v>1442</v>
      </c>
      <c r="R396" s="1">
        <v>2163</v>
      </c>
      <c r="S396" s="1">
        <v>69114</v>
      </c>
      <c r="U396" s="1">
        <v>33645</v>
      </c>
      <c r="V396" s="1">
        <v>1255</v>
      </c>
      <c r="W396" s="1">
        <v>2182</v>
      </c>
      <c r="X396" s="1">
        <v>2467</v>
      </c>
    </row>
    <row r="397" spans="1:24" ht="16.5" customHeight="1" x14ac:dyDescent="0.35">
      <c r="A397" s="29" t="s">
        <v>263</v>
      </c>
      <c r="B397" s="1">
        <f t="shared" ref="B397:X397" si="53">SUM(B373:B396)</f>
        <v>1351</v>
      </c>
      <c r="C397" s="1">
        <f t="shared" si="53"/>
        <v>2036</v>
      </c>
      <c r="D397" s="1">
        <f t="shared" si="53"/>
        <v>3823</v>
      </c>
      <c r="E397" s="1">
        <f t="shared" si="53"/>
        <v>2980</v>
      </c>
      <c r="F397" s="1">
        <f t="shared" si="53"/>
        <v>3065</v>
      </c>
      <c r="G397" s="1">
        <f t="shared" si="53"/>
        <v>2600</v>
      </c>
      <c r="H397" s="1">
        <f t="shared" si="53"/>
        <v>2718</v>
      </c>
      <c r="I397" s="1">
        <f t="shared" si="53"/>
        <v>1148</v>
      </c>
      <c r="J397" s="1">
        <f t="shared" si="53"/>
        <v>308</v>
      </c>
      <c r="K397" s="1">
        <f t="shared" si="53"/>
        <v>0</v>
      </c>
      <c r="L397" s="1">
        <f t="shared" si="53"/>
        <v>2428</v>
      </c>
      <c r="M397" s="1">
        <f t="shared" si="53"/>
        <v>1388</v>
      </c>
      <c r="N397" s="1">
        <f t="shared" si="53"/>
        <v>1108</v>
      </c>
      <c r="O397" s="1">
        <f t="shared" si="53"/>
        <v>3581</v>
      </c>
      <c r="P397" s="1">
        <f t="shared" si="53"/>
        <v>6005</v>
      </c>
      <c r="Q397" s="1">
        <f t="shared" si="53"/>
        <v>4357</v>
      </c>
      <c r="R397" s="1">
        <f t="shared" si="53"/>
        <v>6117</v>
      </c>
      <c r="S397" s="1">
        <f t="shared" si="53"/>
        <v>70740</v>
      </c>
      <c r="T397" s="1">
        <f t="shared" si="53"/>
        <v>1932</v>
      </c>
      <c r="U397" s="1">
        <f t="shared" si="53"/>
        <v>34304</v>
      </c>
      <c r="V397" s="1">
        <f t="shared" si="53"/>
        <v>2066</v>
      </c>
      <c r="W397" s="1">
        <f t="shared" si="53"/>
        <v>11630</v>
      </c>
      <c r="X397" s="1">
        <f t="shared" si="53"/>
        <v>2480</v>
      </c>
    </row>
    <row r="398" spans="1:24" ht="16.5" customHeight="1" x14ac:dyDescent="0.35">
      <c r="A398" s="29" t="s">
        <v>264</v>
      </c>
      <c r="B398" s="1">
        <f t="shared" ref="B398:X398" si="54">B372+B397</f>
        <v>18183.599999999999</v>
      </c>
      <c r="C398" s="1">
        <f t="shared" si="54"/>
        <v>36847</v>
      </c>
      <c r="D398" s="1">
        <f t="shared" si="54"/>
        <v>41248.6</v>
      </c>
      <c r="E398" s="1">
        <f t="shared" si="54"/>
        <v>50664.800000000003</v>
      </c>
      <c r="F398" s="1">
        <f t="shared" si="54"/>
        <v>61824</v>
      </c>
      <c r="G398" s="1">
        <f t="shared" si="54"/>
        <v>40501.599999999999</v>
      </c>
      <c r="H398" s="1">
        <f t="shared" si="54"/>
        <v>41784.800000000003</v>
      </c>
      <c r="I398" s="1">
        <f t="shared" si="54"/>
        <v>41207</v>
      </c>
      <c r="J398" s="1">
        <f t="shared" si="54"/>
        <v>45797.4</v>
      </c>
      <c r="K398" s="1">
        <f t="shared" si="54"/>
        <v>40589</v>
      </c>
      <c r="L398" s="1">
        <f t="shared" si="54"/>
        <v>53852</v>
      </c>
      <c r="M398" s="1">
        <f t="shared" si="54"/>
        <v>61484</v>
      </c>
      <c r="N398" s="1">
        <f t="shared" si="54"/>
        <v>58887</v>
      </c>
      <c r="O398" s="1">
        <f t="shared" si="54"/>
        <v>104375</v>
      </c>
      <c r="P398" s="1">
        <f t="shared" si="54"/>
        <v>82171</v>
      </c>
      <c r="Q398" s="1">
        <f t="shared" si="54"/>
        <v>114838</v>
      </c>
      <c r="R398" s="1">
        <f t="shared" si="54"/>
        <v>115440</v>
      </c>
      <c r="S398" s="1">
        <f t="shared" si="54"/>
        <v>244134</v>
      </c>
      <c r="T398" s="1">
        <f t="shared" si="54"/>
        <v>137261</v>
      </c>
      <c r="U398" s="1">
        <f t="shared" si="54"/>
        <v>54095</v>
      </c>
      <c r="V398" s="1">
        <f t="shared" si="54"/>
        <v>20624</v>
      </c>
      <c r="W398" s="1">
        <f t="shared" si="54"/>
        <v>38475</v>
      </c>
      <c r="X398" s="1">
        <f t="shared" si="54"/>
        <v>22402</v>
      </c>
    </row>
    <row r="399" spans="1:24" ht="16.5" customHeight="1" x14ac:dyDescent="0.35">
      <c r="R399" s="1" t="s">
        <v>265</v>
      </c>
    </row>
    <row r="402" spans="1:24" ht="16.5" customHeight="1" x14ac:dyDescent="0.35"/>
    <row r="403" spans="1:24" ht="16.5" customHeight="1" x14ac:dyDescent="0.35">
      <c r="A403" s="30" t="s">
        <v>342</v>
      </c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2"/>
    </row>
    <row r="404" spans="1:24" ht="16.5" customHeight="1" x14ac:dyDescent="0.35">
      <c r="A404" s="29" t="s">
        <v>7</v>
      </c>
    </row>
    <row r="406" spans="1:24" s="28" customFormat="1" ht="16.5" customHeight="1" x14ac:dyDescent="0.35">
      <c r="A406" s="29" t="s">
        <v>266</v>
      </c>
      <c r="B406" s="28">
        <v>2001</v>
      </c>
      <c r="C406" s="28">
        <v>2002</v>
      </c>
      <c r="D406" s="28">
        <v>2003</v>
      </c>
      <c r="E406" s="28">
        <v>2004</v>
      </c>
      <c r="F406" s="28">
        <v>2005</v>
      </c>
      <c r="G406" s="28">
        <v>2006</v>
      </c>
      <c r="H406" s="28">
        <v>2007</v>
      </c>
      <c r="I406" s="28">
        <v>2008</v>
      </c>
      <c r="J406" s="28">
        <v>2009</v>
      </c>
      <c r="K406" s="28">
        <v>2010</v>
      </c>
      <c r="L406" s="28">
        <v>2011</v>
      </c>
      <c r="M406" s="28">
        <v>2012</v>
      </c>
      <c r="N406" s="28">
        <v>2013</v>
      </c>
      <c r="O406" s="28">
        <v>2014</v>
      </c>
      <c r="P406" s="28">
        <v>2015</v>
      </c>
      <c r="Q406" s="28">
        <v>2016</v>
      </c>
      <c r="R406" s="28">
        <v>2017</v>
      </c>
      <c r="S406" s="28">
        <v>2018</v>
      </c>
      <c r="T406" s="28">
        <v>2019</v>
      </c>
      <c r="U406" s="28">
        <v>2020</v>
      </c>
      <c r="V406" s="28">
        <v>2021</v>
      </c>
      <c r="W406" s="28">
        <v>2022</v>
      </c>
      <c r="X406" s="28">
        <v>2023</v>
      </c>
    </row>
    <row r="407" spans="1:24" ht="16.5" customHeight="1" x14ac:dyDescent="0.35">
      <c r="A407" s="29" t="s">
        <v>267</v>
      </c>
      <c r="B407" s="1">
        <v>152717.6</v>
      </c>
      <c r="C407" s="1">
        <v>144225</v>
      </c>
      <c r="D407" s="1">
        <v>139071.6</v>
      </c>
      <c r="E407" s="1">
        <v>168151.8</v>
      </c>
      <c r="F407" s="1">
        <v>162342</v>
      </c>
      <c r="G407" s="1">
        <v>146374.6</v>
      </c>
      <c r="H407" s="1">
        <v>185210.8</v>
      </c>
      <c r="I407" s="1">
        <v>174894</v>
      </c>
      <c r="J407" s="1">
        <v>160648.4</v>
      </c>
      <c r="K407" s="1">
        <v>166842</v>
      </c>
      <c r="L407" s="1">
        <v>171176</v>
      </c>
      <c r="M407" s="1">
        <v>221068</v>
      </c>
      <c r="N407" s="1">
        <v>222903</v>
      </c>
      <c r="O407" s="1">
        <v>330029</v>
      </c>
      <c r="P407" s="1">
        <v>362966</v>
      </c>
      <c r="Q407" s="1">
        <v>398444</v>
      </c>
      <c r="R407" s="1">
        <v>407433</v>
      </c>
      <c r="S407" s="1">
        <v>569808</v>
      </c>
      <c r="T407" s="1">
        <v>466938</v>
      </c>
      <c r="U407" s="1">
        <v>359940</v>
      </c>
      <c r="V407" s="1">
        <v>337472</v>
      </c>
      <c r="W407" s="1">
        <v>327286</v>
      </c>
      <c r="X407" s="1">
        <v>429504</v>
      </c>
    </row>
    <row r="408" spans="1:24" ht="16.5" customHeight="1" x14ac:dyDescent="0.35">
      <c r="A408" s="29" t="s">
        <v>268</v>
      </c>
      <c r="B408" s="1">
        <v>134534</v>
      </c>
      <c r="C408" s="1">
        <v>107378</v>
      </c>
      <c r="D408" s="1">
        <v>97823</v>
      </c>
      <c r="E408" s="1">
        <v>117487</v>
      </c>
      <c r="F408" s="1">
        <v>100518</v>
      </c>
      <c r="G408" s="1">
        <v>105873</v>
      </c>
      <c r="H408" s="1">
        <v>143426</v>
      </c>
      <c r="I408" s="1">
        <v>133687</v>
      </c>
      <c r="J408" s="1">
        <v>114851</v>
      </c>
      <c r="K408" s="1">
        <v>126253</v>
      </c>
      <c r="L408" s="1">
        <v>117324</v>
      </c>
      <c r="M408" s="1">
        <v>159584</v>
      </c>
      <c r="N408" s="1">
        <v>164016</v>
      </c>
      <c r="O408" s="1">
        <v>225654</v>
      </c>
      <c r="P408" s="1">
        <v>280795</v>
      </c>
      <c r="Q408" s="1">
        <v>283606</v>
      </c>
      <c r="R408" s="1">
        <v>291993</v>
      </c>
      <c r="S408" s="1">
        <v>325674</v>
      </c>
      <c r="T408" s="1">
        <v>329677</v>
      </c>
      <c r="U408" s="1">
        <v>305845</v>
      </c>
      <c r="V408" s="1">
        <v>297977</v>
      </c>
      <c r="W408" s="1">
        <v>287791</v>
      </c>
      <c r="X408" s="1">
        <v>390009</v>
      </c>
    </row>
    <row r="409" spans="1:24" ht="16.5" customHeight="1" x14ac:dyDescent="0.35">
      <c r="A409" s="29" t="s">
        <v>269</v>
      </c>
      <c r="B409" s="1">
        <v>134412</v>
      </c>
      <c r="C409" s="1">
        <v>107331</v>
      </c>
      <c r="D409" s="1">
        <v>97810</v>
      </c>
      <c r="E409" s="1">
        <v>117478</v>
      </c>
      <c r="F409" s="1">
        <v>100517</v>
      </c>
      <c r="G409" s="1">
        <v>105879</v>
      </c>
      <c r="H409" s="1">
        <v>143421</v>
      </c>
      <c r="I409" s="1">
        <v>133686</v>
      </c>
      <c r="J409" s="1">
        <v>114849</v>
      </c>
      <c r="K409" s="1">
        <v>126203</v>
      </c>
      <c r="L409" s="1">
        <v>117288</v>
      </c>
      <c r="M409" s="1">
        <v>159548</v>
      </c>
      <c r="N409" s="1">
        <v>163999</v>
      </c>
      <c r="O409" s="1">
        <v>225639</v>
      </c>
      <c r="P409" s="1">
        <v>280773</v>
      </c>
      <c r="Q409" s="1">
        <v>283537</v>
      </c>
      <c r="R409" s="1">
        <v>291967</v>
      </c>
      <c r="S409" s="1">
        <v>325615</v>
      </c>
      <c r="T409" s="1">
        <v>329635</v>
      </c>
      <c r="U409" s="1">
        <v>305793</v>
      </c>
      <c r="V409" s="1">
        <v>297960</v>
      </c>
      <c r="W409" s="1">
        <v>287764</v>
      </c>
      <c r="X409" s="1">
        <v>389974</v>
      </c>
    </row>
    <row r="410" spans="1:24" ht="16.5" customHeight="1" x14ac:dyDescent="0.35">
      <c r="A410" s="29" t="s">
        <v>270</v>
      </c>
      <c r="B410" s="1">
        <v>26300</v>
      </c>
      <c r="C410" s="1">
        <v>27780</v>
      </c>
      <c r="D410" s="1">
        <v>29852</v>
      </c>
      <c r="E410" s="1">
        <v>31866</v>
      </c>
      <c r="F410" s="1">
        <v>30586</v>
      </c>
      <c r="G410" s="1">
        <v>30298</v>
      </c>
      <c r="H410" s="1">
        <v>33495</v>
      </c>
      <c r="I410" s="1">
        <v>33376</v>
      </c>
      <c r="J410" s="1">
        <v>31772</v>
      </c>
      <c r="K410" s="1">
        <v>31880</v>
      </c>
      <c r="L410" s="1">
        <v>35374</v>
      </c>
      <c r="M410" s="1">
        <v>31911</v>
      </c>
      <c r="N410" s="1">
        <v>33574</v>
      </c>
      <c r="O410" s="1">
        <v>31830</v>
      </c>
      <c r="P410" s="1">
        <v>38965</v>
      </c>
      <c r="Q410" s="1">
        <v>42629</v>
      </c>
      <c r="R410" s="1">
        <v>47813</v>
      </c>
      <c r="S410" s="1">
        <v>53340</v>
      </c>
      <c r="T410" s="1">
        <v>54964</v>
      </c>
      <c r="U410" s="1">
        <v>56116</v>
      </c>
      <c r="V410" s="1">
        <v>68346</v>
      </c>
      <c r="W410" s="1">
        <v>68570</v>
      </c>
      <c r="X410" s="1">
        <v>50911</v>
      </c>
    </row>
    <row r="411" spans="1:24" ht="16.5" customHeight="1" x14ac:dyDescent="0.35">
      <c r="A411" s="29" t="s">
        <v>271</v>
      </c>
      <c r="B411" s="1">
        <v>5615</v>
      </c>
      <c r="C411" s="1">
        <v>4967</v>
      </c>
      <c r="D411" s="1">
        <v>6042</v>
      </c>
      <c r="E411" s="1">
        <v>5779</v>
      </c>
      <c r="F411" s="1">
        <v>6139</v>
      </c>
      <c r="G411" s="1">
        <v>6780</v>
      </c>
      <c r="H411" s="1">
        <v>7306</v>
      </c>
      <c r="I411" s="1">
        <v>7737</v>
      </c>
      <c r="J411" s="1">
        <v>6237</v>
      </c>
      <c r="K411" s="1">
        <v>6137</v>
      </c>
      <c r="L411" s="1">
        <v>5628</v>
      </c>
      <c r="M411" s="1">
        <v>7380</v>
      </c>
      <c r="N411" s="1">
        <v>7376</v>
      </c>
      <c r="O411" s="1">
        <v>7015</v>
      </c>
      <c r="P411" s="1">
        <v>6850</v>
      </c>
      <c r="Q411" s="1">
        <v>7946</v>
      </c>
      <c r="R411" s="1">
        <v>7870</v>
      </c>
      <c r="S411" s="1">
        <v>10008</v>
      </c>
      <c r="T411" s="1">
        <v>12831</v>
      </c>
      <c r="U411" s="1">
        <v>12396</v>
      </c>
      <c r="V411" s="1">
        <v>13967</v>
      </c>
      <c r="W411" s="1">
        <v>14015</v>
      </c>
      <c r="X411" s="1">
        <v>15073</v>
      </c>
    </row>
    <row r="412" spans="1:24" ht="16.5" customHeight="1" x14ac:dyDescent="0.35">
      <c r="A412" s="29" t="s">
        <v>272</v>
      </c>
      <c r="B412" s="1">
        <v>4375</v>
      </c>
      <c r="C412" s="1">
        <v>3656</v>
      </c>
      <c r="D412" s="1">
        <v>3465</v>
      </c>
      <c r="E412" s="1">
        <v>5829</v>
      </c>
      <c r="F412" s="1">
        <v>5051</v>
      </c>
      <c r="G412" s="1">
        <v>4898</v>
      </c>
      <c r="H412" s="1">
        <v>4673</v>
      </c>
      <c r="I412" s="1">
        <v>6103</v>
      </c>
      <c r="J412" s="1">
        <v>7254</v>
      </c>
      <c r="K412" s="1">
        <v>7598</v>
      </c>
      <c r="L412" s="1">
        <v>7286</v>
      </c>
      <c r="M412" s="1">
        <v>4826</v>
      </c>
      <c r="N412" s="1">
        <v>4954</v>
      </c>
      <c r="O412" s="1">
        <v>4541</v>
      </c>
      <c r="P412" s="1">
        <v>7461</v>
      </c>
      <c r="Q412" s="1">
        <v>7843</v>
      </c>
      <c r="R412" s="1">
        <v>10173</v>
      </c>
      <c r="S412" s="1">
        <v>10616</v>
      </c>
      <c r="T412" s="1">
        <v>8703</v>
      </c>
      <c r="U412" s="1">
        <v>9703</v>
      </c>
      <c r="V412" s="1">
        <v>12692</v>
      </c>
      <c r="W412" s="1">
        <v>12899</v>
      </c>
      <c r="X412" s="1">
        <v>14070</v>
      </c>
    </row>
    <row r="413" spans="1:24" ht="16.5" customHeight="1" x14ac:dyDescent="0.35">
      <c r="A413" s="29" t="s">
        <v>273</v>
      </c>
      <c r="B413" s="1">
        <v>63</v>
      </c>
      <c r="C413" s="1">
        <v>92</v>
      </c>
      <c r="D413" s="1">
        <v>104</v>
      </c>
      <c r="E413" s="1">
        <v>115</v>
      </c>
      <c r="F413" s="1">
        <v>134</v>
      </c>
      <c r="G413" s="1">
        <v>135</v>
      </c>
      <c r="H413" s="1">
        <v>168</v>
      </c>
      <c r="I413" s="1">
        <v>151</v>
      </c>
      <c r="J413" s="1">
        <v>117</v>
      </c>
      <c r="K413" s="1">
        <v>135</v>
      </c>
      <c r="L413" s="1">
        <v>138</v>
      </c>
      <c r="M413" s="1">
        <v>137</v>
      </c>
      <c r="N413" s="1">
        <v>129</v>
      </c>
      <c r="O413" s="1">
        <v>80</v>
      </c>
      <c r="P413" s="1">
        <v>270</v>
      </c>
      <c r="Q413" s="1">
        <v>221</v>
      </c>
      <c r="R413" s="1">
        <v>314</v>
      </c>
      <c r="S413" s="1">
        <v>260</v>
      </c>
      <c r="T413" s="1">
        <v>264</v>
      </c>
      <c r="U413" s="1">
        <v>193</v>
      </c>
      <c r="V413" s="1">
        <v>249</v>
      </c>
      <c r="W413" s="1">
        <v>311</v>
      </c>
      <c r="X413" s="1">
        <v>234</v>
      </c>
    </row>
    <row r="414" spans="1:24" ht="16.5" customHeight="1" x14ac:dyDescent="0.35">
      <c r="A414" s="29" t="s">
        <v>274</v>
      </c>
      <c r="B414" s="1">
        <v>213</v>
      </c>
      <c r="C414" s="1">
        <v>109</v>
      </c>
      <c r="D414" s="1">
        <v>167</v>
      </c>
      <c r="E414" s="1">
        <v>177</v>
      </c>
      <c r="F414" s="1">
        <v>252</v>
      </c>
      <c r="G414" s="1">
        <v>355</v>
      </c>
      <c r="H414" s="1">
        <v>454</v>
      </c>
      <c r="I414" s="1">
        <v>446</v>
      </c>
      <c r="J414" s="1">
        <v>282</v>
      </c>
      <c r="K414" s="1">
        <v>507</v>
      </c>
      <c r="L414" s="1">
        <v>499</v>
      </c>
      <c r="M414" s="1">
        <v>510</v>
      </c>
      <c r="N414" s="1">
        <v>502</v>
      </c>
      <c r="O414" s="1">
        <v>363</v>
      </c>
      <c r="P414" s="1">
        <v>670</v>
      </c>
      <c r="Q414" s="1">
        <v>736</v>
      </c>
      <c r="R414" s="1">
        <v>807</v>
      </c>
      <c r="S414" s="1">
        <v>517</v>
      </c>
      <c r="T414" s="1">
        <v>488</v>
      </c>
      <c r="U414" s="1">
        <v>743</v>
      </c>
      <c r="V414" s="1">
        <v>636</v>
      </c>
      <c r="W414" s="1">
        <v>549</v>
      </c>
      <c r="X414" s="1">
        <v>609</v>
      </c>
    </row>
    <row r="415" spans="1:24" ht="16.5" customHeight="1" x14ac:dyDescent="0.35">
      <c r="A415" s="29" t="s">
        <v>275</v>
      </c>
      <c r="B415" s="1">
        <v>69</v>
      </c>
      <c r="C415" s="1">
        <v>257</v>
      </c>
      <c r="D415" s="1">
        <v>273</v>
      </c>
      <c r="E415" s="1">
        <v>288</v>
      </c>
      <c r="F415" s="1">
        <v>299</v>
      </c>
      <c r="G415" s="1">
        <v>105</v>
      </c>
      <c r="H415" s="1">
        <v>275</v>
      </c>
      <c r="I415" s="1">
        <v>242</v>
      </c>
      <c r="J415" s="1">
        <v>66</v>
      </c>
      <c r="K415" s="1">
        <v>240</v>
      </c>
      <c r="L415" s="1">
        <v>234</v>
      </c>
      <c r="M415" s="1">
        <v>211</v>
      </c>
      <c r="N415" s="1">
        <v>207</v>
      </c>
      <c r="O415" s="1">
        <v>98</v>
      </c>
      <c r="P415" s="1">
        <v>243</v>
      </c>
      <c r="Q415" s="1">
        <v>229</v>
      </c>
      <c r="R415" s="1">
        <v>171</v>
      </c>
      <c r="S415" s="1">
        <v>160</v>
      </c>
      <c r="T415" s="1">
        <v>164</v>
      </c>
      <c r="U415" s="1">
        <v>135</v>
      </c>
      <c r="V415" s="1">
        <v>221</v>
      </c>
      <c r="W415" s="1">
        <v>160</v>
      </c>
      <c r="X415" s="1">
        <v>247</v>
      </c>
    </row>
    <row r="416" spans="1:24" ht="16.5" customHeight="1" x14ac:dyDescent="0.35">
      <c r="A416" s="29" t="s">
        <v>276</v>
      </c>
      <c r="B416" s="1">
        <v>14235</v>
      </c>
      <c r="C416" s="1">
        <v>16572</v>
      </c>
      <c r="D416" s="1">
        <v>17768</v>
      </c>
      <c r="E416" s="1">
        <v>17733</v>
      </c>
      <c r="F416" s="1">
        <v>16567</v>
      </c>
      <c r="G416" s="1">
        <v>16013</v>
      </c>
      <c r="H416" s="1">
        <v>18008</v>
      </c>
      <c r="I416" s="1">
        <v>16099</v>
      </c>
      <c r="J416" s="1">
        <v>15502</v>
      </c>
      <c r="K416" s="1">
        <v>14817</v>
      </c>
      <c r="L416" s="1">
        <v>17982</v>
      </c>
      <c r="M416" s="1">
        <v>15216</v>
      </c>
      <c r="N416" s="1">
        <v>17356</v>
      </c>
      <c r="O416" s="1">
        <v>4006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</row>
    <row r="417" spans="1:24" ht="16.5" customHeight="1" x14ac:dyDescent="0.35">
      <c r="A417" s="29" t="s">
        <v>277</v>
      </c>
      <c r="B417" s="1">
        <v>1563</v>
      </c>
      <c r="C417" s="1">
        <v>1840</v>
      </c>
      <c r="D417" s="1">
        <v>1687</v>
      </c>
      <c r="E417" s="1">
        <v>1824</v>
      </c>
      <c r="F417" s="1">
        <v>2028</v>
      </c>
      <c r="G417" s="1">
        <v>1930</v>
      </c>
      <c r="H417" s="1">
        <v>2509</v>
      </c>
      <c r="I417" s="1">
        <v>2515</v>
      </c>
      <c r="J417" s="1">
        <v>2256</v>
      </c>
      <c r="K417" s="1">
        <v>2393</v>
      </c>
      <c r="L417" s="1">
        <v>3542</v>
      </c>
      <c r="M417" s="1">
        <v>3564</v>
      </c>
      <c r="N417" s="1">
        <v>2970</v>
      </c>
      <c r="O417" s="1">
        <v>2726</v>
      </c>
      <c r="P417" s="1">
        <v>2726</v>
      </c>
      <c r="Q417" s="1">
        <v>3007</v>
      </c>
      <c r="R417" s="1">
        <v>3443</v>
      </c>
      <c r="S417" s="1">
        <v>3355</v>
      </c>
      <c r="T417" s="1">
        <v>4549</v>
      </c>
      <c r="U417" s="1">
        <v>3265</v>
      </c>
      <c r="V417" s="1">
        <v>879</v>
      </c>
      <c r="W417" s="1">
        <v>4433</v>
      </c>
      <c r="X417" s="1">
        <v>758</v>
      </c>
    </row>
    <row r="418" spans="1:24" ht="16.5" customHeight="1" x14ac:dyDescent="0.35">
      <c r="A418" s="29" t="s">
        <v>278</v>
      </c>
      <c r="B418" s="1">
        <v>39</v>
      </c>
      <c r="C418" s="1">
        <v>42</v>
      </c>
      <c r="D418" s="1">
        <v>44</v>
      </c>
      <c r="E418" s="1">
        <v>34</v>
      </c>
      <c r="F418" s="1">
        <v>48</v>
      </c>
      <c r="G418" s="1">
        <v>41</v>
      </c>
      <c r="H418" s="1">
        <v>39</v>
      </c>
      <c r="I418" s="1">
        <v>42</v>
      </c>
      <c r="J418" s="1">
        <v>42</v>
      </c>
      <c r="K418" s="1">
        <v>42</v>
      </c>
      <c r="L418" s="1">
        <v>51</v>
      </c>
      <c r="M418" s="1">
        <v>57</v>
      </c>
      <c r="N418" s="1">
        <v>58</v>
      </c>
      <c r="O418" s="1">
        <v>54</v>
      </c>
      <c r="P418" s="1">
        <v>13</v>
      </c>
      <c r="Q418" s="1">
        <v>6</v>
      </c>
      <c r="R418" s="1">
        <v>11</v>
      </c>
      <c r="S418" s="1">
        <v>10</v>
      </c>
      <c r="T418" s="1">
        <v>6</v>
      </c>
      <c r="U418" s="1">
        <v>9</v>
      </c>
      <c r="V418" s="1">
        <v>22</v>
      </c>
      <c r="W418" s="1">
        <v>30</v>
      </c>
      <c r="X418" s="1">
        <v>26</v>
      </c>
    </row>
    <row r="419" spans="1:24" ht="16.5" customHeight="1" x14ac:dyDescent="0.35">
      <c r="A419" s="29" t="s">
        <v>279</v>
      </c>
      <c r="B419" s="1">
        <v>128</v>
      </c>
      <c r="C419" s="1">
        <v>245</v>
      </c>
      <c r="D419" s="1">
        <v>302</v>
      </c>
      <c r="E419" s="1">
        <v>87</v>
      </c>
      <c r="F419" s="1">
        <v>68</v>
      </c>
      <c r="G419" s="1">
        <v>41</v>
      </c>
      <c r="H419" s="1">
        <v>63</v>
      </c>
      <c r="I419" s="1">
        <v>41</v>
      </c>
      <c r="J419" s="1">
        <v>16</v>
      </c>
      <c r="K419" s="1">
        <v>11</v>
      </c>
      <c r="L419" s="1">
        <v>14</v>
      </c>
      <c r="M419" s="1">
        <v>10</v>
      </c>
      <c r="N419" s="1">
        <v>22</v>
      </c>
      <c r="O419" s="1">
        <v>12947</v>
      </c>
      <c r="P419" s="1">
        <v>20732</v>
      </c>
      <c r="Q419" s="1">
        <v>22641</v>
      </c>
      <c r="R419" s="1">
        <v>25024</v>
      </c>
      <c r="S419" s="1">
        <v>28414</v>
      </c>
      <c r="T419" s="1">
        <v>27959</v>
      </c>
      <c r="U419" s="1">
        <v>29672</v>
      </c>
      <c r="V419" s="1">
        <v>39680</v>
      </c>
      <c r="W419" s="1">
        <v>36173</v>
      </c>
      <c r="X419" s="1">
        <v>19894</v>
      </c>
    </row>
    <row r="420" spans="1:24" ht="16.5" customHeight="1" x14ac:dyDescent="0.35">
      <c r="A420" s="29" t="s">
        <v>280</v>
      </c>
      <c r="B420" s="1">
        <v>108112</v>
      </c>
      <c r="C420" s="1">
        <v>79551</v>
      </c>
      <c r="D420" s="1">
        <v>67958</v>
      </c>
      <c r="E420" s="1">
        <v>85612</v>
      </c>
      <c r="F420" s="1">
        <v>69931</v>
      </c>
      <c r="G420" s="1">
        <v>75581</v>
      </c>
      <c r="H420" s="1">
        <v>109926</v>
      </c>
      <c r="I420" s="1">
        <v>100310</v>
      </c>
      <c r="J420" s="1">
        <v>83077</v>
      </c>
      <c r="K420" s="1">
        <v>94323</v>
      </c>
      <c r="L420" s="1">
        <v>81914</v>
      </c>
      <c r="M420" s="1">
        <v>127637</v>
      </c>
      <c r="N420" s="1">
        <v>130425</v>
      </c>
      <c r="O420" s="1">
        <v>193809</v>
      </c>
      <c r="P420" s="1">
        <v>241808</v>
      </c>
      <c r="Q420" s="1">
        <v>240908</v>
      </c>
      <c r="R420" s="1">
        <v>244154</v>
      </c>
      <c r="S420" s="1">
        <v>272275</v>
      </c>
      <c r="T420" s="1">
        <v>274671</v>
      </c>
      <c r="U420" s="1">
        <v>249677</v>
      </c>
      <c r="V420" s="1">
        <v>229614</v>
      </c>
      <c r="W420" s="1">
        <v>219194</v>
      </c>
      <c r="X420" s="1">
        <v>339063</v>
      </c>
    </row>
    <row r="421" spans="1:24" ht="16.5" customHeight="1" x14ac:dyDescent="0.35">
      <c r="A421" s="29" t="s">
        <v>281</v>
      </c>
      <c r="B421" s="1">
        <v>22</v>
      </c>
      <c r="C421" s="1">
        <v>902</v>
      </c>
      <c r="D421" s="1">
        <v>1141</v>
      </c>
      <c r="E421" s="1">
        <v>1253</v>
      </c>
      <c r="F421" s="1">
        <v>1319</v>
      </c>
      <c r="G421" s="1">
        <v>1192</v>
      </c>
      <c r="H421" s="1">
        <v>1352</v>
      </c>
      <c r="I421" s="1">
        <v>1465</v>
      </c>
      <c r="J421" s="1">
        <v>1230</v>
      </c>
      <c r="K421" s="1">
        <v>1252</v>
      </c>
      <c r="L421" s="1">
        <v>1562</v>
      </c>
      <c r="M421" s="1">
        <v>1367</v>
      </c>
      <c r="N421" s="1">
        <v>1224</v>
      </c>
      <c r="O421" s="1">
        <v>1430</v>
      </c>
      <c r="P421" s="1">
        <v>1243</v>
      </c>
      <c r="Q421" s="1">
        <v>1149</v>
      </c>
      <c r="R421" s="1">
        <v>2288</v>
      </c>
      <c r="S421" s="1">
        <v>2205</v>
      </c>
      <c r="T421" s="1">
        <v>2123</v>
      </c>
      <c r="U421" s="1">
        <v>3083</v>
      </c>
      <c r="V421" s="1">
        <v>3722</v>
      </c>
      <c r="W421" s="1">
        <v>4011</v>
      </c>
      <c r="X421" s="1">
        <v>3464</v>
      </c>
    </row>
    <row r="422" spans="1:24" ht="16.5" customHeight="1" x14ac:dyDescent="0.35">
      <c r="A422" s="29" t="s">
        <v>282</v>
      </c>
      <c r="B422" s="1">
        <v>97612</v>
      </c>
      <c r="C422" s="1">
        <v>64423</v>
      </c>
      <c r="D422" s="1">
        <v>57765</v>
      </c>
      <c r="E422" s="1">
        <v>77399</v>
      </c>
      <c r="F422" s="1">
        <v>61892</v>
      </c>
      <c r="G422" s="1">
        <v>67890</v>
      </c>
      <c r="H422" s="1">
        <v>102076</v>
      </c>
      <c r="I422" s="1">
        <v>91567</v>
      </c>
      <c r="J422" s="1">
        <v>68916</v>
      </c>
      <c r="K422" s="1">
        <v>85421</v>
      </c>
      <c r="L422" s="1">
        <v>71033</v>
      </c>
      <c r="M422" s="1">
        <v>119123</v>
      </c>
      <c r="N422" s="1">
        <v>119605</v>
      </c>
      <c r="O422" s="1">
        <v>173882</v>
      </c>
      <c r="P422" s="1">
        <v>217742</v>
      </c>
      <c r="Q422" s="1">
        <v>210711</v>
      </c>
      <c r="R422" s="1">
        <v>214157</v>
      </c>
      <c r="S422" s="1">
        <v>225960</v>
      </c>
      <c r="T422" s="1">
        <v>247778</v>
      </c>
      <c r="U422" s="1">
        <v>217056</v>
      </c>
      <c r="V422" s="1">
        <v>203987</v>
      </c>
      <c r="W422" s="1">
        <v>173716</v>
      </c>
      <c r="X422" s="1">
        <v>256821</v>
      </c>
    </row>
    <row r="423" spans="1:24" ht="16.5" customHeight="1" x14ac:dyDescent="0.35">
      <c r="A423" s="29" t="s">
        <v>283</v>
      </c>
      <c r="B423" s="1">
        <v>44679</v>
      </c>
      <c r="C423" s="1">
        <v>20339</v>
      </c>
      <c r="D423" s="1">
        <v>26021</v>
      </c>
      <c r="E423" s="1">
        <v>47222</v>
      </c>
      <c r="F423" s="1">
        <v>36003</v>
      </c>
      <c r="G423" s="1">
        <v>40932</v>
      </c>
      <c r="H423" s="1">
        <v>74942</v>
      </c>
      <c r="I423" s="1">
        <v>59215</v>
      </c>
      <c r="J423" s="1">
        <v>39341</v>
      </c>
      <c r="K423" s="1">
        <v>40466</v>
      </c>
      <c r="L423" s="1">
        <v>38180</v>
      </c>
      <c r="M423" s="1">
        <v>59791</v>
      </c>
      <c r="N423" s="1">
        <v>29431</v>
      </c>
      <c r="O423" s="1">
        <v>30716</v>
      </c>
      <c r="P423" s="1">
        <v>18667</v>
      </c>
      <c r="Q423" s="1">
        <v>65893</v>
      </c>
      <c r="R423" s="1">
        <v>43704</v>
      </c>
      <c r="S423" s="1">
        <v>53223</v>
      </c>
      <c r="T423" s="1">
        <v>35004</v>
      </c>
      <c r="U423" s="1">
        <v>45705</v>
      </c>
      <c r="V423" s="1">
        <v>37934</v>
      </c>
      <c r="W423" s="1">
        <v>41016</v>
      </c>
      <c r="X423" s="1">
        <v>48366</v>
      </c>
    </row>
    <row r="424" spans="1:24" ht="16.5" customHeight="1" x14ac:dyDescent="0.35">
      <c r="A424" s="29" t="s">
        <v>284</v>
      </c>
      <c r="B424" s="1">
        <v>46604</v>
      </c>
      <c r="C424" s="1">
        <v>41719</v>
      </c>
      <c r="D424" s="1">
        <v>30188</v>
      </c>
      <c r="E424" s="1">
        <v>29412</v>
      </c>
      <c r="F424" s="1">
        <v>24957</v>
      </c>
      <c r="G424" s="1">
        <v>25784</v>
      </c>
      <c r="H424" s="1">
        <v>25420</v>
      </c>
      <c r="I424" s="1">
        <v>31240</v>
      </c>
      <c r="J424" s="1">
        <v>29516</v>
      </c>
      <c r="K424" s="1">
        <v>41708</v>
      </c>
      <c r="L424" s="1">
        <v>31509</v>
      </c>
      <c r="M424" s="1">
        <v>58329</v>
      </c>
      <c r="N424" s="1">
        <v>88999</v>
      </c>
      <c r="O424" s="1">
        <v>141574</v>
      </c>
      <c r="P424" s="1">
        <v>197754</v>
      </c>
      <c r="Q424" s="1">
        <v>143295</v>
      </c>
      <c r="R424" s="1">
        <v>169148</v>
      </c>
      <c r="S424" s="1">
        <v>170177</v>
      </c>
      <c r="T424" s="1">
        <v>210641</v>
      </c>
      <c r="U424" s="1">
        <v>170736</v>
      </c>
      <c r="V424" s="1">
        <v>161445</v>
      </c>
      <c r="W424" s="1">
        <v>130567</v>
      </c>
      <c r="X424" s="1">
        <v>205821</v>
      </c>
    </row>
    <row r="425" spans="1:24" ht="16.5" customHeight="1" x14ac:dyDescent="0.35">
      <c r="A425" s="29" t="s">
        <v>285</v>
      </c>
      <c r="B425" s="1">
        <v>6329</v>
      </c>
      <c r="C425" s="1">
        <v>2365</v>
      </c>
      <c r="D425" s="1">
        <v>1556</v>
      </c>
      <c r="E425" s="1">
        <v>765</v>
      </c>
      <c r="F425" s="1">
        <v>932</v>
      </c>
      <c r="G425" s="1">
        <v>1174</v>
      </c>
      <c r="H425" s="1">
        <v>1714</v>
      </c>
      <c r="I425" s="1">
        <v>1112</v>
      </c>
      <c r="J425" s="1">
        <v>59</v>
      </c>
      <c r="K425" s="1">
        <v>3247</v>
      </c>
      <c r="L425" s="1">
        <v>1344</v>
      </c>
      <c r="M425" s="1">
        <v>1003</v>
      </c>
      <c r="N425" s="1">
        <v>1175</v>
      </c>
      <c r="O425" s="1">
        <v>1592</v>
      </c>
      <c r="P425" s="1">
        <v>1321</v>
      </c>
      <c r="Q425" s="1">
        <v>1523</v>
      </c>
      <c r="R425" s="1">
        <v>1305</v>
      </c>
      <c r="S425" s="1">
        <v>2560</v>
      </c>
      <c r="T425" s="1">
        <v>2133</v>
      </c>
      <c r="U425" s="1">
        <v>615</v>
      </c>
      <c r="V425" s="1">
        <v>4608</v>
      </c>
      <c r="W425" s="1">
        <v>2133</v>
      </c>
      <c r="X425" s="1">
        <v>2634</v>
      </c>
    </row>
    <row r="426" spans="1:24" ht="16.5" customHeight="1" x14ac:dyDescent="0.35">
      <c r="A426" s="29" t="s">
        <v>286</v>
      </c>
      <c r="B426" s="1">
        <v>10426</v>
      </c>
      <c r="C426" s="1">
        <v>14184</v>
      </c>
      <c r="D426" s="1">
        <v>8954</v>
      </c>
      <c r="E426" s="1">
        <v>6876</v>
      </c>
      <c r="F426" s="1">
        <v>6633</v>
      </c>
      <c r="G426" s="1">
        <v>6417</v>
      </c>
      <c r="H426" s="1">
        <v>6397</v>
      </c>
      <c r="I426" s="1">
        <v>6987</v>
      </c>
      <c r="J426" s="1">
        <v>6982</v>
      </c>
      <c r="K426" s="1">
        <v>7365</v>
      </c>
      <c r="L426" s="1">
        <v>9100</v>
      </c>
      <c r="M426" s="1">
        <v>7117</v>
      </c>
      <c r="N426" s="1">
        <v>9579</v>
      </c>
      <c r="O426" s="1">
        <v>18395</v>
      </c>
      <c r="P426" s="1">
        <v>22676</v>
      </c>
      <c r="Q426" s="1">
        <v>28226</v>
      </c>
      <c r="R426" s="1">
        <v>27223</v>
      </c>
      <c r="S426" s="1">
        <v>43662</v>
      </c>
      <c r="T426" s="1">
        <v>24054</v>
      </c>
      <c r="U426" s="1">
        <v>29034</v>
      </c>
      <c r="V426" s="1">
        <v>21812</v>
      </c>
      <c r="W426" s="1">
        <v>41212</v>
      </c>
      <c r="X426" s="1">
        <v>78428</v>
      </c>
    </row>
    <row r="427" spans="1:24" ht="16.5" customHeight="1" x14ac:dyDescent="0.35">
      <c r="A427" s="29" t="s">
        <v>287</v>
      </c>
      <c r="B427" s="1">
        <v>52</v>
      </c>
      <c r="C427" s="1">
        <v>42</v>
      </c>
      <c r="D427" s="1">
        <v>98</v>
      </c>
      <c r="E427" s="1">
        <v>84</v>
      </c>
      <c r="F427" s="1">
        <v>87</v>
      </c>
      <c r="G427" s="1">
        <v>82</v>
      </c>
      <c r="H427" s="1">
        <v>101</v>
      </c>
      <c r="I427" s="1">
        <v>291</v>
      </c>
      <c r="J427" s="1">
        <v>5949</v>
      </c>
      <c r="K427" s="1">
        <v>285</v>
      </c>
      <c r="L427" s="1">
        <v>219</v>
      </c>
      <c r="M427" s="1">
        <v>30</v>
      </c>
      <c r="N427" s="1">
        <v>17</v>
      </c>
      <c r="O427" s="1">
        <v>102</v>
      </c>
      <c r="P427" s="1">
        <v>147</v>
      </c>
      <c r="Q427" s="1">
        <v>822</v>
      </c>
      <c r="R427" s="1">
        <v>486</v>
      </c>
      <c r="S427" s="1">
        <v>448</v>
      </c>
      <c r="T427" s="1">
        <v>716</v>
      </c>
      <c r="U427" s="1">
        <v>504</v>
      </c>
      <c r="V427" s="1">
        <v>93</v>
      </c>
      <c r="W427" s="1">
        <v>255</v>
      </c>
      <c r="X427" s="1">
        <v>350</v>
      </c>
    </row>
    <row r="428" spans="1:24" ht="16.5" customHeight="1" x14ac:dyDescent="0.35">
      <c r="A428" s="29" t="s">
        <v>288</v>
      </c>
      <c r="B428" s="1">
        <v>122</v>
      </c>
      <c r="C428" s="1">
        <v>47</v>
      </c>
      <c r="D428" s="1">
        <v>13</v>
      </c>
      <c r="E428" s="1">
        <v>9</v>
      </c>
      <c r="F428" s="1">
        <v>1</v>
      </c>
      <c r="G428" s="1">
        <v>-6</v>
      </c>
      <c r="H428" s="1">
        <v>5</v>
      </c>
      <c r="I428" s="1">
        <v>1</v>
      </c>
      <c r="J428" s="1">
        <v>2</v>
      </c>
      <c r="K428" s="1">
        <v>50</v>
      </c>
      <c r="L428" s="1">
        <v>36</v>
      </c>
      <c r="M428" s="1">
        <v>36</v>
      </c>
      <c r="N428" s="1">
        <v>17</v>
      </c>
      <c r="O428" s="1">
        <v>15</v>
      </c>
      <c r="P428" s="1">
        <v>22</v>
      </c>
      <c r="Q428" s="1">
        <v>69</v>
      </c>
      <c r="R428" s="1">
        <v>26</v>
      </c>
      <c r="S428" s="1">
        <v>59</v>
      </c>
      <c r="T428" s="1">
        <v>42</v>
      </c>
      <c r="U428" s="1">
        <v>52</v>
      </c>
      <c r="V428" s="1">
        <v>17</v>
      </c>
      <c r="W428" s="1">
        <v>27</v>
      </c>
      <c r="X428" s="1">
        <v>35</v>
      </c>
    </row>
    <row r="429" spans="1:24" ht="16.5" customHeight="1" x14ac:dyDescent="0.35">
      <c r="A429" s="29" t="s">
        <v>289</v>
      </c>
      <c r="B429" s="1">
        <v>18183.599999999999</v>
      </c>
      <c r="C429" s="1">
        <v>36847</v>
      </c>
      <c r="D429" s="1">
        <v>41248.6</v>
      </c>
      <c r="E429" s="1">
        <v>50664.800000000003</v>
      </c>
      <c r="F429" s="1">
        <v>61824</v>
      </c>
      <c r="G429" s="1">
        <v>40501.599999999999</v>
      </c>
      <c r="H429" s="1">
        <v>41784.800000000003</v>
      </c>
      <c r="I429" s="1">
        <v>41207</v>
      </c>
      <c r="J429" s="1">
        <v>45797.4</v>
      </c>
      <c r="K429" s="1">
        <v>40589</v>
      </c>
      <c r="L429" s="1">
        <v>53852</v>
      </c>
      <c r="M429" s="1">
        <v>61484</v>
      </c>
      <c r="N429" s="1">
        <v>58887</v>
      </c>
      <c r="O429" s="1">
        <v>104375</v>
      </c>
      <c r="P429" s="1">
        <v>82171</v>
      </c>
      <c r="Q429" s="1">
        <v>114838</v>
      </c>
      <c r="R429" s="1">
        <v>115440</v>
      </c>
      <c r="S429" s="1">
        <v>244134</v>
      </c>
      <c r="T429" s="1">
        <v>137261</v>
      </c>
      <c r="U429" s="1">
        <v>54095</v>
      </c>
      <c r="V429" s="1">
        <v>39495</v>
      </c>
      <c r="W429" s="1">
        <v>39495</v>
      </c>
      <c r="X429" s="1">
        <v>39495</v>
      </c>
    </row>
    <row r="430" spans="1:24" ht="16.5" customHeight="1" x14ac:dyDescent="0.35">
      <c r="A430" s="29" t="s">
        <v>290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</row>
    <row r="431" spans="1:24" ht="16.5" customHeight="1" x14ac:dyDescent="0.35">
      <c r="A431" s="29" t="s">
        <v>291</v>
      </c>
    </row>
    <row r="432" spans="1:24" ht="16.5" customHeight="1" x14ac:dyDescent="0.35">
      <c r="A432" s="29" t="s">
        <v>292</v>
      </c>
      <c r="B432" s="1">
        <v>18183.599999999999</v>
      </c>
      <c r="C432" s="1">
        <v>36847</v>
      </c>
      <c r="D432" s="1">
        <v>41248.6</v>
      </c>
      <c r="E432" s="1">
        <v>50664.800000000003</v>
      </c>
      <c r="F432" s="1">
        <v>61824</v>
      </c>
      <c r="G432" s="1">
        <v>40501.599999999999</v>
      </c>
      <c r="H432" s="1">
        <v>41784.800000000003</v>
      </c>
      <c r="I432" s="1">
        <v>41207</v>
      </c>
      <c r="J432" s="1">
        <v>45797.4</v>
      </c>
      <c r="K432" s="1">
        <v>40589</v>
      </c>
      <c r="L432" s="1">
        <v>53852</v>
      </c>
      <c r="M432" s="1">
        <v>61484</v>
      </c>
      <c r="N432" s="1">
        <v>58887</v>
      </c>
      <c r="O432" s="1">
        <v>104375</v>
      </c>
      <c r="P432" s="1">
        <v>82171</v>
      </c>
      <c r="Q432" s="1">
        <v>114838</v>
      </c>
      <c r="R432" s="1">
        <v>115440</v>
      </c>
      <c r="S432" s="1">
        <v>244134</v>
      </c>
      <c r="T432" s="1">
        <v>137261</v>
      </c>
      <c r="U432" s="1">
        <v>54095</v>
      </c>
      <c r="V432" s="1">
        <v>39495</v>
      </c>
      <c r="W432" s="1">
        <v>39495</v>
      </c>
      <c r="X432" s="1">
        <v>39495</v>
      </c>
    </row>
    <row r="433" spans="1:24" ht="16.5" customHeight="1" x14ac:dyDescent="0.35">
      <c r="A433" s="29" t="s">
        <v>293</v>
      </c>
      <c r="B433" s="1">
        <v>152595.6</v>
      </c>
      <c r="C433" s="1">
        <v>144178</v>
      </c>
      <c r="D433" s="1">
        <v>139058.6</v>
      </c>
      <c r="E433" s="1">
        <v>168142.8</v>
      </c>
      <c r="F433" s="1">
        <v>162341</v>
      </c>
      <c r="G433" s="1">
        <v>146380.6</v>
      </c>
      <c r="H433" s="1">
        <v>185205.8</v>
      </c>
      <c r="I433" s="1">
        <v>174893</v>
      </c>
      <c r="J433" s="1">
        <v>160646.39999999999</v>
      </c>
      <c r="K433" s="1">
        <v>166792</v>
      </c>
      <c r="L433" s="1">
        <v>171140</v>
      </c>
      <c r="M433" s="1">
        <v>221032</v>
      </c>
      <c r="N433" s="1">
        <v>222886</v>
      </c>
      <c r="O433" s="1">
        <v>330014</v>
      </c>
      <c r="P433" s="1">
        <v>362944</v>
      </c>
      <c r="Q433" s="1">
        <v>398375</v>
      </c>
      <c r="R433" s="1">
        <v>407407</v>
      </c>
      <c r="S433" s="1">
        <v>569749</v>
      </c>
      <c r="T433" s="1">
        <v>466896</v>
      </c>
      <c r="U433" s="1">
        <v>359888</v>
      </c>
      <c r="V433" s="1">
        <v>337455</v>
      </c>
      <c r="W433" s="1">
        <v>327259</v>
      </c>
      <c r="X433" s="1">
        <v>429469</v>
      </c>
    </row>
    <row r="434" spans="1:24" ht="16.5" customHeight="1" x14ac:dyDescent="0.35"/>
    <row r="436" spans="1:24" ht="16.5" customHeight="1" x14ac:dyDescent="0.35">
      <c r="A436" s="30" t="s">
        <v>343</v>
      </c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2"/>
    </row>
    <row r="437" spans="1:24" ht="16.5" customHeight="1" x14ac:dyDescent="0.35">
      <c r="A437" s="29" t="s">
        <v>31</v>
      </c>
    </row>
    <row r="438" spans="1:24" ht="16.5" customHeight="1" x14ac:dyDescent="0.35">
      <c r="A438" s="29" t="s">
        <v>52</v>
      </c>
      <c r="B438" s="1">
        <v>2001</v>
      </c>
      <c r="C438" s="1">
        <v>2002</v>
      </c>
      <c r="D438" s="1">
        <v>2003</v>
      </c>
      <c r="E438" s="1">
        <v>2004</v>
      </c>
      <c r="F438" s="1">
        <v>2005</v>
      </c>
      <c r="G438" s="1">
        <v>2006</v>
      </c>
      <c r="H438" s="1">
        <v>2007</v>
      </c>
      <c r="I438" s="1">
        <v>2008</v>
      </c>
      <c r="J438" s="1">
        <v>2009</v>
      </c>
      <c r="K438" s="1">
        <v>2010</v>
      </c>
      <c r="L438" s="1">
        <v>2011</v>
      </c>
      <c r="M438" s="1">
        <v>2012</v>
      </c>
      <c r="N438" s="1">
        <v>2013</v>
      </c>
      <c r="O438" s="1">
        <v>2014</v>
      </c>
      <c r="P438" s="1">
        <v>2015</v>
      </c>
      <c r="Q438" s="1">
        <v>2016</v>
      </c>
      <c r="R438" s="1">
        <v>2017</v>
      </c>
      <c r="S438" s="1">
        <v>2018</v>
      </c>
      <c r="T438" s="1">
        <v>2019</v>
      </c>
      <c r="U438" s="1">
        <v>2020</v>
      </c>
      <c r="V438" s="1">
        <v>2021</v>
      </c>
      <c r="W438" s="1">
        <v>2022</v>
      </c>
      <c r="X438" s="1">
        <v>2023</v>
      </c>
    </row>
    <row r="439" spans="1:24" ht="16.5" customHeight="1" x14ac:dyDescent="0.35">
      <c r="A439" s="29" t="s">
        <v>294</v>
      </c>
      <c r="B439" s="1">
        <v>98941.6</v>
      </c>
      <c r="C439" s="1">
        <v>126782</v>
      </c>
      <c r="D439" s="1">
        <v>121855.6</v>
      </c>
      <c r="E439" s="1">
        <v>145907.79999999999</v>
      </c>
      <c r="F439" s="1">
        <v>146300</v>
      </c>
      <c r="G439" s="1">
        <v>126604.6</v>
      </c>
      <c r="H439" s="1">
        <v>134128.79999999999</v>
      </c>
      <c r="I439" s="1">
        <v>145070</v>
      </c>
      <c r="J439" s="1">
        <v>139495.4</v>
      </c>
      <c r="K439" s="1">
        <v>141137</v>
      </c>
      <c r="L439" s="1">
        <v>141610.4</v>
      </c>
      <c r="M439" s="1">
        <v>167755</v>
      </c>
      <c r="N439" s="1">
        <v>163280</v>
      </c>
      <c r="O439" s="1">
        <v>231441</v>
      </c>
      <c r="P439" s="1">
        <v>199293</v>
      </c>
      <c r="Q439" s="1">
        <v>257618</v>
      </c>
      <c r="R439" s="1">
        <v>271493</v>
      </c>
      <c r="S439" s="1">
        <v>391728</v>
      </c>
      <c r="T439" s="1">
        <v>308597</v>
      </c>
      <c r="U439" s="1">
        <v>212194</v>
      </c>
      <c r="V439" s="1">
        <v>268366</v>
      </c>
      <c r="W439" s="1">
        <v>246341</v>
      </c>
      <c r="X439" s="1">
        <v>263123</v>
      </c>
    </row>
    <row r="440" spans="1:24" ht="16.5" customHeight="1" x14ac:dyDescent="0.35">
      <c r="A440" s="29" t="s">
        <v>295</v>
      </c>
      <c r="B440" s="1">
        <v>98941.6</v>
      </c>
      <c r="C440" s="1">
        <v>126782</v>
      </c>
      <c r="D440" s="1">
        <v>121661.6</v>
      </c>
      <c r="E440" s="1">
        <v>145892.79999999999</v>
      </c>
      <c r="F440" s="1">
        <v>146130</v>
      </c>
      <c r="G440" s="1">
        <v>126552.6</v>
      </c>
      <c r="H440" s="1">
        <v>133983.79999999999</v>
      </c>
      <c r="I440" s="1">
        <v>144806</v>
      </c>
      <c r="J440" s="1">
        <v>136554.4</v>
      </c>
      <c r="K440" s="1">
        <v>137648</v>
      </c>
      <c r="L440" s="1">
        <v>141066.4</v>
      </c>
      <c r="M440" s="1">
        <v>160892</v>
      </c>
      <c r="N440" s="1">
        <v>160921</v>
      </c>
      <c r="O440" s="1">
        <v>221578</v>
      </c>
      <c r="P440" s="1">
        <v>198122</v>
      </c>
      <c r="Q440" s="1">
        <v>256616</v>
      </c>
      <c r="R440" s="1">
        <v>270877</v>
      </c>
      <c r="S440" s="1">
        <v>390189</v>
      </c>
      <c r="T440" s="1">
        <v>305752</v>
      </c>
      <c r="U440" s="1">
        <v>209318</v>
      </c>
      <c r="V440" s="1">
        <v>264626</v>
      </c>
      <c r="W440" s="1">
        <v>241765</v>
      </c>
      <c r="X440" s="1">
        <v>247594</v>
      </c>
    </row>
    <row r="441" spans="1:24" ht="16.5" customHeight="1" x14ac:dyDescent="0.35">
      <c r="A441" s="29" t="s">
        <v>296</v>
      </c>
      <c r="B441" s="1">
        <v>80758</v>
      </c>
      <c r="C441" s="1">
        <v>89935</v>
      </c>
      <c r="D441" s="1">
        <v>80413</v>
      </c>
      <c r="E441" s="1">
        <v>95201</v>
      </c>
      <c r="F441" s="1">
        <v>84306</v>
      </c>
      <c r="G441" s="1">
        <v>86049</v>
      </c>
      <c r="H441" s="1">
        <v>92189</v>
      </c>
      <c r="I441" s="1">
        <v>103592</v>
      </c>
      <c r="J441" s="1">
        <v>90757</v>
      </c>
      <c r="K441" s="1">
        <v>97059</v>
      </c>
      <c r="L441" s="1">
        <v>99211</v>
      </c>
      <c r="M441" s="1">
        <v>99408</v>
      </c>
      <c r="N441" s="1">
        <v>100880</v>
      </c>
      <c r="O441" s="1">
        <v>117203</v>
      </c>
      <c r="P441" s="1">
        <v>115951</v>
      </c>
      <c r="Q441" s="1">
        <v>141778</v>
      </c>
      <c r="R441" s="1">
        <v>155437</v>
      </c>
      <c r="S441" s="1">
        <v>146055</v>
      </c>
      <c r="T441" s="1">
        <v>168491</v>
      </c>
      <c r="U441" s="1">
        <v>155223</v>
      </c>
      <c r="V441" s="1">
        <v>244002</v>
      </c>
      <c r="W441" s="1">
        <v>203290</v>
      </c>
      <c r="X441" s="1">
        <v>209119</v>
      </c>
    </row>
    <row r="442" spans="1:24" ht="16.5" customHeight="1" x14ac:dyDescent="0.35">
      <c r="A442" s="29" t="s">
        <v>297</v>
      </c>
      <c r="B442" s="1">
        <v>68971</v>
      </c>
      <c r="C442" s="1">
        <v>79716</v>
      </c>
      <c r="D442" s="1">
        <v>72778</v>
      </c>
      <c r="E442" s="1">
        <v>82124</v>
      </c>
      <c r="F442" s="1">
        <v>74787</v>
      </c>
      <c r="G442" s="1">
        <v>78286</v>
      </c>
      <c r="H442" s="1">
        <v>80081</v>
      </c>
      <c r="I442" s="1">
        <v>91632</v>
      </c>
      <c r="J442" s="1">
        <v>79535</v>
      </c>
      <c r="K442" s="1">
        <v>84585</v>
      </c>
      <c r="L442" s="1">
        <v>85108</v>
      </c>
      <c r="M442" s="1">
        <v>82265</v>
      </c>
      <c r="N442" s="1">
        <v>84808</v>
      </c>
      <c r="O442" s="1">
        <v>97726</v>
      </c>
      <c r="P442" s="1">
        <v>98190</v>
      </c>
      <c r="Q442" s="1">
        <v>107373</v>
      </c>
      <c r="R442" s="1">
        <v>107063</v>
      </c>
      <c r="S442" s="1">
        <v>128545</v>
      </c>
      <c r="T442" s="1">
        <v>134286</v>
      </c>
      <c r="U442" s="1">
        <v>122116</v>
      </c>
      <c r="V442" s="1">
        <v>163479</v>
      </c>
      <c r="W442" s="1">
        <v>157283</v>
      </c>
      <c r="X442" s="1">
        <v>161305</v>
      </c>
    </row>
    <row r="443" spans="1:24" ht="16.5" customHeight="1" x14ac:dyDescent="0.35">
      <c r="A443" s="29" t="s">
        <v>298</v>
      </c>
      <c r="B443" s="1">
        <v>28627</v>
      </c>
      <c r="C443" s="1">
        <v>32372</v>
      </c>
      <c r="D443" s="1">
        <v>35620</v>
      </c>
      <c r="E443" s="1">
        <v>36817</v>
      </c>
      <c r="F443" s="1">
        <v>35492</v>
      </c>
      <c r="G443" s="1">
        <v>40987</v>
      </c>
      <c r="H443" s="1">
        <v>42013</v>
      </c>
      <c r="I443" s="1">
        <v>42700</v>
      </c>
      <c r="J443" s="1">
        <v>39851</v>
      </c>
      <c r="K443" s="1">
        <v>42396</v>
      </c>
      <c r="L443" s="1">
        <v>46765</v>
      </c>
      <c r="M443" s="1">
        <v>47888</v>
      </c>
      <c r="N443" s="1">
        <v>49378</v>
      </c>
      <c r="O443" s="1">
        <v>50356</v>
      </c>
      <c r="P443" s="1">
        <v>54406</v>
      </c>
      <c r="Q443" s="1">
        <v>56116</v>
      </c>
      <c r="R443" s="1">
        <v>58602</v>
      </c>
      <c r="S443" s="1">
        <v>74785</v>
      </c>
      <c r="T443" s="1">
        <v>77512</v>
      </c>
      <c r="U443" s="1">
        <v>69868</v>
      </c>
      <c r="V443" s="1">
        <v>99954</v>
      </c>
      <c r="W443" s="1">
        <v>100129</v>
      </c>
      <c r="X443" s="1">
        <v>102427</v>
      </c>
    </row>
    <row r="444" spans="1:24" ht="16.5" customHeight="1" x14ac:dyDescent="0.35">
      <c r="A444" s="29" t="s">
        <v>299</v>
      </c>
      <c r="B444" s="1">
        <v>1380</v>
      </c>
      <c r="C444" s="1">
        <v>1974</v>
      </c>
      <c r="D444" s="1">
        <v>2591</v>
      </c>
      <c r="E444" s="1">
        <v>1996</v>
      </c>
      <c r="F444" s="1">
        <v>4181</v>
      </c>
      <c r="G444" s="1">
        <v>5093</v>
      </c>
      <c r="H444" s="1">
        <v>2087</v>
      </c>
      <c r="I444" s="1">
        <v>5127</v>
      </c>
      <c r="J444" s="1">
        <v>330</v>
      </c>
      <c r="K444" s="1">
        <v>2488</v>
      </c>
      <c r="L444" s="1">
        <v>2876</v>
      </c>
      <c r="M444" s="1">
        <v>3194</v>
      </c>
      <c r="N444" s="1">
        <v>3087</v>
      </c>
      <c r="O444" s="1">
        <v>3042</v>
      </c>
      <c r="P444" s="1">
        <v>3063</v>
      </c>
      <c r="Q444" s="1">
        <v>3110</v>
      </c>
      <c r="R444" s="1">
        <v>3128</v>
      </c>
      <c r="S444" s="1">
        <v>4295</v>
      </c>
      <c r="T444" s="1">
        <v>4480</v>
      </c>
      <c r="U444" s="1">
        <v>4077</v>
      </c>
      <c r="V444" s="1">
        <v>5368</v>
      </c>
      <c r="W444" s="1">
        <v>5230</v>
      </c>
      <c r="X444" s="1">
        <v>5298</v>
      </c>
    </row>
    <row r="445" spans="1:24" ht="16.5" customHeight="1" x14ac:dyDescent="0.35">
      <c r="A445" s="29" t="s">
        <v>300</v>
      </c>
      <c r="B445" s="1">
        <v>38964</v>
      </c>
      <c r="C445" s="1">
        <v>45370</v>
      </c>
      <c r="D445" s="1">
        <v>34567</v>
      </c>
      <c r="E445" s="1">
        <v>43311</v>
      </c>
      <c r="F445" s="1">
        <v>35114</v>
      </c>
      <c r="G445" s="1">
        <v>32206</v>
      </c>
      <c r="H445" s="1">
        <v>35981</v>
      </c>
      <c r="I445" s="1">
        <v>43805</v>
      </c>
      <c r="J445" s="1">
        <v>39354</v>
      </c>
      <c r="K445" s="1">
        <v>39701</v>
      </c>
      <c r="L445" s="1">
        <v>35467</v>
      </c>
      <c r="M445" s="1">
        <v>31183</v>
      </c>
      <c r="N445" s="1">
        <v>32343</v>
      </c>
      <c r="O445" s="1">
        <v>44328</v>
      </c>
      <c r="P445" s="1">
        <v>40721</v>
      </c>
      <c r="Q445" s="1">
        <v>48147</v>
      </c>
      <c r="R445" s="1">
        <v>45333</v>
      </c>
      <c r="S445" s="1">
        <v>49465</v>
      </c>
      <c r="T445" s="1">
        <v>52294</v>
      </c>
      <c r="U445" s="1">
        <v>48171</v>
      </c>
      <c r="V445" s="1">
        <v>58157</v>
      </c>
      <c r="W445" s="1">
        <v>51924</v>
      </c>
      <c r="X445" s="1">
        <v>53580</v>
      </c>
    </row>
    <row r="446" spans="1:24" ht="16.5" customHeight="1" x14ac:dyDescent="0.35">
      <c r="A446" s="29" t="s">
        <v>301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4" ht="16.5" customHeight="1" x14ac:dyDescent="0.35">
      <c r="A447" s="29" t="s">
        <v>302</v>
      </c>
      <c r="B447" s="1">
        <v>11787</v>
      </c>
      <c r="C447" s="1">
        <v>10219</v>
      </c>
      <c r="D447" s="1">
        <v>7635</v>
      </c>
      <c r="E447" s="1">
        <v>13077</v>
      </c>
      <c r="F447" s="1">
        <v>9519</v>
      </c>
      <c r="G447" s="1">
        <v>7763</v>
      </c>
      <c r="H447" s="1">
        <v>12108</v>
      </c>
      <c r="I447" s="1">
        <v>11960</v>
      </c>
      <c r="J447" s="1">
        <v>11222</v>
      </c>
      <c r="K447" s="1">
        <v>12474</v>
      </c>
      <c r="L447" s="1">
        <v>14103</v>
      </c>
      <c r="M447" s="1">
        <v>17143</v>
      </c>
      <c r="N447" s="1">
        <v>16072</v>
      </c>
      <c r="O447" s="1">
        <v>19477</v>
      </c>
      <c r="P447" s="1">
        <v>17761</v>
      </c>
      <c r="Q447" s="1">
        <v>34405</v>
      </c>
      <c r="R447" s="1">
        <v>48374</v>
      </c>
      <c r="S447" s="1">
        <v>17510</v>
      </c>
      <c r="T447" s="1">
        <v>34205</v>
      </c>
      <c r="U447" s="1">
        <v>33107</v>
      </c>
      <c r="V447" s="1">
        <v>80523</v>
      </c>
      <c r="W447" s="1">
        <v>46007</v>
      </c>
      <c r="X447" s="1">
        <v>47814</v>
      </c>
    </row>
    <row r="448" spans="1:24" ht="16.5" customHeight="1" x14ac:dyDescent="0.35">
      <c r="A448" s="29" t="s">
        <v>303</v>
      </c>
      <c r="B448" s="1">
        <v>9128</v>
      </c>
      <c r="C448" s="1">
        <v>8613</v>
      </c>
      <c r="D448" s="1">
        <v>6232</v>
      </c>
      <c r="E448" s="1">
        <v>10946</v>
      </c>
      <c r="F448" s="1">
        <v>7389</v>
      </c>
      <c r="G448" s="1">
        <v>5334</v>
      </c>
      <c r="H448" s="1">
        <v>8527</v>
      </c>
      <c r="I448" s="1">
        <v>9801</v>
      </c>
      <c r="J448" s="1">
        <v>7938</v>
      </c>
      <c r="K448" s="1">
        <v>10393</v>
      </c>
      <c r="L448" s="1">
        <v>12011</v>
      </c>
      <c r="M448" s="1">
        <v>11071</v>
      </c>
      <c r="N448" s="1">
        <v>10426</v>
      </c>
      <c r="O448" s="1">
        <v>13158</v>
      </c>
      <c r="P448" s="1">
        <v>10524</v>
      </c>
      <c r="Q448" s="1">
        <v>26303</v>
      </c>
      <c r="R448" s="1">
        <v>39236</v>
      </c>
      <c r="S448" s="1">
        <v>5584</v>
      </c>
      <c r="T448" s="1">
        <v>24025</v>
      </c>
      <c r="U448" s="1">
        <v>4503</v>
      </c>
      <c r="V448" s="1">
        <v>6438</v>
      </c>
      <c r="W448" s="1">
        <v>9275</v>
      </c>
      <c r="X448" s="1">
        <v>11111</v>
      </c>
    </row>
    <row r="449" spans="1:24" ht="16.5" customHeight="1" x14ac:dyDescent="0.35">
      <c r="A449" s="29" t="s">
        <v>304</v>
      </c>
      <c r="B449" s="1">
        <v>1509</v>
      </c>
      <c r="C449" s="1">
        <v>2009</v>
      </c>
      <c r="D449" s="1">
        <v>1984</v>
      </c>
      <c r="E449" s="1">
        <v>1871</v>
      </c>
      <c r="F449" s="1">
        <v>2295</v>
      </c>
      <c r="G449" s="1">
        <v>2040</v>
      </c>
      <c r="H449" s="1">
        <v>2479</v>
      </c>
      <c r="I449" s="1">
        <v>2880</v>
      </c>
      <c r="J449" s="1">
        <v>1896</v>
      </c>
      <c r="K449" s="1">
        <v>2699</v>
      </c>
      <c r="L449" s="1">
        <v>2076</v>
      </c>
      <c r="M449" s="1">
        <v>2224</v>
      </c>
      <c r="N449" s="1">
        <v>1699</v>
      </c>
      <c r="O449" s="1">
        <v>1954</v>
      </c>
      <c r="P449" s="1">
        <v>2602</v>
      </c>
      <c r="Q449" s="1">
        <v>2159</v>
      </c>
      <c r="R449" s="1">
        <v>739</v>
      </c>
      <c r="S449" s="1">
        <v>604</v>
      </c>
      <c r="T449" s="1">
        <v>267</v>
      </c>
      <c r="U449" s="1">
        <v>398</v>
      </c>
      <c r="V449" s="1">
        <v>503</v>
      </c>
      <c r="W449" s="1">
        <v>3911</v>
      </c>
      <c r="X449" s="1">
        <v>1992</v>
      </c>
    </row>
    <row r="450" spans="1:24" ht="16.5" customHeight="1" x14ac:dyDescent="0.35">
      <c r="A450" s="29" t="s">
        <v>305</v>
      </c>
      <c r="B450" s="1">
        <v>0</v>
      </c>
      <c r="C450" s="1">
        <v>0</v>
      </c>
      <c r="D450" s="1">
        <v>0</v>
      </c>
      <c r="E450" s="1">
        <v>300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434</v>
      </c>
      <c r="L450" s="1">
        <v>0</v>
      </c>
      <c r="M450" s="1">
        <v>0</v>
      </c>
      <c r="N450" s="1">
        <v>3</v>
      </c>
      <c r="O450" s="1">
        <v>0</v>
      </c>
      <c r="P450" s="1">
        <v>0</v>
      </c>
      <c r="Q450" s="1">
        <v>0</v>
      </c>
    </row>
    <row r="451" spans="1:24" ht="16.5" customHeight="1" x14ac:dyDescent="0.35">
      <c r="A451" s="29" t="s">
        <v>306</v>
      </c>
      <c r="B451" s="1">
        <v>7619</v>
      </c>
      <c r="C451" s="1">
        <v>6604</v>
      </c>
      <c r="D451" s="1">
        <v>4248</v>
      </c>
      <c r="E451" s="1">
        <v>8775</v>
      </c>
      <c r="F451" s="1">
        <v>5094</v>
      </c>
      <c r="G451" s="1">
        <v>3294</v>
      </c>
      <c r="H451" s="1">
        <v>6048</v>
      </c>
      <c r="I451" s="1">
        <v>6921</v>
      </c>
      <c r="J451" s="1">
        <v>6042</v>
      </c>
      <c r="K451" s="1">
        <v>7260</v>
      </c>
      <c r="L451" s="1">
        <v>9935</v>
      </c>
      <c r="M451" s="1">
        <v>8847</v>
      </c>
      <c r="N451" s="1">
        <v>8724</v>
      </c>
      <c r="O451" s="1">
        <v>11204</v>
      </c>
      <c r="P451" s="1">
        <v>7922</v>
      </c>
      <c r="Q451" s="1">
        <v>24144</v>
      </c>
      <c r="R451" s="1">
        <v>38497</v>
      </c>
      <c r="S451" s="1">
        <v>4980</v>
      </c>
      <c r="T451" s="1">
        <v>23758</v>
      </c>
      <c r="U451" s="1">
        <v>4105</v>
      </c>
      <c r="V451" s="1">
        <v>5935</v>
      </c>
      <c r="W451" s="1">
        <v>5364</v>
      </c>
      <c r="X451" s="1">
        <v>9119</v>
      </c>
    </row>
    <row r="452" spans="1:24" ht="16.5" customHeight="1" x14ac:dyDescent="0.35">
      <c r="A452" s="29" t="s">
        <v>307</v>
      </c>
      <c r="B452" s="1">
        <v>2659</v>
      </c>
      <c r="C452" s="1">
        <v>1606</v>
      </c>
      <c r="D452" s="1">
        <v>1403</v>
      </c>
      <c r="E452" s="1">
        <v>2131</v>
      </c>
      <c r="F452" s="1">
        <v>2130</v>
      </c>
      <c r="G452" s="1">
        <v>2429</v>
      </c>
      <c r="H452" s="1">
        <v>3581</v>
      </c>
      <c r="I452" s="1">
        <v>2159</v>
      </c>
      <c r="J452" s="1">
        <v>3284</v>
      </c>
      <c r="K452" s="1">
        <v>2081</v>
      </c>
      <c r="L452" s="1">
        <v>2092</v>
      </c>
      <c r="M452" s="1">
        <v>6072</v>
      </c>
      <c r="N452" s="1">
        <v>5646</v>
      </c>
      <c r="O452" s="1">
        <v>6319</v>
      </c>
      <c r="P452" s="1">
        <v>7237</v>
      </c>
      <c r="Q452" s="1">
        <v>8102</v>
      </c>
      <c r="R452" s="1">
        <v>9138</v>
      </c>
      <c r="S452" s="1">
        <v>11926</v>
      </c>
      <c r="T452" s="1">
        <v>10180</v>
      </c>
      <c r="U452" s="1">
        <v>28604</v>
      </c>
      <c r="V452" s="1">
        <v>74085</v>
      </c>
      <c r="W452" s="1">
        <v>36732</v>
      </c>
      <c r="X452" s="1">
        <v>36703</v>
      </c>
    </row>
    <row r="453" spans="1:24" ht="16.5" customHeight="1" x14ac:dyDescent="0.35">
      <c r="A453" s="29" t="s">
        <v>308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1807</v>
      </c>
      <c r="R453" s="1">
        <v>2675</v>
      </c>
      <c r="S453" s="1">
        <v>2921</v>
      </c>
      <c r="T453" s="1">
        <v>3665</v>
      </c>
      <c r="U453" s="1">
        <v>3352</v>
      </c>
      <c r="V453" s="1">
        <v>3973</v>
      </c>
      <c r="W453" s="1">
        <v>3965</v>
      </c>
      <c r="X453" s="1">
        <v>4924</v>
      </c>
    </row>
    <row r="454" spans="1:24" ht="16.5" customHeight="1" x14ac:dyDescent="0.35">
      <c r="A454" s="29" t="s">
        <v>309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</row>
    <row r="455" spans="1:24" ht="16.5" customHeight="1" x14ac:dyDescent="0.35">
      <c r="A455" s="29" t="s">
        <v>310</v>
      </c>
      <c r="B455" s="1">
        <v>22</v>
      </c>
      <c r="C455" s="1">
        <v>18</v>
      </c>
      <c r="D455" s="1">
        <v>15</v>
      </c>
      <c r="E455" s="1">
        <v>36</v>
      </c>
      <c r="F455" s="1">
        <v>13</v>
      </c>
      <c r="G455" s="1">
        <v>143</v>
      </c>
      <c r="H455" s="1">
        <v>20</v>
      </c>
      <c r="I455" s="1">
        <v>17</v>
      </c>
      <c r="J455" s="1">
        <v>128</v>
      </c>
      <c r="K455" s="1">
        <v>20</v>
      </c>
      <c r="L455" s="1">
        <v>35</v>
      </c>
      <c r="M455" s="1">
        <v>23</v>
      </c>
      <c r="N455" s="1">
        <v>20</v>
      </c>
      <c r="O455" s="1">
        <v>15</v>
      </c>
      <c r="P455" s="1">
        <v>20</v>
      </c>
      <c r="Q455" s="1">
        <v>21</v>
      </c>
      <c r="R455" s="1">
        <v>14</v>
      </c>
      <c r="S455" s="1">
        <v>28</v>
      </c>
      <c r="T455" s="1">
        <v>23</v>
      </c>
      <c r="U455" s="1">
        <v>10</v>
      </c>
      <c r="V455" s="1">
        <v>0</v>
      </c>
      <c r="W455" s="1">
        <v>19</v>
      </c>
      <c r="X455" s="1">
        <v>10</v>
      </c>
    </row>
    <row r="456" spans="1:24" ht="16.5" customHeight="1" x14ac:dyDescent="0.35">
      <c r="A456" s="29" t="s">
        <v>311</v>
      </c>
      <c r="B456" s="1">
        <v>1572</v>
      </c>
      <c r="C456" s="1">
        <v>647</v>
      </c>
      <c r="D456" s="1">
        <v>378</v>
      </c>
      <c r="E456" s="1">
        <v>996</v>
      </c>
      <c r="F456" s="1">
        <v>1102</v>
      </c>
      <c r="G456" s="1">
        <v>886</v>
      </c>
      <c r="H456" s="1">
        <v>2065</v>
      </c>
      <c r="I456" s="1">
        <v>880</v>
      </c>
      <c r="J456" s="1">
        <v>2495</v>
      </c>
      <c r="K456" s="1">
        <v>1916</v>
      </c>
      <c r="L456" s="1">
        <v>1780</v>
      </c>
      <c r="M456" s="1">
        <v>5496</v>
      </c>
      <c r="N456" s="1">
        <v>5063</v>
      </c>
      <c r="O456" s="1">
        <v>5200</v>
      </c>
      <c r="P456" s="1">
        <v>5712</v>
      </c>
      <c r="Q456" s="1">
        <v>6477</v>
      </c>
      <c r="R456" s="1">
        <v>6519</v>
      </c>
      <c r="S456" s="1">
        <v>9650</v>
      </c>
      <c r="T456" s="1">
        <v>8368</v>
      </c>
      <c r="U456" s="1">
        <v>26951</v>
      </c>
      <c r="V456" s="1">
        <v>73016</v>
      </c>
      <c r="W456" s="1">
        <v>34678</v>
      </c>
      <c r="X456" s="1">
        <v>34195</v>
      </c>
    </row>
    <row r="457" spans="1:24" ht="16.5" customHeight="1" x14ac:dyDescent="0.35">
      <c r="A457" s="29" t="s">
        <v>312</v>
      </c>
      <c r="B457" s="1">
        <v>1065</v>
      </c>
      <c r="C457" s="1">
        <v>941</v>
      </c>
      <c r="D457" s="1">
        <v>1010</v>
      </c>
      <c r="E457" s="1">
        <v>1099</v>
      </c>
      <c r="F457" s="1">
        <v>1015</v>
      </c>
      <c r="G457" s="1">
        <v>1400</v>
      </c>
      <c r="H457" s="1">
        <v>1496</v>
      </c>
      <c r="I457" s="1">
        <v>1262</v>
      </c>
      <c r="J457" s="1">
        <v>661</v>
      </c>
      <c r="K457" s="1">
        <v>145</v>
      </c>
      <c r="L457" s="1">
        <v>277</v>
      </c>
      <c r="M457" s="1">
        <v>553</v>
      </c>
      <c r="N457" s="1">
        <v>563</v>
      </c>
      <c r="O457" s="1">
        <v>1104</v>
      </c>
      <c r="P457" s="1">
        <v>1505</v>
      </c>
      <c r="Q457" s="1">
        <v>1604</v>
      </c>
      <c r="R457" s="1">
        <v>2605</v>
      </c>
      <c r="S457" s="1">
        <v>2248</v>
      </c>
      <c r="T457" s="1">
        <v>1789</v>
      </c>
      <c r="U457" s="1">
        <v>1643</v>
      </c>
      <c r="V457" s="1">
        <v>1069</v>
      </c>
      <c r="W457" s="1">
        <v>2035</v>
      </c>
      <c r="X457" s="1">
        <v>2498</v>
      </c>
    </row>
    <row r="458" spans="1:24" ht="16.5" customHeight="1" x14ac:dyDescent="0.35">
      <c r="A458" s="29" t="s">
        <v>313</v>
      </c>
      <c r="B458" s="1">
        <v>18183.599999999999</v>
      </c>
      <c r="C458" s="1">
        <v>36847</v>
      </c>
      <c r="D458" s="1">
        <v>41248.6</v>
      </c>
      <c r="E458" s="1">
        <v>50691.8</v>
      </c>
      <c r="F458" s="1">
        <v>61824</v>
      </c>
      <c r="G458" s="1">
        <v>40503.599999999999</v>
      </c>
      <c r="H458" s="1">
        <v>41794.800000000003</v>
      </c>
      <c r="I458" s="1">
        <v>41214</v>
      </c>
      <c r="J458" s="1">
        <v>45797.4</v>
      </c>
      <c r="K458" s="1">
        <v>40589</v>
      </c>
      <c r="L458" s="1">
        <v>41855.4</v>
      </c>
      <c r="M458" s="1">
        <v>61484</v>
      </c>
      <c r="N458" s="1">
        <v>60041</v>
      </c>
      <c r="O458" s="1">
        <v>104375</v>
      </c>
      <c r="P458" s="1">
        <v>82171</v>
      </c>
      <c r="Q458" s="1">
        <v>114838</v>
      </c>
      <c r="R458" s="1">
        <v>115440</v>
      </c>
      <c r="S458" s="1">
        <v>244134</v>
      </c>
      <c r="T458" s="1">
        <v>137261</v>
      </c>
      <c r="U458" s="1">
        <v>54095</v>
      </c>
      <c r="V458" s="1">
        <v>20624</v>
      </c>
      <c r="W458" s="1">
        <v>38475</v>
      </c>
      <c r="X458" s="1">
        <v>38475</v>
      </c>
    </row>
    <row r="459" spans="1:24" ht="16.5" customHeight="1" x14ac:dyDescent="0.35"/>
    <row r="460" spans="1:24" ht="16.5" customHeight="1" x14ac:dyDescent="0.35">
      <c r="A460" s="29" t="s">
        <v>314</v>
      </c>
      <c r="B460" s="1">
        <v>18183.599999999999</v>
      </c>
      <c r="C460" s="1">
        <v>36847</v>
      </c>
      <c r="D460" s="1">
        <v>41248.6</v>
      </c>
      <c r="E460" s="1">
        <v>50664.800000000003</v>
      </c>
      <c r="F460" s="1">
        <v>61824</v>
      </c>
      <c r="G460" s="1">
        <v>40501.599999999999</v>
      </c>
      <c r="H460" s="1">
        <v>41784.800000000003</v>
      </c>
      <c r="I460" s="1">
        <v>41207</v>
      </c>
      <c r="J460" s="1">
        <v>45797.4</v>
      </c>
      <c r="K460" s="1">
        <v>40589</v>
      </c>
      <c r="L460" s="1">
        <v>41855.4</v>
      </c>
      <c r="M460" s="1">
        <v>61484</v>
      </c>
      <c r="N460" s="1">
        <v>58887</v>
      </c>
      <c r="O460" s="1">
        <v>104375</v>
      </c>
      <c r="P460" s="1">
        <v>82171</v>
      </c>
      <c r="Q460" s="1">
        <v>114838</v>
      </c>
      <c r="R460" s="1">
        <v>115440</v>
      </c>
      <c r="S460" s="1">
        <v>244134</v>
      </c>
      <c r="T460" s="1">
        <v>137261</v>
      </c>
      <c r="U460" s="1">
        <v>54095</v>
      </c>
      <c r="V460" s="1">
        <v>20624</v>
      </c>
      <c r="W460" s="1">
        <v>38475</v>
      </c>
      <c r="X460" s="1">
        <v>38475</v>
      </c>
    </row>
    <row r="461" spans="1:24" ht="16.5" customHeight="1" x14ac:dyDescent="0.35">
      <c r="A461" s="29" t="s">
        <v>315</v>
      </c>
    </row>
    <row r="462" spans="1:24" ht="16.5" customHeight="1" x14ac:dyDescent="0.35">
      <c r="A462" s="29" t="s">
        <v>316</v>
      </c>
      <c r="B462" s="1">
        <v>0</v>
      </c>
      <c r="C462" s="1">
        <v>0</v>
      </c>
      <c r="D462" s="1">
        <v>0</v>
      </c>
      <c r="E462" s="1">
        <v>27</v>
      </c>
      <c r="F462" s="1">
        <v>0</v>
      </c>
      <c r="G462" s="1">
        <v>2</v>
      </c>
      <c r="H462" s="1">
        <v>0</v>
      </c>
      <c r="I462" s="1">
        <v>7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</row>
    <row r="463" spans="1:24" ht="16.5" customHeight="1" x14ac:dyDescent="0.35">
      <c r="A463" s="29" t="s">
        <v>317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10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1154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</row>
    <row r="464" spans="1:24" ht="16.5" customHeight="1" x14ac:dyDescent="0.35">
      <c r="A464" s="29" t="s">
        <v>318</v>
      </c>
      <c r="B464" s="1">
        <v>0</v>
      </c>
      <c r="C464" s="1">
        <v>0</v>
      </c>
      <c r="D464" s="1">
        <v>194</v>
      </c>
      <c r="E464" s="1">
        <v>15</v>
      </c>
      <c r="F464" s="1">
        <v>170</v>
      </c>
      <c r="G464" s="1">
        <v>52</v>
      </c>
      <c r="H464" s="1">
        <v>145</v>
      </c>
      <c r="I464" s="1">
        <v>264</v>
      </c>
      <c r="J464" s="1">
        <v>2941</v>
      </c>
      <c r="K464" s="1">
        <v>3489</v>
      </c>
      <c r="L464" s="1">
        <v>544</v>
      </c>
      <c r="M464" s="1">
        <v>6863</v>
      </c>
      <c r="N464" s="1">
        <v>2359</v>
      </c>
      <c r="O464" s="1">
        <v>9863</v>
      </c>
      <c r="P464" s="1">
        <v>1171</v>
      </c>
      <c r="Q464" s="1">
        <v>1002</v>
      </c>
      <c r="R464" s="1">
        <v>616</v>
      </c>
      <c r="S464" s="1">
        <v>1539</v>
      </c>
      <c r="T464" s="1">
        <v>2845</v>
      </c>
      <c r="U464" s="1">
        <v>2876</v>
      </c>
      <c r="V464" s="1">
        <v>3740</v>
      </c>
      <c r="W464" s="1">
        <v>4576</v>
      </c>
      <c r="X464" s="1">
        <v>15529</v>
      </c>
    </row>
    <row r="465" spans="1:24" ht="16.5" customHeight="1" x14ac:dyDescent="0.35">
      <c r="A465" s="29" t="s">
        <v>319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</row>
    <row r="466" spans="1:24" ht="16.5" customHeight="1" x14ac:dyDescent="0.35">
      <c r="A466" s="29" t="s">
        <v>320</v>
      </c>
      <c r="B466" s="1">
        <v>0</v>
      </c>
      <c r="C466" s="1">
        <v>0</v>
      </c>
      <c r="D466" s="1">
        <v>194</v>
      </c>
      <c r="E466" s="1">
        <v>15</v>
      </c>
      <c r="F466" s="1">
        <v>170</v>
      </c>
      <c r="G466" s="1">
        <v>52</v>
      </c>
      <c r="H466" s="1">
        <v>145</v>
      </c>
      <c r="I466" s="1">
        <v>264</v>
      </c>
      <c r="J466" s="1">
        <v>2941</v>
      </c>
      <c r="K466" s="1">
        <v>3489</v>
      </c>
      <c r="L466" s="1">
        <v>544</v>
      </c>
      <c r="M466" s="1">
        <v>6863</v>
      </c>
      <c r="N466" s="1">
        <v>2359</v>
      </c>
      <c r="O466" s="1">
        <v>9863</v>
      </c>
      <c r="P466" s="1">
        <v>1171</v>
      </c>
      <c r="Q466" s="1">
        <v>1002</v>
      </c>
      <c r="R466" s="1">
        <v>616</v>
      </c>
      <c r="S466" s="1">
        <v>1539</v>
      </c>
      <c r="T466" s="1">
        <v>2845</v>
      </c>
      <c r="U466" s="1">
        <v>2876</v>
      </c>
      <c r="V466" s="1">
        <v>3740</v>
      </c>
      <c r="W466" s="1">
        <v>4576</v>
      </c>
      <c r="X466" s="1">
        <v>15529</v>
      </c>
    </row>
    <row r="467" spans="1:24" ht="16.5" customHeight="1" x14ac:dyDescent="0.35">
      <c r="A467" s="29" t="s">
        <v>321</v>
      </c>
      <c r="B467" s="1">
        <v>98941.6</v>
      </c>
      <c r="C467" s="1">
        <v>126782</v>
      </c>
      <c r="D467" s="1">
        <v>121855.6</v>
      </c>
      <c r="E467" s="1">
        <v>145907.79999999999</v>
      </c>
      <c r="F467" s="1">
        <v>146300</v>
      </c>
      <c r="G467" s="1">
        <v>126604.6</v>
      </c>
      <c r="H467" s="1">
        <v>134128.79999999999</v>
      </c>
      <c r="I467" s="1">
        <v>145070</v>
      </c>
      <c r="J467" s="1">
        <v>139495.4</v>
      </c>
      <c r="K467" s="1">
        <v>141137</v>
      </c>
      <c r="L467" s="1">
        <v>141610.4</v>
      </c>
      <c r="M467" s="1">
        <v>167755</v>
      </c>
      <c r="N467" s="1">
        <v>163280</v>
      </c>
      <c r="O467" s="1">
        <v>231441</v>
      </c>
      <c r="P467" s="1">
        <v>199293</v>
      </c>
      <c r="Q467" s="1">
        <v>257618</v>
      </c>
      <c r="R467" s="1">
        <v>271493</v>
      </c>
      <c r="S467" s="1">
        <v>391728</v>
      </c>
      <c r="T467" s="1">
        <v>308597</v>
      </c>
      <c r="U467" s="1">
        <v>212194</v>
      </c>
      <c r="V467" s="1">
        <v>268366</v>
      </c>
      <c r="W467" s="1">
        <v>246341</v>
      </c>
      <c r="X467" s="1">
        <v>263123</v>
      </c>
    </row>
    <row r="473" spans="1:24" x14ac:dyDescent="0.35">
      <c r="B473" s="35"/>
    </row>
    <row r="474" spans="1:24" x14ac:dyDescent="0.35">
      <c r="B474" s="35"/>
    </row>
    <row r="475" spans="1:24" x14ac:dyDescent="0.35">
      <c r="B475" s="35"/>
    </row>
    <row r="476" spans="1:24" x14ac:dyDescent="0.35">
      <c r="B476" s="35"/>
    </row>
    <row r="477" spans="1:24" x14ac:dyDescent="0.35">
      <c r="B477" s="35">
        <f>B42</f>
        <v>2001</v>
      </c>
      <c r="C477" s="35">
        <f t="shared" ref="C477:X477" si="55">C42</f>
        <v>2002</v>
      </c>
      <c r="D477" s="35">
        <f t="shared" si="55"/>
        <v>2003</v>
      </c>
      <c r="E477" s="35">
        <f t="shared" si="55"/>
        <v>2004</v>
      </c>
      <c r="F477" s="35">
        <f t="shared" si="55"/>
        <v>2005</v>
      </c>
      <c r="G477" s="35">
        <f t="shared" si="55"/>
        <v>2006</v>
      </c>
      <c r="H477" s="35">
        <f t="shared" si="55"/>
        <v>2007</v>
      </c>
      <c r="I477" s="35">
        <f t="shared" si="55"/>
        <v>2008</v>
      </c>
      <c r="J477" s="35">
        <f t="shared" si="55"/>
        <v>2009</v>
      </c>
      <c r="K477" s="35">
        <f t="shared" si="55"/>
        <v>2010</v>
      </c>
      <c r="L477" s="35">
        <f t="shared" si="55"/>
        <v>2011</v>
      </c>
      <c r="M477" s="35">
        <f t="shared" si="55"/>
        <v>2012</v>
      </c>
      <c r="N477" s="35">
        <f t="shared" si="55"/>
        <v>2013</v>
      </c>
      <c r="O477" s="35">
        <f t="shared" si="55"/>
        <v>2014</v>
      </c>
      <c r="P477" s="35">
        <f t="shared" si="55"/>
        <v>2015</v>
      </c>
      <c r="Q477" s="35">
        <f t="shared" si="55"/>
        <v>2016</v>
      </c>
      <c r="R477" s="35">
        <f t="shared" si="55"/>
        <v>2017</v>
      </c>
      <c r="S477" s="35">
        <f t="shared" si="55"/>
        <v>2018</v>
      </c>
      <c r="T477" s="35">
        <f t="shared" si="55"/>
        <v>2019</v>
      </c>
      <c r="U477" s="35">
        <f t="shared" si="55"/>
        <v>2020</v>
      </c>
      <c r="V477" s="35">
        <f t="shared" si="55"/>
        <v>2021</v>
      </c>
      <c r="W477" s="35">
        <f t="shared" si="55"/>
        <v>2022</v>
      </c>
      <c r="X477" s="35">
        <f t="shared" si="55"/>
        <v>2023</v>
      </c>
    </row>
    <row r="478" spans="1:24" x14ac:dyDescent="0.35">
      <c r="A478" s="29" t="str">
        <f>A410</f>
        <v xml:space="preserve">     IV. Tax revenue</v>
      </c>
      <c r="B478" s="34">
        <f>B410</f>
        <v>26300</v>
      </c>
      <c r="C478" s="34">
        <f t="shared" ref="C478:X478" si="56">C410</f>
        <v>27780</v>
      </c>
      <c r="D478" s="34">
        <f t="shared" si="56"/>
        <v>29852</v>
      </c>
      <c r="E478" s="34">
        <f t="shared" si="56"/>
        <v>31866</v>
      </c>
      <c r="F478" s="34">
        <f t="shared" si="56"/>
        <v>30586</v>
      </c>
      <c r="G478" s="34">
        <f t="shared" si="56"/>
        <v>30298</v>
      </c>
      <c r="H478" s="34">
        <f t="shared" si="56"/>
        <v>33495</v>
      </c>
      <c r="I478" s="34">
        <f t="shared" si="56"/>
        <v>33376</v>
      </c>
      <c r="J478" s="34">
        <f t="shared" si="56"/>
        <v>31772</v>
      </c>
      <c r="K478" s="34">
        <f t="shared" si="56"/>
        <v>31880</v>
      </c>
      <c r="L478" s="34">
        <f t="shared" si="56"/>
        <v>35374</v>
      </c>
      <c r="M478" s="34">
        <f t="shared" si="56"/>
        <v>31911</v>
      </c>
      <c r="N478" s="34">
        <f t="shared" si="56"/>
        <v>33574</v>
      </c>
      <c r="O478" s="34">
        <f t="shared" si="56"/>
        <v>31830</v>
      </c>
      <c r="P478" s="34">
        <f t="shared" si="56"/>
        <v>38965</v>
      </c>
      <c r="Q478" s="34">
        <f t="shared" si="56"/>
        <v>42629</v>
      </c>
      <c r="R478" s="34">
        <f t="shared" si="56"/>
        <v>47813</v>
      </c>
      <c r="S478" s="34">
        <f t="shared" si="56"/>
        <v>53340</v>
      </c>
      <c r="T478" s="34">
        <f t="shared" si="56"/>
        <v>54964</v>
      </c>
      <c r="U478" s="34">
        <f t="shared" si="56"/>
        <v>56116</v>
      </c>
      <c r="V478" s="34">
        <f t="shared" si="56"/>
        <v>68346</v>
      </c>
      <c r="W478" s="34">
        <f t="shared" si="56"/>
        <v>68570</v>
      </c>
      <c r="X478" s="34">
        <f t="shared" si="56"/>
        <v>50911</v>
      </c>
    </row>
    <row r="479" spans="1:24" x14ac:dyDescent="0.35">
      <c r="A479" s="29" t="str">
        <f>A424</f>
        <v xml:space="preserve">         - fishing license </v>
      </c>
      <c r="B479" s="34">
        <f>B424</f>
        <v>46604</v>
      </c>
      <c r="C479" s="34">
        <f t="shared" ref="C479:X479" si="57">C424</f>
        <v>41719</v>
      </c>
      <c r="D479" s="34">
        <f t="shared" si="57"/>
        <v>30188</v>
      </c>
      <c r="E479" s="34">
        <f t="shared" si="57"/>
        <v>29412</v>
      </c>
      <c r="F479" s="34">
        <f t="shared" si="57"/>
        <v>24957</v>
      </c>
      <c r="G479" s="34">
        <f t="shared" si="57"/>
        <v>25784</v>
      </c>
      <c r="H479" s="34">
        <f t="shared" si="57"/>
        <v>25420</v>
      </c>
      <c r="I479" s="34">
        <f t="shared" si="57"/>
        <v>31240</v>
      </c>
      <c r="J479" s="34">
        <f t="shared" si="57"/>
        <v>29516</v>
      </c>
      <c r="K479" s="34">
        <f t="shared" si="57"/>
        <v>41708</v>
      </c>
      <c r="L479" s="34">
        <f t="shared" si="57"/>
        <v>31509</v>
      </c>
      <c r="M479" s="34">
        <f t="shared" si="57"/>
        <v>58329</v>
      </c>
      <c r="N479" s="34">
        <f t="shared" si="57"/>
        <v>88999</v>
      </c>
      <c r="O479" s="34">
        <f t="shared" si="57"/>
        <v>141574</v>
      </c>
      <c r="P479" s="34">
        <f t="shared" si="57"/>
        <v>197754</v>
      </c>
      <c r="Q479" s="34">
        <f t="shared" si="57"/>
        <v>143295</v>
      </c>
      <c r="R479" s="34">
        <f t="shared" si="57"/>
        <v>169148</v>
      </c>
      <c r="S479" s="34">
        <f t="shared" si="57"/>
        <v>170177</v>
      </c>
      <c r="T479" s="34">
        <f t="shared" si="57"/>
        <v>210641</v>
      </c>
      <c r="U479" s="34">
        <f t="shared" si="57"/>
        <v>170736</v>
      </c>
      <c r="V479" s="34">
        <f t="shared" si="57"/>
        <v>161445</v>
      </c>
      <c r="W479" s="34">
        <f t="shared" si="57"/>
        <v>130567</v>
      </c>
      <c r="X479" s="34">
        <f t="shared" si="57"/>
        <v>205821</v>
      </c>
    </row>
    <row r="480" spans="1:24" x14ac:dyDescent="0.35">
      <c r="A480" s="29" t="str">
        <f>A432</f>
        <v xml:space="preserve">           -development aid</v>
      </c>
      <c r="B480" s="34">
        <f>B432</f>
        <v>18183.599999999999</v>
      </c>
      <c r="C480" s="34">
        <f t="shared" ref="C480:X480" si="58">C432</f>
        <v>36847</v>
      </c>
      <c r="D480" s="34">
        <f t="shared" si="58"/>
        <v>41248.6</v>
      </c>
      <c r="E480" s="34">
        <f t="shared" si="58"/>
        <v>50664.800000000003</v>
      </c>
      <c r="F480" s="34">
        <f t="shared" si="58"/>
        <v>61824</v>
      </c>
      <c r="G480" s="34">
        <f t="shared" si="58"/>
        <v>40501.599999999999</v>
      </c>
      <c r="H480" s="34">
        <f t="shared" si="58"/>
        <v>41784.800000000003</v>
      </c>
      <c r="I480" s="34">
        <f t="shared" si="58"/>
        <v>41207</v>
      </c>
      <c r="J480" s="34">
        <f t="shared" si="58"/>
        <v>45797.4</v>
      </c>
      <c r="K480" s="34">
        <f t="shared" si="58"/>
        <v>40589</v>
      </c>
      <c r="L480" s="34">
        <f t="shared" si="58"/>
        <v>53852</v>
      </c>
      <c r="M480" s="34">
        <f t="shared" si="58"/>
        <v>61484</v>
      </c>
      <c r="N480" s="34">
        <f t="shared" si="58"/>
        <v>58887</v>
      </c>
      <c r="O480" s="34">
        <f t="shared" si="58"/>
        <v>104375</v>
      </c>
      <c r="P480" s="34">
        <f t="shared" si="58"/>
        <v>82171</v>
      </c>
      <c r="Q480" s="34">
        <f t="shared" si="58"/>
        <v>114838</v>
      </c>
      <c r="R480" s="34">
        <f t="shared" si="58"/>
        <v>115440</v>
      </c>
      <c r="S480" s="34">
        <f t="shared" si="58"/>
        <v>244134</v>
      </c>
      <c r="T480" s="34">
        <f t="shared" si="58"/>
        <v>137261</v>
      </c>
      <c r="U480" s="34">
        <f t="shared" si="58"/>
        <v>54095</v>
      </c>
      <c r="V480" s="34">
        <f t="shared" si="58"/>
        <v>39495</v>
      </c>
      <c r="W480" s="34">
        <f t="shared" si="58"/>
        <v>39495</v>
      </c>
      <c r="X480" s="34">
        <f t="shared" si="58"/>
        <v>39495</v>
      </c>
    </row>
    <row r="481" spans="1:24" x14ac:dyDescent="0.35">
      <c r="A481" s="29" t="str">
        <f>A423</f>
        <v xml:space="preserve">         - rerf interest/dividends </v>
      </c>
      <c r="B481" s="34">
        <f>B423</f>
        <v>44679</v>
      </c>
      <c r="C481" s="34">
        <f t="shared" ref="C481:X481" si="59">C423</f>
        <v>20339</v>
      </c>
      <c r="D481" s="34">
        <f t="shared" si="59"/>
        <v>26021</v>
      </c>
      <c r="E481" s="34">
        <f t="shared" si="59"/>
        <v>47222</v>
      </c>
      <c r="F481" s="34">
        <f t="shared" si="59"/>
        <v>36003</v>
      </c>
      <c r="G481" s="34">
        <f t="shared" si="59"/>
        <v>40932</v>
      </c>
      <c r="H481" s="34">
        <f t="shared" si="59"/>
        <v>74942</v>
      </c>
      <c r="I481" s="34">
        <f t="shared" si="59"/>
        <v>59215</v>
      </c>
      <c r="J481" s="34">
        <f t="shared" si="59"/>
        <v>39341</v>
      </c>
      <c r="K481" s="34">
        <f t="shared" si="59"/>
        <v>40466</v>
      </c>
      <c r="L481" s="34">
        <f t="shared" si="59"/>
        <v>38180</v>
      </c>
      <c r="M481" s="34">
        <f t="shared" si="59"/>
        <v>59791</v>
      </c>
      <c r="N481" s="34">
        <f t="shared" si="59"/>
        <v>29431</v>
      </c>
      <c r="O481" s="34">
        <f t="shared" si="59"/>
        <v>30716</v>
      </c>
      <c r="P481" s="34">
        <f t="shared" si="59"/>
        <v>18667</v>
      </c>
      <c r="Q481" s="34">
        <f t="shared" si="59"/>
        <v>65893</v>
      </c>
      <c r="R481" s="34">
        <f t="shared" si="59"/>
        <v>43704</v>
      </c>
      <c r="S481" s="34">
        <f t="shared" si="59"/>
        <v>53223</v>
      </c>
      <c r="T481" s="34">
        <f t="shared" si="59"/>
        <v>35004</v>
      </c>
      <c r="U481" s="34">
        <f t="shared" si="59"/>
        <v>45705</v>
      </c>
      <c r="V481" s="34">
        <f t="shared" si="59"/>
        <v>37934</v>
      </c>
      <c r="W481" s="34">
        <f t="shared" si="59"/>
        <v>41016</v>
      </c>
      <c r="X481" s="34">
        <f t="shared" si="59"/>
        <v>48366</v>
      </c>
    </row>
    <row r="482" spans="1:24" x14ac:dyDescent="0.35">
      <c r="A482" s="29" t="s">
        <v>351</v>
      </c>
      <c r="B482" s="35">
        <f>B407-SUM(B478:B481)</f>
        <v>16951</v>
      </c>
      <c r="C482" s="35">
        <f t="shared" ref="C482:X482" si="60">C407-SUM(C478:C481)</f>
        <v>17540</v>
      </c>
      <c r="D482" s="35">
        <f t="shared" si="60"/>
        <v>11762</v>
      </c>
      <c r="E482" s="35">
        <f t="shared" si="60"/>
        <v>8987</v>
      </c>
      <c r="F482" s="35">
        <f t="shared" si="60"/>
        <v>8972</v>
      </c>
      <c r="G482" s="35">
        <f t="shared" si="60"/>
        <v>8859</v>
      </c>
      <c r="H482" s="35">
        <f t="shared" si="60"/>
        <v>9569</v>
      </c>
      <c r="I482" s="35">
        <f t="shared" si="60"/>
        <v>9856</v>
      </c>
      <c r="J482" s="35">
        <f t="shared" si="60"/>
        <v>14222</v>
      </c>
      <c r="K482" s="35">
        <f t="shared" si="60"/>
        <v>12199</v>
      </c>
      <c r="L482" s="35">
        <f t="shared" si="60"/>
        <v>12261</v>
      </c>
      <c r="M482" s="35">
        <f t="shared" si="60"/>
        <v>9553</v>
      </c>
      <c r="N482" s="35">
        <f t="shared" si="60"/>
        <v>12012</v>
      </c>
      <c r="O482" s="35">
        <f t="shared" si="60"/>
        <v>21534</v>
      </c>
      <c r="P482" s="35">
        <f t="shared" si="60"/>
        <v>25409</v>
      </c>
      <c r="Q482" s="35">
        <f t="shared" si="60"/>
        <v>31789</v>
      </c>
      <c r="R482" s="35">
        <f t="shared" si="60"/>
        <v>31328</v>
      </c>
      <c r="S482" s="35">
        <f t="shared" si="60"/>
        <v>48934</v>
      </c>
      <c r="T482" s="35">
        <f t="shared" si="60"/>
        <v>29068</v>
      </c>
      <c r="U482" s="35">
        <f t="shared" si="60"/>
        <v>33288</v>
      </c>
      <c r="V482" s="35">
        <f t="shared" si="60"/>
        <v>30252</v>
      </c>
      <c r="W482" s="35">
        <f t="shared" si="60"/>
        <v>47638</v>
      </c>
      <c r="X482" s="35">
        <f t="shared" si="60"/>
        <v>84911</v>
      </c>
    </row>
    <row r="483" spans="1:24" x14ac:dyDescent="0.35">
      <c r="B483" s="35"/>
    </row>
    <row r="484" spans="1:24" x14ac:dyDescent="0.35"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 spans="1:24" x14ac:dyDescent="0.35">
      <c r="A485" s="29" t="s">
        <v>352</v>
      </c>
      <c r="B485" s="1">
        <f>SUM(B478:B482)</f>
        <v>152717.6</v>
      </c>
      <c r="C485" s="1">
        <f t="shared" ref="C485:X485" si="61">SUM(C478:C482)</f>
        <v>144225</v>
      </c>
      <c r="D485" s="1">
        <f t="shared" si="61"/>
        <v>139071.6</v>
      </c>
      <c r="E485" s="1">
        <f t="shared" si="61"/>
        <v>168151.8</v>
      </c>
      <c r="F485" s="1">
        <f t="shared" si="61"/>
        <v>162342</v>
      </c>
      <c r="G485" s="1">
        <f t="shared" si="61"/>
        <v>146374.6</v>
      </c>
      <c r="H485" s="1">
        <f t="shared" si="61"/>
        <v>185210.8</v>
      </c>
      <c r="I485" s="1">
        <f t="shared" si="61"/>
        <v>174894</v>
      </c>
      <c r="J485" s="1">
        <f t="shared" si="61"/>
        <v>160648.4</v>
      </c>
      <c r="K485" s="1">
        <f t="shared" si="61"/>
        <v>166842</v>
      </c>
      <c r="L485" s="1">
        <f t="shared" si="61"/>
        <v>171176</v>
      </c>
      <c r="M485" s="1">
        <f t="shared" si="61"/>
        <v>221068</v>
      </c>
      <c r="N485" s="1">
        <f t="shared" si="61"/>
        <v>222903</v>
      </c>
      <c r="O485" s="1">
        <f t="shared" si="61"/>
        <v>330029</v>
      </c>
      <c r="P485" s="1">
        <f t="shared" si="61"/>
        <v>362966</v>
      </c>
      <c r="Q485" s="1">
        <f t="shared" si="61"/>
        <v>398444</v>
      </c>
      <c r="R485" s="1">
        <f t="shared" si="61"/>
        <v>407433</v>
      </c>
      <c r="S485" s="1">
        <f t="shared" si="61"/>
        <v>569808</v>
      </c>
      <c r="T485" s="1">
        <f t="shared" si="61"/>
        <v>466938</v>
      </c>
      <c r="U485" s="1">
        <f t="shared" si="61"/>
        <v>359940</v>
      </c>
      <c r="V485" s="1">
        <f t="shared" si="61"/>
        <v>337472</v>
      </c>
      <c r="W485" s="1">
        <f t="shared" si="61"/>
        <v>327286</v>
      </c>
      <c r="X485" s="1">
        <f t="shared" si="61"/>
        <v>429504</v>
      </c>
    </row>
    <row r="486" spans="1:24" x14ac:dyDescent="0.35">
      <c r="A486" s="29" t="s">
        <v>353</v>
      </c>
      <c r="B486" s="1">
        <f>B478</f>
        <v>26300</v>
      </c>
      <c r="C486" s="1">
        <f t="shared" ref="C486:X486" si="62">C478</f>
        <v>27780</v>
      </c>
      <c r="D486" s="1">
        <f t="shared" si="62"/>
        <v>29852</v>
      </c>
      <c r="E486" s="1">
        <f t="shared" si="62"/>
        <v>31866</v>
      </c>
      <c r="F486" s="1">
        <f t="shared" si="62"/>
        <v>30586</v>
      </c>
      <c r="G486" s="1">
        <f t="shared" si="62"/>
        <v>30298</v>
      </c>
      <c r="H486" s="1">
        <f t="shared" si="62"/>
        <v>33495</v>
      </c>
      <c r="I486" s="1">
        <f t="shared" si="62"/>
        <v>33376</v>
      </c>
      <c r="J486" s="1">
        <f t="shared" si="62"/>
        <v>31772</v>
      </c>
      <c r="K486" s="1">
        <f t="shared" si="62"/>
        <v>31880</v>
      </c>
      <c r="L486" s="1">
        <f t="shared" si="62"/>
        <v>35374</v>
      </c>
      <c r="M486" s="1">
        <f t="shared" si="62"/>
        <v>31911</v>
      </c>
      <c r="N486" s="1">
        <f t="shared" si="62"/>
        <v>33574</v>
      </c>
      <c r="O486" s="1">
        <f t="shared" si="62"/>
        <v>31830</v>
      </c>
      <c r="P486" s="1">
        <f t="shared" si="62"/>
        <v>38965</v>
      </c>
      <c r="Q486" s="1">
        <f t="shared" si="62"/>
        <v>42629</v>
      </c>
      <c r="R486" s="1">
        <f t="shared" si="62"/>
        <v>47813</v>
      </c>
      <c r="S486" s="1">
        <f t="shared" si="62"/>
        <v>53340</v>
      </c>
      <c r="T486" s="1">
        <f t="shared" si="62"/>
        <v>54964</v>
      </c>
      <c r="U486" s="1">
        <f t="shared" si="62"/>
        <v>56116</v>
      </c>
      <c r="V486" s="1">
        <f t="shared" si="62"/>
        <v>68346</v>
      </c>
      <c r="W486" s="1">
        <f t="shared" si="62"/>
        <v>68570</v>
      </c>
      <c r="X486" s="1">
        <f t="shared" si="62"/>
        <v>50911</v>
      </c>
    </row>
    <row r="487" spans="1:24" x14ac:dyDescent="0.35">
      <c r="A487" s="29" t="s">
        <v>355</v>
      </c>
      <c r="B487" s="1">
        <f>B479</f>
        <v>46604</v>
      </c>
      <c r="C487" s="1">
        <f t="shared" ref="C487:X487" si="63">C479</f>
        <v>41719</v>
      </c>
      <c r="D487" s="1">
        <f t="shared" si="63"/>
        <v>30188</v>
      </c>
      <c r="E487" s="1">
        <f t="shared" si="63"/>
        <v>29412</v>
      </c>
      <c r="F487" s="1">
        <f t="shared" si="63"/>
        <v>24957</v>
      </c>
      <c r="G487" s="1">
        <f t="shared" si="63"/>
        <v>25784</v>
      </c>
      <c r="H487" s="1">
        <f t="shared" si="63"/>
        <v>25420</v>
      </c>
      <c r="I487" s="1">
        <f t="shared" si="63"/>
        <v>31240</v>
      </c>
      <c r="J487" s="1">
        <f t="shared" si="63"/>
        <v>29516</v>
      </c>
      <c r="K487" s="1">
        <f t="shared" si="63"/>
        <v>41708</v>
      </c>
      <c r="L487" s="1">
        <f t="shared" si="63"/>
        <v>31509</v>
      </c>
      <c r="M487" s="1">
        <f t="shared" si="63"/>
        <v>58329</v>
      </c>
      <c r="N487" s="1">
        <f t="shared" si="63"/>
        <v>88999</v>
      </c>
      <c r="O487" s="1">
        <f t="shared" si="63"/>
        <v>141574</v>
      </c>
      <c r="P487" s="1">
        <f t="shared" si="63"/>
        <v>197754</v>
      </c>
      <c r="Q487" s="1">
        <f t="shared" si="63"/>
        <v>143295</v>
      </c>
      <c r="R487" s="1">
        <f t="shared" si="63"/>
        <v>169148</v>
      </c>
      <c r="S487" s="1">
        <f t="shared" si="63"/>
        <v>170177</v>
      </c>
      <c r="T487" s="1">
        <f t="shared" si="63"/>
        <v>210641</v>
      </c>
      <c r="U487" s="1">
        <f t="shared" si="63"/>
        <v>170736</v>
      </c>
      <c r="V487" s="1">
        <f t="shared" si="63"/>
        <v>161445</v>
      </c>
      <c r="W487" s="1">
        <f t="shared" si="63"/>
        <v>130567</v>
      </c>
      <c r="X487" s="1">
        <f t="shared" si="63"/>
        <v>205821</v>
      </c>
    </row>
    <row r="488" spans="1:24" x14ac:dyDescent="0.35">
      <c r="A488" s="29" t="s">
        <v>354</v>
      </c>
      <c r="B488" s="1">
        <f>B480</f>
        <v>18183.599999999999</v>
      </c>
      <c r="C488" s="1">
        <f t="shared" ref="C488:X488" si="64">C480</f>
        <v>36847</v>
      </c>
      <c r="D488" s="1">
        <f t="shared" si="64"/>
        <v>41248.6</v>
      </c>
      <c r="E488" s="1">
        <f t="shared" si="64"/>
        <v>50664.800000000003</v>
      </c>
      <c r="F488" s="1">
        <f t="shared" si="64"/>
        <v>61824</v>
      </c>
      <c r="G488" s="1">
        <f t="shared" si="64"/>
        <v>40501.599999999999</v>
      </c>
      <c r="H488" s="1">
        <f t="shared" si="64"/>
        <v>41784.800000000003</v>
      </c>
      <c r="I488" s="1">
        <f t="shared" si="64"/>
        <v>41207</v>
      </c>
      <c r="J488" s="1">
        <f t="shared" si="64"/>
        <v>45797.4</v>
      </c>
      <c r="K488" s="1">
        <f t="shared" si="64"/>
        <v>40589</v>
      </c>
      <c r="L488" s="1">
        <f t="shared" si="64"/>
        <v>53852</v>
      </c>
      <c r="M488" s="1">
        <f t="shared" si="64"/>
        <v>61484</v>
      </c>
      <c r="N488" s="1">
        <f t="shared" si="64"/>
        <v>58887</v>
      </c>
      <c r="O488" s="1">
        <f t="shared" si="64"/>
        <v>104375</v>
      </c>
      <c r="P488" s="1">
        <f t="shared" si="64"/>
        <v>82171</v>
      </c>
      <c r="Q488" s="1">
        <f t="shared" si="64"/>
        <v>114838</v>
      </c>
      <c r="R488" s="1">
        <f t="shared" si="64"/>
        <v>115440</v>
      </c>
      <c r="S488" s="1">
        <f t="shared" si="64"/>
        <v>244134</v>
      </c>
      <c r="T488" s="1">
        <f t="shared" si="64"/>
        <v>137261</v>
      </c>
      <c r="U488" s="1">
        <f t="shared" si="64"/>
        <v>54095</v>
      </c>
      <c r="V488" s="1">
        <f t="shared" si="64"/>
        <v>39495</v>
      </c>
      <c r="W488" s="1">
        <f t="shared" si="64"/>
        <v>39495</v>
      </c>
      <c r="X488" s="1">
        <f t="shared" si="64"/>
        <v>39495</v>
      </c>
    </row>
    <row r="489" spans="1:24" x14ac:dyDescent="0.35">
      <c r="A489" s="29" t="s">
        <v>356</v>
      </c>
      <c r="B489" s="1">
        <f>B481</f>
        <v>44679</v>
      </c>
      <c r="C489" s="1">
        <f t="shared" ref="C489:X489" si="65">C481</f>
        <v>20339</v>
      </c>
      <c r="D489" s="1">
        <f t="shared" si="65"/>
        <v>26021</v>
      </c>
      <c r="E489" s="1">
        <f t="shared" si="65"/>
        <v>47222</v>
      </c>
      <c r="F489" s="1">
        <f t="shared" si="65"/>
        <v>36003</v>
      </c>
      <c r="G489" s="1">
        <f t="shared" si="65"/>
        <v>40932</v>
      </c>
      <c r="H489" s="1">
        <f t="shared" si="65"/>
        <v>74942</v>
      </c>
      <c r="I489" s="1">
        <f t="shared" si="65"/>
        <v>59215</v>
      </c>
      <c r="J489" s="1">
        <f t="shared" si="65"/>
        <v>39341</v>
      </c>
      <c r="K489" s="1">
        <f t="shared" si="65"/>
        <v>40466</v>
      </c>
      <c r="L489" s="1">
        <f t="shared" si="65"/>
        <v>38180</v>
      </c>
      <c r="M489" s="1">
        <f t="shared" si="65"/>
        <v>59791</v>
      </c>
      <c r="N489" s="1">
        <f t="shared" si="65"/>
        <v>29431</v>
      </c>
      <c r="O489" s="1">
        <f t="shared" si="65"/>
        <v>30716</v>
      </c>
      <c r="P489" s="1">
        <f t="shared" si="65"/>
        <v>18667</v>
      </c>
      <c r="Q489" s="1">
        <f t="shared" si="65"/>
        <v>65893</v>
      </c>
      <c r="R489" s="1">
        <f t="shared" si="65"/>
        <v>43704</v>
      </c>
      <c r="S489" s="1">
        <f t="shared" si="65"/>
        <v>53223</v>
      </c>
      <c r="T489" s="1">
        <f t="shared" si="65"/>
        <v>35004</v>
      </c>
      <c r="U489" s="1">
        <f t="shared" si="65"/>
        <v>45705</v>
      </c>
      <c r="V489" s="1">
        <f t="shared" si="65"/>
        <v>37934</v>
      </c>
      <c r="W489" s="1">
        <f t="shared" si="65"/>
        <v>41016</v>
      </c>
      <c r="X489" s="1">
        <f t="shared" si="65"/>
        <v>48366</v>
      </c>
    </row>
    <row r="490" spans="1:24" x14ac:dyDescent="0.35">
      <c r="A490" s="29" t="s">
        <v>357</v>
      </c>
      <c r="B490" s="1">
        <f>B482</f>
        <v>16951</v>
      </c>
      <c r="C490" s="1">
        <f t="shared" ref="C490:X490" si="66">C482</f>
        <v>17540</v>
      </c>
      <c r="D490" s="1">
        <f t="shared" si="66"/>
        <v>11762</v>
      </c>
      <c r="E490" s="1">
        <f t="shared" si="66"/>
        <v>8987</v>
      </c>
      <c r="F490" s="1">
        <f t="shared" si="66"/>
        <v>8972</v>
      </c>
      <c r="G490" s="1">
        <f t="shared" si="66"/>
        <v>8859</v>
      </c>
      <c r="H490" s="1">
        <f t="shared" si="66"/>
        <v>9569</v>
      </c>
      <c r="I490" s="1">
        <f t="shared" si="66"/>
        <v>9856</v>
      </c>
      <c r="J490" s="1">
        <f t="shared" si="66"/>
        <v>14222</v>
      </c>
      <c r="K490" s="1">
        <f t="shared" si="66"/>
        <v>12199</v>
      </c>
      <c r="L490" s="1">
        <f t="shared" si="66"/>
        <v>12261</v>
      </c>
      <c r="M490" s="1">
        <f t="shared" si="66"/>
        <v>9553</v>
      </c>
      <c r="N490" s="1">
        <f t="shared" si="66"/>
        <v>12012</v>
      </c>
      <c r="O490" s="1">
        <f t="shared" si="66"/>
        <v>21534</v>
      </c>
      <c r="P490" s="1">
        <f t="shared" si="66"/>
        <v>25409</v>
      </c>
      <c r="Q490" s="1">
        <f t="shared" si="66"/>
        <v>31789</v>
      </c>
      <c r="R490" s="1">
        <f t="shared" si="66"/>
        <v>31328</v>
      </c>
      <c r="S490" s="1">
        <f t="shared" si="66"/>
        <v>48934</v>
      </c>
      <c r="T490" s="1">
        <f t="shared" si="66"/>
        <v>29068</v>
      </c>
      <c r="U490" s="1">
        <f t="shared" si="66"/>
        <v>33288</v>
      </c>
      <c r="V490" s="1">
        <f t="shared" si="66"/>
        <v>30252</v>
      </c>
      <c r="W490" s="1">
        <f t="shared" si="66"/>
        <v>47638</v>
      </c>
      <c r="X490" s="1">
        <f t="shared" si="66"/>
        <v>84911</v>
      </c>
    </row>
    <row r="492" spans="1:24" x14ac:dyDescent="0.35">
      <c r="A492" s="29" t="str">
        <f>A486</f>
        <v>Tax Component</v>
      </c>
      <c r="B492" s="1">
        <f>B486/B$485</f>
        <v>0.17221328779394124</v>
      </c>
      <c r="C492" s="1">
        <f t="shared" ref="C492:X496" si="67">C486/C$485</f>
        <v>0.19261570462818511</v>
      </c>
      <c r="D492" s="1">
        <f t="shared" si="67"/>
        <v>0.21465202097336911</v>
      </c>
      <c r="E492" s="1">
        <f t="shared" si="67"/>
        <v>0.18950733801243877</v>
      </c>
      <c r="F492" s="1">
        <f t="shared" si="67"/>
        <v>0.18840472582572593</v>
      </c>
      <c r="G492" s="1">
        <f t="shared" si="67"/>
        <v>0.20698946401903062</v>
      </c>
      <c r="H492" s="1">
        <f t="shared" si="67"/>
        <v>0.18084798510670005</v>
      </c>
      <c r="I492" s="1">
        <f t="shared" si="67"/>
        <v>0.19083559184420276</v>
      </c>
      <c r="J492" s="1">
        <f t="shared" si="67"/>
        <v>0.19777352279885763</v>
      </c>
      <c r="K492" s="1">
        <f t="shared" si="67"/>
        <v>0.19107898490787692</v>
      </c>
      <c r="L492" s="1">
        <f t="shared" si="67"/>
        <v>0.2066528017946441</v>
      </c>
      <c r="M492" s="1">
        <f t="shared" si="67"/>
        <v>0.1443492500045235</v>
      </c>
      <c r="N492" s="1">
        <f t="shared" si="67"/>
        <v>0.15062157081779967</v>
      </c>
      <c r="O492" s="1">
        <f t="shared" si="67"/>
        <v>9.6446069890827782E-2</v>
      </c>
      <c r="P492" s="1">
        <f t="shared" si="67"/>
        <v>0.10735165277188496</v>
      </c>
      <c r="Q492" s="1">
        <f t="shared" si="67"/>
        <v>0.10698868598849524</v>
      </c>
      <c r="R492" s="1">
        <f t="shared" si="67"/>
        <v>0.11735180999084512</v>
      </c>
      <c r="S492" s="1">
        <f t="shared" si="67"/>
        <v>9.3610479319349682E-2</v>
      </c>
      <c r="T492" s="1">
        <f t="shared" si="67"/>
        <v>0.11771155913633073</v>
      </c>
      <c r="U492" s="1">
        <f t="shared" si="67"/>
        <v>0.15590376173806744</v>
      </c>
      <c r="V492" s="1">
        <f t="shared" si="67"/>
        <v>0.20252346861369239</v>
      </c>
      <c r="W492" s="1">
        <f t="shared" si="67"/>
        <v>0.20951094761156908</v>
      </c>
      <c r="X492" s="1">
        <f t="shared" si="67"/>
        <v>0.11853440247355089</v>
      </c>
    </row>
    <row r="493" spans="1:24" x14ac:dyDescent="0.35">
      <c r="A493" s="29" t="str">
        <f t="shared" ref="A493:A496" si="68">A487</f>
        <v>Fishing Fee Component</v>
      </c>
      <c r="B493" s="1">
        <f t="shared" ref="B493:Q496" si="69">B487/B$485</f>
        <v>0.30516456518436641</v>
      </c>
      <c r="C493" s="1">
        <f t="shared" si="69"/>
        <v>0.28926330386548793</v>
      </c>
      <c r="D493" s="1">
        <f t="shared" si="69"/>
        <v>0.21706804264853499</v>
      </c>
      <c r="E493" s="1">
        <f t="shared" si="69"/>
        <v>0.17491338183712576</v>
      </c>
      <c r="F493" s="1">
        <f t="shared" si="69"/>
        <v>0.15373101230735114</v>
      </c>
      <c r="G493" s="1">
        <f t="shared" si="69"/>
        <v>0.17615078025832351</v>
      </c>
      <c r="H493" s="1">
        <f t="shared" si="69"/>
        <v>0.13724901571614614</v>
      </c>
      <c r="I493" s="1">
        <f t="shared" si="69"/>
        <v>0.17862247990211214</v>
      </c>
      <c r="J493" s="1">
        <f t="shared" si="69"/>
        <v>0.18373043242260739</v>
      </c>
      <c r="K493" s="1">
        <f t="shared" si="69"/>
        <v>0.24998501576341689</v>
      </c>
      <c r="L493" s="1">
        <f t="shared" si="69"/>
        <v>0.18407370192083003</v>
      </c>
      <c r="M493" s="1">
        <f t="shared" si="69"/>
        <v>0.26385094179166591</v>
      </c>
      <c r="N493" s="1">
        <f t="shared" si="69"/>
        <v>0.39927232921943628</v>
      </c>
      <c r="O493" s="1">
        <f t="shared" si="69"/>
        <v>0.42897442345975656</v>
      </c>
      <c r="P493" s="1">
        <f t="shared" si="69"/>
        <v>0.54482789021561251</v>
      </c>
      <c r="Q493" s="1">
        <f t="shared" si="69"/>
        <v>0.35963648593026876</v>
      </c>
      <c r="R493" s="1">
        <f t="shared" si="67"/>
        <v>0.41515537523960994</v>
      </c>
      <c r="S493" s="1">
        <f t="shared" si="67"/>
        <v>0.29865674051610369</v>
      </c>
      <c r="T493" s="1">
        <f t="shared" si="67"/>
        <v>0.45111128244006699</v>
      </c>
      <c r="U493" s="1">
        <f t="shared" si="67"/>
        <v>0.47434572428738125</v>
      </c>
      <c r="V493" s="1">
        <f t="shared" si="67"/>
        <v>0.47839524464251848</v>
      </c>
      <c r="W493" s="1">
        <f t="shared" si="67"/>
        <v>0.39893854304797638</v>
      </c>
      <c r="X493" s="1">
        <f t="shared" si="67"/>
        <v>0.47920624720607957</v>
      </c>
    </row>
    <row r="494" spans="1:24" x14ac:dyDescent="0.35">
      <c r="A494" s="29" t="str">
        <f t="shared" si="68"/>
        <v>Aid Component</v>
      </c>
      <c r="B494" s="1">
        <f t="shared" si="69"/>
        <v>0.11906682661330455</v>
      </c>
      <c r="C494" s="1">
        <f t="shared" si="67"/>
        <v>0.25548275264343906</v>
      </c>
      <c r="D494" s="1">
        <f t="shared" si="67"/>
        <v>0.29659973711383197</v>
      </c>
      <c r="E494" s="1">
        <f t="shared" si="67"/>
        <v>0.30130394084392798</v>
      </c>
      <c r="F494" s="1">
        <f t="shared" si="67"/>
        <v>0.38082566433824888</v>
      </c>
      <c r="G494" s="1">
        <f t="shared" si="67"/>
        <v>0.27669827961955146</v>
      </c>
      <c r="H494" s="1">
        <f t="shared" si="67"/>
        <v>0.22560671407930857</v>
      </c>
      <c r="I494" s="1">
        <f t="shared" si="67"/>
        <v>0.23561128454949856</v>
      </c>
      <c r="J494" s="1">
        <f t="shared" si="67"/>
        <v>0.28507846950234178</v>
      </c>
      <c r="K494" s="1">
        <f t="shared" si="67"/>
        <v>0.2432780714688148</v>
      </c>
      <c r="L494" s="1">
        <f t="shared" si="67"/>
        <v>0.31460017759498993</v>
      </c>
      <c r="M494" s="1">
        <f t="shared" si="67"/>
        <v>0.27812256862141965</v>
      </c>
      <c r="N494" s="1">
        <f t="shared" si="67"/>
        <v>0.26418217789800946</v>
      </c>
      <c r="O494" s="1">
        <f t="shared" si="67"/>
        <v>0.31626008623484603</v>
      </c>
      <c r="P494" s="1">
        <f t="shared" si="67"/>
        <v>0.2263875955323639</v>
      </c>
      <c r="Q494" s="1">
        <f t="shared" si="67"/>
        <v>0.28821616086576785</v>
      </c>
      <c r="R494" s="1">
        <f t="shared" si="67"/>
        <v>0.28333492868766152</v>
      </c>
      <c r="S494" s="1">
        <f t="shared" si="67"/>
        <v>0.42844958301743746</v>
      </c>
      <c r="T494" s="1">
        <f t="shared" si="67"/>
        <v>0.29395979766050312</v>
      </c>
      <c r="U494" s="1">
        <f t="shared" si="67"/>
        <v>0.15028893704506308</v>
      </c>
      <c r="V494" s="1">
        <f t="shared" si="67"/>
        <v>0.1170319315380239</v>
      </c>
      <c r="W494" s="1">
        <f t="shared" si="67"/>
        <v>0.1206742726544979</v>
      </c>
      <c r="X494" s="1">
        <f t="shared" si="67"/>
        <v>9.195490612427358E-2</v>
      </c>
    </row>
    <row r="495" spans="1:24" x14ac:dyDescent="0.35">
      <c r="A495" s="29" t="str">
        <f t="shared" si="68"/>
        <v>Investments Dividends</v>
      </c>
      <c r="B495" s="1">
        <f t="shared" si="69"/>
        <v>0.29255960020325095</v>
      </c>
      <c r="C495" s="1">
        <f t="shared" si="67"/>
        <v>0.14102270757496965</v>
      </c>
      <c r="D495" s="1">
        <f t="shared" si="67"/>
        <v>0.18710505955205806</v>
      </c>
      <c r="E495" s="1">
        <f t="shared" si="67"/>
        <v>0.28082958374516359</v>
      </c>
      <c r="F495" s="1">
        <f t="shared" si="67"/>
        <v>0.22177255423735079</v>
      </c>
      <c r="G495" s="1">
        <f t="shared" si="67"/>
        <v>0.27963868048144963</v>
      </c>
      <c r="H495" s="1">
        <f t="shared" si="67"/>
        <v>0.40463083146339202</v>
      </c>
      <c r="I495" s="1">
        <f t="shared" si="67"/>
        <v>0.33857650919985821</v>
      </c>
      <c r="J495" s="1">
        <f t="shared" si="67"/>
        <v>0.24488883798406957</v>
      </c>
      <c r="K495" s="1">
        <f t="shared" si="67"/>
        <v>0.24254084702892556</v>
      </c>
      <c r="L495" s="1">
        <f t="shared" si="67"/>
        <v>0.22304528672243773</v>
      </c>
      <c r="M495" s="1">
        <f t="shared" si="67"/>
        <v>0.2704642915302079</v>
      </c>
      <c r="N495" s="1">
        <f t="shared" si="67"/>
        <v>0.13203501074458396</v>
      </c>
      <c r="O495" s="1">
        <f t="shared" si="67"/>
        <v>9.3070608946486527E-2</v>
      </c>
      <c r="P495" s="1">
        <f t="shared" si="67"/>
        <v>5.142905947113504E-2</v>
      </c>
      <c r="Q495" s="1">
        <f t="shared" si="67"/>
        <v>0.16537581190832337</v>
      </c>
      <c r="R495" s="1">
        <f t="shared" si="67"/>
        <v>0.1072667162453704</v>
      </c>
      <c r="S495" s="1">
        <f t="shared" si="67"/>
        <v>9.3405146996883154E-2</v>
      </c>
      <c r="T495" s="1">
        <f t="shared" si="67"/>
        <v>7.4964984644642324E-2</v>
      </c>
      <c r="U495" s="1">
        <f t="shared" si="67"/>
        <v>0.12697949658276381</v>
      </c>
      <c r="V495" s="1">
        <f t="shared" si="67"/>
        <v>0.11240636260193439</v>
      </c>
      <c r="W495" s="1">
        <f t="shared" si="67"/>
        <v>0.12532158418019715</v>
      </c>
      <c r="X495" s="1">
        <f t="shared" si="67"/>
        <v>0.11260896289673671</v>
      </c>
    </row>
    <row r="496" spans="1:24" x14ac:dyDescent="0.35">
      <c r="A496" s="29" t="str">
        <f t="shared" si="68"/>
        <v>Other</v>
      </c>
      <c r="B496" s="1">
        <f t="shared" si="69"/>
        <v>0.1109957202051368</v>
      </c>
      <c r="C496" s="1">
        <f t="shared" si="67"/>
        <v>0.12161553128791819</v>
      </c>
      <c r="D496" s="1">
        <f t="shared" si="67"/>
        <v>8.4575139712205802E-2</v>
      </c>
      <c r="E496" s="1">
        <f t="shared" si="67"/>
        <v>5.3445755561343983E-2</v>
      </c>
      <c r="F496" s="1">
        <f t="shared" si="67"/>
        <v>5.5266043291323258E-2</v>
      </c>
      <c r="G496" s="1">
        <f t="shared" si="67"/>
        <v>6.052279562164474E-2</v>
      </c>
      <c r="H496" s="1">
        <f t="shared" si="67"/>
        <v>5.1665453634453289E-2</v>
      </c>
      <c r="I496" s="1">
        <f t="shared" si="67"/>
        <v>5.6354134504328336E-2</v>
      </c>
      <c r="J496" s="1">
        <f t="shared" si="67"/>
        <v>8.8528737292123669E-2</v>
      </c>
      <c r="K496" s="1">
        <f t="shared" si="67"/>
        <v>7.3117080830965825E-2</v>
      </c>
      <c r="L496" s="1">
        <f t="shared" si="67"/>
        <v>7.1628031967098188E-2</v>
      </c>
      <c r="M496" s="1">
        <f t="shared" si="67"/>
        <v>4.3212948052183037E-2</v>
      </c>
      <c r="N496" s="1">
        <f t="shared" si="67"/>
        <v>5.3888911320170658E-2</v>
      </c>
      <c r="O496" s="1">
        <f t="shared" si="67"/>
        <v>6.5248811468083104E-2</v>
      </c>
      <c r="P496" s="1">
        <f t="shared" si="67"/>
        <v>7.0003802009003593E-2</v>
      </c>
      <c r="Q496" s="1">
        <f t="shared" si="67"/>
        <v>7.9782855307144795E-2</v>
      </c>
      <c r="R496" s="1">
        <f t="shared" si="67"/>
        <v>7.6891169836512993E-2</v>
      </c>
      <c r="S496" s="1">
        <f t="shared" si="67"/>
        <v>8.5878050150226037E-2</v>
      </c>
      <c r="T496" s="1">
        <f t="shared" si="67"/>
        <v>6.225237611845684E-2</v>
      </c>
      <c r="U496" s="1">
        <f t="shared" si="67"/>
        <v>9.2482080346724449E-2</v>
      </c>
      <c r="V496" s="1">
        <f t="shared" si="67"/>
        <v>8.9642992603830837E-2</v>
      </c>
      <c r="W496" s="1">
        <f t="shared" si="67"/>
        <v>0.1455546525057595</v>
      </c>
      <c r="X496" s="1">
        <f t="shared" si="67"/>
        <v>0.19769548129935927</v>
      </c>
    </row>
  </sheetData>
  <mergeCells count="14">
    <mergeCell ref="A69:X69"/>
    <mergeCell ref="A39:X39"/>
    <mergeCell ref="A154:X154"/>
    <mergeCell ref="A129:X129"/>
    <mergeCell ref="A205:X205"/>
    <mergeCell ref="A175:X175"/>
    <mergeCell ref="A298:X298"/>
    <mergeCell ref="A265:X265"/>
    <mergeCell ref="A96:X96"/>
    <mergeCell ref="A333:X333"/>
    <mergeCell ref="A350:X350"/>
    <mergeCell ref="A403:X403"/>
    <mergeCell ref="A436:X436"/>
    <mergeCell ref="A234:X234"/>
  </mergeCells>
  <pageMargins left="0.32013888888888897" right="0.2" top="0.87013888888888902" bottom="1" header="0.511811023622047" footer="0.511811023622047"/>
  <pageSetup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zoomScaleNormal="100" workbookViewId="0">
      <selection activeCell="G18" sqref="G18"/>
    </sheetView>
  </sheetViews>
  <sheetFormatPr defaultColWidth="8.7265625" defaultRowHeight="12.5" x14ac:dyDescent="0.25"/>
  <cols>
    <col min="1" max="2" width="16.7265625" customWidth="1"/>
    <col min="3" max="4" width="10.7265625" customWidth="1"/>
    <col min="5" max="5" width="19.453125" customWidth="1"/>
    <col min="6" max="20" width="10.7265625" customWidth="1"/>
  </cols>
  <sheetData>
    <row r="1" spans="1:20" ht="15.5" x14ac:dyDescent="0.25">
      <c r="A1" s="33" t="s">
        <v>322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0" ht="15.5" x14ac:dyDescent="0.35">
      <c r="A2" s="2"/>
      <c r="B2" s="2"/>
      <c r="C2" s="3">
        <v>2001</v>
      </c>
      <c r="D2" s="3">
        <v>2002</v>
      </c>
      <c r="E2" s="3">
        <v>2003</v>
      </c>
      <c r="F2" s="3">
        <v>2004</v>
      </c>
      <c r="G2" s="3">
        <v>2005</v>
      </c>
      <c r="H2" s="3">
        <v>2006</v>
      </c>
      <c r="I2" s="3">
        <v>2007</v>
      </c>
      <c r="J2" s="4">
        <v>2008</v>
      </c>
      <c r="K2" s="3">
        <v>2009</v>
      </c>
      <c r="L2" s="3">
        <v>2010</v>
      </c>
      <c r="M2" s="3">
        <v>2011</v>
      </c>
      <c r="N2" s="3">
        <v>2012</v>
      </c>
      <c r="O2" s="5">
        <v>2013</v>
      </c>
      <c r="P2" s="6">
        <v>2014</v>
      </c>
      <c r="Q2" s="3">
        <v>2015</v>
      </c>
      <c r="R2" s="7">
        <v>2016</v>
      </c>
      <c r="S2" s="3">
        <v>2017</v>
      </c>
      <c r="T2" s="3">
        <v>2018</v>
      </c>
    </row>
    <row r="3" spans="1:20" ht="15.5" x14ac:dyDescent="0.35">
      <c r="A3" s="8" t="s">
        <v>323</v>
      </c>
      <c r="B3" s="8"/>
      <c r="C3" s="9">
        <v>46604</v>
      </c>
      <c r="D3" s="9">
        <v>41719</v>
      </c>
      <c r="E3" s="9">
        <v>30188</v>
      </c>
      <c r="F3" s="9">
        <v>29412</v>
      </c>
      <c r="G3" s="9">
        <v>24957</v>
      </c>
      <c r="H3" s="9">
        <v>25825</v>
      </c>
      <c r="I3" s="9">
        <v>25420</v>
      </c>
      <c r="J3" s="9">
        <v>31240</v>
      </c>
      <c r="K3" s="9">
        <v>29516</v>
      </c>
      <c r="L3" s="9">
        <v>41708</v>
      </c>
      <c r="M3" s="9">
        <v>29070</v>
      </c>
      <c r="N3" s="9">
        <v>58329</v>
      </c>
      <c r="O3" s="9">
        <v>88999</v>
      </c>
      <c r="P3" s="9">
        <v>141574</v>
      </c>
      <c r="Q3" s="9">
        <v>197754</v>
      </c>
      <c r="R3" s="9">
        <v>143295</v>
      </c>
      <c r="S3" s="9">
        <v>169148</v>
      </c>
      <c r="T3" s="9">
        <v>170177</v>
      </c>
    </row>
    <row r="9" spans="1:20" x14ac:dyDescent="0.25">
      <c r="A9" s="10" t="s">
        <v>324</v>
      </c>
      <c r="B9" s="11">
        <v>2019</v>
      </c>
      <c r="C9" s="12">
        <v>2020</v>
      </c>
      <c r="D9" s="11" t="s">
        <v>325</v>
      </c>
      <c r="E9" s="12" t="s">
        <v>326</v>
      </c>
      <c r="F9" s="13" t="s">
        <v>327</v>
      </c>
    </row>
    <row r="10" spans="1:20" x14ac:dyDescent="0.25">
      <c r="A10" s="14" t="s">
        <v>328</v>
      </c>
      <c r="B10" s="15">
        <v>64.400000000000006</v>
      </c>
      <c r="C10" s="16">
        <v>63.9</v>
      </c>
      <c r="D10" s="17">
        <f>C10-B10/C10*100</f>
        <v>-36.882472613458539</v>
      </c>
      <c r="E10" s="16"/>
      <c r="F10" s="18"/>
    </row>
    <row r="11" spans="1:20" x14ac:dyDescent="0.25">
      <c r="A11" s="19" t="s">
        <v>329</v>
      </c>
      <c r="B11">
        <v>250.4</v>
      </c>
      <c r="C11" s="20">
        <v>216.4</v>
      </c>
      <c r="D11" s="21">
        <f>C11-B11/C11*100</f>
        <v>100.68835489833643</v>
      </c>
      <c r="E11" s="20"/>
      <c r="F11" s="22"/>
    </row>
    <row r="12" spans="1:20" x14ac:dyDescent="0.25">
      <c r="A12" s="23" t="s">
        <v>330</v>
      </c>
      <c r="B12" s="24">
        <v>0.5</v>
      </c>
      <c r="C12" s="25">
        <v>7</v>
      </c>
      <c r="D12" s="26">
        <f>C12-B12/C12*100</f>
        <v>-0.14285714285714235</v>
      </c>
      <c r="E12" s="25"/>
      <c r="F12" s="27"/>
    </row>
  </sheetData>
  <mergeCells count="1">
    <mergeCell ref="A1:T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GFS 2001-2023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Taotirita Kauongo</dc:creator>
  <dc:description/>
  <cp:lastModifiedBy>James Hogan</cp:lastModifiedBy>
  <cp:revision>4</cp:revision>
  <cp:lastPrinted>2020-06-29T22:14:40Z</cp:lastPrinted>
  <dcterms:created xsi:type="dcterms:W3CDTF">2017-11-29T23:20:19Z</dcterms:created>
  <dcterms:modified xsi:type="dcterms:W3CDTF">2025-06-21T22:54:26Z</dcterms:modified>
  <dc:language>en-US</dc:language>
</cp:coreProperties>
</file>