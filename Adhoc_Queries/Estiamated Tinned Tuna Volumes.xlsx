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FAME\NC_NOU\FAME COMMON\FAME Economics\Oceanic_Fisheries\COMTRADE\Adhoc_Queries\"/>
    </mc:Choice>
  </mc:AlternateContent>
  <xr:revisionPtr revIDLastSave="0" documentId="13_ncr:1_{D12A1A37-EA75-498E-A8F2-ECC085A88A2F}" xr6:coauthVersionLast="47" xr6:coauthVersionMax="47" xr10:uidLastSave="{00000000-0000-0000-0000-000000000000}"/>
  <bookViews>
    <workbookView xWindow="-120" yWindow="-120" windowWidth="29040" windowHeight="15720" activeTab="1" xr2:uid="{22933F61-BBF2-4340-8160-9E08DCFB693D}"/>
  </bookViews>
  <sheets>
    <sheet name="Raw" sheetId="4" r:id="rId1"/>
    <sheet name="Tinned" sheetId="1" r:id="rId2"/>
    <sheet name="4. Summary of catc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2" i="4" l="1"/>
  <c r="AD91" i="4"/>
  <c r="AD90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AB92" i="4"/>
  <c r="M92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AB91" i="4"/>
  <c r="C91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AB90" i="4"/>
  <c r="C90" i="4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C128" i="1"/>
  <c r="AB128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B127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C95" i="1"/>
  <c r="T82" i="4"/>
  <c r="S82" i="4"/>
  <c r="R82" i="4"/>
  <c r="Q82" i="4"/>
  <c r="P82" i="4"/>
  <c r="O82" i="4"/>
  <c r="N82" i="4"/>
  <c r="M82" i="4"/>
  <c r="L82" i="4"/>
  <c r="K82" i="4"/>
  <c r="J82" i="4"/>
  <c r="I82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AB45" i="4"/>
  <c r="AB82" i="4" s="1"/>
  <c r="AA45" i="4"/>
  <c r="AA82" i="4" s="1"/>
  <c r="Z45" i="4"/>
  <c r="Z82" i="4" s="1"/>
  <c r="Y45" i="4"/>
  <c r="Y82" i="4" s="1"/>
  <c r="X45" i="4"/>
  <c r="X82" i="4" s="1"/>
  <c r="W45" i="4"/>
  <c r="W82" i="4" s="1"/>
  <c r="V45" i="4"/>
  <c r="V82" i="4" s="1"/>
  <c r="U45" i="4"/>
  <c r="U82" i="4" s="1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H82" i="4" s="1"/>
  <c r="G45" i="4"/>
  <c r="G82" i="4" s="1"/>
  <c r="F45" i="4"/>
  <c r="F82" i="4" s="1"/>
  <c r="E45" i="4"/>
  <c r="E82" i="4" s="1"/>
  <c r="D45" i="4"/>
  <c r="D82" i="4" s="1"/>
  <c r="C45" i="4"/>
  <c r="C82" i="4" s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C12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6" i="1"/>
  <c r="C94" i="1"/>
  <c r="T90" i="1"/>
  <c r="S90" i="1"/>
  <c r="R90" i="1"/>
  <c r="Q90" i="1"/>
  <c r="P90" i="1"/>
  <c r="O90" i="1"/>
  <c r="N90" i="1"/>
  <c r="M90" i="1"/>
  <c r="L90" i="1"/>
  <c r="K90" i="1"/>
  <c r="J90" i="1"/>
  <c r="I90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AB25" i="1"/>
  <c r="AB90" i="1" s="1"/>
  <c r="AA25" i="1"/>
  <c r="AA90" i="1" s="1"/>
  <c r="Z25" i="1"/>
  <c r="Z90" i="1" s="1"/>
  <c r="Y25" i="1"/>
  <c r="Y90" i="1" s="1"/>
  <c r="X25" i="1"/>
  <c r="X90" i="1" s="1"/>
  <c r="W25" i="1"/>
  <c r="W90" i="1" s="1"/>
  <c r="V25" i="1"/>
  <c r="V90" i="1" s="1"/>
  <c r="U25" i="1"/>
  <c r="U90" i="1" s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H90" i="1" s="1"/>
  <c r="G25" i="1"/>
  <c r="G90" i="1" s="1"/>
  <c r="F25" i="1"/>
  <c r="F90" i="1" s="1"/>
  <c r="E25" i="1"/>
  <c r="E90" i="1" s="1"/>
  <c r="D25" i="1"/>
  <c r="D90" i="1" s="1"/>
  <c r="C25" i="1"/>
  <c r="C90" i="1" s="1"/>
</calcChain>
</file>

<file path=xl/sharedStrings.xml><?xml version="1.0" encoding="utf-8"?>
<sst xmlns="http://schemas.openxmlformats.org/spreadsheetml/2006/main" count="362" uniqueCount="150">
  <si>
    <t>reporter_desc</t>
  </si>
  <si>
    <t>Brazil</t>
  </si>
  <si>
    <t>China</t>
  </si>
  <si>
    <t>Ecuador</t>
  </si>
  <si>
    <t>El Salvador</t>
  </si>
  <si>
    <t>Fiji</t>
  </si>
  <si>
    <t>France</t>
  </si>
  <si>
    <t>Germany</t>
  </si>
  <si>
    <t>Ghana</t>
  </si>
  <si>
    <t>Guatemala</t>
  </si>
  <si>
    <t>Indonesia</t>
  </si>
  <si>
    <t>Italy</t>
  </si>
  <si>
    <t>Madagascar</t>
  </si>
  <si>
    <t>Mauritius</t>
  </si>
  <si>
    <t>Mexico</t>
  </si>
  <si>
    <t>Minnows</t>
  </si>
  <si>
    <t>Missing Exports</t>
  </si>
  <si>
    <t>Netherlands</t>
  </si>
  <si>
    <t>Philippines</t>
  </si>
  <si>
    <t>Portugal</t>
  </si>
  <si>
    <t>Seychelles</t>
  </si>
  <si>
    <t>Spain</t>
  </si>
  <si>
    <t>Thailand</t>
  </si>
  <si>
    <t>Algeria</t>
  </si>
  <si>
    <t>Angola</t>
  </si>
  <si>
    <t>Argentina</t>
  </si>
  <si>
    <t>Australia</t>
  </si>
  <si>
    <t>Austria</t>
  </si>
  <si>
    <t>Belgium</t>
  </si>
  <si>
    <t>Canada</t>
  </si>
  <si>
    <t>Chile</t>
  </si>
  <si>
    <t>Colombia</t>
  </si>
  <si>
    <t>Croatia</t>
  </si>
  <si>
    <t>Czechia</t>
  </si>
  <si>
    <t>Denmark</t>
  </si>
  <si>
    <t>Dominican Rep.</t>
  </si>
  <si>
    <t>Egypt</t>
  </si>
  <si>
    <t>Estonia</t>
  </si>
  <si>
    <t>Finland</t>
  </si>
  <si>
    <t>Greece</t>
  </si>
  <si>
    <t>Ireland</t>
  </si>
  <si>
    <t>Israel</t>
  </si>
  <si>
    <t>Japan</t>
  </si>
  <si>
    <t>Jordan</t>
  </si>
  <si>
    <t>Kuwait</t>
  </si>
  <si>
    <t>Luxembourg</t>
  </si>
  <si>
    <t>Malaysia</t>
  </si>
  <si>
    <t>Missing Imports</t>
  </si>
  <si>
    <t>Morocco</t>
  </si>
  <si>
    <t>New Zealand</t>
  </si>
  <si>
    <t>Oman</t>
  </si>
  <si>
    <t>Panama</t>
  </si>
  <si>
    <t>Peru</t>
  </si>
  <si>
    <t>Poland</t>
  </si>
  <si>
    <t>Romania</t>
  </si>
  <si>
    <t>Russian Federation</t>
  </si>
  <si>
    <t>Saudi Arabia</t>
  </si>
  <si>
    <t>Serbia</t>
  </si>
  <si>
    <t>Singapore</t>
  </si>
  <si>
    <t>South Africa</t>
  </si>
  <si>
    <t>Sweden</t>
  </si>
  <si>
    <t>Switzerland</t>
  </si>
  <si>
    <t>Tunisia</t>
  </si>
  <si>
    <t>USA</t>
  </si>
  <si>
    <t>United Arab Emirates</t>
  </si>
  <si>
    <t>United Kingdom</t>
  </si>
  <si>
    <t>Yemen</t>
  </si>
  <si>
    <t>Exports</t>
  </si>
  <si>
    <t>Imports</t>
  </si>
  <si>
    <t>&gt;</t>
  </si>
  <si>
    <t>Viet Nam</t>
  </si>
  <si>
    <t>Hungary</t>
  </si>
  <si>
    <t>Rep. of Korea</t>
  </si>
  <si>
    <t>Raw</t>
  </si>
  <si>
    <t>Tinned</t>
  </si>
  <si>
    <t>Summary of catch</t>
  </si>
  <si>
    <t>All values in metric tonnes</t>
  </si>
  <si>
    <t xml:space="preserve">4.1 Catch by gear </t>
  </si>
  <si>
    <t xml:space="preserve">Longline </t>
  </si>
  <si>
    <t xml:space="preserve">Purse seine </t>
  </si>
  <si>
    <t>Pole and line</t>
  </si>
  <si>
    <t>Troll</t>
  </si>
  <si>
    <t>Other gears</t>
  </si>
  <si>
    <t>GRAND TOTAL</t>
  </si>
  <si>
    <t>4.2 Catch by species</t>
  </si>
  <si>
    <t>Albacore</t>
  </si>
  <si>
    <t>Bigeye</t>
  </si>
  <si>
    <t>Skipjack</t>
  </si>
  <si>
    <t>Yellowfin</t>
  </si>
  <si>
    <t xml:space="preserve">4.3 Catch by national waters </t>
  </si>
  <si>
    <t>FFA members</t>
  </si>
  <si>
    <t>Australia (includes Norfolk Island)</t>
  </si>
  <si>
    <t>Cook Islands</t>
  </si>
  <si>
    <t>FSM</t>
  </si>
  <si>
    <t>Kiribati</t>
  </si>
  <si>
    <t>Marshall Islands</t>
  </si>
  <si>
    <t>Nauru</t>
  </si>
  <si>
    <t>Niue</t>
  </si>
  <si>
    <t>PNG</t>
  </si>
  <si>
    <t>Palau</t>
  </si>
  <si>
    <t>Samoa</t>
  </si>
  <si>
    <t>Solomon  Islands</t>
  </si>
  <si>
    <t>Tokelau</t>
  </si>
  <si>
    <t>Tonga</t>
  </si>
  <si>
    <t>Tuvalu</t>
  </si>
  <si>
    <t>Vanuatu</t>
  </si>
  <si>
    <t>Sub-Total</t>
  </si>
  <si>
    <t>Others</t>
  </si>
  <si>
    <t>American Samoa</t>
  </si>
  <si>
    <t>French Polynesia</t>
  </si>
  <si>
    <t>Korea</t>
  </si>
  <si>
    <t>Mathew and Hunter</t>
  </si>
  <si>
    <t>New Caledonia</t>
  </si>
  <si>
    <t>Northern Mariana Islands</t>
  </si>
  <si>
    <t>Taiwan</t>
  </si>
  <si>
    <t>US (includes territories, ex Am Samoa)</t>
  </si>
  <si>
    <t>Vietnam</t>
  </si>
  <si>
    <t>Wallis and Futuna</t>
  </si>
  <si>
    <t>International waters</t>
  </si>
  <si>
    <t>H4</t>
  </si>
  <si>
    <t>H5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</si>
  <si>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</si>
  <si>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</si>
  <si>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</si>
  <si>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</si>
  <si>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</si>
  <si>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</si>
  <si>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</si>
  <si>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</si>
  <si>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</si>
  <si>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IW</t>
  </si>
  <si>
    <t xml:space="preserve">4.4 Catch by fleet </t>
  </si>
  <si>
    <t>Belize</t>
  </si>
  <si>
    <t>Eastern Pacific fleet</t>
  </si>
  <si>
    <t>Senegal</t>
  </si>
  <si>
    <t>US</t>
  </si>
  <si>
    <t>4.5 Fleet catch in national waters of FFA members</t>
  </si>
  <si>
    <t xml:space="preserve">4.6 Fleet catch in own national waters </t>
  </si>
  <si>
    <t>FFA Data</t>
  </si>
  <si>
    <t>Cabo Verde</t>
  </si>
  <si>
    <t>India</t>
  </si>
  <si>
    <t>Maldives</t>
  </si>
  <si>
    <t>Malta</t>
  </si>
  <si>
    <t>Myanmar</t>
  </si>
  <si>
    <t>Nicaragua</t>
  </si>
  <si>
    <t>Pakistan</t>
  </si>
  <si>
    <t>Türkiye</t>
  </si>
  <si>
    <t>Côte d'Ivoire</t>
  </si>
  <si>
    <t>Process Tinned Exports</t>
  </si>
  <si>
    <t>Raw Fish Imports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</si>
</sst>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rgb="FFFF0000"/>
      <name val="Aptos Narrow"/>
      <family val="2"/>
      <scheme val="minor"/>
    </font>
    <font>
      <b/>
      <u/>
      <sz val="10"/>
      <name val="Aptos Narrow"/>
      <family val="2"/>
      <scheme val="minor"/>
    </font>
    <font>
      <b/>
      <u val="singleAccounting"/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46">
    <xf numFmtId="0" fontId="0" fillId="0" borderId="0" xfId="0"/>
    <xf numFmtId="20" fontId="0" fillId="0" borderId="0" xfId="0" applyNumberFormat="1"/>
    <xf numFmtId="46" fontId="0" fillId="0" borderId="0" xfId="0" applyNumberFormat="1"/>
    <xf numFmtId="0" fontId="1" fillId="0" borderId="0" xfId="0" applyFont="1"/>
    <xf numFmtId="3" fontId="0" fillId="0" borderId="0" xfId="0" applyNumberFormat="1"/>
    <xf numFmtId="0" fontId="3" fillId="0" borderId="0" xfId="1" applyFont="1"/>
    <xf numFmtId="3" fontId="4" fillId="0" borderId="0" xfId="1" applyNumberFormat="1" applyFont="1" applyAlignment="1">
      <alignment horizontal="right"/>
    </xf>
    <xf numFmtId="0" fontId="4" fillId="0" borderId="0" xfId="1" applyFont="1"/>
    <xf numFmtId="0" fontId="5" fillId="0" borderId="0" xfId="1" applyFont="1"/>
    <xf numFmtId="3" fontId="6" fillId="0" borderId="0" xfId="1" applyNumberFormat="1" applyFont="1" applyAlignment="1">
      <alignment horizontal="right"/>
    </xf>
    <xf numFmtId="0" fontId="6" fillId="0" borderId="0" xfId="1" applyFont="1"/>
    <xf numFmtId="0" fontId="5" fillId="0" borderId="1" xfId="1" applyFont="1" applyBorder="1"/>
    <xf numFmtId="9" fontId="6" fillId="0" borderId="0" xfId="2" applyFont="1" applyFill="1" applyAlignment="1">
      <alignment horizontal="right"/>
    </xf>
    <xf numFmtId="1" fontId="6" fillId="0" borderId="2" xfId="1" applyNumberFormat="1" applyFont="1" applyBorder="1"/>
    <xf numFmtId="1" fontId="5" fillId="0" borderId="2" xfId="1" applyNumberFormat="1" applyFont="1" applyBorder="1" applyAlignment="1">
      <alignment horizontal="right"/>
    </xf>
    <xf numFmtId="1" fontId="6" fillId="0" borderId="0" xfId="1" applyNumberFormat="1" applyFont="1"/>
    <xf numFmtId="164" fontId="6" fillId="0" borderId="0" xfId="3" applyNumberFormat="1" applyFont="1" applyFill="1"/>
    <xf numFmtId="3" fontId="6" fillId="0" borderId="0" xfId="3" applyNumberFormat="1" applyFont="1" applyFill="1" applyAlignment="1">
      <alignment horizontal="right"/>
    </xf>
    <xf numFmtId="164" fontId="5" fillId="0" borderId="3" xfId="3" applyNumberFormat="1" applyFont="1" applyFill="1" applyBorder="1" applyAlignment="1">
      <alignment horizontal="left"/>
    </xf>
    <xf numFmtId="3" fontId="5" fillId="0" borderId="3" xfId="3" applyNumberFormat="1" applyFont="1" applyFill="1" applyBorder="1" applyAlignment="1">
      <alignment horizontal="right"/>
    </xf>
    <xf numFmtId="3" fontId="8" fillId="0" borderId="0" xfId="1" applyNumberFormat="1" applyFont="1" applyAlignment="1">
      <alignment horizontal="right"/>
    </xf>
    <xf numFmtId="3" fontId="6" fillId="0" borderId="1" xfId="1" applyNumberFormat="1" applyFont="1" applyBorder="1" applyAlignment="1">
      <alignment horizontal="right"/>
    </xf>
    <xf numFmtId="164" fontId="9" fillId="0" borderId="0" xfId="3" applyNumberFormat="1" applyFont="1" applyFill="1" applyAlignment="1">
      <alignment horizontal="left"/>
    </xf>
    <xf numFmtId="3" fontId="5" fillId="0" borderId="0" xfId="3" applyNumberFormat="1" applyFont="1" applyFill="1" applyAlignment="1">
      <alignment horizontal="right"/>
    </xf>
    <xf numFmtId="164" fontId="5" fillId="0" borderId="4" xfId="3" applyNumberFormat="1" applyFont="1" applyFill="1" applyBorder="1" applyAlignment="1">
      <alignment horizontal="left"/>
    </xf>
    <xf numFmtId="3" fontId="5" fillId="0" borderId="4" xfId="3" applyNumberFormat="1" applyFont="1" applyFill="1" applyBorder="1" applyAlignment="1">
      <alignment horizontal="right"/>
    </xf>
    <xf numFmtId="0" fontId="9" fillId="0" borderId="0" xfId="1" applyFont="1" applyAlignment="1">
      <alignment horizontal="left"/>
    </xf>
    <xf numFmtId="43" fontId="6" fillId="0" borderId="0" xfId="3" applyFont="1" applyFill="1"/>
    <xf numFmtId="3" fontId="6" fillId="0" borderId="0" xfId="3" applyNumberFormat="1" applyFont="1" applyFill="1" applyBorder="1" applyAlignment="1">
      <alignment horizontal="right"/>
    </xf>
    <xf numFmtId="164" fontId="10" fillId="0" borderId="0" xfId="3" applyNumberFormat="1" applyFont="1" applyFill="1" applyAlignment="1">
      <alignment horizontal="left"/>
    </xf>
    <xf numFmtId="3" fontId="5" fillId="0" borderId="5" xfId="3" applyNumberFormat="1" applyFont="1" applyFill="1" applyBorder="1" applyAlignment="1">
      <alignment horizontal="right"/>
    </xf>
    <xf numFmtId="164" fontId="6" fillId="0" borderId="0" xfId="3" applyNumberFormat="1" applyFont="1" applyFill="1" applyBorder="1" applyAlignment="1">
      <alignment horizontal="left"/>
    </xf>
    <xf numFmtId="164" fontId="6" fillId="0" borderId="6" xfId="3" applyNumberFormat="1" applyFont="1" applyFill="1" applyBorder="1" applyAlignment="1">
      <alignment horizontal="left"/>
    </xf>
    <xf numFmtId="164" fontId="5" fillId="0" borderId="6" xfId="3" applyNumberFormat="1" applyFont="1" applyFill="1" applyBorder="1" applyAlignment="1">
      <alignment horizontal="left"/>
    </xf>
    <xf numFmtId="164" fontId="5" fillId="0" borderId="0" xfId="3" applyNumberFormat="1" applyFont="1" applyFill="1"/>
    <xf numFmtId="3" fontId="5" fillId="0" borderId="1" xfId="3" applyNumberFormat="1" applyFont="1" applyFill="1" applyBorder="1" applyAlignment="1">
      <alignment horizontal="right"/>
    </xf>
    <xf numFmtId="3" fontId="2" fillId="0" borderId="0" xfId="1" applyNumberFormat="1"/>
    <xf numFmtId="9" fontId="6" fillId="0" borderId="1" xfId="2" applyFont="1" applyFill="1" applyBorder="1" applyAlignment="1">
      <alignment horizontal="right"/>
    </xf>
    <xf numFmtId="1" fontId="5" fillId="0" borderId="0" xfId="1" applyNumberFormat="1" applyFont="1" applyAlignment="1">
      <alignment horizontal="right"/>
    </xf>
    <xf numFmtId="3" fontId="9" fillId="0" borderId="0" xfId="1" applyNumberFormat="1" applyFont="1" applyAlignment="1">
      <alignment horizontal="left"/>
    </xf>
    <xf numFmtId="164" fontId="6" fillId="0" borderId="0" xfId="3" applyNumberFormat="1" applyFont="1" applyFill="1" applyAlignment="1">
      <alignment horizontal="left"/>
    </xf>
    <xf numFmtId="164" fontId="6" fillId="0" borderId="0" xfId="3" applyNumberFormat="1" applyFont="1" applyFill="1" applyBorder="1"/>
    <xf numFmtId="3" fontId="5" fillId="0" borderId="0" xfId="1" applyNumberFormat="1" applyFont="1" applyAlignment="1">
      <alignment horizontal="right"/>
    </xf>
    <xf numFmtId="0" fontId="5" fillId="0" borderId="0" xfId="1" applyFont="1" applyAlignment="1">
      <alignment horizontal="left"/>
    </xf>
    <xf numFmtId="164" fontId="6" fillId="0" borderId="0" xfId="1" applyNumberFormat="1" applyFont="1"/>
    <xf numFmtId="164" fontId="5" fillId="0" borderId="0" xfId="3" applyNumberFormat="1" applyFont="1" applyFill="1" applyBorder="1"/>
  </cellXfs>
  <cellStyles count="4">
    <cellStyle name="Comma 2" xfId="3" xr:uid="{045AB17D-F505-4F46-AE5F-428074F17BBF}"/>
    <cellStyle name="Normal" xfId="0" builtinId="0"/>
    <cellStyle name="Normal 2" xfId="1" xr:uid="{0F56A77F-55D6-4C65-8AFE-875B44D8C2D7}"/>
    <cellStyle name="Percent 2" xfId="2" xr:uid="{43C666B9-D8A9-49C6-A22A-E53AA08DA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Raw And Canned Tuna Volumes</a:t>
            </a:r>
          </a:p>
          <a:p>
            <a:pPr>
              <a:defRPr/>
            </a:pPr>
            <a:r>
              <a:rPr lang="en-AU" sz="1100"/>
              <a:t>Data source: COMTRADE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Tinned!$B$95</c:f>
              <c:strCache>
                <c:ptCount val="1"/>
                <c:pt idx="0">
                  <c:v>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Tinned!$C$94:$AB$94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Tinned!$C$95:$AB$95</c:f>
              <c:numCache>
                <c:formatCode>#,##0</c:formatCode>
                <c:ptCount val="26"/>
                <c:pt idx="0">
                  <c:v>175192.17</c:v>
                </c:pt>
                <c:pt idx="1">
                  <c:v>188873.47</c:v>
                </c:pt>
                <c:pt idx="2">
                  <c:v>517866.6</c:v>
                </c:pt>
                <c:pt idx="3">
                  <c:v>526789.85</c:v>
                </c:pt>
                <c:pt idx="4">
                  <c:v>557522.37</c:v>
                </c:pt>
                <c:pt idx="5">
                  <c:v>522131.31400000001</c:v>
                </c:pt>
                <c:pt idx="6">
                  <c:v>511118.95</c:v>
                </c:pt>
                <c:pt idx="7">
                  <c:v>654618.58000000007</c:v>
                </c:pt>
                <c:pt idx="8">
                  <c:v>516348</c:v>
                </c:pt>
                <c:pt idx="9">
                  <c:v>564156.12000000011</c:v>
                </c:pt>
                <c:pt idx="10">
                  <c:v>1160322.7599999998</c:v>
                </c:pt>
                <c:pt idx="11">
                  <c:v>1429100.48</c:v>
                </c:pt>
                <c:pt idx="12">
                  <c:v>1905911.17</c:v>
                </c:pt>
                <c:pt idx="13">
                  <c:v>1858816.83</c:v>
                </c:pt>
                <c:pt idx="14">
                  <c:v>1991275.5899999999</c:v>
                </c:pt>
                <c:pt idx="15">
                  <c:v>2778401.6799999997</c:v>
                </c:pt>
                <c:pt idx="16">
                  <c:v>3716498.27</c:v>
                </c:pt>
                <c:pt idx="17">
                  <c:v>3071138.0599999996</c:v>
                </c:pt>
                <c:pt idx="18">
                  <c:v>3434677.1700000004</c:v>
                </c:pt>
                <c:pt idx="19">
                  <c:v>2618926.0499999998</c:v>
                </c:pt>
                <c:pt idx="20">
                  <c:v>3243958.4499999997</c:v>
                </c:pt>
                <c:pt idx="21">
                  <c:v>3020853.25</c:v>
                </c:pt>
                <c:pt idx="22">
                  <c:v>3046071.1299999994</c:v>
                </c:pt>
                <c:pt idx="23">
                  <c:v>2549585.4999999995</c:v>
                </c:pt>
                <c:pt idx="24">
                  <c:v>3039529.1700000004</c:v>
                </c:pt>
                <c:pt idx="25">
                  <c:v>1274013.73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59-4D3C-8F98-CC76BD1D6D22}"/>
            </c:ext>
          </c:extLst>
        </c:ser>
        <c:ser>
          <c:idx val="1"/>
          <c:order val="1"/>
          <c:tx>
            <c:strRef>
              <c:f>Tinned!$B$96</c:f>
              <c:strCache>
                <c:ptCount val="1"/>
                <c:pt idx="0">
                  <c:v>Tinned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Tinned!$C$94:$AB$94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Tinned!$C$96:$AB$96</c:f>
              <c:numCache>
                <c:formatCode>#,##0</c:formatCode>
                <c:ptCount val="26"/>
                <c:pt idx="0">
                  <c:v>254203.89</c:v>
                </c:pt>
                <c:pt idx="1">
                  <c:v>279193.74200000003</c:v>
                </c:pt>
                <c:pt idx="2">
                  <c:v>374841.12</c:v>
                </c:pt>
                <c:pt idx="3">
                  <c:v>423723.13</c:v>
                </c:pt>
                <c:pt idx="4">
                  <c:v>431067.68</c:v>
                </c:pt>
                <c:pt idx="5">
                  <c:v>490292.19999999995</c:v>
                </c:pt>
                <c:pt idx="6">
                  <c:v>529057.28000000003</c:v>
                </c:pt>
                <c:pt idx="7">
                  <c:v>532357.91999999993</c:v>
                </c:pt>
                <c:pt idx="8">
                  <c:v>624427.32000000007</c:v>
                </c:pt>
                <c:pt idx="9">
                  <c:v>645857.1</c:v>
                </c:pt>
                <c:pt idx="10">
                  <c:v>1546626.0799999998</c:v>
                </c:pt>
                <c:pt idx="11">
                  <c:v>1353418.87</c:v>
                </c:pt>
                <c:pt idx="12">
                  <c:v>1488919.87</c:v>
                </c:pt>
                <c:pt idx="13">
                  <c:v>1597760.42</c:v>
                </c:pt>
                <c:pt idx="14">
                  <c:v>1406393.5499999998</c:v>
                </c:pt>
                <c:pt idx="15">
                  <c:v>2035051.6600000001</c:v>
                </c:pt>
                <c:pt idx="16">
                  <c:v>2161307.11</c:v>
                </c:pt>
                <c:pt idx="17">
                  <c:v>2186163.0100000002</c:v>
                </c:pt>
                <c:pt idx="18">
                  <c:v>2243808.0799999996</c:v>
                </c:pt>
                <c:pt idx="19">
                  <c:v>1847369.7</c:v>
                </c:pt>
                <c:pt idx="20">
                  <c:v>2475110.1199999996</c:v>
                </c:pt>
                <c:pt idx="21">
                  <c:v>2258732.15</c:v>
                </c:pt>
                <c:pt idx="22">
                  <c:v>2165927.48</c:v>
                </c:pt>
                <c:pt idx="23">
                  <c:v>1861069.6400000001</c:v>
                </c:pt>
                <c:pt idx="24">
                  <c:v>2427423.09</c:v>
                </c:pt>
                <c:pt idx="25">
                  <c:v>1592304.4439999999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59-4D3C-8F98-CC76BD1D6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565919"/>
        <c:axId val="1694566399"/>
      </c:lineChart>
      <c:catAx>
        <c:axId val="169456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566399"/>
        <c:crosses val="autoZero"/>
        <c:auto val="1"/>
        <c:lblAlgn val="ctr"/>
        <c:lblOffset val="100"/>
        <c:noMultiLvlLbl val="0"/>
      </c:catAx>
      <c:valAx>
        <c:axId val="169456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565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Missing Exports and FFA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Tinned!$B$127</c:f>
              <c:strCache>
                <c:ptCount val="1"/>
                <c:pt idx="0">
                  <c:v>Missing Exports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Tinned!$C$126:$AA$126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Tinned!$C$127:$AA$127</c:f>
              <c:numCache>
                <c:formatCode>#,##0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81556.100000000006</c:v>
                </c:pt>
                <c:pt idx="3">
                  <c:v>7826.4780000000001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213734.3</c:v>
                </c:pt>
                <c:pt idx="8">
                  <c:v>0</c:v>
                </c:pt>
                <c:pt idx="9">
                  <c:v>0</c:v>
                </c:pt>
                <c:pt idx="10">
                  <c:v>347816.83500000002</c:v>
                </c:pt>
                <c:pt idx="11">
                  <c:v>580484.25399999996</c:v>
                </c:pt>
                <c:pt idx="12">
                  <c:v>1007552.2560000001</c:v>
                </c:pt>
                <c:pt idx="13">
                  <c:v>607515.89</c:v>
                </c:pt>
                <c:pt idx="14">
                  <c:v>937854.87800000003</c:v>
                </c:pt>
                <c:pt idx="15">
                  <c:v>1596370.0530000001</c:v>
                </c:pt>
                <c:pt idx="16">
                  <c:v>2147774.3199999998</c:v>
                </c:pt>
                <c:pt idx="17">
                  <c:v>1528070.358</c:v>
                </c:pt>
                <c:pt idx="18">
                  <c:v>1727496.8759999999</c:v>
                </c:pt>
                <c:pt idx="19">
                  <c:v>1025653.148</c:v>
                </c:pt>
                <c:pt idx="20">
                  <c:v>1707234.7690000001</c:v>
                </c:pt>
                <c:pt idx="21">
                  <c:v>1528349.0419999999</c:v>
                </c:pt>
                <c:pt idx="22">
                  <c:v>1648374.6059999999</c:v>
                </c:pt>
                <c:pt idx="23">
                  <c:v>1221057.45</c:v>
                </c:pt>
                <c:pt idx="24">
                  <c:v>1679601.182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9C-45A6-9678-150A4C583176}"/>
            </c:ext>
          </c:extLst>
        </c:ser>
        <c:ser>
          <c:idx val="1"/>
          <c:order val="1"/>
          <c:tx>
            <c:strRef>
              <c:f>Tinned!$B$128</c:f>
              <c:strCache>
                <c:ptCount val="1"/>
                <c:pt idx="0">
                  <c:v>FFA Data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Tinned!$C$126:$AA$126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Tinned!$C$128:$AA$128</c:f>
              <c:numCache>
                <c:formatCode>#,##0</c:formatCode>
                <c:ptCount val="25"/>
                <c:pt idx="0">
                  <c:v>799928</c:v>
                </c:pt>
                <c:pt idx="1">
                  <c:v>801096</c:v>
                </c:pt>
                <c:pt idx="2">
                  <c:v>929010</c:v>
                </c:pt>
                <c:pt idx="3">
                  <c:v>903088</c:v>
                </c:pt>
                <c:pt idx="4">
                  <c:v>916286</c:v>
                </c:pt>
                <c:pt idx="5">
                  <c:v>1032583</c:v>
                </c:pt>
                <c:pt idx="6">
                  <c:v>1141718</c:v>
                </c:pt>
                <c:pt idx="7">
                  <c:v>1194701</c:v>
                </c:pt>
                <c:pt idx="8">
                  <c:v>1255344</c:v>
                </c:pt>
                <c:pt idx="9">
                  <c:v>1312509</c:v>
                </c:pt>
                <c:pt idx="10">
                  <c:v>1549838</c:v>
                </c:pt>
                <c:pt idx="11">
                  <c:v>1481560</c:v>
                </c:pt>
                <c:pt idx="12">
                  <c:v>1704854</c:v>
                </c:pt>
                <c:pt idx="13">
                  <c:v>1632840</c:v>
                </c:pt>
                <c:pt idx="14">
                  <c:v>1803204</c:v>
                </c:pt>
                <c:pt idx="15">
                  <c:v>1456788</c:v>
                </c:pt>
                <c:pt idx="16">
                  <c:v>1553485</c:v>
                </c:pt>
                <c:pt idx="17">
                  <c:v>1457486</c:v>
                </c:pt>
                <c:pt idx="18">
                  <c:v>1604951</c:v>
                </c:pt>
                <c:pt idx="19">
                  <c:v>1670191</c:v>
                </c:pt>
                <c:pt idx="20">
                  <c:v>1514847</c:v>
                </c:pt>
                <c:pt idx="21">
                  <c:v>1438145</c:v>
                </c:pt>
                <c:pt idx="22">
                  <c:v>1602013</c:v>
                </c:pt>
                <c:pt idx="23">
                  <c:v>1402254</c:v>
                </c:pt>
                <c:pt idx="24">
                  <c:v>1800851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9C-45A6-9678-150A4C583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973247"/>
        <c:axId val="1796968927"/>
      </c:lineChart>
      <c:catAx>
        <c:axId val="1796973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968927"/>
        <c:crosses val="autoZero"/>
        <c:auto val="1"/>
        <c:lblAlgn val="ctr"/>
        <c:lblOffset val="100"/>
        <c:noMultiLvlLbl val="0"/>
      </c:catAx>
      <c:valAx>
        <c:axId val="179696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97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Thailand</a:t>
            </a:r>
            <a:r>
              <a:rPr lang="en-AU" baseline="0"/>
              <a:t> Raw Tuna Imports and Canned Tuna Exports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Raw!$B$90</c:f>
              <c:strCache>
                <c:ptCount val="1"/>
                <c:pt idx="0">
                  <c:v>Raw Fish Imports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Raw!$M$2:$AB$2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Raw!$M$90:$AB$90</c:f>
              <c:numCache>
                <c:formatCode>#,##0</c:formatCode>
                <c:ptCount val="16"/>
                <c:pt idx="0">
                  <c:v>17860.080000000002</c:v>
                </c:pt>
                <c:pt idx="1">
                  <c:v>200064.63</c:v>
                </c:pt>
                <c:pt idx="2">
                  <c:v>729053.8</c:v>
                </c:pt>
                <c:pt idx="3">
                  <c:v>761984.58</c:v>
                </c:pt>
                <c:pt idx="4">
                  <c:v>700743.73</c:v>
                </c:pt>
                <c:pt idx="5">
                  <c:v>1343125.23</c:v>
                </c:pt>
                <c:pt idx="6">
                  <c:v>1524325.77</c:v>
                </c:pt>
                <c:pt idx="7">
                  <c:v>1424110.95</c:v>
                </c:pt>
                <c:pt idx="8">
                  <c:v>1701831.01</c:v>
                </c:pt>
                <c:pt idx="9">
                  <c:v>727814.6</c:v>
                </c:pt>
                <c:pt idx="10">
                  <c:v>1682019.3</c:v>
                </c:pt>
                <c:pt idx="11">
                  <c:v>1394077.61</c:v>
                </c:pt>
                <c:pt idx="12">
                  <c:v>1458538.2</c:v>
                </c:pt>
                <c:pt idx="13">
                  <c:v>1337536.72</c:v>
                </c:pt>
                <c:pt idx="14">
                  <c:v>1657401.24</c:v>
                </c:pt>
                <c:pt idx="15">
                  <c:v>293890.68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71-48C8-BF86-898177A09B15}"/>
            </c:ext>
          </c:extLst>
        </c:ser>
        <c:ser>
          <c:idx val="1"/>
          <c:order val="1"/>
          <c:tx>
            <c:strRef>
              <c:f>Raw!$B$91</c:f>
              <c:strCache>
                <c:ptCount val="1"/>
                <c:pt idx="0">
                  <c:v>Process Tinned Exports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Raw!$M$2:$AB$2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Raw!$M$91:$AB$91</c:f>
              <c:numCache>
                <c:formatCode>#,##0</c:formatCode>
                <c:ptCount val="16"/>
                <c:pt idx="0">
                  <c:v>588726.99</c:v>
                </c:pt>
                <c:pt idx="1">
                  <c:v>576241.03</c:v>
                </c:pt>
                <c:pt idx="2">
                  <c:v>559492.76</c:v>
                </c:pt>
                <c:pt idx="3">
                  <c:v>550883.86</c:v>
                </c:pt>
                <c:pt idx="4">
                  <c:v>595479.07999999996</c:v>
                </c:pt>
                <c:pt idx="5">
                  <c:v>1123065.8</c:v>
                </c:pt>
                <c:pt idx="6">
                  <c:v>1126123.46</c:v>
                </c:pt>
                <c:pt idx="7">
                  <c:v>980334.5</c:v>
                </c:pt>
                <c:pt idx="8">
                  <c:v>1028765.11</c:v>
                </c:pt>
                <c:pt idx="9">
                  <c:v>524558.81999999995</c:v>
                </c:pt>
                <c:pt idx="10">
                  <c:v>1165315.2</c:v>
                </c:pt>
                <c:pt idx="11">
                  <c:v>942052.89</c:v>
                </c:pt>
                <c:pt idx="12">
                  <c:v>1027585.82</c:v>
                </c:pt>
                <c:pt idx="13">
                  <c:v>888808.67</c:v>
                </c:pt>
                <c:pt idx="14">
                  <c:v>1158928.1299999999</c:v>
                </c:pt>
                <c:pt idx="15">
                  <c:v>190445.739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71-48C8-BF86-898177A09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838575"/>
        <c:axId val="1839836655"/>
      </c:lineChart>
      <c:catAx>
        <c:axId val="183983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9836655"/>
        <c:crosses val="autoZero"/>
        <c:auto val="1"/>
        <c:lblAlgn val="ctr"/>
        <c:lblOffset val="100"/>
        <c:noMultiLvlLbl val="0"/>
      </c:catAx>
      <c:valAx>
        <c:axId val="183983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983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v>'3. Summary - Catch'!#REF!</c:v>
          </c:tx>
          <c:spPr>
            <a:solidFill>
              <a:srgbClr val="0000FF"/>
            </a:solidFill>
            <a:ln w="12700">
              <a:solidFill>
                <a:srgbClr val="0000FF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8B08-4390-B27A-62AC8BC14B55}"/>
            </c:ext>
          </c:extLst>
        </c:ser>
        <c:ser>
          <c:idx val="1"/>
          <c:order val="1"/>
          <c:tx>
            <c:v>'3. Summary - Catch'!#REF!</c:v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8B08-4390-B27A-62AC8BC14B55}"/>
            </c:ext>
          </c:extLst>
        </c:ser>
        <c:ser>
          <c:idx val="2"/>
          <c:order val="2"/>
          <c:tx>
            <c:v>'3. Summary - Catch'!#REF!</c:v>
          </c:tx>
          <c:spPr>
            <a:solidFill>
              <a:srgbClr val="FFFF00"/>
            </a:solidFill>
            <a:ln w="12700">
              <a:solidFill>
                <a:srgbClr val="FFCC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8B08-4390-B27A-62AC8BC14B55}"/>
            </c:ext>
          </c:extLst>
        </c:ser>
        <c:ser>
          <c:idx val="3"/>
          <c:order val="3"/>
          <c:tx>
            <c:v>'3. Summary - Catch'!#REF!</c:v>
          </c:tx>
          <c:spPr>
            <a:solidFill>
              <a:srgbClr val="008000"/>
            </a:solidFill>
            <a:ln w="12700">
              <a:solidFill>
                <a:srgbClr val="0000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8B08-4390-B27A-62AC8BC14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14824"/>
        <c:axId val="433510888"/>
      </c:areaChart>
      <c:catAx>
        <c:axId val="432914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SB"/>
          </a:p>
        </c:txPr>
        <c:crossAx val="43351088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433510888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Metric tonnes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SB"/>
          </a:p>
        </c:txPr>
        <c:crossAx val="432914824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SB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SB"/>
    </a:p>
  </c:txPr>
  <c:printSettings>
    <c:headerFooter alignWithMargins="0"/>
    <c:pageMargins b="1" l="0.75" r="0.75" t="1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2"/>
          <c:order val="0"/>
          <c:tx>
            <c:v>'3. Summary - Catch'!#REF!</c:v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F9E3-4CD1-A925-A17A90ED3B15}"/>
            </c:ext>
          </c:extLst>
        </c:ser>
        <c:ser>
          <c:idx val="3"/>
          <c:order val="1"/>
          <c:tx>
            <c:v>'3. Summary - Catch'!#REF!</c:v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F9E3-4CD1-A925-A17A90ED3B15}"/>
            </c:ext>
          </c:extLst>
        </c:ser>
        <c:ser>
          <c:idx val="0"/>
          <c:order val="2"/>
          <c:tx>
            <c:v>'3. Summary - Catch'!#REF!</c:v>
          </c:tx>
          <c:spPr>
            <a:solidFill>
              <a:srgbClr val="008000"/>
            </a:solidFill>
            <a:ln w="12700">
              <a:solidFill>
                <a:srgbClr val="0000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F9E3-4CD1-A925-A17A90ED3B15}"/>
            </c:ext>
          </c:extLst>
        </c:ser>
        <c:ser>
          <c:idx val="1"/>
          <c:order val="3"/>
          <c:tx>
            <c:v>'3. Summary - Catch'!#REF!</c:v>
          </c:tx>
          <c:spPr>
            <a:solidFill>
              <a:srgbClr val="0000FF"/>
            </a:solidFill>
            <a:ln w="12700">
              <a:solidFill>
                <a:srgbClr val="000000"/>
              </a:solidFill>
              <a:prstDash val="solid"/>
            </a:ln>
          </c:spPr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F9E3-4CD1-A925-A17A90ED3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41120"/>
        <c:axId val="196541512"/>
      </c:areaChart>
      <c:catAx>
        <c:axId val="19654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SB"/>
          </a:p>
        </c:txPr>
        <c:crossAx val="196541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965415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Metric tonnes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SB"/>
          </a:p>
        </c:txPr>
        <c:crossAx val="196541120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SB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SB"/>
    </a:p>
  </c:txPr>
  <c:printSettings>
    <c:headerFooter alignWithMargins="0"/>
    <c:pageMargins b="1" l="0.75" r="0.75" t="1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'3. Summary - Catch'!#REF!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1FA9-49FF-BEF9-27DF567AB255}"/>
            </c:ext>
          </c:extLst>
        </c:ser>
        <c:ser>
          <c:idx val="1"/>
          <c:order val="1"/>
          <c:tx>
            <c:v>'3. Summary - Catch'!#REF!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F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val>
            <c:numRef>
              <c:f>'3. Summary - Catch'!#REF!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'3. Summary - Catch'!#REF!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1FA9-49FF-BEF9-27DF567A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462528"/>
        <c:axId val="458462920"/>
      </c:lineChart>
      <c:catAx>
        <c:axId val="45846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SB"/>
          </a:p>
        </c:txPr>
        <c:crossAx val="4584629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4584629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Metric tonnes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SB"/>
          </a:p>
        </c:txPr>
        <c:crossAx val="45846252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SB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SB"/>
    </a:p>
  </c:txPr>
  <c:printSettings>
    <c:headerFooter alignWithMargins="0"/>
    <c:pageMargins b="1" l="0.75" r="0.75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228605</xdr:colOff>
      <xdr:row>132</xdr:row>
      <xdr:rowOff>42861</xdr:rowOff>
    </xdr:from>
    <xdr:to>
      <xdr:col>19</xdr:col>
      <xdr:colOff>371474</xdr:colOff>
      <xdr:row>157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EB97B5-AE1E-73E9-6729-D0DF0F553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228605</xdr:colOff>
      <xdr:row>158</xdr:row>
      <xdr:rowOff>71436</xdr:rowOff>
    </xdr:from>
    <xdr:to>
      <xdr:col>19</xdr:col>
      <xdr:colOff>390524</xdr:colOff>
      <xdr:row>176</xdr:row>
      <xdr:rowOff>95249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D764A8-5F26-BF26-66B1-7220F52B4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209550</xdr:colOff>
      <xdr:row>176</xdr:row>
      <xdr:rowOff>161925</xdr:rowOff>
    </xdr:from>
    <xdr:to>
      <xdr:col>19</xdr:col>
      <xdr:colOff>361950</xdr:colOff>
      <xdr:row>195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A80DBB-D844-4AB0-BF7E-216173874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29</xdr:row>
      <xdr:rowOff>104775</xdr:rowOff>
    </xdr:from>
    <xdr:to>
      <xdr:col>15</xdr:col>
      <xdr:colOff>0</xdr:colOff>
      <xdr:row>51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82DF65-6552-46CC-A2DD-3D9126347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64</xdr:row>
      <xdr:rowOff>76200</xdr:rowOff>
    </xdr:from>
    <xdr:to>
      <xdr:col>15</xdr:col>
      <xdr:colOff>0</xdr:colOff>
      <xdr:row>84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92DCCF-E52D-4638-B39C-1D133E9A1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64</xdr:row>
      <xdr:rowOff>95250</xdr:rowOff>
    </xdr:from>
    <xdr:to>
      <xdr:col>15</xdr:col>
      <xdr:colOff>0</xdr:colOff>
      <xdr:row>84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C7229D-2A8C-48BA-B3DC-0F41C10EC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3466-22CA-4D62-A9F0-1B753723BA5C}">
  <dimension ref="A1:AD92"/>
  <sheetViews>
    <sheetView workbookViewId="0">
      <pane xSplit="2" ySplit="2" topLeftCell="D54" activePane="bottomRight" state="frozen"/>
      <selection pane="topRight" activeCell="C1" sqref="C1"/>
      <selection pane="bottomLeft" activeCell="A3" sqref="A3"/>
      <selection pane="bottomRight" activeCell="A17" sqref="A17:XFD17"/>
    </sheetView>
  </sheetViews>
  <sheetFormatPr defaultColWidth="6.28515625" defaultRowHeight="15" x14ac:dyDescent="0.25"/>
  <cols>
    <col min="1" max="1" width="7.85546875" bestFit="1" customWidth="1"/>
    <col min="2" max="2" width="22.28515625" bestFit="1" customWidth="1"/>
    <col min="3" max="12" width="7.5703125" bestFit="1" customWidth="1"/>
    <col min="13" max="28" width="9.140625" bestFit="1" customWidth="1"/>
    <col min="30" max="30" width="10.140625" bestFit="1" customWidth="1"/>
  </cols>
  <sheetData>
    <row r="1" spans="1:28" x14ac:dyDescent="0.25">
      <c r="A1" t="s">
        <v>67</v>
      </c>
    </row>
    <row r="2" spans="1:28" s="3" customFormat="1" x14ac:dyDescent="0.25">
      <c r="B2" s="3" t="s">
        <v>0</v>
      </c>
      <c r="C2" s="3">
        <v>2000</v>
      </c>
      <c r="D2" s="3">
        <v>2001</v>
      </c>
      <c r="E2" s="3">
        <v>2002</v>
      </c>
      <c r="F2" s="3">
        <v>2003</v>
      </c>
      <c r="G2" s="3">
        <v>2004</v>
      </c>
      <c r="H2" s="3">
        <v>2005</v>
      </c>
      <c r="I2" s="3">
        <v>2006</v>
      </c>
      <c r="J2" s="3">
        <v>2007</v>
      </c>
      <c r="K2" s="3">
        <v>2008</v>
      </c>
      <c r="L2" s="3">
        <v>2009</v>
      </c>
      <c r="M2" s="3">
        <v>2010</v>
      </c>
      <c r="N2" s="3">
        <v>2011</v>
      </c>
      <c r="O2" s="3">
        <v>2012</v>
      </c>
      <c r="P2" s="3">
        <v>2013</v>
      </c>
      <c r="Q2" s="3">
        <v>2014</v>
      </c>
      <c r="R2" s="3">
        <v>2015</v>
      </c>
      <c r="S2" s="3">
        <v>2016</v>
      </c>
      <c r="T2" s="3">
        <v>2017</v>
      </c>
      <c r="U2" s="3">
        <v>2018</v>
      </c>
      <c r="V2" s="3">
        <v>2019</v>
      </c>
      <c r="W2" s="3">
        <v>2020</v>
      </c>
      <c r="X2" s="3">
        <v>2021</v>
      </c>
      <c r="Y2" s="3">
        <v>2022</v>
      </c>
      <c r="Z2" s="3">
        <v>2023</v>
      </c>
      <c r="AA2" s="3">
        <v>2024</v>
      </c>
      <c r="AB2" s="3">
        <v>2025</v>
      </c>
    </row>
    <row r="3" spans="1:28" x14ac:dyDescent="0.25">
      <c r="A3" s="1"/>
      <c r="B3" t="s">
        <v>26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9368.7990000000009</v>
      </c>
      <c r="O3" s="4">
        <v>8510.2900000000009</v>
      </c>
      <c r="P3" s="4">
        <v>9061.24</v>
      </c>
      <c r="Q3" s="4">
        <v>10521.749</v>
      </c>
      <c r="R3" s="4">
        <v>10934.852000000001</v>
      </c>
      <c r="S3" s="4">
        <v>10389.455</v>
      </c>
      <c r="T3" s="4">
        <v>10339.960999999999</v>
      </c>
      <c r="U3" s="4">
        <v>10505.593999999999</v>
      </c>
      <c r="V3" s="4">
        <v>10892.036</v>
      </c>
      <c r="W3" s="4">
        <v>10622.41</v>
      </c>
      <c r="X3" s="4">
        <v>9178.8340000000007</v>
      </c>
      <c r="Y3" s="4">
        <v>9514.1759999999995</v>
      </c>
      <c r="Z3" s="4">
        <v>9866.5360000000001</v>
      </c>
      <c r="AA3" s="4">
        <v>9849.3109999999997</v>
      </c>
      <c r="AB3" s="4">
        <v>11415.073</v>
      </c>
    </row>
    <row r="4" spans="1:28" x14ac:dyDescent="0.25">
      <c r="A4" s="1"/>
      <c r="B4" t="s">
        <v>1</v>
      </c>
      <c r="C4" s="4">
        <v>0</v>
      </c>
      <c r="D4" s="4">
        <v>14025.64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10992.333000000001</v>
      </c>
      <c r="O4" s="4">
        <v>16486.96</v>
      </c>
      <c r="P4" s="4">
        <v>10031.34</v>
      </c>
      <c r="Q4" s="4">
        <v>6367.3419999999996</v>
      </c>
      <c r="R4" s="4">
        <v>8725.5310000000009</v>
      </c>
      <c r="S4" s="4">
        <v>8408.9830000000002</v>
      </c>
      <c r="T4" s="4">
        <v>8904.9290000000001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x14ac:dyDescent="0.25">
      <c r="A5" s="1"/>
      <c r="B5" t="s">
        <v>139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9640.3520000000008</v>
      </c>
      <c r="N5" s="4">
        <v>13636.965</v>
      </c>
      <c r="O5" s="4">
        <v>8443.1470000000008</v>
      </c>
      <c r="P5" s="4">
        <v>12280.96</v>
      </c>
      <c r="Q5" s="4">
        <v>13794.712</v>
      </c>
      <c r="R5" s="4">
        <v>15215.071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</row>
    <row r="6" spans="1:28" x14ac:dyDescent="0.25">
      <c r="A6" s="1"/>
      <c r="B6" t="s">
        <v>29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6137.5990000000002</v>
      </c>
      <c r="N6" s="4">
        <v>5693.7089999999998</v>
      </c>
      <c r="O6" s="4">
        <v>0</v>
      </c>
      <c r="P6" s="4">
        <v>0</v>
      </c>
      <c r="Q6" s="4">
        <v>0</v>
      </c>
      <c r="R6" s="4">
        <v>9491.7219999999998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x14ac:dyDescent="0.25">
      <c r="A7" s="1"/>
      <c r="B7" t="s">
        <v>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37679.525999999998</v>
      </c>
      <c r="N7" s="4">
        <v>57263.9</v>
      </c>
      <c r="O7" s="4">
        <v>29511.249</v>
      </c>
      <c r="P7" s="4">
        <v>0</v>
      </c>
      <c r="Q7" s="4">
        <v>0</v>
      </c>
      <c r="R7" s="4">
        <v>0</v>
      </c>
      <c r="S7" s="4">
        <v>297582.25799999997</v>
      </c>
      <c r="T7" s="4">
        <v>212308.723</v>
      </c>
      <c r="U7" s="4">
        <v>114145.62300000001</v>
      </c>
      <c r="V7" s="4">
        <v>111103.625</v>
      </c>
      <c r="W7" s="4">
        <v>133956.48300000001</v>
      </c>
      <c r="X7" s="4">
        <v>81834.252999999997</v>
      </c>
      <c r="Y7" s="4">
        <v>60505.508000000002</v>
      </c>
      <c r="Z7" s="4">
        <v>51410.95</v>
      </c>
      <c r="AA7" s="4">
        <v>85930.324999999997</v>
      </c>
      <c r="AB7" s="4">
        <v>0</v>
      </c>
    </row>
    <row r="8" spans="1:28" x14ac:dyDescent="0.25">
      <c r="A8" s="1"/>
      <c r="B8" t="s">
        <v>31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11407.69</v>
      </c>
      <c r="N8" s="4">
        <v>0</v>
      </c>
      <c r="O8" s="4">
        <v>0</v>
      </c>
      <c r="P8" s="4">
        <v>0</v>
      </c>
      <c r="Q8" s="4">
        <v>50649.023999999998</v>
      </c>
      <c r="R8" s="4">
        <v>0</v>
      </c>
      <c r="S8" s="4">
        <v>33900.252999999997</v>
      </c>
      <c r="T8" s="4">
        <v>9464.1020000000008</v>
      </c>
      <c r="U8" s="4">
        <v>11949.075000000001</v>
      </c>
      <c r="V8" s="4">
        <v>23585.055</v>
      </c>
      <c r="W8" s="4">
        <v>15263.550999999999</v>
      </c>
      <c r="X8" s="4">
        <v>16695.508999999998</v>
      </c>
      <c r="Y8" s="4">
        <v>13441.948</v>
      </c>
      <c r="Z8" s="4">
        <v>11770.374</v>
      </c>
      <c r="AA8" s="4">
        <v>0</v>
      </c>
      <c r="AB8" s="4">
        <v>5608.2510000000002</v>
      </c>
    </row>
    <row r="9" spans="1:28" x14ac:dyDescent="0.25">
      <c r="A9" s="1"/>
      <c r="B9" t="s">
        <v>3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40787.249000000003</v>
      </c>
      <c r="N9" s="4">
        <v>6719.0659999999998</v>
      </c>
      <c r="O9" s="4">
        <v>8053.3429999999998</v>
      </c>
      <c r="P9" s="4">
        <v>12273.75</v>
      </c>
      <c r="Q9" s="4">
        <v>18239.867999999999</v>
      </c>
      <c r="R9" s="4">
        <v>0</v>
      </c>
      <c r="S9" s="4">
        <v>12387.102000000001</v>
      </c>
      <c r="T9" s="4">
        <v>24456.636999999999</v>
      </c>
      <c r="U9" s="4">
        <v>31138.789000000001</v>
      </c>
      <c r="V9" s="4">
        <v>12944.83</v>
      </c>
      <c r="W9" s="4">
        <v>9867.2180000000008</v>
      </c>
      <c r="X9" s="4">
        <v>8643.4390000000003</v>
      </c>
      <c r="Y9" s="4">
        <v>0</v>
      </c>
      <c r="Z9" s="4">
        <v>0</v>
      </c>
      <c r="AA9" s="4">
        <v>21423.652999999998</v>
      </c>
      <c r="AB9" s="4">
        <v>0</v>
      </c>
    </row>
    <row r="10" spans="1:28" x14ac:dyDescent="0.25">
      <c r="A10" s="1"/>
      <c r="B10" t="s">
        <v>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44737.021999999997</v>
      </c>
      <c r="S10" s="4">
        <v>45570.951000000001</v>
      </c>
      <c r="T10" s="4">
        <v>46261.919999999998</v>
      </c>
      <c r="U10" s="4">
        <v>36979.925999999999</v>
      </c>
      <c r="V10" s="4">
        <v>32452.65</v>
      </c>
      <c r="W10" s="4">
        <v>27367</v>
      </c>
      <c r="X10" s="4">
        <v>17657.694</v>
      </c>
      <c r="Y10" s="4">
        <v>26897.138999999999</v>
      </c>
      <c r="Z10" s="4">
        <v>17514.060000000001</v>
      </c>
      <c r="AA10" s="4">
        <v>33349.527999999998</v>
      </c>
      <c r="AB10" s="4">
        <v>22602.271000000001</v>
      </c>
    </row>
    <row r="11" spans="1:28" x14ac:dyDescent="0.25">
      <c r="A11" s="1"/>
      <c r="B11" t="s">
        <v>6</v>
      </c>
      <c r="C11" s="4">
        <v>143118.85</v>
      </c>
      <c r="D11" s="4">
        <v>158325.16</v>
      </c>
      <c r="E11" s="4">
        <v>126953.28</v>
      </c>
      <c r="F11" s="4">
        <v>188584.834</v>
      </c>
      <c r="G11" s="4">
        <v>0</v>
      </c>
      <c r="H11" s="4">
        <v>133888.87</v>
      </c>
      <c r="I11" s="4">
        <v>124792.5</v>
      </c>
      <c r="J11" s="4">
        <v>0</v>
      </c>
      <c r="K11" s="4">
        <v>143307.74</v>
      </c>
      <c r="L11" s="4">
        <v>95172.28</v>
      </c>
      <c r="M11" s="4">
        <v>80009.5</v>
      </c>
      <c r="N11" s="4">
        <v>72799.399999999994</v>
      </c>
      <c r="O11" s="4">
        <v>97053.1</v>
      </c>
      <c r="P11" s="4">
        <v>81890.899999999994</v>
      </c>
      <c r="Q11" s="4">
        <v>58773.97</v>
      </c>
      <c r="R11" s="4">
        <v>81175.474000000002</v>
      </c>
      <c r="S11" s="4">
        <v>90713.540999999997</v>
      </c>
      <c r="T11" s="4">
        <v>83565.948999999993</v>
      </c>
      <c r="U11" s="4">
        <v>92652.964999999997</v>
      </c>
      <c r="V11" s="4">
        <v>83481.120999999999</v>
      </c>
      <c r="W11" s="4">
        <v>75138.778999999995</v>
      </c>
      <c r="X11" s="4">
        <v>41511.182000000001</v>
      </c>
      <c r="Y11" s="4">
        <v>24560.075000000001</v>
      </c>
      <c r="Z11" s="4">
        <v>24216.382000000001</v>
      </c>
      <c r="AA11" s="4">
        <v>22595.508000000002</v>
      </c>
      <c r="AB11" s="4">
        <v>0</v>
      </c>
    </row>
    <row r="12" spans="1:28" x14ac:dyDescent="0.25">
      <c r="A12" s="1"/>
      <c r="B12" t="s">
        <v>8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8769.8359999999993</v>
      </c>
      <c r="N12" s="4">
        <v>0</v>
      </c>
      <c r="O12" s="4">
        <v>15703.058999999999</v>
      </c>
      <c r="P12" s="4">
        <v>0</v>
      </c>
      <c r="Q12" s="4">
        <v>0</v>
      </c>
      <c r="R12" s="4">
        <v>11624.654</v>
      </c>
      <c r="S12" s="4">
        <v>12252.429</v>
      </c>
      <c r="T12" s="4">
        <v>28553.617999999999</v>
      </c>
      <c r="U12" s="4">
        <v>36845.620999999999</v>
      </c>
      <c r="V12" s="4">
        <v>29312.893</v>
      </c>
      <c r="W12" s="4">
        <v>35534.337</v>
      </c>
      <c r="X12" s="4">
        <v>26450.271000000001</v>
      </c>
      <c r="Y12" s="4">
        <v>72864.888000000006</v>
      </c>
      <c r="Z12" s="4">
        <v>55730.752</v>
      </c>
      <c r="AA12" s="4">
        <v>0</v>
      </c>
      <c r="AB12" s="4">
        <v>0</v>
      </c>
    </row>
    <row r="13" spans="1:28" x14ac:dyDescent="0.25">
      <c r="A13" s="1"/>
      <c r="B13" t="s">
        <v>140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17171.362000000001</v>
      </c>
      <c r="O13" s="4">
        <v>19698.811000000002</v>
      </c>
      <c r="P13" s="4">
        <v>36605.58</v>
      </c>
      <c r="Q13" s="4">
        <v>36260.402999999998</v>
      </c>
      <c r="R13" s="4">
        <v>29350.863000000001</v>
      </c>
      <c r="S13" s="4">
        <v>21468.477999999999</v>
      </c>
      <c r="T13" s="4">
        <v>28025.538</v>
      </c>
      <c r="U13" s="4">
        <v>54841.228000000003</v>
      </c>
      <c r="V13" s="4">
        <v>45672.652999999998</v>
      </c>
      <c r="W13" s="4">
        <v>40352.148999999998</v>
      </c>
      <c r="X13" s="4">
        <v>38689.582000000002</v>
      </c>
      <c r="Y13" s="4">
        <v>36034.177000000003</v>
      </c>
      <c r="Z13" s="4">
        <v>51348.178999999996</v>
      </c>
      <c r="AA13" s="4">
        <v>46183.718999999997</v>
      </c>
      <c r="AB13" s="4">
        <v>29464.538</v>
      </c>
    </row>
    <row r="14" spans="1:28" x14ac:dyDescent="0.25">
      <c r="A14" s="1"/>
      <c r="B14" t="s">
        <v>10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11114.022999999999</v>
      </c>
      <c r="P14" s="4">
        <v>366040.87</v>
      </c>
      <c r="Q14" s="4">
        <v>104121.894</v>
      </c>
      <c r="R14" s="4">
        <v>90002.096000000005</v>
      </c>
      <c r="S14" s="4">
        <v>73733.691000000006</v>
      </c>
      <c r="T14" s="4">
        <v>121307.045</v>
      </c>
      <c r="U14" s="4">
        <v>86200.138000000006</v>
      </c>
      <c r="V14" s="4">
        <v>88526.387000000002</v>
      </c>
      <c r="W14" s="4">
        <v>113680.67600000001</v>
      </c>
      <c r="X14" s="4">
        <v>109557.679</v>
      </c>
      <c r="Y14" s="4">
        <v>120918.814</v>
      </c>
      <c r="Z14" s="4">
        <v>130600.232</v>
      </c>
      <c r="AA14" s="4">
        <v>197643.601</v>
      </c>
      <c r="AB14" s="4">
        <v>0</v>
      </c>
    </row>
    <row r="15" spans="1:28" x14ac:dyDescent="0.25">
      <c r="A15" s="1"/>
      <c r="B15" t="s">
        <v>40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6021.7610000000004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</row>
    <row r="16" spans="1:28" x14ac:dyDescent="0.25">
      <c r="A16" s="1"/>
      <c r="B16" t="s">
        <v>11</v>
      </c>
      <c r="C16" s="4">
        <v>13724.03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6429.1260000000002</v>
      </c>
      <c r="Y16" s="4">
        <v>0</v>
      </c>
      <c r="Z16" s="4">
        <v>0</v>
      </c>
      <c r="AA16" s="4">
        <v>0</v>
      </c>
      <c r="AB16" s="4">
        <v>0</v>
      </c>
    </row>
    <row r="17" spans="1:28" x14ac:dyDescent="0.25">
      <c r="A17" s="1"/>
      <c r="B17" t="s">
        <v>42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75588.774000000005</v>
      </c>
      <c r="N17" s="4">
        <v>67069.915999999997</v>
      </c>
      <c r="O17" s="4">
        <v>51243.338000000003</v>
      </c>
      <c r="P17" s="4">
        <v>71005.77</v>
      </c>
      <c r="Q17" s="4">
        <v>62881.694000000003</v>
      </c>
      <c r="R17" s="4">
        <v>40115.483</v>
      </c>
      <c r="S17" s="4">
        <v>22887.52</v>
      </c>
      <c r="T17" s="4">
        <v>37062.326000000001</v>
      </c>
      <c r="U17" s="4">
        <v>55767.213000000003</v>
      </c>
      <c r="V17" s="4">
        <v>41278.995999999999</v>
      </c>
      <c r="W17" s="4">
        <v>63550.779000000002</v>
      </c>
      <c r="X17" s="4">
        <v>57639.398000000001</v>
      </c>
      <c r="Y17" s="4">
        <v>22263.834999999999</v>
      </c>
      <c r="Z17" s="4">
        <v>35693.252</v>
      </c>
      <c r="AA17" s="4">
        <v>46903.413</v>
      </c>
      <c r="AB17" s="4">
        <v>32092.556</v>
      </c>
    </row>
    <row r="18" spans="1:28" x14ac:dyDescent="0.25">
      <c r="A18" s="1"/>
      <c r="B18" t="s">
        <v>46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7131.14</v>
      </c>
      <c r="AA18" s="4">
        <v>0</v>
      </c>
      <c r="AB18" s="4">
        <v>15924.066000000001</v>
      </c>
    </row>
    <row r="19" spans="1:28" x14ac:dyDescent="0.25">
      <c r="A19" s="1"/>
      <c r="B19" t="s">
        <v>141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49582.692000000003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</row>
    <row r="20" spans="1:28" x14ac:dyDescent="0.25">
      <c r="A20" s="1"/>
      <c r="B20" t="s">
        <v>142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6001</v>
      </c>
      <c r="R20" s="4">
        <v>7517.826</v>
      </c>
      <c r="S20" s="4">
        <v>11136.959000000001</v>
      </c>
      <c r="T20" s="4">
        <v>0</v>
      </c>
      <c r="U20" s="4">
        <v>0</v>
      </c>
      <c r="V20" s="4">
        <v>15515.487999999999</v>
      </c>
      <c r="W20" s="4">
        <v>10828.069</v>
      </c>
      <c r="X20" s="4">
        <v>10249.214</v>
      </c>
      <c r="Y20" s="4">
        <v>10474.698</v>
      </c>
      <c r="Z20" s="4">
        <v>12282.950999999999</v>
      </c>
      <c r="AA20" s="4">
        <v>10592.424000000001</v>
      </c>
      <c r="AB20" s="4">
        <v>0</v>
      </c>
    </row>
    <row r="21" spans="1:28" x14ac:dyDescent="0.25">
      <c r="A21" s="1"/>
      <c r="B21" t="s">
        <v>13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5585.6229999999996</v>
      </c>
      <c r="O21" s="4">
        <v>10485.066999999999</v>
      </c>
      <c r="P21" s="4">
        <v>0</v>
      </c>
      <c r="Q21" s="4">
        <v>10789.413</v>
      </c>
      <c r="R21" s="4">
        <v>7302.6170000000002</v>
      </c>
      <c r="S21" s="4">
        <v>14275.579</v>
      </c>
      <c r="T21" s="4">
        <v>0</v>
      </c>
      <c r="U21" s="4">
        <v>0</v>
      </c>
      <c r="V21" s="4">
        <v>11836.879000000001</v>
      </c>
      <c r="W21" s="4">
        <v>12627.231</v>
      </c>
      <c r="X21" s="4">
        <v>11278.999</v>
      </c>
      <c r="Y21" s="4">
        <v>22041.896000000001</v>
      </c>
      <c r="Z21" s="4">
        <v>13742.857</v>
      </c>
      <c r="AA21" s="4">
        <v>0</v>
      </c>
      <c r="AB21" s="4">
        <v>0</v>
      </c>
    </row>
    <row r="22" spans="1:28" x14ac:dyDescent="0.25">
      <c r="A22" s="1"/>
      <c r="B22" t="s">
        <v>14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24541.359</v>
      </c>
      <c r="N22" s="4">
        <v>31293.923999999999</v>
      </c>
      <c r="O22" s="4">
        <v>31888.656999999999</v>
      </c>
      <c r="P22" s="4">
        <v>17216.259999999998</v>
      </c>
      <c r="Q22" s="4">
        <v>7909.2259999999997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x14ac:dyDescent="0.25">
      <c r="A23" s="1"/>
      <c r="B23" t="s">
        <v>15</v>
      </c>
      <c r="C23" s="4">
        <v>18349.28</v>
      </c>
      <c r="D23" s="4">
        <v>16522.669999999998</v>
      </c>
      <c r="E23" s="4">
        <v>30596.880000000001</v>
      </c>
      <c r="F23" s="4">
        <v>30414.234</v>
      </c>
      <c r="G23" s="4">
        <v>198165</v>
      </c>
      <c r="H23" s="4">
        <v>29270.45</v>
      </c>
      <c r="I23" s="4">
        <v>26889.599999999999</v>
      </c>
      <c r="J23" s="4">
        <v>104869.6</v>
      </c>
      <c r="K23" s="4">
        <v>26245.78</v>
      </c>
      <c r="L23" s="4">
        <v>39542.83</v>
      </c>
      <c r="M23" s="4">
        <v>41353.112999999998</v>
      </c>
      <c r="N23" s="4">
        <v>44130.593999999997</v>
      </c>
      <c r="O23" s="4">
        <v>46504.169000000002</v>
      </c>
      <c r="P23" s="4">
        <v>64688.07</v>
      </c>
      <c r="Q23" s="4">
        <v>53307.267999999996</v>
      </c>
      <c r="R23" s="4">
        <v>60970.654000000002</v>
      </c>
      <c r="S23" s="4">
        <v>84488.3</v>
      </c>
      <c r="T23" s="4">
        <v>82520.917000000001</v>
      </c>
      <c r="U23" s="4">
        <v>92788.591</v>
      </c>
      <c r="V23" s="4">
        <v>81732.402000000002</v>
      </c>
      <c r="W23" s="4">
        <v>83216.56</v>
      </c>
      <c r="X23" s="4">
        <v>75557.256999999998</v>
      </c>
      <c r="Y23" s="4">
        <v>70513.077000000005</v>
      </c>
      <c r="Z23" s="4">
        <v>67193.126999999993</v>
      </c>
      <c r="AA23" s="4">
        <v>75660.913</v>
      </c>
      <c r="AB23" s="4">
        <v>32481.606</v>
      </c>
    </row>
    <row r="24" spans="1:28" x14ac:dyDescent="0.25">
      <c r="A24" s="1"/>
      <c r="B24" t="s">
        <v>16</v>
      </c>
      <c r="C24" s="4">
        <v>0</v>
      </c>
      <c r="D24" s="4">
        <v>0</v>
      </c>
      <c r="E24" s="4">
        <v>81556.100000000006</v>
      </c>
      <c r="F24" s="4">
        <v>7826.4780000000001</v>
      </c>
      <c r="G24" s="4">
        <v>0</v>
      </c>
      <c r="H24" s="4">
        <v>0</v>
      </c>
      <c r="I24" s="4">
        <v>0</v>
      </c>
      <c r="J24" s="4">
        <v>213734.3</v>
      </c>
      <c r="K24" s="4">
        <v>0</v>
      </c>
      <c r="L24" s="4">
        <v>0</v>
      </c>
      <c r="M24" s="4">
        <v>347816.83500000002</v>
      </c>
      <c r="N24" s="4">
        <v>580484.25399999996</v>
      </c>
      <c r="O24" s="4">
        <v>1007552.2560000001</v>
      </c>
      <c r="P24" s="4">
        <v>607515.89</v>
      </c>
      <c r="Q24" s="4">
        <v>937854.87800000003</v>
      </c>
      <c r="R24" s="4">
        <v>1596370.0530000001</v>
      </c>
      <c r="S24" s="4">
        <v>2147774.3199999998</v>
      </c>
      <c r="T24" s="4">
        <v>1528070.358</v>
      </c>
      <c r="U24" s="4">
        <v>1727496.8759999999</v>
      </c>
      <c r="V24" s="4">
        <v>1025653.148</v>
      </c>
      <c r="W24" s="4">
        <v>1707234.7690000001</v>
      </c>
      <c r="X24" s="4">
        <v>1528349.0419999999</v>
      </c>
      <c r="Y24" s="4">
        <v>1648374.6059999999</v>
      </c>
      <c r="Z24" s="4">
        <v>1221057.45</v>
      </c>
      <c r="AA24" s="4">
        <v>1679601.182</v>
      </c>
      <c r="AB24" s="4">
        <v>646489.23199999996</v>
      </c>
    </row>
    <row r="25" spans="1:28" x14ac:dyDescent="0.25">
      <c r="A25" s="1"/>
      <c r="B25" t="s">
        <v>143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8332.41</v>
      </c>
      <c r="O25" s="4">
        <v>40041.802000000003</v>
      </c>
      <c r="P25" s="4">
        <v>25764.18</v>
      </c>
      <c r="Q25" s="4">
        <v>33719.275000000001</v>
      </c>
      <c r="R25" s="4">
        <v>8849.6450000000004</v>
      </c>
      <c r="S25" s="4">
        <v>0</v>
      </c>
      <c r="T25" s="4">
        <v>13947.945</v>
      </c>
      <c r="U25" s="4">
        <v>13678.722</v>
      </c>
      <c r="V25" s="4">
        <v>9553.48</v>
      </c>
      <c r="W25" s="4">
        <v>0</v>
      </c>
      <c r="X25" s="4">
        <v>0</v>
      </c>
      <c r="Y25" s="4">
        <v>12011.508</v>
      </c>
      <c r="Z25" s="4">
        <v>21275.933000000001</v>
      </c>
      <c r="AA25" s="4">
        <v>0</v>
      </c>
      <c r="AB25" s="4">
        <v>0</v>
      </c>
    </row>
    <row r="26" spans="1:28" x14ac:dyDescent="0.25">
      <c r="A26" s="2"/>
      <c r="B26" t="s">
        <v>49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13278.213</v>
      </c>
      <c r="N26" s="4">
        <v>18773.151000000002</v>
      </c>
      <c r="O26" s="4">
        <v>17476.351999999999</v>
      </c>
      <c r="P26" s="4">
        <v>19315.78</v>
      </c>
      <c r="Q26" s="4">
        <v>22545.333999999999</v>
      </c>
      <c r="R26" s="4">
        <v>19565.085999999999</v>
      </c>
      <c r="S26" s="4">
        <v>9158.7129999999997</v>
      </c>
      <c r="T26" s="4">
        <v>9288.9259999999995</v>
      </c>
      <c r="U26" s="4">
        <v>16325.22</v>
      </c>
      <c r="V26" s="4">
        <v>20673.941999999999</v>
      </c>
      <c r="W26" s="4">
        <v>22518.19</v>
      </c>
      <c r="X26" s="4">
        <v>18614.314999999999</v>
      </c>
      <c r="Y26" s="4">
        <v>9529.0920000000006</v>
      </c>
      <c r="Z26" s="4">
        <v>0</v>
      </c>
      <c r="AA26" s="4">
        <v>0</v>
      </c>
      <c r="AB26" s="4">
        <v>3932.1689999999999</v>
      </c>
    </row>
    <row r="27" spans="1:28" x14ac:dyDescent="0.25">
      <c r="A27" s="2"/>
      <c r="B27" t="s">
        <v>144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11972.401</v>
      </c>
      <c r="W27" s="4">
        <v>18056.403999999999</v>
      </c>
      <c r="X27" s="4">
        <v>14232.709000000001</v>
      </c>
      <c r="Y27" s="4">
        <v>20274.344000000001</v>
      </c>
      <c r="Z27" s="4">
        <v>20929.427</v>
      </c>
      <c r="AA27" s="4">
        <v>0</v>
      </c>
      <c r="AB27" s="4">
        <v>0</v>
      </c>
    </row>
    <row r="28" spans="1:28" x14ac:dyDescent="0.25">
      <c r="A28" s="2"/>
      <c r="B28" t="s">
        <v>50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9548.2819999999992</v>
      </c>
      <c r="S28" s="4">
        <v>0</v>
      </c>
      <c r="T28" s="4">
        <v>0</v>
      </c>
      <c r="U28" s="4">
        <v>35114.997000000003</v>
      </c>
      <c r="V28" s="4">
        <v>0</v>
      </c>
      <c r="W28" s="4">
        <v>0</v>
      </c>
      <c r="X28" s="4">
        <v>0</v>
      </c>
      <c r="Y28" s="4">
        <v>0</v>
      </c>
      <c r="Z28" s="4">
        <v>5986.1120000000001</v>
      </c>
      <c r="AA28" s="4">
        <v>0</v>
      </c>
      <c r="AB28" s="4">
        <v>0</v>
      </c>
    </row>
    <row r="29" spans="1:28" x14ac:dyDescent="0.25">
      <c r="A29" s="2"/>
      <c r="B29" t="s">
        <v>145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8709.0660000000007</v>
      </c>
      <c r="W29" s="4">
        <v>0</v>
      </c>
      <c r="X29" s="4">
        <v>0</v>
      </c>
      <c r="Y29" s="4">
        <v>0</v>
      </c>
      <c r="Z29" s="4">
        <v>13491.957</v>
      </c>
      <c r="AA29" s="4">
        <v>19669.936000000002</v>
      </c>
      <c r="AB29" s="4">
        <v>11488.348</v>
      </c>
    </row>
    <row r="30" spans="1:28" x14ac:dyDescent="0.25">
      <c r="A30" s="2"/>
      <c r="B30" t="s">
        <v>51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13195.938</v>
      </c>
      <c r="AB30" s="4">
        <v>21271.455999999998</v>
      </c>
    </row>
    <row r="31" spans="1:28" x14ac:dyDescent="0.25">
      <c r="A31" s="2"/>
      <c r="B31" t="s">
        <v>52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10448.204</v>
      </c>
      <c r="T31" s="4">
        <v>8304.3150000000005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</row>
    <row r="32" spans="1:28" x14ac:dyDescent="0.25">
      <c r="A32" s="2"/>
      <c r="B32" t="s">
        <v>18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29644.069</v>
      </c>
      <c r="N32" s="4">
        <v>16854.73</v>
      </c>
      <c r="O32" s="4">
        <v>17912.574000000001</v>
      </c>
      <c r="P32" s="4">
        <v>18119.09</v>
      </c>
      <c r="Q32" s="4">
        <v>22762.059000000001</v>
      </c>
      <c r="R32" s="4">
        <v>19412.621999999999</v>
      </c>
      <c r="S32" s="4">
        <v>18125.420999999998</v>
      </c>
      <c r="T32" s="4">
        <v>30049.055</v>
      </c>
      <c r="U32" s="4">
        <v>30567.444</v>
      </c>
      <c r="V32" s="4">
        <v>48633.298000000003</v>
      </c>
      <c r="W32" s="4">
        <v>0</v>
      </c>
      <c r="X32" s="4">
        <v>11150.605</v>
      </c>
      <c r="Y32" s="4">
        <v>13652.371999999999</v>
      </c>
      <c r="Z32" s="4">
        <v>19203.457999999999</v>
      </c>
      <c r="AA32" s="4">
        <v>20282.2</v>
      </c>
      <c r="AB32" s="4">
        <v>14760.991</v>
      </c>
    </row>
    <row r="33" spans="1:28" x14ac:dyDescent="0.25">
      <c r="A33" s="2"/>
      <c r="B33" t="s">
        <v>19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5394.41</v>
      </c>
      <c r="N33" s="4">
        <v>0</v>
      </c>
      <c r="O33" s="4">
        <v>0</v>
      </c>
      <c r="P33" s="4">
        <v>10557.12</v>
      </c>
      <c r="Q33" s="4">
        <v>16322.396000000001</v>
      </c>
      <c r="R33" s="4">
        <v>9751.1689999999999</v>
      </c>
      <c r="S33" s="4">
        <v>0</v>
      </c>
      <c r="T33" s="4">
        <v>0</v>
      </c>
      <c r="U33" s="4">
        <v>0</v>
      </c>
      <c r="V33" s="4">
        <v>0</v>
      </c>
      <c r="W33" s="4">
        <v>9243.3089999999993</v>
      </c>
      <c r="X33" s="4">
        <v>16973.663</v>
      </c>
      <c r="Y33" s="4">
        <v>16831.415000000001</v>
      </c>
      <c r="Z33" s="4">
        <v>21739.133999999998</v>
      </c>
      <c r="AA33" s="4">
        <v>27874.239000000001</v>
      </c>
      <c r="AB33" s="4">
        <v>33444.156000000003</v>
      </c>
    </row>
    <row r="34" spans="1:28" x14ac:dyDescent="0.25">
      <c r="A34" s="2"/>
      <c r="B34" t="s">
        <v>72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215971.38</v>
      </c>
      <c r="S34" s="4">
        <v>217253.04199999999</v>
      </c>
      <c r="T34" s="4">
        <v>186126.36900000001</v>
      </c>
      <c r="U34" s="4">
        <v>208880.89799999999</v>
      </c>
      <c r="V34" s="4">
        <v>230304.315</v>
      </c>
      <c r="W34" s="4">
        <v>206580.14</v>
      </c>
      <c r="X34" s="4">
        <v>167337.28099999999</v>
      </c>
      <c r="Y34" s="4">
        <v>164860.07199999999</v>
      </c>
      <c r="Z34" s="4">
        <v>175909.038</v>
      </c>
      <c r="AA34" s="4">
        <v>225451.84400000001</v>
      </c>
      <c r="AB34" s="4">
        <v>0</v>
      </c>
    </row>
    <row r="35" spans="1:28" x14ac:dyDescent="0.25">
      <c r="A35" s="2"/>
      <c r="B35" t="s">
        <v>134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8890.6630000000005</v>
      </c>
      <c r="N35" s="4">
        <v>13807.616</v>
      </c>
      <c r="O35" s="4">
        <v>6501.7269999999999</v>
      </c>
      <c r="P35" s="4">
        <v>26799.4</v>
      </c>
      <c r="Q35" s="4">
        <v>5080.6459999999997</v>
      </c>
      <c r="R35" s="4">
        <v>0</v>
      </c>
      <c r="S35" s="4">
        <v>21973.09</v>
      </c>
      <c r="T35" s="4">
        <v>29946.43</v>
      </c>
      <c r="U35" s="4">
        <v>40697.673999999999</v>
      </c>
      <c r="V35" s="4">
        <v>36815.553999999996</v>
      </c>
      <c r="W35" s="4">
        <v>36530.197</v>
      </c>
      <c r="X35" s="4">
        <v>0</v>
      </c>
      <c r="Y35" s="4">
        <v>19460.751</v>
      </c>
      <c r="Z35" s="4">
        <v>0</v>
      </c>
      <c r="AA35" s="4">
        <v>0</v>
      </c>
      <c r="AB35" s="4">
        <v>0</v>
      </c>
    </row>
    <row r="36" spans="1:28" x14ac:dyDescent="0.25">
      <c r="A36" s="2"/>
      <c r="B36" t="s">
        <v>20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36025.839999999997</v>
      </c>
      <c r="M36" s="4">
        <v>46713.504999999997</v>
      </c>
      <c r="N36" s="4">
        <v>13636.391</v>
      </c>
      <c r="O36" s="4">
        <v>0</v>
      </c>
      <c r="P36" s="4">
        <v>15229.06</v>
      </c>
      <c r="Q36" s="4">
        <v>0</v>
      </c>
      <c r="R36" s="4">
        <v>0</v>
      </c>
      <c r="S36" s="4">
        <v>25659.625</v>
      </c>
      <c r="T36" s="4">
        <v>51682.413</v>
      </c>
      <c r="U36" s="4">
        <v>89877.012000000002</v>
      </c>
      <c r="V36" s="4">
        <v>60484.517</v>
      </c>
      <c r="W36" s="4">
        <v>113439.772</v>
      </c>
      <c r="X36" s="4">
        <v>213478.99299999999</v>
      </c>
      <c r="Y36" s="4">
        <v>65709.936000000002</v>
      </c>
      <c r="Z36" s="4">
        <v>0</v>
      </c>
      <c r="AA36" s="4">
        <v>0</v>
      </c>
      <c r="AB36" s="4">
        <v>0</v>
      </c>
    </row>
    <row r="37" spans="1:28" x14ac:dyDescent="0.25">
      <c r="A37" s="2"/>
      <c r="B37" t="s">
        <v>58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6242.22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</row>
    <row r="38" spans="1:28" x14ac:dyDescent="0.25">
      <c r="A38" s="2"/>
      <c r="B38" t="s">
        <v>59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15456.902</v>
      </c>
      <c r="N38" s="4">
        <v>8046.71</v>
      </c>
      <c r="O38" s="4">
        <v>12136.569</v>
      </c>
      <c r="P38" s="4">
        <v>0</v>
      </c>
      <c r="Q38" s="4">
        <v>14648.366</v>
      </c>
      <c r="R38" s="4">
        <v>11336.319</v>
      </c>
      <c r="S38" s="4">
        <v>0</v>
      </c>
      <c r="T38" s="4">
        <v>0</v>
      </c>
      <c r="U38" s="4">
        <v>9052.2129999999997</v>
      </c>
      <c r="V38" s="4">
        <v>11513.498</v>
      </c>
      <c r="W38" s="4">
        <v>11440.726000000001</v>
      </c>
      <c r="X38" s="4">
        <v>15174.484</v>
      </c>
      <c r="Y38" s="4">
        <v>13797.442999999999</v>
      </c>
      <c r="Z38" s="4">
        <v>11818.811</v>
      </c>
      <c r="AA38" s="4">
        <v>13481.130999999999</v>
      </c>
      <c r="AB38" s="4">
        <v>14017.656000000001</v>
      </c>
    </row>
    <row r="39" spans="1:28" x14ac:dyDescent="0.25">
      <c r="A39" s="2"/>
      <c r="B39" t="s">
        <v>21</v>
      </c>
      <c r="C39" s="4">
        <v>0</v>
      </c>
      <c r="D39" s="4">
        <v>0</v>
      </c>
      <c r="E39" s="4">
        <v>278760.33</v>
      </c>
      <c r="F39" s="4">
        <v>299964.30900000001</v>
      </c>
      <c r="G39" s="4">
        <v>359357.4</v>
      </c>
      <c r="H39" s="4">
        <v>358972</v>
      </c>
      <c r="I39" s="4">
        <v>359436.79999999999</v>
      </c>
      <c r="J39" s="4">
        <v>336014.7</v>
      </c>
      <c r="K39" s="4">
        <v>346794.49</v>
      </c>
      <c r="L39" s="4">
        <v>393415.16</v>
      </c>
      <c r="M39" s="4">
        <v>339353.08899999998</v>
      </c>
      <c r="N39" s="4">
        <v>408506.18699999998</v>
      </c>
      <c r="O39" s="4">
        <v>422055.63699999999</v>
      </c>
      <c r="P39" s="4">
        <v>440355.6</v>
      </c>
      <c r="Q39" s="4">
        <v>470565.54</v>
      </c>
      <c r="R39" s="4">
        <v>390648.16600000003</v>
      </c>
      <c r="S39" s="4">
        <v>391919.973</v>
      </c>
      <c r="T39" s="4">
        <v>395005.82299999997</v>
      </c>
      <c r="U39" s="4">
        <v>488395.35499999998</v>
      </c>
      <c r="V39" s="4">
        <v>457993.05200000003</v>
      </c>
      <c r="W39" s="4">
        <v>387076.53399999999</v>
      </c>
      <c r="X39" s="4">
        <v>409045.93199999997</v>
      </c>
      <c r="Y39" s="4">
        <v>424250.99599999998</v>
      </c>
      <c r="Z39" s="4">
        <v>437385.41499999998</v>
      </c>
      <c r="AA39" s="4">
        <v>389618.88199999998</v>
      </c>
      <c r="AB39" s="4">
        <v>349562.527</v>
      </c>
    </row>
    <row r="40" spans="1:28" x14ac:dyDescent="0.25">
      <c r="A40" s="2"/>
      <c r="B40" t="s">
        <v>22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17860.077000000001</v>
      </c>
      <c r="N40" s="4">
        <v>18933.436000000002</v>
      </c>
      <c r="O40" s="4">
        <v>21296.813999999998</v>
      </c>
      <c r="P40" s="4">
        <v>14065.97</v>
      </c>
      <c r="Q40" s="4">
        <v>22137.797999999999</v>
      </c>
      <c r="R40" s="4">
        <v>43744.472000000002</v>
      </c>
      <c r="S40" s="4">
        <v>55718.146000000001</v>
      </c>
      <c r="T40" s="4">
        <v>52386.175999999999</v>
      </c>
      <c r="U40" s="4">
        <v>45372.002999999997</v>
      </c>
      <c r="V40" s="4">
        <v>22209.873</v>
      </c>
      <c r="W40" s="4">
        <v>40625.440999999999</v>
      </c>
      <c r="X40" s="4">
        <v>48213.637999999999</v>
      </c>
      <c r="Y40" s="4">
        <v>69180.804000000004</v>
      </c>
      <c r="Z40" s="4">
        <v>55373.298000000003</v>
      </c>
      <c r="AA40" s="4">
        <v>77533.205000000002</v>
      </c>
      <c r="AB40" s="4">
        <v>13942.234</v>
      </c>
    </row>
    <row r="41" spans="1:28" x14ac:dyDescent="0.25">
      <c r="A41" s="2"/>
      <c r="B41" t="s">
        <v>146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6232.4539999999997</v>
      </c>
      <c r="Z41" s="4">
        <v>0</v>
      </c>
      <c r="AA41" s="4">
        <v>12415.092000000001</v>
      </c>
      <c r="AB41" s="4">
        <v>4229.2020000000002</v>
      </c>
    </row>
    <row r="42" spans="1:28" x14ac:dyDescent="0.25">
      <c r="A42" s="2"/>
      <c r="B42" t="s">
        <v>63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35536.334999999999</v>
      </c>
      <c r="T42" s="4">
        <v>22766.316999999999</v>
      </c>
      <c r="U42" s="4">
        <v>22805</v>
      </c>
      <c r="V42" s="4">
        <v>17058.794999999998</v>
      </c>
      <c r="W42" s="4">
        <v>18593.021000000001</v>
      </c>
      <c r="X42" s="4">
        <v>10558.290999999999</v>
      </c>
      <c r="Y42" s="4">
        <v>16486.530999999999</v>
      </c>
      <c r="Z42" s="4">
        <v>11450.468000000001</v>
      </c>
      <c r="AA42" s="4">
        <v>10273.115</v>
      </c>
      <c r="AB42" s="4">
        <v>11287.41</v>
      </c>
    </row>
    <row r="43" spans="1:28" x14ac:dyDescent="0.25">
      <c r="A43" s="2"/>
      <c r="B43" t="s">
        <v>64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11816.703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</row>
    <row r="44" spans="1:28" x14ac:dyDescent="0.25">
      <c r="A44" s="2"/>
      <c r="B44" t="s">
        <v>70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36040.618999999999</v>
      </c>
      <c r="S44" s="4">
        <v>43735.883999999998</v>
      </c>
      <c r="T44" s="4">
        <v>50792.281000000003</v>
      </c>
      <c r="U44" s="4">
        <v>33016.283000000003</v>
      </c>
      <c r="V44" s="4">
        <v>57199.408000000003</v>
      </c>
      <c r="W44" s="4">
        <v>40614.699000000001</v>
      </c>
      <c r="X44" s="4">
        <v>56351.870999999999</v>
      </c>
      <c r="Y44" s="4">
        <v>55388.56</v>
      </c>
      <c r="Z44" s="4">
        <v>45464.216999999997</v>
      </c>
      <c r="AA44" s="4">
        <v>0</v>
      </c>
      <c r="AB44" s="4">
        <v>0</v>
      </c>
    </row>
    <row r="45" spans="1:28" x14ac:dyDescent="0.25">
      <c r="C45" s="4">
        <f>SUM(C3:C44)</f>
        <v>175192.16</v>
      </c>
      <c r="D45" s="4">
        <f t="shared" ref="D45:AB45" si="0">SUM(D3:D44)</f>
        <v>188873.46999999997</v>
      </c>
      <c r="E45" s="4">
        <f t="shared" si="0"/>
        <v>517866.59</v>
      </c>
      <c r="F45" s="4">
        <f t="shared" si="0"/>
        <v>526789.85499999998</v>
      </c>
      <c r="G45" s="4">
        <f t="shared" si="0"/>
        <v>557522.4</v>
      </c>
      <c r="H45" s="4">
        <f t="shared" si="0"/>
        <v>522131.32</v>
      </c>
      <c r="I45" s="4">
        <f t="shared" si="0"/>
        <v>511118.9</v>
      </c>
      <c r="J45" s="4">
        <f t="shared" si="0"/>
        <v>654618.60000000009</v>
      </c>
      <c r="K45" s="4">
        <f t="shared" si="0"/>
        <v>516348.01</v>
      </c>
      <c r="L45" s="4">
        <f t="shared" si="0"/>
        <v>564156.11</v>
      </c>
      <c r="M45" s="4">
        <f t="shared" si="0"/>
        <v>1160322.7610000002</v>
      </c>
      <c r="N45" s="4">
        <f t="shared" si="0"/>
        <v>1429100.4759999998</v>
      </c>
      <c r="O45" s="4">
        <f t="shared" si="0"/>
        <v>1905911.1639999996</v>
      </c>
      <c r="P45" s="4">
        <f t="shared" si="0"/>
        <v>1858816.8299999998</v>
      </c>
      <c r="Q45" s="4">
        <f t="shared" si="0"/>
        <v>1991275.6159999997</v>
      </c>
      <c r="R45" s="4">
        <f t="shared" si="0"/>
        <v>2778401.6780000003</v>
      </c>
      <c r="S45" s="4">
        <f t="shared" si="0"/>
        <v>3716498.2520000003</v>
      </c>
      <c r="T45" s="4">
        <f t="shared" si="0"/>
        <v>3071138.0729999999</v>
      </c>
      <c r="U45" s="4">
        <f t="shared" si="0"/>
        <v>3434677.1520000007</v>
      </c>
      <c r="V45" s="4">
        <f t="shared" si="0"/>
        <v>2618926.0649999999</v>
      </c>
      <c r="W45" s="4">
        <f t="shared" si="0"/>
        <v>3243958.4440000001</v>
      </c>
      <c r="X45" s="4">
        <f t="shared" si="0"/>
        <v>3020853.2609999995</v>
      </c>
      <c r="Y45" s="4">
        <f t="shared" si="0"/>
        <v>3046071.1150000002</v>
      </c>
      <c r="Z45" s="4">
        <f t="shared" si="0"/>
        <v>2549585.5099999998</v>
      </c>
      <c r="AA45" s="4">
        <f t="shared" si="0"/>
        <v>3039529.1590000009</v>
      </c>
      <c r="AB45" s="4">
        <f t="shared" si="0"/>
        <v>1274013.7419999999</v>
      </c>
    </row>
    <row r="46" spans="1:28" x14ac:dyDescent="0.25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x14ac:dyDescent="0.25">
      <c r="A47" t="s">
        <v>68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x14ac:dyDescent="0.25">
      <c r="A48" s="1"/>
      <c r="B48" t="s">
        <v>29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18713.32</v>
      </c>
      <c r="U48" s="4">
        <v>0</v>
      </c>
      <c r="V48" s="4">
        <v>0</v>
      </c>
      <c r="W48" s="4">
        <v>0</v>
      </c>
      <c r="X48" s="4">
        <v>0</v>
      </c>
      <c r="Y48" s="4">
        <v>17804.16</v>
      </c>
      <c r="Z48" s="4">
        <v>0</v>
      </c>
      <c r="AA48" s="4">
        <v>0</v>
      </c>
      <c r="AB48" s="4">
        <v>13679.25</v>
      </c>
    </row>
    <row r="49" spans="1:28" x14ac:dyDescent="0.25">
      <c r="A49" s="1"/>
      <c r="B49" t="s">
        <v>2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24043.49</v>
      </c>
      <c r="N49" s="4">
        <v>31410.16</v>
      </c>
      <c r="O49" s="4">
        <v>38987.67</v>
      </c>
      <c r="P49" s="4">
        <v>0</v>
      </c>
      <c r="Q49" s="4">
        <v>0</v>
      </c>
      <c r="R49" s="4">
        <v>0</v>
      </c>
      <c r="S49" s="4">
        <v>81805.5</v>
      </c>
      <c r="T49" s="4">
        <v>75987.5</v>
      </c>
      <c r="U49" s="4">
        <v>114685.29</v>
      </c>
      <c r="V49" s="4">
        <v>97685.53</v>
      </c>
      <c r="W49" s="4">
        <v>46535.92</v>
      </c>
      <c r="X49" s="4">
        <v>23094</v>
      </c>
      <c r="Y49" s="4">
        <v>0</v>
      </c>
      <c r="Z49" s="4">
        <v>33891.19</v>
      </c>
      <c r="AA49" s="4">
        <v>145866.85</v>
      </c>
      <c r="AB49" s="4">
        <v>0</v>
      </c>
    </row>
    <row r="50" spans="1:28" x14ac:dyDescent="0.25">
      <c r="A50" s="1"/>
      <c r="B50" t="s">
        <v>31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22461.45</v>
      </c>
      <c r="R50" s="4">
        <v>0</v>
      </c>
      <c r="S50" s="4">
        <v>0</v>
      </c>
      <c r="T50" s="4">
        <v>0</v>
      </c>
      <c r="U50" s="4">
        <v>18883.95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x14ac:dyDescent="0.25">
      <c r="A51" s="1"/>
      <c r="B51" t="s">
        <v>32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18357.439999999999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</row>
    <row r="52" spans="1:28" x14ac:dyDescent="0.25">
      <c r="A52" s="1"/>
      <c r="B52" t="s">
        <v>147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64417.1</v>
      </c>
      <c r="L52" s="4">
        <v>68641.23</v>
      </c>
      <c r="M52" s="4">
        <v>16952.099999999999</v>
      </c>
      <c r="N52" s="4">
        <v>20502.95</v>
      </c>
      <c r="O52" s="4">
        <v>17127.669999999998</v>
      </c>
      <c r="P52" s="4">
        <v>21822.85</v>
      </c>
      <c r="Q52" s="4">
        <v>30567.759999999998</v>
      </c>
      <c r="R52" s="4">
        <v>35203.620000000003</v>
      </c>
      <c r="S52" s="4">
        <v>32695.53</v>
      </c>
      <c r="T52" s="4">
        <v>40957.83</v>
      </c>
      <c r="U52" s="4">
        <v>78480.39</v>
      </c>
      <c r="V52" s="4">
        <v>64518.8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x14ac:dyDescent="0.25">
      <c r="A53" s="1"/>
      <c r="B53" t="s">
        <v>3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144722.5</v>
      </c>
      <c r="N53" s="4">
        <v>161838.6</v>
      </c>
      <c r="O53" s="4">
        <v>81380.03</v>
      </c>
      <c r="P53" s="4">
        <v>48913.37</v>
      </c>
      <c r="Q53" s="4">
        <v>70915.48</v>
      </c>
      <c r="R53" s="4">
        <v>54633.09</v>
      </c>
      <c r="S53" s="4">
        <v>47463.37</v>
      </c>
      <c r="T53" s="4">
        <v>44402.8</v>
      </c>
      <c r="U53" s="4">
        <v>62816.97</v>
      </c>
      <c r="V53" s="4">
        <v>181419.5</v>
      </c>
      <c r="W53" s="4">
        <v>62665.279999999999</v>
      </c>
      <c r="X53" s="4">
        <v>85726.52</v>
      </c>
      <c r="Y53" s="4">
        <v>0</v>
      </c>
      <c r="Z53" s="4">
        <v>0</v>
      </c>
      <c r="AA53" s="4">
        <v>64302.79</v>
      </c>
      <c r="AB53" s="4">
        <v>0</v>
      </c>
    </row>
    <row r="54" spans="1:28" x14ac:dyDescent="0.25">
      <c r="A54" s="1"/>
      <c r="B54" t="s">
        <v>4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23308.58</v>
      </c>
      <c r="I54" s="4">
        <v>0</v>
      </c>
      <c r="J54" s="4">
        <v>26323.59</v>
      </c>
      <c r="K54" s="4">
        <v>0</v>
      </c>
      <c r="L54" s="4">
        <v>30570.61</v>
      </c>
      <c r="M54" s="4">
        <v>16761.22</v>
      </c>
      <c r="N54" s="4">
        <v>0</v>
      </c>
      <c r="O54" s="4">
        <v>0</v>
      </c>
      <c r="P54" s="4">
        <v>18830.8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62202.01</v>
      </c>
    </row>
    <row r="55" spans="1:28" x14ac:dyDescent="0.25">
      <c r="A55" s="1"/>
      <c r="B55" t="s">
        <v>5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77946.759999999995</v>
      </c>
      <c r="R55" s="4">
        <v>81467.789999999994</v>
      </c>
      <c r="S55" s="4">
        <v>41791.379999999997</v>
      </c>
      <c r="T55" s="4">
        <v>48387.66</v>
      </c>
      <c r="U55" s="4">
        <v>21314.57</v>
      </c>
      <c r="V55" s="4">
        <v>17728.63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15219.21</v>
      </c>
    </row>
    <row r="56" spans="1:28" x14ac:dyDescent="0.25">
      <c r="A56" s="1"/>
      <c r="B56" t="s">
        <v>6</v>
      </c>
      <c r="C56" s="4">
        <v>0</v>
      </c>
      <c r="D56" s="4">
        <v>15533.501</v>
      </c>
      <c r="E56" s="4">
        <v>0</v>
      </c>
      <c r="F56" s="4">
        <v>0</v>
      </c>
      <c r="G56" s="4">
        <v>0</v>
      </c>
      <c r="H56" s="4">
        <v>14993.371999999999</v>
      </c>
      <c r="I56" s="4">
        <v>17317.36</v>
      </c>
      <c r="J56" s="4">
        <v>0</v>
      </c>
      <c r="K56" s="4">
        <v>15582.38</v>
      </c>
      <c r="L56" s="4">
        <v>15154.89</v>
      </c>
      <c r="M56" s="4">
        <v>13708.7</v>
      </c>
      <c r="N56" s="4">
        <v>14173.2</v>
      </c>
      <c r="O56" s="4">
        <v>16133</v>
      </c>
      <c r="P56" s="4">
        <v>0</v>
      </c>
      <c r="Q56" s="4">
        <v>17810.2</v>
      </c>
      <c r="R56" s="4">
        <v>19592.72</v>
      </c>
      <c r="S56" s="4">
        <v>0</v>
      </c>
      <c r="T56" s="4">
        <v>22037.53</v>
      </c>
      <c r="U56" s="4">
        <v>0</v>
      </c>
      <c r="V56" s="4">
        <v>19451.27</v>
      </c>
      <c r="W56" s="4">
        <v>18050.12</v>
      </c>
      <c r="X56" s="4">
        <v>0</v>
      </c>
      <c r="Y56" s="4">
        <v>16631.04</v>
      </c>
      <c r="Z56" s="4">
        <v>0</v>
      </c>
      <c r="AA56" s="4">
        <v>0</v>
      </c>
      <c r="AB56" s="4">
        <v>0</v>
      </c>
    </row>
    <row r="57" spans="1:28" x14ac:dyDescent="0.25">
      <c r="A57" s="1"/>
      <c r="B57" t="s">
        <v>8</v>
      </c>
      <c r="C57" s="4">
        <v>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22812.63</v>
      </c>
      <c r="X57" s="4">
        <v>66308.25</v>
      </c>
      <c r="Y57" s="4">
        <v>48442.22</v>
      </c>
      <c r="Z57" s="4">
        <v>27059.74</v>
      </c>
      <c r="AA57" s="4">
        <v>0</v>
      </c>
      <c r="AB57" s="4">
        <v>0</v>
      </c>
    </row>
    <row r="58" spans="1:28" x14ac:dyDescent="0.25">
      <c r="A58" s="1"/>
      <c r="B58" t="s">
        <v>9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16623.7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21157.31</v>
      </c>
      <c r="Y58" s="4">
        <v>21132.63</v>
      </c>
      <c r="Z58" s="4">
        <v>16074.72</v>
      </c>
      <c r="AA58" s="4">
        <v>23325.599999999999</v>
      </c>
      <c r="AB58" s="4">
        <v>17105.650000000001</v>
      </c>
    </row>
    <row r="59" spans="1:28" x14ac:dyDescent="0.25">
      <c r="A59" s="1"/>
      <c r="B59" t="s">
        <v>10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27972.11</v>
      </c>
      <c r="W59" s="4">
        <v>38201.58</v>
      </c>
      <c r="X59" s="4">
        <v>25591.85</v>
      </c>
      <c r="Y59" s="4">
        <v>28830.38</v>
      </c>
      <c r="Z59" s="4">
        <v>16775.23</v>
      </c>
      <c r="AA59" s="4">
        <v>0</v>
      </c>
      <c r="AB59" s="4">
        <v>0</v>
      </c>
    </row>
    <row r="60" spans="1:28" x14ac:dyDescent="0.25">
      <c r="A60" s="1"/>
      <c r="B60" t="s">
        <v>11</v>
      </c>
      <c r="C60" s="4">
        <v>86259.94</v>
      </c>
      <c r="D60" s="4">
        <v>77334</v>
      </c>
      <c r="E60" s="4">
        <v>0</v>
      </c>
      <c r="F60" s="4">
        <v>85695.31</v>
      </c>
      <c r="G60" s="4">
        <v>68912.36</v>
      </c>
      <c r="H60" s="4">
        <v>56533.982000000004</v>
      </c>
      <c r="I60" s="4">
        <v>43975.42</v>
      </c>
      <c r="J60" s="4">
        <v>45678.62</v>
      </c>
      <c r="K60" s="4">
        <v>39534.080000000002</v>
      </c>
      <c r="L60" s="4">
        <v>38331.4</v>
      </c>
      <c r="M60" s="4">
        <v>23613.7</v>
      </c>
      <c r="N60" s="4">
        <v>24805.1</v>
      </c>
      <c r="O60" s="4">
        <v>30807.4</v>
      </c>
      <c r="P60" s="4">
        <v>30725.3</v>
      </c>
      <c r="Q60" s="4">
        <v>30149.9</v>
      </c>
      <c r="R60" s="4">
        <v>30945.59</v>
      </c>
      <c r="S60" s="4">
        <v>39755.11</v>
      </c>
      <c r="T60" s="4">
        <v>75758.59</v>
      </c>
      <c r="U60" s="4">
        <v>79449.3</v>
      </c>
      <c r="V60" s="4">
        <v>85473.64</v>
      </c>
      <c r="W60" s="4">
        <v>84479.84</v>
      </c>
      <c r="X60" s="4">
        <v>96174.19</v>
      </c>
      <c r="Y60" s="4">
        <v>100058.28</v>
      </c>
      <c r="Z60" s="4">
        <v>78203.460000000006</v>
      </c>
      <c r="AA60" s="4">
        <v>75069.850000000006</v>
      </c>
      <c r="AB60" s="4">
        <v>55196.41</v>
      </c>
    </row>
    <row r="61" spans="1:28" x14ac:dyDescent="0.25">
      <c r="A61" s="1"/>
      <c r="B61" t="s">
        <v>42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249329.32</v>
      </c>
      <c r="N61" s="4">
        <v>210508.39</v>
      </c>
      <c r="O61" s="4">
        <v>247563.91</v>
      </c>
      <c r="P61" s="4">
        <v>226892.84</v>
      </c>
      <c r="Q61" s="4">
        <v>235572.28</v>
      </c>
      <c r="R61" s="4">
        <v>245859.42</v>
      </c>
      <c r="S61" s="4">
        <v>238069.08</v>
      </c>
      <c r="T61" s="4">
        <v>247224.95</v>
      </c>
      <c r="U61" s="4">
        <v>221002.3</v>
      </c>
      <c r="V61" s="4">
        <v>219300.42</v>
      </c>
      <c r="W61" s="4">
        <v>210341.83</v>
      </c>
      <c r="X61" s="4">
        <v>198559.38</v>
      </c>
      <c r="Y61" s="4">
        <v>201416.52</v>
      </c>
      <c r="Z61" s="4">
        <v>197686.62</v>
      </c>
      <c r="AA61" s="4">
        <v>208828.33</v>
      </c>
      <c r="AB61" s="4">
        <v>201455.85</v>
      </c>
    </row>
    <row r="62" spans="1:28" x14ac:dyDescent="0.25">
      <c r="A62" s="1"/>
      <c r="B62" t="s">
        <v>45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23352.69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x14ac:dyDescent="0.25">
      <c r="A63" s="1"/>
      <c r="B63" t="s">
        <v>12</v>
      </c>
      <c r="C63" s="4">
        <v>0</v>
      </c>
      <c r="D63" s="4">
        <v>0</v>
      </c>
      <c r="E63" s="4">
        <v>0</v>
      </c>
      <c r="F63" s="4">
        <v>30592.78</v>
      </c>
      <c r="G63" s="4">
        <v>33827.64</v>
      </c>
      <c r="H63" s="4">
        <v>0</v>
      </c>
      <c r="I63" s="4">
        <v>29481.14</v>
      </c>
      <c r="J63" s="4">
        <v>21421.09</v>
      </c>
      <c r="K63" s="4">
        <v>0</v>
      </c>
      <c r="L63" s="4">
        <v>0</v>
      </c>
      <c r="M63" s="4">
        <v>16977.669999999998</v>
      </c>
      <c r="N63" s="4">
        <v>19763.84</v>
      </c>
      <c r="O63" s="4">
        <v>13754.76</v>
      </c>
      <c r="P63" s="4">
        <v>16325.44</v>
      </c>
      <c r="Q63" s="4">
        <v>19825.669999999998</v>
      </c>
      <c r="R63" s="4">
        <v>0</v>
      </c>
      <c r="S63" s="4">
        <v>0</v>
      </c>
      <c r="T63" s="4">
        <v>0</v>
      </c>
      <c r="U63" s="4">
        <v>0</v>
      </c>
      <c r="V63" s="4">
        <v>22070.97</v>
      </c>
      <c r="W63" s="4">
        <v>0</v>
      </c>
      <c r="X63" s="4">
        <v>20090.650000000001</v>
      </c>
      <c r="Y63" s="4">
        <v>0</v>
      </c>
      <c r="Z63" s="4">
        <v>24476.37</v>
      </c>
      <c r="AA63" s="4">
        <v>0</v>
      </c>
      <c r="AB63" s="4">
        <v>0</v>
      </c>
    </row>
    <row r="64" spans="1:28" x14ac:dyDescent="0.25">
      <c r="A64" s="1"/>
      <c r="B64" t="s">
        <v>13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107220.5</v>
      </c>
      <c r="N64" s="4">
        <v>121080.77</v>
      </c>
      <c r="O64" s="4">
        <v>116462.12</v>
      </c>
      <c r="P64" s="4">
        <v>107701.29</v>
      </c>
      <c r="Q64" s="4">
        <v>120651.16</v>
      </c>
      <c r="R64" s="4">
        <v>99406.56</v>
      </c>
      <c r="S64" s="4">
        <v>116475.53</v>
      </c>
      <c r="T64" s="4">
        <v>116626.11</v>
      </c>
      <c r="U64" s="4">
        <v>98009.82</v>
      </c>
      <c r="V64" s="4">
        <v>112100.3</v>
      </c>
      <c r="W64" s="4">
        <v>96524.25</v>
      </c>
      <c r="X64" s="4">
        <v>103299.32</v>
      </c>
      <c r="Y64" s="4">
        <v>108335.18</v>
      </c>
      <c r="Z64" s="4">
        <v>96312.73</v>
      </c>
      <c r="AA64" s="4">
        <v>94210.53</v>
      </c>
      <c r="AB64" s="4">
        <v>78563.16</v>
      </c>
    </row>
    <row r="65" spans="1:28" x14ac:dyDescent="0.25">
      <c r="A65" s="1"/>
      <c r="B65" t="s">
        <v>14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31017.69</v>
      </c>
      <c r="N65" s="4">
        <v>37078.25</v>
      </c>
      <c r="O65" s="4">
        <v>41238.699999999997</v>
      </c>
      <c r="P65" s="4">
        <v>24138.47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</row>
    <row r="66" spans="1:28" x14ac:dyDescent="0.25">
      <c r="A66" s="1"/>
      <c r="B66" t="s">
        <v>15</v>
      </c>
      <c r="C66" s="4">
        <v>15233.34</v>
      </c>
      <c r="D66" s="4">
        <v>6265.4210000000003</v>
      </c>
      <c r="E66" s="4">
        <v>105514.4</v>
      </c>
      <c r="F66" s="4">
        <v>31335.41</v>
      </c>
      <c r="G66" s="4">
        <v>33077.199999999997</v>
      </c>
      <c r="H66" s="4">
        <v>30166.388999999999</v>
      </c>
      <c r="I66" s="4">
        <v>31077.08</v>
      </c>
      <c r="J66" s="4">
        <v>32961.379999999997</v>
      </c>
      <c r="K66" s="4">
        <v>36190.410000000003</v>
      </c>
      <c r="L66" s="4">
        <v>34825.980000000003</v>
      </c>
      <c r="M66" s="4">
        <v>67416.13</v>
      </c>
      <c r="N66" s="4">
        <v>77461.429999999993</v>
      </c>
      <c r="O66" s="4">
        <v>103095.67999999999</v>
      </c>
      <c r="P66" s="4">
        <v>100314.84</v>
      </c>
      <c r="Q66" s="4">
        <v>107512.06</v>
      </c>
      <c r="R66" s="4">
        <v>151695.5</v>
      </c>
      <c r="S66" s="4">
        <v>188715.58</v>
      </c>
      <c r="T66" s="4">
        <v>154108.56</v>
      </c>
      <c r="U66" s="4">
        <v>172577.76</v>
      </c>
      <c r="V66" s="4">
        <v>142810.87</v>
      </c>
      <c r="W66" s="4">
        <v>172563.43</v>
      </c>
      <c r="X66" s="4">
        <v>156409.60000000001</v>
      </c>
      <c r="Y66" s="4">
        <v>155770.51</v>
      </c>
      <c r="Z66" s="4">
        <v>137340.59</v>
      </c>
      <c r="AA66" s="4">
        <v>161714.81</v>
      </c>
      <c r="AB66" s="4">
        <v>68449.97</v>
      </c>
    </row>
    <row r="67" spans="1:28" x14ac:dyDescent="0.25">
      <c r="A67" s="1"/>
      <c r="B67" t="s">
        <v>47</v>
      </c>
      <c r="C67" s="4">
        <v>46914.86</v>
      </c>
      <c r="D67" s="4">
        <v>89740.547999999995</v>
      </c>
      <c r="E67" s="4">
        <v>0</v>
      </c>
      <c r="F67" s="4">
        <v>0</v>
      </c>
      <c r="G67" s="4">
        <v>82696.44</v>
      </c>
      <c r="H67" s="4">
        <v>8997.6949999999997</v>
      </c>
      <c r="I67" s="4">
        <v>54630.879999999997</v>
      </c>
      <c r="J67" s="4">
        <v>0</v>
      </c>
      <c r="K67" s="4">
        <v>29440.01</v>
      </c>
      <c r="L67" s="4">
        <v>78748.570000000007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</row>
    <row r="68" spans="1:28" x14ac:dyDescent="0.25">
      <c r="A68" s="1"/>
      <c r="B68" t="s">
        <v>48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16358.63</v>
      </c>
      <c r="Z68" s="4">
        <v>16690.599999999999</v>
      </c>
      <c r="AA68" s="4">
        <v>0</v>
      </c>
      <c r="AB68" s="4">
        <v>0</v>
      </c>
    </row>
    <row r="69" spans="1:28" x14ac:dyDescent="0.25">
      <c r="A69" s="1"/>
      <c r="B69" t="s">
        <v>52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18584.259999999998</v>
      </c>
      <c r="S69" s="4">
        <v>30744.95</v>
      </c>
      <c r="T69" s="4">
        <v>0</v>
      </c>
      <c r="U69" s="4">
        <v>30339.73</v>
      </c>
      <c r="V69" s="4">
        <v>24270.22</v>
      </c>
      <c r="W69" s="4">
        <v>0</v>
      </c>
      <c r="X69" s="4">
        <v>0</v>
      </c>
      <c r="Y69" s="4">
        <v>0</v>
      </c>
      <c r="Z69" s="4">
        <v>0</v>
      </c>
      <c r="AA69" s="4">
        <v>27060.35</v>
      </c>
      <c r="AB69" s="4">
        <v>0</v>
      </c>
    </row>
    <row r="70" spans="1:28" x14ac:dyDescent="0.25">
      <c r="A70" s="1"/>
      <c r="B70" t="s">
        <v>18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55146.84</v>
      </c>
      <c r="N70" s="4">
        <v>52290.07</v>
      </c>
      <c r="O70" s="4">
        <v>56433.37</v>
      </c>
      <c r="P70" s="4">
        <v>64538.22</v>
      </c>
      <c r="Q70" s="4">
        <v>87330.16</v>
      </c>
      <c r="R70" s="4">
        <v>136157.25</v>
      </c>
      <c r="S70" s="4">
        <v>730735.45</v>
      </c>
      <c r="T70" s="4">
        <v>131494.24</v>
      </c>
      <c r="U70" s="4">
        <v>144782.17000000001</v>
      </c>
      <c r="V70" s="4">
        <v>161124.44</v>
      </c>
      <c r="W70" s="4">
        <v>160311.29999999999</v>
      </c>
      <c r="X70" s="4">
        <v>147951.29999999999</v>
      </c>
      <c r="Y70" s="4">
        <v>147066.85999999999</v>
      </c>
      <c r="Z70" s="4">
        <v>121530.53</v>
      </c>
      <c r="AA70" s="4">
        <v>159922.32999999999</v>
      </c>
      <c r="AB70" s="4">
        <v>118776.36</v>
      </c>
    </row>
    <row r="71" spans="1:28" x14ac:dyDescent="0.25">
      <c r="A71" s="2"/>
      <c r="B71" t="s">
        <v>19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13835.38</v>
      </c>
      <c r="N71" s="4">
        <v>13361.8</v>
      </c>
      <c r="O71" s="4">
        <v>14490.94</v>
      </c>
      <c r="P71" s="4">
        <v>22173.98</v>
      </c>
      <c r="Q71" s="4">
        <v>22637.37</v>
      </c>
      <c r="R71" s="4">
        <v>22216.43</v>
      </c>
      <c r="S71" s="4">
        <v>27760.47</v>
      </c>
      <c r="T71" s="4">
        <v>31222.36</v>
      </c>
      <c r="U71" s="4">
        <v>26626.99</v>
      </c>
      <c r="V71" s="4">
        <v>24529.19</v>
      </c>
      <c r="W71" s="4">
        <v>25785.24</v>
      </c>
      <c r="X71" s="4">
        <v>28298.16</v>
      </c>
      <c r="Y71" s="4">
        <v>27827.86</v>
      </c>
      <c r="Z71" s="4">
        <v>27842.39</v>
      </c>
      <c r="AA71" s="4">
        <v>34347.279999999999</v>
      </c>
      <c r="AB71" s="4">
        <v>35850.620000000003</v>
      </c>
    </row>
    <row r="72" spans="1:28" x14ac:dyDescent="0.25">
      <c r="A72" s="2"/>
      <c r="B72" t="s">
        <v>134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13071.14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</row>
    <row r="73" spans="1:28" x14ac:dyDescent="0.25">
      <c r="A73" s="2"/>
      <c r="B73" t="s">
        <v>20</v>
      </c>
      <c r="C73" s="4">
        <v>0</v>
      </c>
      <c r="D73" s="4">
        <v>0</v>
      </c>
      <c r="E73" s="4">
        <v>0</v>
      </c>
      <c r="F73" s="4">
        <v>72000</v>
      </c>
      <c r="G73" s="4">
        <v>81561.47</v>
      </c>
      <c r="H73" s="4">
        <v>69528.017999999996</v>
      </c>
      <c r="I73" s="4">
        <v>48029.19</v>
      </c>
      <c r="J73" s="4">
        <v>211424.32</v>
      </c>
      <c r="K73" s="4">
        <v>35406.879999999997</v>
      </c>
      <c r="L73" s="4">
        <v>0</v>
      </c>
      <c r="M73" s="4">
        <v>69702.22</v>
      </c>
      <c r="N73" s="4">
        <v>69635.33</v>
      </c>
      <c r="O73" s="4">
        <v>62810.85</v>
      </c>
      <c r="P73" s="4">
        <v>56045.26</v>
      </c>
      <c r="Q73" s="4">
        <v>66971.600000000006</v>
      </c>
      <c r="R73" s="4">
        <v>54222.62</v>
      </c>
      <c r="S73" s="4">
        <v>68231.710000000006</v>
      </c>
      <c r="T73" s="4">
        <v>76686.73</v>
      </c>
      <c r="U73" s="4">
        <v>78393.67</v>
      </c>
      <c r="V73" s="4">
        <v>63881.09</v>
      </c>
      <c r="W73" s="4">
        <v>76641.63</v>
      </c>
      <c r="X73" s="4">
        <v>72131.929999999993</v>
      </c>
      <c r="Y73" s="4">
        <v>68879.98</v>
      </c>
      <c r="Z73" s="4">
        <v>0</v>
      </c>
      <c r="AA73" s="4">
        <v>0</v>
      </c>
      <c r="AB73" s="4">
        <v>0</v>
      </c>
    </row>
    <row r="74" spans="1:28" x14ac:dyDescent="0.25">
      <c r="A74" s="2"/>
      <c r="B74" t="s">
        <v>21</v>
      </c>
      <c r="C74" s="4">
        <v>0</v>
      </c>
      <c r="D74" s="4">
        <v>0</v>
      </c>
      <c r="E74" s="4">
        <v>412352.2</v>
      </c>
      <c r="F74" s="4">
        <v>307166.34999999998</v>
      </c>
      <c r="G74" s="4">
        <v>257447.26</v>
      </c>
      <c r="H74" s="4">
        <v>318603.27799999999</v>
      </c>
      <c r="I74" s="4">
        <v>286607.88</v>
      </c>
      <c r="J74" s="4">
        <v>316809.58</v>
      </c>
      <c r="K74" s="4">
        <v>295777.14</v>
      </c>
      <c r="L74" s="4">
        <v>297883.44</v>
      </c>
      <c r="M74" s="4">
        <v>292015.21999999997</v>
      </c>
      <c r="N74" s="4">
        <v>345431.12</v>
      </c>
      <c r="O74" s="4">
        <v>336571.27</v>
      </c>
      <c r="P74" s="4">
        <v>335056.90000000002</v>
      </c>
      <c r="Q74" s="4">
        <v>362296.74</v>
      </c>
      <c r="R74" s="4">
        <v>361503.41</v>
      </c>
      <c r="S74" s="4">
        <v>417576.02</v>
      </c>
      <c r="T74" s="4">
        <v>406606.48</v>
      </c>
      <c r="U74" s="4">
        <v>396913.57</v>
      </c>
      <c r="V74" s="4">
        <v>390752.17</v>
      </c>
      <c r="W74" s="4">
        <v>350687.79</v>
      </c>
      <c r="X74" s="4">
        <v>317997.92</v>
      </c>
      <c r="Y74" s="4">
        <v>286508.87</v>
      </c>
      <c r="Z74" s="4">
        <v>202701.09</v>
      </c>
      <c r="AA74" s="4">
        <v>277657.65000000002</v>
      </c>
      <c r="AB74" s="4">
        <v>222893.26</v>
      </c>
    </row>
    <row r="75" spans="1:28" x14ac:dyDescent="0.25">
      <c r="A75" s="2"/>
      <c r="B75" t="s">
        <v>22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17860.080000000002</v>
      </c>
      <c r="N75" s="4">
        <v>200064.63</v>
      </c>
      <c r="O75" s="4">
        <v>729053.8</v>
      </c>
      <c r="P75" s="4">
        <v>761984.58</v>
      </c>
      <c r="Q75" s="4">
        <v>700743.73</v>
      </c>
      <c r="R75" s="4">
        <v>1343125.23</v>
      </c>
      <c r="S75" s="4">
        <v>1524325.77</v>
      </c>
      <c r="T75" s="4">
        <v>1424110.95</v>
      </c>
      <c r="U75" s="4">
        <v>1701831.01</v>
      </c>
      <c r="V75" s="4">
        <v>727814.6</v>
      </c>
      <c r="W75" s="4">
        <v>1682019.3</v>
      </c>
      <c r="X75" s="4">
        <v>1394077.61</v>
      </c>
      <c r="Y75" s="4">
        <v>1458538.2</v>
      </c>
      <c r="Z75" s="4">
        <v>1337536.72</v>
      </c>
      <c r="AA75" s="4">
        <v>1657401.24</v>
      </c>
      <c r="AB75" s="4">
        <v>293890.68</v>
      </c>
    </row>
    <row r="76" spans="1:28" x14ac:dyDescent="0.25">
      <c r="A76" s="2"/>
      <c r="B76" t="s">
        <v>62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43579.29</v>
      </c>
      <c r="Y76" s="4">
        <v>49052.05</v>
      </c>
      <c r="Z76" s="4">
        <v>0</v>
      </c>
      <c r="AA76" s="4">
        <v>0</v>
      </c>
      <c r="AB76" s="4">
        <v>0</v>
      </c>
    </row>
    <row r="77" spans="1:28" x14ac:dyDescent="0.25">
      <c r="A77" s="2"/>
      <c r="B77" t="s">
        <v>146</v>
      </c>
      <c r="C77" s="4">
        <v>26784.03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17883.27</v>
      </c>
      <c r="R77" s="4">
        <v>20658.36</v>
      </c>
      <c r="S77" s="4">
        <v>0</v>
      </c>
      <c r="T77" s="4">
        <v>26857.94</v>
      </c>
      <c r="U77" s="4">
        <v>25321.41</v>
      </c>
      <c r="V77" s="4">
        <v>23150.06</v>
      </c>
      <c r="W77" s="4">
        <v>25464.29</v>
      </c>
      <c r="X77" s="4">
        <v>29967.279999999999</v>
      </c>
      <c r="Y77" s="4">
        <v>31226.32</v>
      </c>
      <c r="Z77" s="4">
        <v>35964.07</v>
      </c>
      <c r="AA77" s="4">
        <v>37571.040000000001</v>
      </c>
      <c r="AB77" s="4">
        <v>35664.300000000003</v>
      </c>
    </row>
    <row r="78" spans="1:28" x14ac:dyDescent="0.25">
      <c r="A78" s="2"/>
      <c r="B78" t="s">
        <v>63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60445.46</v>
      </c>
      <c r="T78" s="4">
        <v>61361.53</v>
      </c>
      <c r="U78" s="4">
        <v>64153.62</v>
      </c>
      <c r="V78" s="4">
        <v>70548.259999999995</v>
      </c>
      <c r="W78" s="4">
        <v>53565.41</v>
      </c>
      <c r="X78" s="4">
        <v>65280.09</v>
      </c>
      <c r="Y78" s="4">
        <v>115046.36</v>
      </c>
      <c r="Z78" s="4">
        <v>67046.36</v>
      </c>
      <c r="AA78" s="4">
        <v>72250.52</v>
      </c>
      <c r="AB78" s="4">
        <v>55067</v>
      </c>
    </row>
    <row r="79" spans="1:28" x14ac:dyDescent="0.25">
      <c r="A79" s="2"/>
      <c r="B79" t="s">
        <v>64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22836.48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</row>
    <row r="80" spans="1:28" x14ac:dyDescent="0.25">
      <c r="A80" s="2"/>
      <c r="B80" t="s">
        <v>70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84772.39</v>
      </c>
      <c r="S80" s="4">
        <v>69907.360000000001</v>
      </c>
      <c r="T80" s="4">
        <v>68592.98</v>
      </c>
      <c r="U80" s="4">
        <v>99094.65</v>
      </c>
      <c r="V80" s="4">
        <v>119487.5</v>
      </c>
      <c r="W80" s="4">
        <v>117308.61</v>
      </c>
      <c r="X80" s="4">
        <v>125158.6</v>
      </c>
      <c r="Y80" s="4">
        <v>147145.07999999999</v>
      </c>
      <c r="Z80" s="4">
        <v>112453.09</v>
      </c>
      <c r="AA80" s="4">
        <v>0</v>
      </c>
      <c r="AB80" s="4">
        <v>0</v>
      </c>
    </row>
    <row r="81" spans="2:30" x14ac:dyDescent="0.25">
      <c r="C81" s="4">
        <f>SUM(C48:C80)</f>
        <v>175192.17</v>
      </c>
      <c r="D81" s="4">
        <f t="shared" ref="D81:AB81" si="1">SUM(D48:D80)</f>
        <v>188873.47</v>
      </c>
      <c r="E81" s="4">
        <f t="shared" si="1"/>
        <v>517866.6</v>
      </c>
      <c r="F81" s="4">
        <f t="shared" si="1"/>
        <v>526789.85</v>
      </c>
      <c r="G81" s="4">
        <f t="shared" si="1"/>
        <v>557522.37</v>
      </c>
      <c r="H81" s="4">
        <f t="shared" si="1"/>
        <v>522131.31400000001</v>
      </c>
      <c r="I81" s="4">
        <f t="shared" si="1"/>
        <v>511118.95</v>
      </c>
      <c r="J81" s="4">
        <f t="shared" si="1"/>
        <v>654618.58000000007</v>
      </c>
      <c r="K81" s="4">
        <f t="shared" si="1"/>
        <v>516348</v>
      </c>
      <c r="L81" s="4">
        <f t="shared" si="1"/>
        <v>564156.12000000011</v>
      </c>
      <c r="M81" s="4">
        <f t="shared" si="1"/>
        <v>1160322.7599999998</v>
      </c>
      <c r="N81" s="4">
        <f t="shared" si="1"/>
        <v>1429100.48</v>
      </c>
      <c r="O81" s="4">
        <f t="shared" si="1"/>
        <v>1905911.17</v>
      </c>
      <c r="P81" s="4">
        <f t="shared" si="1"/>
        <v>1858816.83</v>
      </c>
      <c r="Q81" s="4">
        <f t="shared" si="1"/>
        <v>1991275.5899999999</v>
      </c>
      <c r="R81" s="4">
        <f t="shared" si="1"/>
        <v>2778401.6799999997</v>
      </c>
      <c r="S81" s="4">
        <f t="shared" si="1"/>
        <v>3716498.27</v>
      </c>
      <c r="T81" s="4">
        <f t="shared" si="1"/>
        <v>3071138.0599999996</v>
      </c>
      <c r="U81" s="4">
        <f t="shared" si="1"/>
        <v>3434677.1700000004</v>
      </c>
      <c r="V81" s="4">
        <f t="shared" si="1"/>
        <v>2618926.0499999998</v>
      </c>
      <c r="W81" s="4">
        <f t="shared" si="1"/>
        <v>3243958.4499999997</v>
      </c>
      <c r="X81" s="4">
        <f t="shared" si="1"/>
        <v>3020853.25</v>
      </c>
      <c r="Y81" s="4">
        <f t="shared" si="1"/>
        <v>3046071.1299999994</v>
      </c>
      <c r="Z81" s="4">
        <f t="shared" si="1"/>
        <v>2549585.4999999995</v>
      </c>
      <c r="AA81" s="4">
        <f t="shared" si="1"/>
        <v>3039529.1700000004</v>
      </c>
      <c r="AB81" s="4">
        <f t="shared" si="1"/>
        <v>1274013.73</v>
      </c>
    </row>
    <row r="82" spans="2:30" x14ac:dyDescent="0.25">
      <c r="C82" s="4">
        <f>C45</f>
        <v>175192.16</v>
      </c>
      <c r="D82" s="4">
        <f t="shared" ref="D82:AB82" si="2">D45</f>
        <v>188873.46999999997</v>
      </c>
      <c r="E82" s="4">
        <f t="shared" si="2"/>
        <v>517866.59</v>
      </c>
      <c r="F82" s="4">
        <f t="shared" si="2"/>
        <v>526789.85499999998</v>
      </c>
      <c r="G82" s="4">
        <f t="shared" si="2"/>
        <v>557522.4</v>
      </c>
      <c r="H82" s="4">
        <f t="shared" si="2"/>
        <v>522131.32</v>
      </c>
      <c r="I82" s="4">
        <f t="shared" si="2"/>
        <v>511118.9</v>
      </c>
      <c r="J82" s="4">
        <f t="shared" si="2"/>
        <v>654618.60000000009</v>
      </c>
      <c r="K82" s="4">
        <f t="shared" si="2"/>
        <v>516348.01</v>
      </c>
      <c r="L82" s="4">
        <f t="shared" si="2"/>
        <v>564156.11</v>
      </c>
      <c r="M82" s="4">
        <f t="shared" si="2"/>
        <v>1160322.7610000002</v>
      </c>
      <c r="N82" s="4">
        <f t="shared" si="2"/>
        <v>1429100.4759999998</v>
      </c>
      <c r="O82" s="4">
        <f t="shared" si="2"/>
        <v>1905911.1639999996</v>
      </c>
      <c r="P82" s="4">
        <f t="shared" si="2"/>
        <v>1858816.8299999998</v>
      </c>
      <c r="Q82" s="4">
        <f t="shared" si="2"/>
        <v>1991275.6159999997</v>
      </c>
      <c r="R82" s="4">
        <f t="shared" si="2"/>
        <v>2778401.6780000003</v>
      </c>
      <c r="S82" s="4">
        <f t="shared" si="2"/>
        <v>3716498.2520000003</v>
      </c>
      <c r="T82" s="4">
        <f t="shared" si="2"/>
        <v>3071138.0729999999</v>
      </c>
      <c r="U82" s="4">
        <f t="shared" si="2"/>
        <v>3434677.1520000007</v>
      </c>
      <c r="V82" s="4">
        <f t="shared" si="2"/>
        <v>2618926.0649999999</v>
      </c>
      <c r="W82" s="4">
        <f t="shared" si="2"/>
        <v>3243958.4440000001</v>
      </c>
      <c r="X82" s="4">
        <f t="shared" si="2"/>
        <v>3020853.2609999995</v>
      </c>
      <c r="Y82" s="4">
        <f t="shared" si="2"/>
        <v>3046071.1150000002</v>
      </c>
      <c r="Z82" s="4">
        <f t="shared" si="2"/>
        <v>2549585.5099999998</v>
      </c>
      <c r="AA82" s="4">
        <f t="shared" si="2"/>
        <v>3039529.1590000009</v>
      </c>
      <c r="AB82" s="4">
        <f t="shared" si="2"/>
        <v>1274013.7419999999</v>
      </c>
    </row>
    <row r="89" spans="2:30" x14ac:dyDescent="0.25">
      <c r="B89" t="s">
        <v>22</v>
      </c>
    </row>
    <row r="90" spans="2:30" x14ac:dyDescent="0.25">
      <c r="B90" t="s">
        <v>149</v>
      </c>
      <c r="C90" s="4">
        <f>C75</f>
        <v>0</v>
      </c>
      <c r="D90" s="4">
        <f t="shared" ref="D90:AB90" si="3">D75</f>
        <v>0</v>
      </c>
      <c r="E90" s="4">
        <f t="shared" si="3"/>
        <v>0</v>
      </c>
      <c r="F90" s="4">
        <f t="shared" si="3"/>
        <v>0</v>
      </c>
      <c r="G90" s="4">
        <f t="shared" si="3"/>
        <v>0</v>
      </c>
      <c r="H90" s="4">
        <f t="shared" si="3"/>
        <v>0</v>
      </c>
      <c r="I90" s="4">
        <f t="shared" si="3"/>
        <v>0</v>
      </c>
      <c r="J90" s="4">
        <f t="shared" si="3"/>
        <v>0</v>
      </c>
      <c r="K90" s="4">
        <f t="shared" si="3"/>
        <v>0</v>
      </c>
      <c r="L90" s="4">
        <f t="shared" si="3"/>
        <v>0</v>
      </c>
      <c r="M90" s="4">
        <f t="shared" si="3"/>
        <v>17860.080000000002</v>
      </c>
      <c r="N90" s="4">
        <f t="shared" si="3"/>
        <v>200064.63</v>
      </c>
      <c r="O90" s="4">
        <f t="shared" si="3"/>
        <v>729053.8</v>
      </c>
      <c r="P90" s="4">
        <f t="shared" si="3"/>
        <v>761984.58</v>
      </c>
      <c r="Q90" s="4">
        <f t="shared" si="3"/>
        <v>700743.73</v>
      </c>
      <c r="R90" s="4">
        <f t="shared" si="3"/>
        <v>1343125.23</v>
      </c>
      <c r="S90" s="4">
        <f t="shared" si="3"/>
        <v>1524325.77</v>
      </c>
      <c r="T90" s="4">
        <f t="shared" si="3"/>
        <v>1424110.95</v>
      </c>
      <c r="U90" s="4">
        <f t="shared" si="3"/>
        <v>1701831.01</v>
      </c>
      <c r="V90" s="4">
        <f t="shared" si="3"/>
        <v>727814.6</v>
      </c>
      <c r="W90" s="4">
        <f t="shared" si="3"/>
        <v>1682019.3</v>
      </c>
      <c r="X90" s="4">
        <f t="shared" si="3"/>
        <v>1394077.61</v>
      </c>
      <c r="Y90" s="4">
        <f t="shared" si="3"/>
        <v>1458538.2</v>
      </c>
      <c r="Z90" s="4">
        <f t="shared" si="3"/>
        <v>1337536.72</v>
      </c>
      <c r="AA90" s="4">
        <f t="shared" si="3"/>
        <v>1657401.24</v>
      </c>
      <c r="AB90" s="4">
        <f t="shared" si="3"/>
        <v>293890.68</v>
      </c>
      <c r="AD90" s="4">
        <f>SUM(O90:AB90)</f>
        <v>16736453.42</v>
      </c>
    </row>
    <row r="91" spans="2:30" x14ac:dyDescent="0.25">
      <c r="B91" t="s">
        <v>148</v>
      </c>
      <c r="C91" s="4">
        <f>Tinned!C23</f>
        <v>0</v>
      </c>
      <c r="D91" s="4">
        <f>Tinned!D23</f>
        <v>0</v>
      </c>
      <c r="E91" s="4">
        <f>Tinned!E23</f>
        <v>0</v>
      </c>
      <c r="F91" s="4">
        <f>Tinned!F23</f>
        <v>0</v>
      </c>
      <c r="G91" s="4">
        <f>Tinned!G23</f>
        <v>0</v>
      </c>
      <c r="H91" s="4">
        <f>Tinned!H23</f>
        <v>0</v>
      </c>
      <c r="I91" s="4">
        <f>Tinned!I23</f>
        <v>0</v>
      </c>
      <c r="J91" s="4">
        <f>Tinned!J23</f>
        <v>0</v>
      </c>
      <c r="K91" s="4">
        <f>Tinned!K23</f>
        <v>0</v>
      </c>
      <c r="L91" s="4">
        <f>Tinned!L23</f>
        <v>0</v>
      </c>
      <c r="M91" s="4">
        <f>Tinned!M23</f>
        <v>588726.99</v>
      </c>
      <c r="N91" s="4">
        <f>Tinned!N23</f>
        <v>576241.03</v>
      </c>
      <c r="O91" s="4">
        <f>Tinned!O23</f>
        <v>559492.76</v>
      </c>
      <c r="P91" s="4">
        <f>Tinned!P23</f>
        <v>550883.86</v>
      </c>
      <c r="Q91" s="4">
        <f>Tinned!Q23</f>
        <v>595479.07999999996</v>
      </c>
      <c r="R91" s="4">
        <f>Tinned!R23</f>
        <v>1123065.8</v>
      </c>
      <c r="S91" s="4">
        <f>Tinned!S23</f>
        <v>1126123.46</v>
      </c>
      <c r="T91" s="4">
        <f>Tinned!T23</f>
        <v>980334.5</v>
      </c>
      <c r="U91" s="4">
        <f>Tinned!U23</f>
        <v>1028765.11</v>
      </c>
      <c r="V91" s="4">
        <f>Tinned!V23</f>
        <v>524558.81999999995</v>
      </c>
      <c r="W91" s="4">
        <f>Tinned!W23</f>
        <v>1165315.2</v>
      </c>
      <c r="X91" s="4">
        <f>Tinned!X23</f>
        <v>942052.89</v>
      </c>
      <c r="Y91" s="4">
        <f>Tinned!Y23</f>
        <v>1027585.82</v>
      </c>
      <c r="Z91" s="4">
        <f>Tinned!Z23</f>
        <v>888808.67</v>
      </c>
      <c r="AA91" s="4">
        <f>Tinned!AA23</f>
        <v>1158928.1299999999</v>
      </c>
      <c r="AB91" s="4">
        <f>Tinned!AB23</f>
        <v>190445.739</v>
      </c>
      <c r="AD91" s="4">
        <f>SUM(O91:AB91)</f>
        <v>11861839.839000002</v>
      </c>
    </row>
    <row r="92" spans="2:30" x14ac:dyDescent="0.25">
      <c r="M92">
        <f>M91/M90</f>
        <v>32.963289638120315</v>
      </c>
      <c r="N92">
        <f t="shared" ref="N92:AD92" si="4">N91/N90</f>
        <v>2.8802743893310878</v>
      </c>
      <c r="O92">
        <f t="shared" si="4"/>
        <v>0.76742314490370944</v>
      </c>
      <c r="P92">
        <f t="shared" si="4"/>
        <v>0.7229593281270863</v>
      </c>
      <c r="Q92">
        <f t="shared" si="4"/>
        <v>0.84978153140235724</v>
      </c>
      <c r="R92">
        <f t="shared" si="4"/>
        <v>0.83615866556240637</v>
      </c>
      <c r="S92">
        <f t="shared" si="4"/>
        <v>0.73876823587388407</v>
      </c>
      <c r="T92">
        <f t="shared" si="4"/>
        <v>0.68838351393899477</v>
      </c>
      <c r="U92">
        <f t="shared" si="4"/>
        <v>0.60450485621366135</v>
      </c>
      <c r="V92">
        <f t="shared" si="4"/>
        <v>0.72073137856811331</v>
      </c>
      <c r="W92">
        <f t="shared" si="4"/>
        <v>0.69280727040409107</v>
      </c>
      <c r="X92">
        <f t="shared" si="4"/>
        <v>0.67575354717876857</v>
      </c>
      <c r="Y92">
        <f t="shared" si="4"/>
        <v>0.70453130401384068</v>
      </c>
      <c r="Z92">
        <f t="shared" si="4"/>
        <v>0.66451160309079216</v>
      </c>
      <c r="AA92">
        <f t="shared" si="4"/>
        <v>0.69924415526562533</v>
      </c>
      <c r="AB92">
        <f t="shared" si="4"/>
        <v>0.64801557844569968</v>
      </c>
      <c r="AD92">
        <f t="shared" si="4"/>
        <v>0.70874273905755603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FB6B5-7FB0-46C8-BAF7-0B8141DD6174}">
  <dimension ref="A1:AC128"/>
  <sheetViews>
    <sheetView tabSelected="1" workbookViewId="0">
      <pane xSplit="2" ySplit="2" topLeftCell="C114" activePane="bottomRight" state="frozen"/>
      <selection pane="topRight" activeCell="C1" sqref="C1"/>
      <selection pane="bottomLeft" activeCell="A3" sqref="A3"/>
      <selection pane="bottomRight" activeCell="V143" sqref="V143"/>
    </sheetView>
  </sheetViews>
  <sheetFormatPr defaultRowHeight="15" x14ac:dyDescent="0.25"/>
  <cols>
    <col min="1" max="1" width="2.5703125" customWidth="1"/>
    <col min="2" max="2" width="19.7109375" bestFit="1" customWidth="1"/>
  </cols>
  <sheetData>
    <row r="1" spans="1:29" x14ac:dyDescent="0.25">
      <c r="A1" t="s">
        <v>67</v>
      </c>
      <c r="C1" t="s">
        <v>69</v>
      </c>
    </row>
    <row r="2" spans="1:29" s="3" customFormat="1" x14ac:dyDescent="0.25">
      <c r="C2" s="3">
        <v>2000</v>
      </c>
      <c r="D2" s="3">
        <v>2001</v>
      </c>
      <c r="E2" s="3">
        <v>2002</v>
      </c>
      <c r="F2" s="3">
        <v>2003</v>
      </c>
      <c r="G2" s="3">
        <v>2004</v>
      </c>
      <c r="H2" s="3">
        <v>2005</v>
      </c>
      <c r="I2" s="3">
        <v>2006</v>
      </c>
      <c r="J2" s="3">
        <v>2007</v>
      </c>
      <c r="K2" s="3">
        <v>2008</v>
      </c>
      <c r="L2" s="3">
        <v>2009</v>
      </c>
      <c r="M2" s="3">
        <v>2010</v>
      </c>
      <c r="N2" s="3">
        <v>2011</v>
      </c>
      <c r="O2" s="3">
        <v>2012</v>
      </c>
      <c r="P2" s="3">
        <v>2013</v>
      </c>
      <c r="Q2" s="3">
        <v>2014</v>
      </c>
      <c r="R2" s="3">
        <v>2015</v>
      </c>
      <c r="S2" s="3">
        <v>2016</v>
      </c>
      <c r="T2" s="3">
        <v>2017</v>
      </c>
      <c r="U2" s="3">
        <v>2018</v>
      </c>
      <c r="V2" s="3">
        <v>2019</v>
      </c>
      <c r="W2" s="3">
        <v>2020</v>
      </c>
      <c r="X2" s="3">
        <v>2021</v>
      </c>
      <c r="Y2" s="3">
        <v>2022</v>
      </c>
      <c r="Z2" s="3">
        <v>2023</v>
      </c>
      <c r="AA2" s="3">
        <v>2024</v>
      </c>
      <c r="AB2" s="3">
        <v>2025</v>
      </c>
    </row>
    <row r="3" spans="1:29" x14ac:dyDescent="0.25">
      <c r="A3" s="1"/>
      <c r="B3" t="s">
        <v>2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36884.51</v>
      </c>
      <c r="N3" s="4">
        <v>52290.14</v>
      </c>
      <c r="O3" s="4">
        <v>39035.21</v>
      </c>
      <c r="P3" s="4">
        <v>0</v>
      </c>
      <c r="Q3" s="4">
        <v>0</v>
      </c>
      <c r="R3" s="4">
        <v>0</v>
      </c>
      <c r="S3" s="4">
        <v>77995.179999999993</v>
      </c>
      <c r="T3" s="4">
        <v>77524.56</v>
      </c>
      <c r="U3" s="4">
        <v>106177.22</v>
      </c>
      <c r="V3" s="4">
        <v>123604.46</v>
      </c>
      <c r="W3" s="4">
        <v>136383.96</v>
      </c>
      <c r="X3" s="4">
        <v>135473.07999999999</v>
      </c>
      <c r="Y3" s="4">
        <v>130544.1</v>
      </c>
      <c r="Z3" s="4">
        <v>139617.96</v>
      </c>
      <c r="AA3" s="4">
        <v>207697.92000000001</v>
      </c>
      <c r="AB3" s="4">
        <v>0</v>
      </c>
      <c r="AC3" s="4"/>
    </row>
    <row r="4" spans="1:29" x14ac:dyDescent="0.25">
      <c r="A4" s="1"/>
      <c r="B4" t="s">
        <v>3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83569.31</v>
      </c>
      <c r="N4" s="4">
        <v>122576.89</v>
      </c>
      <c r="O4" s="4">
        <v>154395.07999999999</v>
      </c>
      <c r="P4" s="4">
        <v>176287.09</v>
      </c>
      <c r="Q4" s="4">
        <v>195656.54</v>
      </c>
      <c r="R4" s="4">
        <v>174695.66</v>
      </c>
      <c r="S4" s="4">
        <v>180780.7</v>
      </c>
      <c r="T4" s="4">
        <v>218567.95</v>
      </c>
      <c r="U4" s="4">
        <v>225588.24</v>
      </c>
      <c r="V4" s="4">
        <v>239017.04</v>
      </c>
      <c r="W4" s="4">
        <v>247460.18</v>
      </c>
      <c r="X4" s="4">
        <v>259124.53</v>
      </c>
      <c r="Y4" s="4">
        <v>18211.849999999999</v>
      </c>
      <c r="Z4" s="4">
        <v>0</v>
      </c>
      <c r="AA4" s="4">
        <v>287894.17</v>
      </c>
      <c r="AB4" s="4">
        <v>0</v>
      </c>
      <c r="AC4" s="4"/>
    </row>
    <row r="5" spans="1:29" x14ac:dyDescent="0.25">
      <c r="A5" s="1"/>
      <c r="B5" t="s">
        <v>4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14122.96</v>
      </c>
      <c r="I5" s="4">
        <v>0</v>
      </c>
      <c r="J5" s="4">
        <v>0</v>
      </c>
      <c r="K5" s="4">
        <v>19033.63</v>
      </c>
      <c r="L5" s="4">
        <v>18189.63</v>
      </c>
      <c r="M5" s="4">
        <v>0</v>
      </c>
      <c r="N5" s="4">
        <v>0</v>
      </c>
      <c r="O5" s="4">
        <v>17475.41</v>
      </c>
      <c r="P5" s="4">
        <v>19451.900000000001</v>
      </c>
      <c r="Q5" s="4">
        <v>20059.349999999999</v>
      </c>
      <c r="R5" s="4">
        <v>0</v>
      </c>
      <c r="S5" s="4">
        <v>0</v>
      </c>
      <c r="T5" s="4">
        <v>0</v>
      </c>
      <c r="U5" s="4">
        <v>16910.38</v>
      </c>
      <c r="V5" s="4">
        <v>16950.669999999998</v>
      </c>
      <c r="W5" s="4">
        <v>0</v>
      </c>
      <c r="X5" s="4">
        <v>0</v>
      </c>
      <c r="Y5" s="4">
        <v>18903.61</v>
      </c>
      <c r="Z5" s="4">
        <v>0</v>
      </c>
      <c r="AA5" s="4">
        <v>0</v>
      </c>
      <c r="AB5" s="4">
        <v>25911.135999999999</v>
      </c>
      <c r="AC5" s="4"/>
    </row>
    <row r="6" spans="1:29" x14ac:dyDescent="0.25">
      <c r="A6" s="1"/>
      <c r="B6" t="s">
        <v>5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23165.32</v>
      </c>
      <c r="S6" s="4">
        <v>36440.31</v>
      </c>
      <c r="T6" s="4">
        <v>23745.23</v>
      </c>
      <c r="U6" s="4">
        <v>18599.98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/>
    </row>
    <row r="7" spans="1:29" x14ac:dyDescent="0.25">
      <c r="A7" s="1"/>
      <c r="B7" t="s">
        <v>6</v>
      </c>
      <c r="C7" s="4">
        <v>62378.67</v>
      </c>
      <c r="D7" s="4">
        <v>13591.183999999999</v>
      </c>
      <c r="E7" s="4">
        <v>15990.52</v>
      </c>
      <c r="F7" s="4">
        <v>0</v>
      </c>
      <c r="G7" s="4">
        <v>16701.87</v>
      </c>
      <c r="H7" s="4">
        <v>21042.03</v>
      </c>
      <c r="I7" s="4">
        <v>16590.810000000001</v>
      </c>
      <c r="J7" s="4">
        <v>19970.34</v>
      </c>
      <c r="K7" s="4">
        <v>0</v>
      </c>
      <c r="L7" s="4">
        <v>11157.81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/>
    </row>
    <row r="8" spans="1:29" x14ac:dyDescent="0.25">
      <c r="A8" s="1"/>
      <c r="B8" t="s">
        <v>7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25574.37</v>
      </c>
      <c r="L8" s="4">
        <v>17558.91</v>
      </c>
      <c r="M8" s="4">
        <v>14514.39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14593.58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11387.73</v>
      </c>
      <c r="AC8" s="4"/>
    </row>
    <row r="9" spans="1:29" x14ac:dyDescent="0.25">
      <c r="A9" s="1"/>
      <c r="B9" t="s">
        <v>8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26388.41</v>
      </c>
      <c r="N9" s="4">
        <v>26847.65</v>
      </c>
      <c r="O9" s="4">
        <v>27438.68</v>
      </c>
      <c r="P9" s="4">
        <v>24290.69</v>
      </c>
      <c r="Q9" s="4">
        <v>22548.23</v>
      </c>
      <c r="R9" s="4">
        <v>62779.61</v>
      </c>
      <c r="S9" s="4">
        <v>33455.56</v>
      </c>
      <c r="T9" s="4">
        <v>28262.59</v>
      </c>
      <c r="U9" s="4">
        <v>28662.28</v>
      </c>
      <c r="V9" s="4">
        <v>29731.25</v>
      </c>
      <c r="W9" s="4">
        <v>41563.949999999997</v>
      </c>
      <c r="X9" s="4">
        <v>62199.73</v>
      </c>
      <c r="Y9" s="4">
        <v>53133.29</v>
      </c>
      <c r="Z9" s="4">
        <v>52071.67</v>
      </c>
      <c r="AA9" s="4">
        <v>0</v>
      </c>
      <c r="AB9" s="4">
        <v>0</v>
      </c>
      <c r="AC9" s="4"/>
    </row>
    <row r="10" spans="1:29" x14ac:dyDescent="0.25">
      <c r="A10" s="1"/>
      <c r="B10" t="s">
        <v>9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23674.71</v>
      </c>
      <c r="N10" s="4">
        <v>17413.47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6689.5259999999998</v>
      </c>
      <c r="AC10" s="4"/>
    </row>
    <row r="11" spans="1:29" x14ac:dyDescent="0.25">
      <c r="A11" s="1"/>
      <c r="B11" t="s">
        <v>10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387685.25</v>
      </c>
      <c r="Q11" s="4">
        <v>59556.52</v>
      </c>
      <c r="R11" s="4">
        <v>65410.26</v>
      </c>
      <c r="S11" s="4">
        <v>60188.93</v>
      </c>
      <c r="T11" s="4">
        <v>76844.570000000007</v>
      </c>
      <c r="U11" s="4">
        <v>82233.63</v>
      </c>
      <c r="V11" s="4">
        <v>95571.839999999997</v>
      </c>
      <c r="W11" s="4">
        <v>81979.360000000001</v>
      </c>
      <c r="X11" s="4">
        <v>65198.7</v>
      </c>
      <c r="Y11" s="4">
        <v>72021.14</v>
      </c>
      <c r="Z11" s="4">
        <v>69623.199999999997</v>
      </c>
      <c r="AA11" s="4">
        <v>77653.09</v>
      </c>
      <c r="AB11" s="4">
        <v>0</v>
      </c>
      <c r="AC11" s="4"/>
    </row>
    <row r="12" spans="1:29" x14ac:dyDescent="0.25">
      <c r="A12" s="1"/>
      <c r="B12" t="s">
        <v>11</v>
      </c>
      <c r="C12" s="4">
        <v>26110.61</v>
      </c>
      <c r="D12" s="4">
        <v>28282.828000000001</v>
      </c>
      <c r="E12" s="4">
        <v>38496.239999999998</v>
      </c>
      <c r="F12" s="4">
        <v>31214.6</v>
      </c>
      <c r="G12" s="4">
        <v>35098.120000000003</v>
      </c>
      <c r="H12" s="4">
        <v>36526.550000000003</v>
      </c>
      <c r="I12" s="4">
        <v>34717.449999999997</v>
      </c>
      <c r="J12" s="4">
        <v>36544.93</v>
      </c>
      <c r="K12" s="4">
        <v>34186.26</v>
      </c>
      <c r="L12" s="4">
        <v>33517.78</v>
      </c>
      <c r="M12" s="4">
        <v>0</v>
      </c>
      <c r="N12" s="4">
        <v>0</v>
      </c>
      <c r="O12" s="4">
        <v>0</v>
      </c>
      <c r="P12" s="4">
        <v>0</v>
      </c>
      <c r="Q12" s="4">
        <v>21712.99</v>
      </c>
      <c r="R12" s="4">
        <v>23634.04</v>
      </c>
      <c r="S12" s="4">
        <v>0</v>
      </c>
      <c r="T12" s="4">
        <v>46727.71</v>
      </c>
      <c r="U12" s="4">
        <v>49506.58</v>
      </c>
      <c r="V12" s="4">
        <v>52059.02</v>
      </c>
      <c r="W12" s="4">
        <v>65217.94</v>
      </c>
      <c r="X12" s="4">
        <v>66371.38</v>
      </c>
      <c r="Y12" s="4">
        <v>68032.11</v>
      </c>
      <c r="Z12" s="4">
        <v>61927.95</v>
      </c>
      <c r="AA12" s="4">
        <v>65050.13</v>
      </c>
      <c r="AB12" s="4">
        <v>59574.34</v>
      </c>
      <c r="AC12" s="4"/>
    </row>
    <row r="13" spans="1:29" x14ac:dyDescent="0.25">
      <c r="A13" s="1"/>
      <c r="B13" t="s">
        <v>12</v>
      </c>
      <c r="C13" s="4">
        <v>0</v>
      </c>
      <c r="D13" s="4">
        <v>13892.287</v>
      </c>
      <c r="E13" s="4">
        <v>0</v>
      </c>
      <c r="F13" s="4">
        <v>40345.54</v>
      </c>
      <c r="G13" s="4">
        <v>36937.120000000003</v>
      </c>
      <c r="H13" s="4">
        <v>0</v>
      </c>
      <c r="I13" s="4">
        <v>17238.099999999999</v>
      </c>
      <c r="J13" s="4">
        <v>24844.07</v>
      </c>
      <c r="K13" s="4">
        <v>15090.05</v>
      </c>
      <c r="L13" s="4">
        <v>12200.47</v>
      </c>
      <c r="M13" s="4">
        <v>21036.36</v>
      </c>
      <c r="N13" s="4">
        <v>22472.400000000001</v>
      </c>
      <c r="O13" s="4">
        <v>14946.74</v>
      </c>
      <c r="P13" s="4">
        <v>0</v>
      </c>
      <c r="Q13" s="4">
        <v>19771.599999999999</v>
      </c>
      <c r="R13" s="4">
        <v>0</v>
      </c>
      <c r="S13" s="4">
        <v>0</v>
      </c>
      <c r="T13" s="4">
        <v>0</v>
      </c>
      <c r="U13" s="4">
        <v>0</v>
      </c>
      <c r="V13" s="4">
        <v>15170.27</v>
      </c>
      <c r="W13" s="4">
        <v>0</v>
      </c>
      <c r="X13" s="4">
        <v>0</v>
      </c>
      <c r="Y13" s="4">
        <v>19832.189999999999</v>
      </c>
      <c r="Z13" s="4">
        <v>20230.09</v>
      </c>
      <c r="AA13" s="4">
        <v>0</v>
      </c>
      <c r="AB13" s="4">
        <v>0</v>
      </c>
      <c r="AC13" s="4"/>
    </row>
    <row r="14" spans="1:29" x14ac:dyDescent="0.25">
      <c r="A14" s="1"/>
      <c r="B14" t="s">
        <v>13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63652.98</v>
      </c>
      <c r="N14" s="4">
        <v>59544.79</v>
      </c>
      <c r="O14" s="4">
        <v>60555.46</v>
      </c>
      <c r="P14" s="4">
        <v>53386.58</v>
      </c>
      <c r="Q14" s="4">
        <v>62685.440000000002</v>
      </c>
      <c r="R14" s="4">
        <v>51554.63</v>
      </c>
      <c r="S14" s="4">
        <v>112732.9</v>
      </c>
      <c r="T14" s="4">
        <v>83852.97</v>
      </c>
      <c r="U14" s="4">
        <v>66171.67</v>
      </c>
      <c r="V14" s="4">
        <v>73070.58</v>
      </c>
      <c r="W14" s="4">
        <v>61853.63</v>
      </c>
      <c r="X14" s="4">
        <v>88679.11</v>
      </c>
      <c r="Y14" s="4">
        <v>101413.92</v>
      </c>
      <c r="Z14" s="4">
        <v>94703.14</v>
      </c>
      <c r="AA14" s="4">
        <v>82691.009999999995</v>
      </c>
      <c r="AB14" s="4">
        <v>49408.813999999998</v>
      </c>
      <c r="AC14" s="4"/>
    </row>
    <row r="15" spans="1:29" x14ac:dyDescent="0.25">
      <c r="A15" s="1"/>
      <c r="B15" t="s">
        <v>14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11243.75</v>
      </c>
      <c r="AC15" s="4"/>
    </row>
    <row r="16" spans="1:29" x14ac:dyDescent="0.25">
      <c r="A16" s="1"/>
      <c r="B16" t="s">
        <v>15</v>
      </c>
      <c r="C16" s="4">
        <v>13665.64</v>
      </c>
      <c r="D16" s="4">
        <v>3947.4360000000001</v>
      </c>
      <c r="E16" s="4">
        <v>15327.8</v>
      </c>
      <c r="F16" s="4">
        <v>22037.32</v>
      </c>
      <c r="G16" s="4">
        <v>14217.02</v>
      </c>
      <c r="H16" s="4">
        <v>15300.17</v>
      </c>
      <c r="I16" s="4">
        <v>20368.509999999998</v>
      </c>
      <c r="J16" s="4">
        <v>27726.62</v>
      </c>
      <c r="K16" s="4">
        <v>21160.79</v>
      </c>
      <c r="L16" s="4">
        <v>12304.88</v>
      </c>
      <c r="M16" s="4">
        <v>72117.66</v>
      </c>
      <c r="N16" s="4">
        <v>77056.710000000006</v>
      </c>
      <c r="O16" s="4">
        <v>74944.7</v>
      </c>
      <c r="P16" s="4">
        <v>87520.54</v>
      </c>
      <c r="Q16" s="4">
        <v>82582.53</v>
      </c>
      <c r="R16" s="4">
        <v>115257.56</v>
      </c>
      <c r="S16" s="4">
        <v>126304.33</v>
      </c>
      <c r="T16" s="4">
        <v>121814.49</v>
      </c>
      <c r="U16" s="4">
        <v>114637.47</v>
      </c>
      <c r="V16" s="4">
        <v>95485.59</v>
      </c>
      <c r="W16" s="4">
        <v>129851.79</v>
      </c>
      <c r="X16" s="4">
        <v>149795.18</v>
      </c>
      <c r="Y16" s="4">
        <v>108969.97</v>
      </c>
      <c r="Z16" s="4">
        <v>102117.43</v>
      </c>
      <c r="AA16" s="4">
        <v>121405.47</v>
      </c>
      <c r="AB16" s="4">
        <v>38000.158000000003</v>
      </c>
      <c r="AC16" s="4"/>
    </row>
    <row r="17" spans="1:29" x14ac:dyDescent="0.25">
      <c r="A17" s="1"/>
      <c r="B17" t="s">
        <v>16</v>
      </c>
      <c r="C17" s="4">
        <v>152048.97</v>
      </c>
      <c r="D17" s="4">
        <v>219480.00700000001</v>
      </c>
      <c r="E17" s="4">
        <v>187852.79</v>
      </c>
      <c r="F17" s="4">
        <v>174253.11</v>
      </c>
      <c r="G17" s="4">
        <v>148689.06</v>
      </c>
      <c r="H17" s="4">
        <v>210023.48</v>
      </c>
      <c r="I17" s="4">
        <v>252020.63</v>
      </c>
      <c r="J17" s="4">
        <v>212655.47</v>
      </c>
      <c r="K17" s="4">
        <v>334057.58</v>
      </c>
      <c r="L17" s="4">
        <v>403110.37</v>
      </c>
      <c r="M17" s="4">
        <v>343626.05</v>
      </c>
      <c r="N17" s="4">
        <v>31342.83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122767.76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840497.78399999999</v>
      </c>
      <c r="AC17" s="4"/>
    </row>
    <row r="18" spans="1:29" x14ac:dyDescent="0.25">
      <c r="A18" s="1"/>
      <c r="B18" t="s">
        <v>17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17581.78</v>
      </c>
      <c r="O18" s="4">
        <v>19596.38</v>
      </c>
      <c r="P18" s="4">
        <v>20562.89</v>
      </c>
      <c r="Q18" s="4">
        <v>29769.57</v>
      </c>
      <c r="R18" s="4">
        <v>29707.02</v>
      </c>
      <c r="S18" s="4">
        <v>39195.03</v>
      </c>
      <c r="T18" s="4">
        <v>51615.37</v>
      </c>
      <c r="U18" s="4">
        <v>51106.51</v>
      </c>
      <c r="V18" s="4">
        <v>48695.55</v>
      </c>
      <c r="W18" s="4">
        <v>56990.66</v>
      </c>
      <c r="X18" s="4">
        <v>63600.86</v>
      </c>
      <c r="Y18" s="4">
        <v>66730.64</v>
      </c>
      <c r="Z18" s="4">
        <v>49774.96</v>
      </c>
      <c r="AA18" s="4">
        <v>43532.78</v>
      </c>
      <c r="AB18" s="4">
        <v>31322.446</v>
      </c>
      <c r="AC18" s="4"/>
    </row>
    <row r="19" spans="1:29" x14ac:dyDescent="0.25">
      <c r="A19" s="1"/>
      <c r="B19" t="s">
        <v>18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76799.75</v>
      </c>
      <c r="N19" s="4">
        <v>51903.51</v>
      </c>
      <c r="O19" s="4">
        <v>38795.730000000003</v>
      </c>
      <c r="P19" s="4">
        <v>21112.720000000001</v>
      </c>
      <c r="Q19" s="4">
        <v>75353.94</v>
      </c>
      <c r="R19" s="4">
        <v>75114.820000000007</v>
      </c>
      <c r="S19" s="4">
        <v>71977.679999999993</v>
      </c>
      <c r="T19" s="4">
        <v>174756.37</v>
      </c>
      <c r="U19" s="4">
        <v>141466.23000000001</v>
      </c>
      <c r="V19" s="4">
        <v>87068.67</v>
      </c>
      <c r="W19" s="4">
        <v>88547.41</v>
      </c>
      <c r="X19" s="4">
        <v>82993.2</v>
      </c>
      <c r="Y19" s="4">
        <v>77457.929999999993</v>
      </c>
      <c r="Z19" s="4">
        <v>68805.55</v>
      </c>
      <c r="AA19" s="4">
        <v>110426.19</v>
      </c>
      <c r="AB19" s="4">
        <v>73864.672999999995</v>
      </c>
      <c r="AC19" s="4"/>
    </row>
    <row r="20" spans="1:29" x14ac:dyDescent="0.25">
      <c r="A20" s="1"/>
      <c r="B20" t="s">
        <v>19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34453.71</v>
      </c>
      <c r="X20" s="4">
        <v>0</v>
      </c>
      <c r="Y20" s="4">
        <v>42014.49</v>
      </c>
      <c r="Z20" s="4">
        <v>48144.21</v>
      </c>
      <c r="AA20" s="4">
        <v>59143.97</v>
      </c>
      <c r="AB20" s="4">
        <v>53352.703000000001</v>
      </c>
      <c r="AC20" s="4"/>
    </row>
    <row r="21" spans="1:29" x14ac:dyDescent="0.25">
      <c r="A21" s="1"/>
      <c r="B21" t="s">
        <v>20</v>
      </c>
      <c r="C21" s="4">
        <v>0</v>
      </c>
      <c r="D21" s="4">
        <v>0</v>
      </c>
      <c r="E21" s="4">
        <v>0</v>
      </c>
      <c r="F21" s="4">
        <v>57643.41</v>
      </c>
      <c r="G21" s="4">
        <v>74106.62</v>
      </c>
      <c r="H21" s="4">
        <v>59232.49</v>
      </c>
      <c r="I21" s="4">
        <v>49542.98</v>
      </c>
      <c r="J21" s="4">
        <v>69681.539999999994</v>
      </c>
      <c r="K21" s="4">
        <v>27067.95</v>
      </c>
      <c r="L21" s="4">
        <v>0</v>
      </c>
      <c r="M21" s="4">
        <v>54699.94</v>
      </c>
      <c r="N21" s="4">
        <v>110881.93</v>
      </c>
      <c r="O21" s="4">
        <v>311823.13</v>
      </c>
      <c r="P21" s="4">
        <v>99906.67</v>
      </c>
      <c r="Q21" s="4">
        <v>65122.49</v>
      </c>
      <c r="R21" s="4">
        <v>86360.63</v>
      </c>
      <c r="S21" s="4">
        <v>75669.350000000006</v>
      </c>
      <c r="T21" s="4">
        <v>69401.789999999994</v>
      </c>
      <c r="U21" s="4">
        <v>70960.7</v>
      </c>
      <c r="V21" s="4">
        <v>70080.800000000003</v>
      </c>
      <c r="W21" s="4">
        <v>89994.02</v>
      </c>
      <c r="X21" s="4">
        <v>95965.09</v>
      </c>
      <c r="Y21" s="4">
        <v>106876.73</v>
      </c>
      <c r="Z21" s="4">
        <v>0</v>
      </c>
      <c r="AA21" s="4">
        <v>0</v>
      </c>
      <c r="AB21" s="4">
        <v>0</v>
      </c>
      <c r="AC21" s="4"/>
    </row>
    <row r="22" spans="1:29" x14ac:dyDescent="0.25">
      <c r="A22" s="1"/>
      <c r="B22" t="s">
        <v>21</v>
      </c>
      <c r="C22" s="4">
        <v>0</v>
      </c>
      <c r="D22" s="4">
        <v>0</v>
      </c>
      <c r="E22" s="4">
        <v>117173.77</v>
      </c>
      <c r="F22" s="4">
        <v>98229.15</v>
      </c>
      <c r="G22" s="4">
        <v>105317.87</v>
      </c>
      <c r="H22" s="4">
        <v>134044.51999999999</v>
      </c>
      <c r="I22" s="4">
        <v>138578.79999999999</v>
      </c>
      <c r="J22" s="4">
        <v>140934.95000000001</v>
      </c>
      <c r="K22" s="4">
        <v>148256.69</v>
      </c>
      <c r="L22" s="4">
        <v>137817.25</v>
      </c>
      <c r="M22" s="4">
        <v>140935.01999999999</v>
      </c>
      <c r="N22" s="4">
        <v>187265.74</v>
      </c>
      <c r="O22" s="4">
        <v>170420.59</v>
      </c>
      <c r="P22" s="4">
        <v>156672.23000000001</v>
      </c>
      <c r="Q22" s="4">
        <v>156095.26999999999</v>
      </c>
      <c r="R22" s="4">
        <v>163063.20000000001</v>
      </c>
      <c r="S22" s="4">
        <v>177221.87</v>
      </c>
      <c r="T22" s="4">
        <v>189912.17</v>
      </c>
      <c r="U22" s="4">
        <v>199349.24</v>
      </c>
      <c r="V22" s="4">
        <v>187441.04</v>
      </c>
      <c r="W22" s="4">
        <v>208541.41</v>
      </c>
      <c r="X22" s="4">
        <v>191564.14</v>
      </c>
      <c r="Y22" s="4">
        <v>190884.81</v>
      </c>
      <c r="Z22" s="4">
        <v>206410.64</v>
      </c>
      <c r="AA22" s="4">
        <v>213000.23</v>
      </c>
      <c r="AB22" s="4">
        <v>200605.64499999999</v>
      </c>
      <c r="AC22" s="4"/>
    </row>
    <row r="23" spans="1:29" x14ac:dyDescent="0.25">
      <c r="A23" s="1"/>
      <c r="B23" t="s">
        <v>22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588726.99</v>
      </c>
      <c r="N23" s="4">
        <v>576241.03</v>
      </c>
      <c r="O23" s="4">
        <v>559492.76</v>
      </c>
      <c r="P23" s="4">
        <v>550883.86</v>
      </c>
      <c r="Q23" s="4">
        <v>595479.07999999996</v>
      </c>
      <c r="R23" s="4">
        <v>1123065.8</v>
      </c>
      <c r="S23" s="4">
        <v>1126123.46</v>
      </c>
      <c r="T23" s="4">
        <v>980334.5</v>
      </c>
      <c r="U23" s="4">
        <v>1028765.11</v>
      </c>
      <c r="V23" s="4">
        <v>524558.81999999995</v>
      </c>
      <c r="W23" s="4">
        <v>1165315.2</v>
      </c>
      <c r="X23" s="4">
        <v>942052.89</v>
      </c>
      <c r="Y23" s="4">
        <v>1027585.82</v>
      </c>
      <c r="Z23" s="4">
        <v>888808.67</v>
      </c>
      <c r="AA23" s="4">
        <v>1158928.1299999999</v>
      </c>
      <c r="AB23" s="4">
        <v>190445.739</v>
      </c>
      <c r="AC23" s="4"/>
    </row>
    <row r="24" spans="1:29" x14ac:dyDescent="0.25">
      <c r="A24" s="1"/>
      <c r="B24" t="s">
        <v>70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41243.11</v>
      </c>
      <c r="S24" s="4">
        <v>43221.81</v>
      </c>
      <c r="T24" s="4">
        <v>42802.74</v>
      </c>
      <c r="U24" s="4">
        <v>43672.84</v>
      </c>
      <c r="V24" s="4">
        <v>51502.76</v>
      </c>
      <c r="W24" s="4">
        <v>66956.899999999994</v>
      </c>
      <c r="X24" s="4">
        <v>55714.26</v>
      </c>
      <c r="Y24" s="4">
        <v>63314.879999999997</v>
      </c>
      <c r="Z24" s="4">
        <v>58834.17</v>
      </c>
      <c r="AA24" s="4">
        <v>0</v>
      </c>
      <c r="AB24" s="4">
        <v>0</v>
      </c>
      <c r="AC24" s="4"/>
    </row>
    <row r="25" spans="1:29" x14ac:dyDescent="0.25">
      <c r="C25" s="4">
        <f>SUM(C3:C24)</f>
        <v>254203.89</v>
      </c>
      <c r="D25" s="4">
        <f t="shared" ref="D25:AB25" si="0">SUM(D3:D24)</f>
        <v>279193.74200000003</v>
      </c>
      <c r="E25" s="4">
        <f t="shared" si="0"/>
        <v>374841.12</v>
      </c>
      <c r="F25" s="4">
        <f t="shared" si="0"/>
        <v>423723.13</v>
      </c>
      <c r="G25" s="4">
        <f t="shared" si="0"/>
        <v>431067.68</v>
      </c>
      <c r="H25" s="4">
        <f t="shared" si="0"/>
        <v>490292.19999999995</v>
      </c>
      <c r="I25" s="4">
        <f t="shared" si="0"/>
        <v>529057.28000000003</v>
      </c>
      <c r="J25" s="4">
        <f t="shared" si="0"/>
        <v>532357.91999999993</v>
      </c>
      <c r="K25" s="4">
        <f t="shared" si="0"/>
        <v>624427.32000000007</v>
      </c>
      <c r="L25" s="4">
        <f t="shared" si="0"/>
        <v>645857.1</v>
      </c>
      <c r="M25" s="4">
        <f t="shared" si="0"/>
        <v>1546626.0799999998</v>
      </c>
      <c r="N25" s="4">
        <f t="shared" si="0"/>
        <v>1353418.87</v>
      </c>
      <c r="O25" s="4">
        <f t="shared" si="0"/>
        <v>1488919.87</v>
      </c>
      <c r="P25" s="4">
        <f t="shared" si="0"/>
        <v>1597760.42</v>
      </c>
      <c r="Q25" s="4">
        <f t="shared" si="0"/>
        <v>1406393.5499999998</v>
      </c>
      <c r="R25" s="4">
        <f t="shared" si="0"/>
        <v>2035051.6600000001</v>
      </c>
      <c r="S25" s="4">
        <f t="shared" si="0"/>
        <v>2161307.11</v>
      </c>
      <c r="T25" s="4">
        <f t="shared" si="0"/>
        <v>2186163.0100000002</v>
      </c>
      <c r="U25" s="4">
        <f t="shared" si="0"/>
        <v>2243808.0799999996</v>
      </c>
      <c r="V25" s="4">
        <f t="shared" si="0"/>
        <v>1847369.7</v>
      </c>
      <c r="W25" s="4">
        <f t="shared" si="0"/>
        <v>2475110.1199999996</v>
      </c>
      <c r="X25" s="4">
        <f t="shared" si="0"/>
        <v>2258732.15</v>
      </c>
      <c r="Y25" s="4">
        <f t="shared" si="0"/>
        <v>2165927.48</v>
      </c>
      <c r="Z25" s="4">
        <f t="shared" si="0"/>
        <v>1861069.6400000001</v>
      </c>
      <c r="AA25" s="4">
        <f t="shared" si="0"/>
        <v>2427423.09</v>
      </c>
      <c r="AB25" s="4">
        <f t="shared" si="0"/>
        <v>1592304.4439999999</v>
      </c>
      <c r="AC25" s="4"/>
    </row>
    <row r="26" spans="1:29" x14ac:dyDescent="0.25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x14ac:dyDescent="0.25">
      <c r="A27" t="s">
        <v>68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x14ac:dyDescent="0.25">
      <c r="A28" s="1"/>
      <c r="B28" t="s">
        <v>23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7803.3770000000004</v>
      </c>
      <c r="N28" s="4">
        <v>6305.9219999999996</v>
      </c>
      <c r="O28" s="4">
        <v>5693.7820000000002</v>
      </c>
      <c r="P28" s="4">
        <v>8083.2359999999999</v>
      </c>
      <c r="Q28" s="4">
        <v>6740.87</v>
      </c>
      <c r="R28" s="4">
        <v>7182.0020000000004</v>
      </c>
      <c r="S28" s="4">
        <v>7855.3329999999996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/>
    </row>
    <row r="29" spans="1:29" x14ac:dyDescent="0.25">
      <c r="A29" s="1"/>
      <c r="B29" t="s">
        <v>24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22940.28</v>
      </c>
      <c r="S29" s="4">
        <v>17102.644</v>
      </c>
      <c r="T29" s="4">
        <v>0</v>
      </c>
      <c r="U29" s="4">
        <v>10715.03</v>
      </c>
      <c r="V29" s="4">
        <v>0</v>
      </c>
      <c r="W29" s="4">
        <v>0</v>
      </c>
      <c r="X29" s="4">
        <v>0</v>
      </c>
      <c r="Y29" s="4">
        <v>6367.5190000000002</v>
      </c>
      <c r="Z29" s="4">
        <v>0</v>
      </c>
      <c r="AA29" s="4">
        <v>0</v>
      </c>
      <c r="AB29" s="4">
        <v>0</v>
      </c>
      <c r="AC29" s="4"/>
    </row>
    <row r="30" spans="1:29" x14ac:dyDescent="0.25">
      <c r="A30" s="1"/>
      <c r="B30" t="s">
        <v>25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11012.958000000001</v>
      </c>
      <c r="N30" s="4">
        <v>13946.307000000001</v>
      </c>
      <c r="O30" s="4">
        <v>14064.483</v>
      </c>
      <c r="P30" s="4">
        <v>13043.204</v>
      </c>
      <c r="Q30" s="4">
        <v>10943.224</v>
      </c>
      <c r="R30" s="4">
        <v>15278.554</v>
      </c>
      <c r="S30" s="4">
        <v>15447.465</v>
      </c>
      <c r="T30" s="4">
        <v>16535.785</v>
      </c>
      <c r="U30" s="4">
        <v>18152.751</v>
      </c>
      <c r="V30" s="4">
        <v>12315.739</v>
      </c>
      <c r="W30" s="4">
        <v>13275.892</v>
      </c>
      <c r="X30" s="4">
        <v>17371.385999999999</v>
      </c>
      <c r="Y30" s="4">
        <v>18781.172999999999</v>
      </c>
      <c r="Z30" s="4">
        <v>16787.508999999998</v>
      </c>
      <c r="AA30" s="4">
        <v>17416.508000000002</v>
      </c>
      <c r="AB30" s="4">
        <v>16856.316999999999</v>
      </c>
      <c r="AC30" s="4"/>
    </row>
    <row r="31" spans="1:29" x14ac:dyDescent="0.25">
      <c r="A31" s="1"/>
      <c r="B31" t="s">
        <v>26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10086.56</v>
      </c>
      <c r="N31" s="4">
        <v>43823.667999999998</v>
      </c>
      <c r="O31" s="4">
        <v>45131.343000000001</v>
      </c>
      <c r="P31" s="4">
        <v>47036.472000000002</v>
      </c>
      <c r="Q31" s="4">
        <v>48228.802000000003</v>
      </c>
      <c r="R31" s="4">
        <v>47427.400999999998</v>
      </c>
      <c r="S31" s="4">
        <v>45201.398000000001</v>
      </c>
      <c r="T31" s="4">
        <v>45621.785000000003</v>
      </c>
      <c r="U31" s="4">
        <v>47119.036999999997</v>
      </c>
      <c r="V31" s="4">
        <v>44130.904000000002</v>
      </c>
      <c r="W31" s="4">
        <v>42613.646999999997</v>
      </c>
      <c r="X31" s="4">
        <v>39237.307999999997</v>
      </c>
      <c r="Y31" s="4">
        <v>49184.165999999997</v>
      </c>
      <c r="Z31" s="4">
        <v>39286.6</v>
      </c>
      <c r="AA31" s="4">
        <v>47754.26</v>
      </c>
      <c r="AB31" s="4">
        <v>40705.49</v>
      </c>
      <c r="AC31" s="4"/>
    </row>
    <row r="32" spans="1:29" x14ac:dyDescent="0.25">
      <c r="A32" s="1"/>
      <c r="B32" t="s">
        <v>27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7818.6</v>
      </c>
      <c r="N32" s="4">
        <v>10250.299999999999</v>
      </c>
      <c r="O32" s="4">
        <v>9765.2999999999993</v>
      </c>
      <c r="P32" s="4">
        <v>8284.1</v>
      </c>
      <c r="Q32" s="4">
        <v>5950.1</v>
      </c>
      <c r="R32" s="4">
        <v>7132.1620000000003</v>
      </c>
      <c r="S32" s="4">
        <v>7405.2160000000003</v>
      </c>
      <c r="T32" s="4">
        <v>5386.8789999999999</v>
      </c>
      <c r="U32" s="4">
        <v>0</v>
      </c>
      <c r="V32" s="4">
        <v>0</v>
      </c>
      <c r="W32" s="4">
        <v>0</v>
      </c>
      <c r="X32" s="4">
        <v>0</v>
      </c>
      <c r="Y32" s="4">
        <v>10383.625</v>
      </c>
      <c r="Z32" s="4">
        <v>0</v>
      </c>
      <c r="AA32" s="4">
        <v>0</v>
      </c>
      <c r="AB32" s="4">
        <v>0</v>
      </c>
      <c r="AC32" s="4"/>
    </row>
    <row r="33" spans="1:29" x14ac:dyDescent="0.25">
      <c r="A33" s="1"/>
      <c r="B33" t="s">
        <v>28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13344.465</v>
      </c>
      <c r="N33" s="4">
        <v>15542.088</v>
      </c>
      <c r="O33" s="4">
        <v>14816.54</v>
      </c>
      <c r="P33" s="4">
        <v>14359.29</v>
      </c>
      <c r="Q33" s="4">
        <v>16306.764999999999</v>
      </c>
      <c r="R33" s="4">
        <v>13246.701999999999</v>
      </c>
      <c r="S33" s="4">
        <v>13480.032999999999</v>
      </c>
      <c r="T33" s="4">
        <v>16460.098000000002</v>
      </c>
      <c r="U33" s="4">
        <v>17523.826000000001</v>
      </c>
      <c r="V33" s="4">
        <v>13433.403</v>
      </c>
      <c r="W33" s="4">
        <v>13353.766</v>
      </c>
      <c r="X33" s="4">
        <v>13289.686</v>
      </c>
      <c r="Y33" s="4">
        <v>14188.742</v>
      </c>
      <c r="Z33" s="4">
        <v>13296.448</v>
      </c>
      <c r="AA33" s="4">
        <v>12632.527</v>
      </c>
      <c r="AB33" s="4">
        <v>11458.087</v>
      </c>
      <c r="AC33" s="4"/>
    </row>
    <row r="34" spans="1:29" x14ac:dyDescent="0.25">
      <c r="A34" s="1"/>
      <c r="B34" t="s">
        <v>1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4678.9840000000004</v>
      </c>
      <c r="Q34" s="4">
        <v>8744.3140000000003</v>
      </c>
      <c r="R34" s="4">
        <v>8198.7610000000004</v>
      </c>
      <c r="S34" s="4">
        <v>6864.8270000000002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/>
    </row>
    <row r="35" spans="1:29" x14ac:dyDescent="0.25">
      <c r="A35" s="1"/>
      <c r="B35" t="s">
        <v>29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34634.587</v>
      </c>
      <c r="N35" s="4">
        <v>31026.253000000001</v>
      </c>
      <c r="O35" s="4">
        <v>30343.117999999999</v>
      </c>
      <c r="P35" s="4">
        <v>35366.358</v>
      </c>
      <c r="Q35" s="4">
        <v>33552.974000000002</v>
      </c>
      <c r="R35" s="4">
        <v>72788.899999999994</v>
      </c>
      <c r="S35" s="4">
        <v>53897.303999999996</v>
      </c>
      <c r="T35" s="4">
        <v>59471.648000000001</v>
      </c>
      <c r="U35" s="4">
        <v>55343.733999999997</v>
      </c>
      <c r="V35" s="4">
        <v>58853.093999999997</v>
      </c>
      <c r="W35" s="4">
        <v>73269.357999999993</v>
      </c>
      <c r="X35" s="4">
        <v>62175.451999999997</v>
      </c>
      <c r="Y35" s="4">
        <v>75038.046000000002</v>
      </c>
      <c r="Z35" s="4">
        <v>62451.758000000002</v>
      </c>
      <c r="AA35" s="4">
        <v>74891.343999999997</v>
      </c>
      <c r="AB35" s="4">
        <v>56468.292999999998</v>
      </c>
      <c r="AC35" s="4"/>
    </row>
    <row r="36" spans="1:29" x14ac:dyDescent="0.25">
      <c r="A36" s="1"/>
      <c r="B36" t="s">
        <v>30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8451.5349999999999</v>
      </c>
      <c r="J36" s="4">
        <v>7808.317</v>
      </c>
      <c r="K36" s="4">
        <v>8507.1409999999996</v>
      </c>
      <c r="L36" s="4">
        <v>0</v>
      </c>
      <c r="M36" s="4">
        <v>10750.643</v>
      </c>
      <c r="N36" s="4">
        <v>12419.234</v>
      </c>
      <c r="O36" s="4">
        <v>10827.761</v>
      </c>
      <c r="P36" s="4">
        <v>16354.619000000001</v>
      </c>
      <c r="Q36" s="4">
        <v>16917.781999999999</v>
      </c>
      <c r="R36" s="4">
        <v>19274.886999999999</v>
      </c>
      <c r="S36" s="4">
        <v>15445.772000000001</v>
      </c>
      <c r="T36" s="4">
        <v>21947.004000000001</v>
      </c>
      <c r="U36" s="4">
        <v>22338.271000000001</v>
      </c>
      <c r="V36" s="4">
        <v>23893.591</v>
      </c>
      <c r="W36" s="4">
        <v>29519.907999999999</v>
      </c>
      <c r="X36" s="4">
        <v>24664.483</v>
      </c>
      <c r="Y36" s="4">
        <v>28181.401000000002</v>
      </c>
      <c r="Z36" s="4">
        <v>26486.972000000002</v>
      </c>
      <c r="AA36" s="4">
        <v>33951.945</v>
      </c>
      <c r="AB36" s="4">
        <v>33359.771999999997</v>
      </c>
      <c r="AC36" s="4"/>
    </row>
    <row r="37" spans="1:29" x14ac:dyDescent="0.25">
      <c r="A37" s="1"/>
      <c r="B37" t="s">
        <v>2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6093.9290000000001</v>
      </c>
      <c r="T37" s="4">
        <v>5212.4979999999996</v>
      </c>
      <c r="U37" s="4">
        <v>5933.7950000000001</v>
      </c>
      <c r="V37" s="4">
        <v>6319.5309999999999</v>
      </c>
      <c r="W37" s="4">
        <v>6856.9870000000001</v>
      </c>
      <c r="X37" s="4">
        <v>5710.2690000000002</v>
      </c>
      <c r="Y37" s="4">
        <v>6246.1549999999997</v>
      </c>
      <c r="Z37" s="4">
        <v>6666.1049999999996</v>
      </c>
      <c r="AA37" s="4">
        <v>0</v>
      </c>
      <c r="AB37" s="4">
        <v>0</v>
      </c>
      <c r="AC37" s="4"/>
    </row>
    <row r="38" spans="1:29" x14ac:dyDescent="0.25">
      <c r="A38" s="1"/>
      <c r="B38" t="s">
        <v>31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30222.502</v>
      </c>
      <c r="R38" s="4">
        <v>0</v>
      </c>
      <c r="S38" s="4">
        <v>28553.759999999998</v>
      </c>
      <c r="T38" s="4">
        <v>25498.754000000001</v>
      </c>
      <c r="U38" s="4">
        <v>32198.118999999999</v>
      </c>
      <c r="V38" s="4">
        <v>31197.429</v>
      </c>
      <c r="W38" s="4">
        <v>46408.175000000003</v>
      </c>
      <c r="X38" s="4">
        <v>39771.256000000001</v>
      </c>
      <c r="Y38" s="4">
        <v>33992.125999999997</v>
      </c>
      <c r="Z38" s="4">
        <v>30332.628000000001</v>
      </c>
      <c r="AA38" s="4">
        <v>0</v>
      </c>
      <c r="AB38" s="4">
        <v>22649.651000000002</v>
      </c>
      <c r="AC38" s="4"/>
    </row>
    <row r="39" spans="1:29" x14ac:dyDescent="0.25">
      <c r="A39" s="1"/>
      <c r="B39" t="s">
        <v>32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85048.797000000006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/>
    </row>
    <row r="40" spans="1:29" x14ac:dyDescent="0.25">
      <c r="A40" s="1"/>
      <c r="B40" t="s">
        <v>33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5534.2039999999997</v>
      </c>
      <c r="R40" s="4">
        <v>5262.2529999999997</v>
      </c>
      <c r="S40" s="4">
        <v>5397.8149999999996</v>
      </c>
      <c r="T40" s="4">
        <v>5914.27</v>
      </c>
      <c r="U40" s="4">
        <v>7526.1459999999997</v>
      </c>
      <c r="V40" s="4">
        <v>7951.0879999999997</v>
      </c>
      <c r="W40" s="4">
        <v>8110.1440000000002</v>
      </c>
      <c r="X40" s="4">
        <v>7801.1229999999996</v>
      </c>
      <c r="Y40" s="4">
        <v>7968.86</v>
      </c>
      <c r="Z40" s="4">
        <v>8216.027</v>
      </c>
      <c r="AA40" s="4">
        <v>9393.7540000000008</v>
      </c>
      <c r="AB40" s="4">
        <v>10048.409</v>
      </c>
      <c r="AC40" s="4"/>
    </row>
    <row r="41" spans="1:29" x14ac:dyDescent="0.25">
      <c r="A41" s="1"/>
      <c r="B41" t="s">
        <v>34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7443.2</v>
      </c>
      <c r="N41" s="4">
        <v>7992.6</v>
      </c>
      <c r="O41" s="4">
        <v>6532.6</v>
      </c>
      <c r="P41" s="4">
        <v>9833.2000000000007</v>
      </c>
      <c r="Q41" s="4">
        <v>8195.0519999999997</v>
      </c>
      <c r="R41" s="4">
        <v>6966.8190000000004</v>
      </c>
      <c r="S41" s="4">
        <v>8184.9409999999998</v>
      </c>
      <c r="T41" s="4">
        <v>8455.3850000000002</v>
      </c>
      <c r="U41" s="4">
        <v>7307.1379999999999</v>
      </c>
      <c r="V41" s="4">
        <v>6981.7820000000002</v>
      </c>
      <c r="W41" s="4">
        <v>6917.4530000000004</v>
      </c>
      <c r="X41" s="4">
        <v>6437.9340000000002</v>
      </c>
      <c r="Y41" s="4">
        <v>6661.5169999999998</v>
      </c>
      <c r="Z41" s="4">
        <v>6901.308</v>
      </c>
      <c r="AA41" s="4">
        <v>8260.2350000000006</v>
      </c>
      <c r="AB41" s="4">
        <v>7382.3509999999997</v>
      </c>
      <c r="AC41" s="4"/>
    </row>
    <row r="42" spans="1:29" x14ac:dyDescent="0.25">
      <c r="A42" s="1"/>
      <c r="B42" t="s">
        <v>35</v>
      </c>
      <c r="C42" s="4">
        <v>0</v>
      </c>
      <c r="D42" s="4">
        <v>0</v>
      </c>
      <c r="E42" s="4">
        <v>15126.31</v>
      </c>
      <c r="F42" s="4">
        <v>9522.2579999999998</v>
      </c>
      <c r="G42" s="4">
        <v>8249.2420000000002</v>
      </c>
      <c r="H42" s="4">
        <v>10302.67</v>
      </c>
      <c r="I42" s="4">
        <v>14413.24</v>
      </c>
      <c r="J42" s="4">
        <v>14542.096</v>
      </c>
      <c r="K42" s="4">
        <v>14285.362999999999</v>
      </c>
      <c r="L42" s="4">
        <v>9509.8629999999994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9656.8580000000002</v>
      </c>
      <c r="V42" s="4">
        <v>10124.012000000001</v>
      </c>
      <c r="W42" s="4">
        <v>12852.648999999999</v>
      </c>
      <c r="X42" s="4">
        <v>12203.228999999999</v>
      </c>
      <c r="Y42" s="4">
        <v>11231.707</v>
      </c>
      <c r="Z42" s="4">
        <v>12320.2</v>
      </c>
      <c r="AA42" s="4">
        <v>12934.933000000001</v>
      </c>
      <c r="AB42" s="4">
        <v>0</v>
      </c>
      <c r="AC42" s="4"/>
    </row>
    <row r="43" spans="1:29" x14ac:dyDescent="0.25">
      <c r="A43" s="1"/>
      <c r="B43" t="s">
        <v>36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58808.741999999998</v>
      </c>
      <c r="N43" s="4">
        <v>0</v>
      </c>
      <c r="O43" s="4">
        <v>0</v>
      </c>
      <c r="P43" s="4">
        <v>0</v>
      </c>
      <c r="Q43" s="4">
        <v>0</v>
      </c>
      <c r="R43" s="4">
        <v>85972.929000000004</v>
      </c>
      <c r="S43" s="4">
        <v>123386.90700000001</v>
      </c>
      <c r="T43" s="4">
        <v>30068.034</v>
      </c>
      <c r="U43" s="4">
        <v>33027.796000000002</v>
      </c>
      <c r="V43" s="4">
        <v>31876.721000000001</v>
      </c>
      <c r="W43" s="4">
        <v>36597.563999999998</v>
      </c>
      <c r="X43" s="4">
        <v>46785.525000000001</v>
      </c>
      <c r="Y43" s="4">
        <v>49105.175999999999</v>
      </c>
      <c r="Z43" s="4">
        <v>14092.802</v>
      </c>
      <c r="AA43" s="4">
        <v>23730.254000000001</v>
      </c>
      <c r="AB43" s="4">
        <v>22236.998</v>
      </c>
      <c r="AC43" s="4"/>
    </row>
    <row r="44" spans="1:29" x14ac:dyDescent="0.25">
      <c r="A44" s="1"/>
      <c r="B44" t="s">
        <v>37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94176.271999999997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/>
    </row>
    <row r="45" spans="1:29" x14ac:dyDescent="0.25">
      <c r="A45" s="1"/>
      <c r="B45" t="s">
        <v>5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7246.7070000000003</v>
      </c>
      <c r="V45" s="4">
        <v>11488.636</v>
      </c>
      <c r="W45" s="4">
        <v>13536.177</v>
      </c>
      <c r="X45" s="4">
        <v>12856.401</v>
      </c>
      <c r="Y45" s="4">
        <v>12971.753000000001</v>
      </c>
      <c r="Z45" s="4">
        <v>10032.758</v>
      </c>
      <c r="AA45" s="4">
        <v>13048.397999999999</v>
      </c>
      <c r="AB45" s="4">
        <v>6540.0119999999997</v>
      </c>
      <c r="AC45" s="4"/>
    </row>
    <row r="46" spans="1:29" x14ac:dyDescent="0.25">
      <c r="A46" s="1"/>
      <c r="B46" t="s">
        <v>38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7038.2</v>
      </c>
      <c r="O46" s="4">
        <v>6505.7</v>
      </c>
      <c r="P46" s="4">
        <v>8018.1019999999999</v>
      </c>
      <c r="Q46" s="4">
        <v>7462.9679999999998</v>
      </c>
      <c r="R46" s="4">
        <v>7481.9459999999999</v>
      </c>
      <c r="S46" s="4">
        <v>6602.9009999999998</v>
      </c>
      <c r="T46" s="4">
        <v>8009.1940000000004</v>
      </c>
      <c r="U46" s="4">
        <v>6631.0349999999999</v>
      </c>
      <c r="V46" s="4">
        <v>8598.48</v>
      </c>
      <c r="W46" s="4">
        <v>8071.9319999999998</v>
      </c>
      <c r="X46" s="4">
        <v>7073.6570000000002</v>
      </c>
      <c r="Y46" s="4">
        <v>8023.4889999999996</v>
      </c>
      <c r="Z46" s="4">
        <v>6081.8909999999996</v>
      </c>
      <c r="AA46" s="4">
        <v>7420.5389999999998</v>
      </c>
      <c r="AB46" s="4">
        <v>7248.2690000000002</v>
      </c>
      <c r="AC46" s="4"/>
    </row>
    <row r="47" spans="1:29" x14ac:dyDescent="0.25">
      <c r="A47" s="1"/>
      <c r="B47" t="s">
        <v>6</v>
      </c>
      <c r="C47" s="4">
        <v>108933.34</v>
      </c>
      <c r="D47" s="4">
        <v>103788.03</v>
      </c>
      <c r="E47" s="4">
        <v>125324.96</v>
      </c>
      <c r="F47" s="4">
        <v>116173.552</v>
      </c>
      <c r="G47" s="4">
        <v>114666.667</v>
      </c>
      <c r="H47" s="4">
        <v>115613.19</v>
      </c>
      <c r="I47" s="4">
        <v>117213.163</v>
      </c>
      <c r="J47" s="4">
        <v>111961.967</v>
      </c>
      <c r="K47" s="4">
        <v>105276.039</v>
      </c>
      <c r="L47" s="4">
        <v>106435.636</v>
      </c>
      <c r="M47" s="4">
        <v>97952.4</v>
      </c>
      <c r="N47" s="4">
        <v>107015.8</v>
      </c>
      <c r="O47" s="4">
        <v>100403</v>
      </c>
      <c r="P47" s="4">
        <v>110010.3</v>
      </c>
      <c r="Q47" s="4">
        <v>114043.02499999999</v>
      </c>
      <c r="R47" s="4">
        <v>102655.51700000001</v>
      </c>
      <c r="S47" s="4">
        <v>88692.822</v>
      </c>
      <c r="T47" s="4">
        <v>100135.428</v>
      </c>
      <c r="U47" s="4">
        <v>102312.91899999999</v>
      </c>
      <c r="V47" s="4">
        <v>96402.281000000003</v>
      </c>
      <c r="W47" s="4">
        <v>100677.675</v>
      </c>
      <c r="X47" s="4">
        <v>94934.395999999993</v>
      </c>
      <c r="Y47" s="4">
        <v>98294.21</v>
      </c>
      <c r="Z47" s="4">
        <v>95021.79</v>
      </c>
      <c r="AA47" s="4">
        <v>92167.8</v>
      </c>
      <c r="AB47" s="4">
        <v>0</v>
      </c>
      <c r="AC47" s="4"/>
    </row>
    <row r="48" spans="1:29" x14ac:dyDescent="0.25">
      <c r="A48" s="1"/>
      <c r="B48" t="s">
        <v>7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83091.403000000006</v>
      </c>
      <c r="L48" s="4">
        <v>71195.506999999998</v>
      </c>
      <c r="M48" s="4">
        <v>66223.66</v>
      </c>
      <c r="N48" s="4">
        <v>73024.357999999993</v>
      </c>
      <c r="O48" s="4">
        <v>74284.856</v>
      </c>
      <c r="P48" s="4">
        <v>78181.846000000005</v>
      </c>
      <c r="Q48" s="4">
        <v>76609.744999999995</v>
      </c>
      <c r="R48" s="4">
        <v>78522.498000000007</v>
      </c>
      <c r="S48" s="4">
        <v>69052.645999999993</v>
      </c>
      <c r="T48" s="4">
        <v>84444.39</v>
      </c>
      <c r="U48" s="4">
        <v>93201.501000000004</v>
      </c>
      <c r="V48" s="4">
        <v>79123.684999999998</v>
      </c>
      <c r="W48" s="4">
        <v>103397.173</v>
      </c>
      <c r="X48" s="4">
        <v>77646.52</v>
      </c>
      <c r="Y48" s="4">
        <v>94501.956000000006</v>
      </c>
      <c r="Z48" s="4">
        <v>80907.040999999997</v>
      </c>
      <c r="AA48" s="4">
        <v>85414.301999999996</v>
      </c>
      <c r="AB48" s="4">
        <v>84631.392000000007</v>
      </c>
      <c r="AC48" s="4"/>
    </row>
    <row r="49" spans="1:29" x14ac:dyDescent="0.25">
      <c r="A49" s="1"/>
      <c r="B49" t="s">
        <v>39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7540.8</v>
      </c>
      <c r="N49" s="4">
        <v>7215.6</v>
      </c>
      <c r="O49" s="4">
        <v>6776.1</v>
      </c>
      <c r="P49" s="4">
        <v>6053.8980000000001</v>
      </c>
      <c r="Q49" s="4">
        <v>6468.5060000000003</v>
      </c>
      <c r="R49" s="4">
        <v>6263.0839999999998</v>
      </c>
      <c r="S49" s="4">
        <v>6853.5739999999996</v>
      </c>
      <c r="T49" s="4">
        <v>5830.6710000000003</v>
      </c>
      <c r="U49" s="4">
        <v>5868.6779999999999</v>
      </c>
      <c r="V49" s="4">
        <v>7195.1610000000001</v>
      </c>
      <c r="W49" s="4">
        <v>7061.2950000000001</v>
      </c>
      <c r="X49" s="4">
        <v>6839.2550000000001</v>
      </c>
      <c r="Y49" s="4">
        <v>7415.8050000000003</v>
      </c>
      <c r="Z49" s="4">
        <v>6237.4539999999997</v>
      </c>
      <c r="AA49" s="4">
        <v>0</v>
      </c>
      <c r="AB49" s="4">
        <v>6389.4809999999998</v>
      </c>
      <c r="AC49" s="4"/>
    </row>
    <row r="50" spans="1:29" x14ac:dyDescent="0.25">
      <c r="A50" s="1"/>
      <c r="B50" t="s">
        <v>71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7738.6660000000002</v>
      </c>
      <c r="AC50" s="4"/>
    </row>
    <row r="51" spans="1:29" x14ac:dyDescent="0.25">
      <c r="A51" s="2"/>
      <c r="B51" t="s">
        <v>40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6360.2640000000001</v>
      </c>
      <c r="O51" s="4">
        <v>5671.4660000000003</v>
      </c>
      <c r="P51" s="4">
        <v>5856.8</v>
      </c>
      <c r="Q51" s="4">
        <v>5573.01</v>
      </c>
      <c r="R51" s="4">
        <v>5490.4089999999997</v>
      </c>
      <c r="S51" s="4">
        <v>7792.8280000000004</v>
      </c>
      <c r="T51" s="4">
        <v>10347.416999999999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6700.1639999999998</v>
      </c>
      <c r="AB51" s="4">
        <v>7555.0460000000003</v>
      </c>
      <c r="AC51" s="4"/>
    </row>
    <row r="52" spans="1:29" x14ac:dyDescent="0.25">
      <c r="A52" s="2"/>
      <c r="B52" t="s">
        <v>41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20799.385999999999</v>
      </c>
      <c r="U52" s="4">
        <v>23111.893</v>
      </c>
      <c r="V52" s="4">
        <v>21614.898000000001</v>
      </c>
      <c r="W52" s="4">
        <v>19550.346000000001</v>
      </c>
      <c r="X52" s="4">
        <v>22589.314999999999</v>
      </c>
      <c r="Y52" s="4">
        <v>24335.616999999998</v>
      </c>
      <c r="Z52" s="4">
        <v>22159.757000000001</v>
      </c>
      <c r="AA52" s="4">
        <v>35565.648999999998</v>
      </c>
      <c r="AB52" s="4">
        <v>19493.269</v>
      </c>
      <c r="AC52" s="4"/>
    </row>
    <row r="53" spans="1:29" x14ac:dyDescent="0.25">
      <c r="A53" s="2"/>
      <c r="B53" t="s">
        <v>11</v>
      </c>
      <c r="C53" s="4">
        <v>129164.31</v>
      </c>
      <c r="D53" s="4">
        <v>143881.32</v>
      </c>
      <c r="E53" s="4">
        <v>168219.41</v>
      </c>
      <c r="F53" s="4">
        <v>190207.25399999999</v>
      </c>
      <c r="G53" s="4">
        <v>195568.052</v>
      </c>
      <c r="H53" s="4">
        <v>200894.99</v>
      </c>
      <c r="I53" s="4">
        <v>202636.64199999999</v>
      </c>
      <c r="J53" s="4">
        <v>213177.87899999999</v>
      </c>
      <c r="K53" s="4">
        <v>213137.2</v>
      </c>
      <c r="L53" s="4">
        <v>221290.01</v>
      </c>
      <c r="M53" s="4">
        <v>93759.3</v>
      </c>
      <c r="N53" s="4">
        <v>101628.6</v>
      </c>
      <c r="O53" s="4">
        <v>105185</v>
      </c>
      <c r="P53" s="4">
        <v>107099.7</v>
      </c>
      <c r="Q53" s="4">
        <v>122439.158</v>
      </c>
      <c r="R53" s="4">
        <v>105937.56600000001</v>
      </c>
      <c r="S53" s="4">
        <v>114934.56600000001</v>
      </c>
      <c r="T53" s="4">
        <v>259022.17600000001</v>
      </c>
      <c r="U53" s="4">
        <v>257860.82199999999</v>
      </c>
      <c r="V53" s="4">
        <v>236229.318</v>
      </c>
      <c r="W53" s="4">
        <v>250426.21799999999</v>
      </c>
      <c r="X53" s="4">
        <v>241962.462</v>
      </c>
      <c r="Y53" s="4">
        <v>260297.53599999999</v>
      </c>
      <c r="Z53" s="4">
        <v>268520.95699999999</v>
      </c>
      <c r="AA53" s="4">
        <v>254502.63800000001</v>
      </c>
      <c r="AB53" s="4">
        <v>221947.88800000001</v>
      </c>
      <c r="AC53" s="4"/>
    </row>
    <row r="54" spans="1:29" x14ac:dyDescent="0.25">
      <c r="A54" s="2"/>
      <c r="B54" t="s">
        <v>42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47383.036999999997</v>
      </c>
      <c r="N54" s="4">
        <v>52959.351999999999</v>
      </c>
      <c r="O54" s="4">
        <v>55876.364999999998</v>
      </c>
      <c r="P54" s="4">
        <v>53630.095999999998</v>
      </c>
      <c r="Q54" s="4">
        <v>54256.131999999998</v>
      </c>
      <c r="R54" s="4">
        <v>54538.059000000001</v>
      </c>
      <c r="S54" s="4">
        <v>60396.894</v>
      </c>
      <c r="T54" s="4">
        <v>62962.088000000003</v>
      </c>
      <c r="U54" s="4">
        <v>65202.883999999998</v>
      </c>
      <c r="V54" s="4">
        <v>65090.656000000003</v>
      </c>
      <c r="W54" s="4">
        <v>67216.744000000006</v>
      </c>
      <c r="X54" s="4">
        <v>66593.778999999995</v>
      </c>
      <c r="Y54" s="4">
        <v>68821.369000000006</v>
      </c>
      <c r="Z54" s="4">
        <v>70253.587</v>
      </c>
      <c r="AA54" s="4">
        <v>68633.851999999999</v>
      </c>
      <c r="AB54" s="4">
        <v>63170.616000000002</v>
      </c>
      <c r="AC54" s="4"/>
    </row>
    <row r="55" spans="1:29" x14ac:dyDescent="0.25">
      <c r="A55" s="2"/>
      <c r="B55" t="s">
        <v>43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7973.9750000000004</v>
      </c>
      <c r="N55" s="4">
        <v>0</v>
      </c>
      <c r="O55" s="4">
        <v>6917.54</v>
      </c>
      <c r="P55" s="4">
        <v>6935.3940000000002</v>
      </c>
      <c r="Q55" s="4">
        <v>0</v>
      </c>
      <c r="R55" s="4">
        <v>0</v>
      </c>
      <c r="S55" s="4">
        <v>0</v>
      </c>
      <c r="T55" s="4">
        <v>10862.662</v>
      </c>
      <c r="U55" s="4">
        <v>0</v>
      </c>
      <c r="V55" s="4">
        <v>0</v>
      </c>
      <c r="W55" s="4">
        <v>0</v>
      </c>
      <c r="X55" s="4">
        <v>0</v>
      </c>
      <c r="Y55" s="4">
        <v>8828.9750000000004</v>
      </c>
      <c r="Z55" s="4">
        <v>0</v>
      </c>
      <c r="AA55" s="4">
        <v>0</v>
      </c>
      <c r="AB55" s="4">
        <v>0</v>
      </c>
      <c r="AC55" s="4"/>
    </row>
    <row r="56" spans="1:29" x14ac:dyDescent="0.25">
      <c r="A56" s="2"/>
      <c r="B56" t="s">
        <v>44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5425.98</v>
      </c>
      <c r="S56" s="4">
        <v>4873.4480000000003</v>
      </c>
      <c r="T56" s="4">
        <v>6978.8519999999999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5982.4660000000003</v>
      </c>
      <c r="AA56" s="4">
        <v>0</v>
      </c>
      <c r="AB56" s="4">
        <v>0</v>
      </c>
      <c r="AC56" s="4"/>
    </row>
    <row r="57" spans="1:29" x14ac:dyDescent="0.25">
      <c r="A57" s="2"/>
      <c r="B57" t="s">
        <v>45</v>
      </c>
      <c r="C57" s="4">
        <v>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125214.993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/>
    </row>
    <row r="58" spans="1:29" x14ac:dyDescent="0.25">
      <c r="A58" s="2"/>
      <c r="B58" t="s">
        <v>12</v>
      </c>
      <c r="C58" s="4">
        <v>0</v>
      </c>
      <c r="D58" s="4">
        <v>13849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/>
    </row>
    <row r="59" spans="1:29" x14ac:dyDescent="0.25">
      <c r="A59" s="2"/>
      <c r="B59" t="s">
        <v>46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3642.616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8105.7219999999998</v>
      </c>
      <c r="AB59" s="4">
        <v>0</v>
      </c>
      <c r="AC59" s="4"/>
    </row>
    <row r="60" spans="1:29" x14ac:dyDescent="0.25">
      <c r="A60" s="2"/>
      <c r="B60" t="s">
        <v>13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8823.3610000000008</v>
      </c>
      <c r="O60" s="4">
        <v>5175.0450000000001</v>
      </c>
      <c r="P60" s="4">
        <v>6982.1229999999996</v>
      </c>
      <c r="Q60" s="4">
        <v>5600.1819999999998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6158.4009999999998</v>
      </c>
      <c r="Y60" s="4">
        <v>0</v>
      </c>
      <c r="Z60" s="4">
        <v>0</v>
      </c>
      <c r="AA60" s="4">
        <v>0</v>
      </c>
      <c r="AB60" s="4">
        <v>0</v>
      </c>
      <c r="AC60" s="4"/>
    </row>
    <row r="61" spans="1:29" x14ac:dyDescent="0.25">
      <c r="A61" s="2"/>
      <c r="B61" t="s">
        <v>14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7971.7060000000001</v>
      </c>
      <c r="N61" s="4">
        <v>0</v>
      </c>
      <c r="O61" s="4">
        <v>4793.5640000000003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7614.77</v>
      </c>
      <c r="Y61" s="4">
        <v>6187.9530000000004</v>
      </c>
      <c r="Z61" s="4">
        <v>0</v>
      </c>
      <c r="AA61" s="4">
        <v>0</v>
      </c>
      <c r="AB61" s="4">
        <v>6038.4719999999998</v>
      </c>
      <c r="AC61" s="4"/>
    </row>
    <row r="62" spans="1:29" x14ac:dyDescent="0.25">
      <c r="A62" s="2"/>
      <c r="B62" t="s">
        <v>15</v>
      </c>
      <c r="C62" s="4">
        <v>16106.24</v>
      </c>
      <c r="D62" s="4">
        <v>17675.39</v>
      </c>
      <c r="E62" s="4">
        <v>19736.439999999999</v>
      </c>
      <c r="F62" s="4">
        <v>29552.723999999998</v>
      </c>
      <c r="G62" s="4">
        <v>27501.955000000002</v>
      </c>
      <c r="H62" s="4">
        <v>31503.360000000001</v>
      </c>
      <c r="I62" s="4">
        <v>26524.016</v>
      </c>
      <c r="J62" s="4">
        <v>27154.969000000001</v>
      </c>
      <c r="K62" s="4">
        <v>31290.669000000002</v>
      </c>
      <c r="L62" s="4">
        <v>37414.368000000002</v>
      </c>
      <c r="M62" s="4">
        <v>79445.067999999999</v>
      </c>
      <c r="N62" s="4">
        <v>69514.224000000002</v>
      </c>
      <c r="O62" s="4">
        <v>49546.714999999997</v>
      </c>
      <c r="P62" s="4">
        <v>59927.406000000003</v>
      </c>
      <c r="Q62" s="4">
        <v>62352.254999999997</v>
      </c>
      <c r="R62" s="4">
        <v>74425.807000000001</v>
      </c>
      <c r="S62" s="4">
        <v>76993.025999999998</v>
      </c>
      <c r="T62" s="4">
        <v>91155.739000000001</v>
      </c>
      <c r="U62" s="4">
        <v>88554.975999999995</v>
      </c>
      <c r="V62" s="4">
        <v>92857.581999999995</v>
      </c>
      <c r="W62" s="4">
        <v>103513.08</v>
      </c>
      <c r="X62" s="4">
        <v>98762.297999999995</v>
      </c>
      <c r="Y62" s="4">
        <v>102701.19</v>
      </c>
      <c r="Z62" s="4">
        <v>92725.888999999996</v>
      </c>
      <c r="AA62" s="4">
        <v>107267.02899999999</v>
      </c>
      <c r="AB62" s="4">
        <v>79787.160999999993</v>
      </c>
      <c r="AC62" s="4"/>
    </row>
    <row r="63" spans="1:29" x14ac:dyDescent="0.25">
      <c r="A63" s="2"/>
      <c r="B63" t="s">
        <v>47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505788.967</v>
      </c>
      <c r="P63" s="4">
        <v>431890.74099999998</v>
      </c>
      <c r="Q63" s="4">
        <v>193716.538</v>
      </c>
      <c r="R63" s="4">
        <v>604060.77099999995</v>
      </c>
      <c r="S63" s="4">
        <v>628144.43400000001</v>
      </c>
      <c r="T63" s="4">
        <v>456196.03100000002</v>
      </c>
      <c r="U63" s="4">
        <v>513472.06099999999</v>
      </c>
      <c r="V63" s="4">
        <v>0</v>
      </c>
      <c r="W63" s="4">
        <v>420815.12</v>
      </c>
      <c r="X63" s="4">
        <v>379334.342</v>
      </c>
      <c r="Y63" s="4">
        <v>133025.851</v>
      </c>
      <c r="Z63" s="4">
        <v>20963.812000000002</v>
      </c>
      <c r="AA63" s="4">
        <v>398510.87800000003</v>
      </c>
      <c r="AB63" s="4">
        <v>0</v>
      </c>
      <c r="AC63" s="4"/>
    </row>
    <row r="64" spans="1:29" x14ac:dyDescent="0.25">
      <c r="A64" s="2"/>
      <c r="B64" t="s">
        <v>48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7819.19</v>
      </c>
      <c r="Y64" s="4">
        <v>5984.3239999999996</v>
      </c>
      <c r="Z64" s="4">
        <v>6659.8810000000003</v>
      </c>
      <c r="AA64" s="4">
        <v>0</v>
      </c>
      <c r="AB64" s="4">
        <v>0</v>
      </c>
      <c r="AC64" s="4"/>
    </row>
    <row r="65" spans="1:29" x14ac:dyDescent="0.25">
      <c r="A65" s="2"/>
      <c r="B65" t="s">
        <v>17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50861.7</v>
      </c>
      <c r="N65" s="4">
        <v>36221.004999999997</v>
      </c>
      <c r="O65" s="4">
        <v>31352.186000000002</v>
      </c>
      <c r="P65" s="4">
        <v>37591.716999999997</v>
      </c>
      <c r="Q65" s="4">
        <v>45234.345999999998</v>
      </c>
      <c r="R65" s="4">
        <v>36219.561000000002</v>
      </c>
      <c r="S65" s="4">
        <v>46423.057000000001</v>
      </c>
      <c r="T65" s="4">
        <v>52906.349000000002</v>
      </c>
      <c r="U65" s="4">
        <v>48038.124000000003</v>
      </c>
      <c r="V65" s="4">
        <v>65500.697999999997</v>
      </c>
      <c r="W65" s="4">
        <v>91402.486000000004</v>
      </c>
      <c r="X65" s="4">
        <v>77836.365000000005</v>
      </c>
      <c r="Y65" s="4">
        <v>46182.042000000001</v>
      </c>
      <c r="Z65" s="4">
        <v>53024.908000000003</v>
      </c>
      <c r="AA65" s="4">
        <v>58027.809000000001</v>
      </c>
      <c r="AB65" s="4">
        <v>49337.741000000002</v>
      </c>
      <c r="AC65" s="4"/>
    </row>
    <row r="66" spans="1:29" x14ac:dyDescent="0.25">
      <c r="A66" s="2"/>
      <c r="B66" t="s">
        <v>49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6757.1369999999997</v>
      </c>
      <c r="O66" s="4">
        <v>6896.6689999999999</v>
      </c>
      <c r="P66" s="4">
        <v>6614.51</v>
      </c>
      <c r="Q66" s="4">
        <v>7671.0569999999998</v>
      </c>
      <c r="R66" s="4">
        <v>7324.3969999999999</v>
      </c>
      <c r="S66" s="4">
        <v>7635.9889999999996</v>
      </c>
      <c r="T66" s="4">
        <v>7052.6310000000003</v>
      </c>
      <c r="U66" s="4">
        <v>6164.933</v>
      </c>
      <c r="V66" s="4">
        <v>5212.4229999999998</v>
      </c>
      <c r="W66" s="4">
        <v>0</v>
      </c>
      <c r="X66" s="4">
        <v>5690.7190000000001</v>
      </c>
      <c r="Y66" s="4">
        <v>5507.66</v>
      </c>
      <c r="Z66" s="4">
        <v>5187.5540000000001</v>
      </c>
      <c r="AA66" s="4">
        <v>6548.134</v>
      </c>
      <c r="AB66" s="4">
        <v>0</v>
      </c>
      <c r="AC66" s="4"/>
    </row>
    <row r="67" spans="1:29" x14ac:dyDescent="0.25">
      <c r="A67" s="2"/>
      <c r="B67" t="s">
        <v>50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4089.25</v>
      </c>
      <c r="S67" s="4">
        <v>5272.9759999999997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/>
    </row>
    <row r="68" spans="1:29" x14ac:dyDescent="0.25">
      <c r="A68" s="2"/>
      <c r="B68" t="s">
        <v>51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3924.4070000000002</v>
      </c>
      <c r="S68" s="4">
        <v>0</v>
      </c>
      <c r="T68" s="4">
        <v>5100.8469999999998</v>
      </c>
      <c r="U68" s="4">
        <v>5233.6850000000004</v>
      </c>
      <c r="V68" s="4">
        <v>4832.0659999999998</v>
      </c>
      <c r="W68" s="4">
        <v>7019.4989999999998</v>
      </c>
      <c r="X68" s="4">
        <v>7228.3280000000004</v>
      </c>
      <c r="Y68" s="4">
        <v>6054.1229999999996</v>
      </c>
      <c r="Z68" s="4">
        <v>5372.6130000000003</v>
      </c>
      <c r="AA68" s="4">
        <v>0</v>
      </c>
      <c r="AB68" s="4">
        <v>0</v>
      </c>
      <c r="AC68" s="4"/>
    </row>
    <row r="69" spans="1:29" x14ac:dyDescent="0.25">
      <c r="A69" s="2"/>
      <c r="B69" t="s">
        <v>52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7700.3429999999998</v>
      </c>
      <c r="N69" s="4">
        <v>11705.994000000001</v>
      </c>
      <c r="O69" s="4">
        <v>10316.23</v>
      </c>
      <c r="P69" s="4">
        <v>13372.14</v>
      </c>
      <c r="Q69" s="4">
        <v>11131.572</v>
      </c>
      <c r="R69" s="4">
        <v>15800.513999999999</v>
      </c>
      <c r="S69" s="4">
        <v>13654.235000000001</v>
      </c>
      <c r="T69" s="4">
        <v>16180.913</v>
      </c>
      <c r="U69" s="4">
        <v>14463.638000000001</v>
      </c>
      <c r="V69" s="4">
        <v>24159.107</v>
      </c>
      <c r="W69" s="4">
        <v>7861.7510000000002</v>
      </c>
      <c r="X69" s="4">
        <v>0</v>
      </c>
      <c r="Y69" s="4">
        <v>0</v>
      </c>
      <c r="Z69" s="4">
        <v>0</v>
      </c>
      <c r="AA69" s="4">
        <v>19104.545999999998</v>
      </c>
      <c r="AB69" s="4">
        <v>11255.611000000001</v>
      </c>
      <c r="AC69" s="4"/>
    </row>
    <row r="70" spans="1:29" x14ac:dyDescent="0.25">
      <c r="A70" s="2"/>
      <c r="B70" t="s">
        <v>53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7669.1</v>
      </c>
      <c r="N70" s="4">
        <v>6929.5020000000004</v>
      </c>
      <c r="O70" s="4">
        <v>5240.6610000000001</v>
      </c>
      <c r="P70" s="4">
        <v>9001.6820000000007</v>
      </c>
      <c r="Q70" s="4">
        <v>7589.3779999999997</v>
      </c>
      <c r="R70" s="4">
        <v>9191.4869999999992</v>
      </c>
      <c r="S70" s="4">
        <v>9425.2790000000005</v>
      </c>
      <c r="T70" s="4">
        <v>7449.0439999999999</v>
      </c>
      <c r="U70" s="4">
        <v>8765.4349999999995</v>
      </c>
      <c r="V70" s="4">
        <v>10159.246999999999</v>
      </c>
      <c r="W70" s="4">
        <v>11877.28</v>
      </c>
      <c r="X70" s="4">
        <v>11395.397000000001</v>
      </c>
      <c r="Y70" s="4">
        <v>11950.993</v>
      </c>
      <c r="Z70" s="4">
        <v>11671.384</v>
      </c>
      <c r="AA70" s="4">
        <v>14278.602999999999</v>
      </c>
      <c r="AB70" s="4">
        <v>12526.066000000001</v>
      </c>
      <c r="AC70" s="4"/>
    </row>
    <row r="71" spans="1:29" x14ac:dyDescent="0.25">
      <c r="A71" s="2"/>
      <c r="B71" t="s">
        <v>19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12628.746999999999</v>
      </c>
      <c r="N71" s="4">
        <v>13493.079</v>
      </c>
      <c r="O71" s="4">
        <v>12870.082</v>
      </c>
      <c r="P71" s="4">
        <v>17809.624</v>
      </c>
      <c r="Q71" s="4">
        <v>21109.221000000001</v>
      </c>
      <c r="R71" s="4">
        <v>17963.353999999999</v>
      </c>
      <c r="S71" s="4">
        <v>20108.858</v>
      </c>
      <c r="T71" s="4">
        <v>21624.953000000001</v>
      </c>
      <c r="U71" s="4">
        <v>20029.550999999999</v>
      </c>
      <c r="V71" s="4">
        <v>20756.234</v>
      </c>
      <c r="W71" s="4">
        <v>27028.138999999999</v>
      </c>
      <c r="X71" s="4">
        <v>25311.545999999998</v>
      </c>
      <c r="Y71" s="4">
        <v>27347.669000000002</v>
      </c>
      <c r="Z71" s="4">
        <v>30768.901000000002</v>
      </c>
      <c r="AA71" s="4">
        <v>35353.692000000003</v>
      </c>
      <c r="AB71" s="4">
        <v>34829.19</v>
      </c>
      <c r="AC71" s="4"/>
    </row>
    <row r="72" spans="1:29" x14ac:dyDescent="0.25">
      <c r="A72" s="2"/>
      <c r="B72" t="s">
        <v>72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4898.3729999999996</v>
      </c>
      <c r="AA72" s="4">
        <v>6831.2020000000002</v>
      </c>
      <c r="AB72" s="4">
        <v>0</v>
      </c>
      <c r="AC72" s="4"/>
    </row>
    <row r="73" spans="1:29" x14ac:dyDescent="0.25">
      <c r="A73" s="2"/>
      <c r="B73" t="s">
        <v>54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5070.7719999999999</v>
      </c>
      <c r="U73" s="4">
        <v>5171.5429999999997</v>
      </c>
      <c r="V73" s="4">
        <v>5458.5439999999999</v>
      </c>
      <c r="W73" s="4">
        <v>6498.1959999999999</v>
      </c>
      <c r="X73" s="4">
        <v>6883.11</v>
      </c>
      <c r="Y73" s="4">
        <v>6765.7219999999998</v>
      </c>
      <c r="Z73" s="4">
        <v>6459.7309999999998</v>
      </c>
      <c r="AA73" s="4">
        <v>7520.0410000000002</v>
      </c>
      <c r="AB73" s="4">
        <v>0</v>
      </c>
      <c r="AC73" s="4"/>
    </row>
    <row r="74" spans="1:29" x14ac:dyDescent="0.25">
      <c r="A74" s="2"/>
      <c r="B74" t="s">
        <v>55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5452.7430000000004</v>
      </c>
      <c r="Q74" s="4">
        <v>6766.7529999999997</v>
      </c>
      <c r="R74" s="4">
        <v>5378.5410000000002</v>
      </c>
      <c r="S74" s="4">
        <v>5840.9930000000004</v>
      </c>
      <c r="T74" s="4">
        <v>0</v>
      </c>
      <c r="U74" s="4">
        <v>4663.0529999999999</v>
      </c>
      <c r="V74" s="4">
        <v>7054.1970000000001</v>
      </c>
      <c r="W74" s="4">
        <v>6715.9880000000003</v>
      </c>
      <c r="X74" s="4">
        <v>6354.5389999999998</v>
      </c>
      <c r="Y74" s="4">
        <v>0</v>
      </c>
      <c r="Z74" s="4">
        <v>0</v>
      </c>
      <c r="AA74" s="4">
        <v>0</v>
      </c>
      <c r="AB74" s="4">
        <v>0</v>
      </c>
      <c r="AC74" s="4"/>
    </row>
    <row r="75" spans="1:29" x14ac:dyDescent="0.25">
      <c r="A75" s="2"/>
      <c r="B75" t="s">
        <v>56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34617.936999999998</v>
      </c>
      <c r="S75" s="4">
        <v>39502</v>
      </c>
      <c r="T75" s="4">
        <v>27168</v>
      </c>
      <c r="U75" s="4">
        <v>0</v>
      </c>
      <c r="V75" s="4">
        <v>0</v>
      </c>
      <c r="W75" s="4">
        <v>65874.426999999996</v>
      </c>
      <c r="X75" s="4">
        <v>44757.36</v>
      </c>
      <c r="Y75" s="4">
        <v>0</v>
      </c>
      <c r="Z75" s="4">
        <v>0</v>
      </c>
      <c r="AA75" s="4">
        <v>0</v>
      </c>
      <c r="AB75" s="4">
        <v>16454.923999999999</v>
      </c>
      <c r="AC75" s="4"/>
    </row>
    <row r="76" spans="1:29" x14ac:dyDescent="0.25">
      <c r="A76" s="2"/>
      <c r="B76" t="s">
        <v>57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3886.6039999999998</v>
      </c>
      <c r="P76" s="4">
        <v>0</v>
      </c>
      <c r="Q76" s="4">
        <v>0</v>
      </c>
      <c r="R76" s="4">
        <v>13120.449000000001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5092.8289999999997</v>
      </c>
      <c r="AA76" s="4">
        <v>0</v>
      </c>
      <c r="AB76" s="4">
        <v>0</v>
      </c>
      <c r="AC76" s="4"/>
    </row>
    <row r="77" spans="1:29" x14ac:dyDescent="0.25">
      <c r="A77" s="2"/>
      <c r="B77" t="s">
        <v>58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6538.0420000000004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/>
    </row>
    <row r="78" spans="1:29" x14ac:dyDescent="0.25">
      <c r="A78" s="2"/>
      <c r="B78" t="s">
        <v>59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12359.117</v>
      </c>
      <c r="N78" s="4">
        <v>9889.9120000000003</v>
      </c>
      <c r="O78" s="4">
        <v>11809.575999999999</v>
      </c>
      <c r="P78" s="4">
        <v>12108.388000000001</v>
      </c>
      <c r="Q78" s="4">
        <v>12940.297</v>
      </c>
      <c r="R78" s="4">
        <v>12605.441999999999</v>
      </c>
      <c r="S78" s="4">
        <v>7456.0389999999998</v>
      </c>
      <c r="T78" s="4">
        <v>13602.357</v>
      </c>
      <c r="U78" s="4">
        <v>10434.489</v>
      </c>
      <c r="V78" s="4">
        <v>13070.477999999999</v>
      </c>
      <c r="W78" s="4">
        <v>8000.317</v>
      </c>
      <c r="X78" s="4">
        <v>10394.204</v>
      </c>
      <c r="Y78" s="4">
        <v>9980.4969999999994</v>
      </c>
      <c r="Z78" s="4">
        <v>5963.0249999999996</v>
      </c>
      <c r="AA78" s="4">
        <v>12591.147000000001</v>
      </c>
      <c r="AB78" s="4">
        <v>6142.1369999999997</v>
      </c>
      <c r="AC78" s="4"/>
    </row>
    <row r="79" spans="1:29" x14ac:dyDescent="0.25">
      <c r="A79" s="2"/>
      <c r="B79" t="s">
        <v>21</v>
      </c>
      <c r="C79" s="4">
        <v>0</v>
      </c>
      <c r="D79" s="4">
        <v>0</v>
      </c>
      <c r="E79" s="4">
        <v>46434</v>
      </c>
      <c r="F79" s="4">
        <v>78267.337</v>
      </c>
      <c r="G79" s="4">
        <v>76799.542000000001</v>
      </c>
      <c r="H79" s="4">
        <v>124162.8</v>
      </c>
      <c r="I79" s="4">
        <v>151544.58100000001</v>
      </c>
      <c r="J79" s="4">
        <v>149634.26500000001</v>
      </c>
      <c r="K79" s="4">
        <v>160172.28099999999</v>
      </c>
      <c r="L79" s="4">
        <v>191350.111</v>
      </c>
      <c r="M79" s="4">
        <v>179922.74799999999</v>
      </c>
      <c r="N79" s="4">
        <v>178728.82800000001</v>
      </c>
      <c r="O79" s="4">
        <v>177086.79399999999</v>
      </c>
      <c r="P79" s="4">
        <v>180247.43599999999</v>
      </c>
      <c r="Q79" s="4">
        <v>195348.48499999999</v>
      </c>
      <c r="R79" s="4">
        <v>234133.34599999999</v>
      </c>
      <c r="S79" s="4">
        <v>191367.81400000001</v>
      </c>
      <c r="T79" s="4">
        <v>246957.38800000001</v>
      </c>
      <c r="U79" s="4">
        <v>258502.65700000001</v>
      </c>
      <c r="V79" s="4">
        <v>310828.53200000001</v>
      </c>
      <c r="W79" s="4">
        <v>278699.88299999997</v>
      </c>
      <c r="X79" s="4">
        <v>277508.71500000003</v>
      </c>
      <c r="Y79" s="4">
        <v>330282.25799999997</v>
      </c>
      <c r="Z79" s="4">
        <v>281977.90100000001</v>
      </c>
      <c r="AA79" s="4">
        <v>347479.37400000001</v>
      </c>
      <c r="AB79" s="4">
        <v>337032.41100000002</v>
      </c>
      <c r="AC79" s="4"/>
    </row>
    <row r="80" spans="1:29" x14ac:dyDescent="0.25">
      <c r="A80" s="2"/>
      <c r="B80" t="s">
        <v>60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5849.3</v>
      </c>
      <c r="O80" s="4">
        <v>5035.6719999999996</v>
      </c>
      <c r="P80" s="4">
        <v>6050.3689999999997</v>
      </c>
      <c r="Q80" s="4">
        <v>5997.348</v>
      </c>
      <c r="R80" s="4">
        <v>5997.3729999999996</v>
      </c>
      <c r="S80" s="4">
        <v>5838.3580000000002</v>
      </c>
      <c r="T80" s="4">
        <v>5451.3609999999999</v>
      </c>
      <c r="U80" s="4">
        <v>6246.3850000000002</v>
      </c>
      <c r="V80" s="4">
        <v>6975.01</v>
      </c>
      <c r="W80" s="4">
        <v>7336.1109999999999</v>
      </c>
      <c r="X80" s="4">
        <v>0</v>
      </c>
      <c r="Y80" s="4">
        <v>6016.415</v>
      </c>
      <c r="Z80" s="4">
        <v>5607.6270000000004</v>
      </c>
      <c r="AA80" s="4">
        <v>6580.1790000000001</v>
      </c>
      <c r="AB80" s="4">
        <v>0</v>
      </c>
      <c r="AC80" s="4"/>
    </row>
    <row r="81" spans="1:29" x14ac:dyDescent="0.25">
      <c r="A81" s="2"/>
      <c r="B81" t="s">
        <v>61</v>
      </c>
      <c r="C81" s="4">
        <v>0</v>
      </c>
      <c r="D81" s="4">
        <v>0</v>
      </c>
      <c r="E81" s="4">
        <v>0</v>
      </c>
      <c r="F81" s="4">
        <v>0</v>
      </c>
      <c r="G81" s="4">
        <v>8282.2260000000006</v>
      </c>
      <c r="H81" s="4">
        <v>7815.2</v>
      </c>
      <c r="I81" s="4">
        <v>8274.1020000000008</v>
      </c>
      <c r="J81" s="4">
        <v>8078.44</v>
      </c>
      <c r="K81" s="4">
        <v>8667.2360000000008</v>
      </c>
      <c r="L81" s="4">
        <v>8661.61</v>
      </c>
      <c r="M81" s="4">
        <v>0</v>
      </c>
      <c r="N81" s="4">
        <v>0</v>
      </c>
      <c r="O81" s="4">
        <v>15129.767</v>
      </c>
      <c r="P81" s="4">
        <v>18765.07</v>
      </c>
      <c r="Q81" s="4">
        <v>17231.472000000002</v>
      </c>
      <c r="R81" s="4">
        <v>17962.991999999998</v>
      </c>
      <c r="S81" s="4">
        <v>17719.884999999998</v>
      </c>
      <c r="T81" s="4">
        <v>18355.179</v>
      </c>
      <c r="U81" s="4">
        <v>18221.672999999999</v>
      </c>
      <c r="V81" s="4">
        <v>17052.565999999999</v>
      </c>
      <c r="W81" s="4">
        <v>20353.331999999999</v>
      </c>
      <c r="X81" s="4">
        <v>8952.6419999999998</v>
      </c>
      <c r="Y81" s="4">
        <v>10242.753000000001</v>
      </c>
      <c r="Z81" s="4">
        <v>8695.0540000000001</v>
      </c>
      <c r="AA81" s="4">
        <v>10120.425999999999</v>
      </c>
      <c r="AB81" s="4">
        <v>9588.8289999999997</v>
      </c>
      <c r="AC81" s="4"/>
    </row>
    <row r="82" spans="1:29" x14ac:dyDescent="0.25">
      <c r="A82" s="2"/>
      <c r="B82" t="s">
        <v>22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588726.99</v>
      </c>
      <c r="N82" s="4">
        <v>404698.78600000002</v>
      </c>
      <c r="O82" s="4">
        <v>30105.69</v>
      </c>
      <c r="P82" s="4">
        <v>26107.094000000001</v>
      </c>
      <c r="Q82" s="4">
        <v>26921.788</v>
      </c>
      <c r="R82" s="4">
        <v>62583.612000000001</v>
      </c>
      <c r="S82" s="4">
        <v>67915.913</v>
      </c>
      <c r="T82" s="4">
        <v>44089.855000000003</v>
      </c>
      <c r="U82" s="4">
        <v>52980.207000000002</v>
      </c>
      <c r="V82" s="4">
        <v>37795.156999999999</v>
      </c>
      <c r="W82" s="4">
        <v>86125.695000000007</v>
      </c>
      <c r="X82" s="4">
        <v>79163.183000000005</v>
      </c>
      <c r="Y82" s="4">
        <v>108313.61</v>
      </c>
      <c r="Z82" s="4">
        <v>113643.58500000001</v>
      </c>
      <c r="AA82" s="4">
        <v>149877.21299999999</v>
      </c>
      <c r="AB82" s="4">
        <v>20542.282999999999</v>
      </c>
      <c r="AC82" s="4"/>
    </row>
    <row r="83" spans="1:29" x14ac:dyDescent="0.25">
      <c r="A83" s="2"/>
      <c r="B83" t="s">
        <v>62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10118.016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/>
    </row>
    <row r="84" spans="1:29" x14ac:dyDescent="0.25">
      <c r="A84" s="2"/>
      <c r="B84" t="s">
        <v>63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20760.221000000001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190507.603</v>
      </c>
      <c r="T84" s="4">
        <v>197568.50200000001</v>
      </c>
      <c r="U84" s="4">
        <v>209222.75</v>
      </c>
      <c r="V84" s="4">
        <v>212959.345</v>
      </c>
      <c r="W84" s="4">
        <v>261066.52600000001</v>
      </c>
      <c r="X84" s="4">
        <v>203782.61600000001</v>
      </c>
      <c r="Y84" s="4">
        <v>255721.03599999999</v>
      </c>
      <c r="Z84" s="4">
        <v>218455.45</v>
      </c>
      <c r="AA84" s="4">
        <v>231898.90299999999</v>
      </c>
      <c r="AB84" s="4">
        <v>183794.25899999999</v>
      </c>
      <c r="AC84" s="4"/>
    </row>
    <row r="85" spans="1:29" x14ac:dyDescent="0.25">
      <c r="A85" s="2"/>
      <c r="B85" t="s">
        <v>64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42160.455000000002</v>
      </c>
      <c r="U85" s="4">
        <v>32399.128000000001</v>
      </c>
      <c r="V85" s="4">
        <v>32555.937000000002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/>
    </row>
    <row r="86" spans="1:29" x14ac:dyDescent="0.25">
      <c r="A86" s="2"/>
      <c r="B86" t="s">
        <v>65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96044.034</v>
      </c>
      <c r="N86" s="4">
        <v>104259.194</v>
      </c>
      <c r="O86" s="4">
        <v>99324.380999999994</v>
      </c>
      <c r="P86" s="4">
        <v>107798.785</v>
      </c>
      <c r="Q86" s="4">
        <v>104299.436</v>
      </c>
      <c r="R86" s="4">
        <v>112616.912</v>
      </c>
      <c r="S86" s="4">
        <v>113983.626</v>
      </c>
      <c r="T86" s="4">
        <v>118108.22100000001</v>
      </c>
      <c r="U86" s="4">
        <v>112964.848</v>
      </c>
      <c r="V86" s="4">
        <v>207322.166</v>
      </c>
      <c r="W86" s="4">
        <v>198671.14799999999</v>
      </c>
      <c r="X86" s="4">
        <v>187840.978</v>
      </c>
      <c r="Y86" s="4">
        <v>192842.44399999999</v>
      </c>
      <c r="Z86" s="4">
        <v>176226.40599999999</v>
      </c>
      <c r="AA86" s="4">
        <v>202909.095</v>
      </c>
      <c r="AB86" s="4">
        <v>179095.35399999999</v>
      </c>
      <c r="AC86" s="4"/>
    </row>
    <row r="87" spans="1:29" x14ac:dyDescent="0.25">
      <c r="A87" s="2"/>
      <c r="B87" t="s">
        <v>70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5638.67</v>
      </c>
      <c r="AA87" s="4">
        <v>0</v>
      </c>
      <c r="AB87" s="4">
        <v>0</v>
      </c>
      <c r="AC87" s="4"/>
    </row>
    <row r="88" spans="1:29" x14ac:dyDescent="0.25">
      <c r="A88" s="2"/>
      <c r="B88" t="s">
        <v>66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12123.7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/>
    </row>
    <row r="89" spans="1:29" x14ac:dyDescent="0.25">
      <c r="C89" s="4">
        <f>SUM(C28:C88)</f>
        <v>254203.88999999998</v>
      </c>
      <c r="D89" s="4">
        <f t="shared" ref="D89:AB89" si="1">SUM(D28:D88)</f>
        <v>279193.74</v>
      </c>
      <c r="E89" s="4">
        <f t="shared" si="1"/>
        <v>374841.12000000005</v>
      </c>
      <c r="F89" s="4">
        <f t="shared" si="1"/>
        <v>423723.125</v>
      </c>
      <c r="G89" s="4">
        <f t="shared" si="1"/>
        <v>431067.68400000007</v>
      </c>
      <c r="H89" s="4">
        <f t="shared" si="1"/>
        <v>490292.20999999996</v>
      </c>
      <c r="I89" s="4">
        <f t="shared" si="1"/>
        <v>529057.27899999998</v>
      </c>
      <c r="J89" s="4">
        <f t="shared" si="1"/>
        <v>532357.93299999996</v>
      </c>
      <c r="K89" s="4">
        <f t="shared" si="1"/>
        <v>624427.33200000005</v>
      </c>
      <c r="L89" s="4">
        <f t="shared" si="1"/>
        <v>645857.10499999998</v>
      </c>
      <c r="M89" s="4">
        <f t="shared" si="1"/>
        <v>1546626.0779999997</v>
      </c>
      <c r="N89" s="4">
        <f t="shared" si="1"/>
        <v>1353418.868</v>
      </c>
      <c r="O89" s="4">
        <f t="shared" si="1"/>
        <v>1488919.8729999999</v>
      </c>
      <c r="P89" s="4">
        <f t="shared" si="1"/>
        <v>1597760.42</v>
      </c>
      <c r="Q89" s="4">
        <f t="shared" si="1"/>
        <v>1406393.5490000003</v>
      </c>
      <c r="R89" s="4">
        <f t="shared" si="1"/>
        <v>2035051.6579999998</v>
      </c>
      <c r="S89" s="4">
        <f t="shared" si="1"/>
        <v>2161307.1080000005</v>
      </c>
      <c r="T89" s="4">
        <f t="shared" si="1"/>
        <v>2186163.0010000002</v>
      </c>
      <c r="U89" s="4">
        <f t="shared" si="1"/>
        <v>2243808.0760000004</v>
      </c>
      <c r="V89" s="4">
        <f t="shared" si="1"/>
        <v>1847369.6979999999</v>
      </c>
      <c r="W89" s="4">
        <f t="shared" si="1"/>
        <v>2475110.1229999997</v>
      </c>
      <c r="X89" s="4">
        <f t="shared" si="1"/>
        <v>2258732.1390000004</v>
      </c>
      <c r="Y89" s="4">
        <f t="shared" si="1"/>
        <v>2165927.463</v>
      </c>
      <c r="Z89" s="4">
        <f t="shared" si="1"/>
        <v>1861069.6510000003</v>
      </c>
      <c r="AA89" s="4">
        <f t="shared" si="1"/>
        <v>2427423.0950000002</v>
      </c>
      <c r="AB89" s="4">
        <f t="shared" si="1"/>
        <v>1592304.4450000003</v>
      </c>
      <c r="AC89" s="4"/>
    </row>
    <row r="90" spans="1:29" x14ac:dyDescent="0.25">
      <c r="C90" s="4">
        <f>C25</f>
        <v>254203.89</v>
      </c>
      <c r="D90" s="4">
        <f t="shared" ref="D90:AB90" si="2">D25</f>
        <v>279193.74200000003</v>
      </c>
      <c r="E90" s="4">
        <f t="shared" si="2"/>
        <v>374841.12</v>
      </c>
      <c r="F90" s="4">
        <f t="shared" si="2"/>
        <v>423723.13</v>
      </c>
      <c r="G90" s="4">
        <f t="shared" si="2"/>
        <v>431067.68</v>
      </c>
      <c r="H90" s="4">
        <f t="shared" si="2"/>
        <v>490292.19999999995</v>
      </c>
      <c r="I90" s="4">
        <f t="shared" si="2"/>
        <v>529057.28000000003</v>
      </c>
      <c r="J90" s="4">
        <f t="shared" si="2"/>
        <v>532357.91999999993</v>
      </c>
      <c r="K90" s="4">
        <f t="shared" si="2"/>
        <v>624427.32000000007</v>
      </c>
      <c r="L90" s="4">
        <f t="shared" si="2"/>
        <v>645857.1</v>
      </c>
      <c r="M90" s="4">
        <f t="shared" si="2"/>
        <v>1546626.0799999998</v>
      </c>
      <c r="N90" s="4">
        <f t="shared" si="2"/>
        <v>1353418.87</v>
      </c>
      <c r="O90" s="4">
        <f t="shared" si="2"/>
        <v>1488919.87</v>
      </c>
      <c r="P90" s="4">
        <f t="shared" si="2"/>
        <v>1597760.42</v>
      </c>
      <c r="Q90" s="4">
        <f t="shared" si="2"/>
        <v>1406393.5499999998</v>
      </c>
      <c r="R90" s="4">
        <f t="shared" si="2"/>
        <v>2035051.6600000001</v>
      </c>
      <c r="S90" s="4">
        <f t="shared" si="2"/>
        <v>2161307.11</v>
      </c>
      <c r="T90" s="4">
        <f t="shared" si="2"/>
        <v>2186163.0100000002</v>
      </c>
      <c r="U90" s="4">
        <f t="shared" si="2"/>
        <v>2243808.0799999996</v>
      </c>
      <c r="V90" s="4">
        <f t="shared" si="2"/>
        <v>1847369.7</v>
      </c>
      <c r="W90" s="4">
        <f t="shared" si="2"/>
        <v>2475110.1199999996</v>
      </c>
      <c r="X90" s="4">
        <f t="shared" si="2"/>
        <v>2258732.15</v>
      </c>
      <c r="Y90" s="4">
        <f t="shared" si="2"/>
        <v>2165927.48</v>
      </c>
      <c r="Z90" s="4">
        <f t="shared" si="2"/>
        <v>1861069.6400000001</v>
      </c>
      <c r="AA90" s="4">
        <f t="shared" si="2"/>
        <v>2427423.09</v>
      </c>
      <c r="AB90" s="4">
        <f t="shared" si="2"/>
        <v>1592304.4439999999</v>
      </c>
      <c r="AC90" s="4"/>
    </row>
    <row r="94" spans="1:29" x14ac:dyDescent="0.25">
      <c r="C94">
        <f>C2</f>
        <v>2000</v>
      </c>
      <c r="D94">
        <f t="shared" ref="D94:AB94" si="3">D2</f>
        <v>2001</v>
      </c>
      <c r="E94">
        <f t="shared" si="3"/>
        <v>2002</v>
      </c>
      <c r="F94">
        <f t="shared" si="3"/>
        <v>2003</v>
      </c>
      <c r="G94">
        <f t="shared" si="3"/>
        <v>2004</v>
      </c>
      <c r="H94">
        <f t="shared" si="3"/>
        <v>2005</v>
      </c>
      <c r="I94">
        <f t="shared" si="3"/>
        <v>2006</v>
      </c>
      <c r="J94">
        <f t="shared" si="3"/>
        <v>2007</v>
      </c>
      <c r="K94">
        <f t="shared" si="3"/>
        <v>2008</v>
      </c>
      <c r="L94">
        <f t="shared" si="3"/>
        <v>2009</v>
      </c>
      <c r="M94">
        <f t="shared" si="3"/>
        <v>2010</v>
      </c>
      <c r="N94">
        <f t="shared" si="3"/>
        <v>2011</v>
      </c>
      <c r="O94">
        <f t="shared" si="3"/>
        <v>2012</v>
      </c>
      <c r="P94">
        <f t="shared" si="3"/>
        <v>2013</v>
      </c>
      <c r="Q94">
        <f t="shared" si="3"/>
        <v>2014</v>
      </c>
      <c r="R94">
        <f t="shared" si="3"/>
        <v>2015</v>
      </c>
      <c r="S94">
        <f t="shared" si="3"/>
        <v>2016</v>
      </c>
      <c r="T94">
        <f t="shared" si="3"/>
        <v>2017</v>
      </c>
      <c r="U94">
        <f t="shared" si="3"/>
        <v>2018</v>
      </c>
      <c r="V94">
        <f t="shared" si="3"/>
        <v>2019</v>
      </c>
      <c r="W94">
        <f t="shared" si="3"/>
        <v>2020</v>
      </c>
      <c r="X94">
        <f t="shared" si="3"/>
        <v>2021</v>
      </c>
      <c r="Y94">
        <f t="shared" si="3"/>
        <v>2022</v>
      </c>
      <c r="Z94">
        <f t="shared" si="3"/>
        <v>2023</v>
      </c>
      <c r="AA94">
        <f t="shared" si="3"/>
        <v>2024</v>
      </c>
      <c r="AB94">
        <f t="shared" si="3"/>
        <v>2025</v>
      </c>
    </row>
    <row r="95" spans="1:29" x14ac:dyDescent="0.25">
      <c r="B95" t="s">
        <v>73</v>
      </c>
      <c r="C95" s="4">
        <f>Raw!C81</f>
        <v>175192.17</v>
      </c>
      <c r="D95" s="4">
        <f>Raw!D81</f>
        <v>188873.47</v>
      </c>
      <c r="E95" s="4">
        <f>Raw!E81</f>
        <v>517866.6</v>
      </c>
      <c r="F95" s="4">
        <f>Raw!F81</f>
        <v>526789.85</v>
      </c>
      <c r="G95" s="4">
        <f>Raw!G81</f>
        <v>557522.37</v>
      </c>
      <c r="H95" s="4">
        <f>Raw!H81</f>
        <v>522131.31400000001</v>
      </c>
      <c r="I95" s="4">
        <f>Raw!I81</f>
        <v>511118.95</v>
      </c>
      <c r="J95" s="4">
        <f>Raw!J81</f>
        <v>654618.58000000007</v>
      </c>
      <c r="K95" s="4">
        <f>Raw!K81</f>
        <v>516348</v>
      </c>
      <c r="L95" s="4">
        <f>Raw!L81</f>
        <v>564156.12000000011</v>
      </c>
      <c r="M95" s="4">
        <f>Raw!M81</f>
        <v>1160322.7599999998</v>
      </c>
      <c r="N95" s="4">
        <f>Raw!N81</f>
        <v>1429100.48</v>
      </c>
      <c r="O95" s="4">
        <f>Raw!O81</f>
        <v>1905911.17</v>
      </c>
      <c r="P95" s="4">
        <f>Raw!P81</f>
        <v>1858816.83</v>
      </c>
      <c r="Q95" s="4">
        <f>Raw!Q81</f>
        <v>1991275.5899999999</v>
      </c>
      <c r="R95" s="4">
        <f>Raw!R81</f>
        <v>2778401.6799999997</v>
      </c>
      <c r="S95" s="4">
        <f>Raw!S81</f>
        <v>3716498.27</v>
      </c>
      <c r="T95" s="4">
        <f>Raw!T81</f>
        <v>3071138.0599999996</v>
      </c>
      <c r="U95" s="4">
        <f>Raw!U81</f>
        <v>3434677.1700000004</v>
      </c>
      <c r="V95" s="4">
        <f>Raw!V81</f>
        <v>2618926.0499999998</v>
      </c>
      <c r="W95" s="4">
        <f>Raw!W81</f>
        <v>3243958.4499999997</v>
      </c>
      <c r="X95" s="4">
        <f>Raw!X81</f>
        <v>3020853.25</v>
      </c>
      <c r="Y95" s="4">
        <f>Raw!Y81</f>
        <v>3046071.1299999994</v>
      </c>
      <c r="Z95" s="4">
        <f>Raw!Z81</f>
        <v>2549585.4999999995</v>
      </c>
      <c r="AA95" s="4">
        <f>Raw!AA81</f>
        <v>3039529.1700000004</v>
      </c>
      <c r="AB95" s="4">
        <f>Raw!AB81</f>
        <v>1274013.73</v>
      </c>
    </row>
    <row r="96" spans="1:29" x14ac:dyDescent="0.25">
      <c r="B96" t="s">
        <v>74</v>
      </c>
      <c r="C96" s="4">
        <f>C90</f>
        <v>254203.89</v>
      </c>
      <c r="D96" s="4">
        <f t="shared" ref="D96:AB96" si="4">D90</f>
        <v>279193.74200000003</v>
      </c>
      <c r="E96" s="4">
        <f t="shared" si="4"/>
        <v>374841.12</v>
      </c>
      <c r="F96" s="4">
        <f t="shared" si="4"/>
        <v>423723.13</v>
      </c>
      <c r="G96" s="4">
        <f t="shared" si="4"/>
        <v>431067.68</v>
      </c>
      <c r="H96" s="4">
        <f t="shared" si="4"/>
        <v>490292.19999999995</v>
      </c>
      <c r="I96" s="4">
        <f t="shared" si="4"/>
        <v>529057.28000000003</v>
      </c>
      <c r="J96" s="4">
        <f t="shared" si="4"/>
        <v>532357.91999999993</v>
      </c>
      <c r="K96" s="4">
        <f t="shared" si="4"/>
        <v>624427.32000000007</v>
      </c>
      <c r="L96" s="4">
        <f t="shared" si="4"/>
        <v>645857.1</v>
      </c>
      <c r="M96" s="4">
        <f t="shared" si="4"/>
        <v>1546626.0799999998</v>
      </c>
      <c r="N96" s="4">
        <f t="shared" si="4"/>
        <v>1353418.87</v>
      </c>
      <c r="O96" s="4">
        <f t="shared" si="4"/>
        <v>1488919.87</v>
      </c>
      <c r="P96" s="4">
        <f t="shared" si="4"/>
        <v>1597760.42</v>
      </c>
      <c r="Q96" s="4">
        <f t="shared" si="4"/>
        <v>1406393.5499999998</v>
      </c>
      <c r="R96" s="4">
        <f t="shared" si="4"/>
        <v>2035051.6600000001</v>
      </c>
      <c r="S96" s="4">
        <f t="shared" si="4"/>
        <v>2161307.11</v>
      </c>
      <c r="T96" s="4">
        <f t="shared" si="4"/>
        <v>2186163.0100000002</v>
      </c>
      <c r="U96" s="4">
        <f t="shared" si="4"/>
        <v>2243808.0799999996</v>
      </c>
      <c r="V96" s="4">
        <f t="shared" si="4"/>
        <v>1847369.7</v>
      </c>
      <c r="W96" s="4">
        <f t="shared" si="4"/>
        <v>2475110.1199999996</v>
      </c>
      <c r="X96" s="4">
        <f t="shared" si="4"/>
        <v>2258732.15</v>
      </c>
      <c r="Y96" s="4">
        <f t="shared" si="4"/>
        <v>2165927.48</v>
      </c>
      <c r="Z96" s="4">
        <f t="shared" si="4"/>
        <v>1861069.6400000001</v>
      </c>
      <c r="AA96" s="4">
        <f t="shared" si="4"/>
        <v>2427423.09</v>
      </c>
      <c r="AB96" s="4">
        <f t="shared" si="4"/>
        <v>1592304.4439999999</v>
      </c>
    </row>
    <row r="126" spans="2:28" x14ac:dyDescent="0.25">
      <c r="C126">
        <f>C2</f>
        <v>2000</v>
      </c>
      <c r="D126">
        <f t="shared" ref="D126:AB126" si="5">D2</f>
        <v>2001</v>
      </c>
      <c r="E126">
        <f t="shared" si="5"/>
        <v>2002</v>
      </c>
      <c r="F126">
        <f t="shared" si="5"/>
        <v>2003</v>
      </c>
      <c r="G126">
        <f t="shared" si="5"/>
        <v>2004</v>
      </c>
      <c r="H126">
        <f t="shared" si="5"/>
        <v>2005</v>
      </c>
      <c r="I126">
        <f t="shared" si="5"/>
        <v>2006</v>
      </c>
      <c r="J126">
        <f t="shared" si="5"/>
        <v>2007</v>
      </c>
      <c r="K126">
        <f t="shared" si="5"/>
        <v>2008</v>
      </c>
      <c r="L126">
        <f t="shared" si="5"/>
        <v>2009</v>
      </c>
      <c r="M126">
        <f t="shared" si="5"/>
        <v>2010</v>
      </c>
      <c r="N126">
        <f t="shared" si="5"/>
        <v>2011</v>
      </c>
      <c r="O126">
        <f t="shared" si="5"/>
        <v>2012</v>
      </c>
      <c r="P126">
        <f t="shared" si="5"/>
        <v>2013</v>
      </c>
      <c r="Q126">
        <f t="shared" si="5"/>
        <v>2014</v>
      </c>
      <c r="R126">
        <f t="shared" si="5"/>
        <v>2015</v>
      </c>
      <c r="S126">
        <f t="shared" si="5"/>
        <v>2016</v>
      </c>
      <c r="T126">
        <f t="shared" si="5"/>
        <v>2017</v>
      </c>
      <c r="U126">
        <f t="shared" si="5"/>
        <v>2018</v>
      </c>
      <c r="V126">
        <f t="shared" si="5"/>
        <v>2019</v>
      </c>
      <c r="W126">
        <f t="shared" si="5"/>
        <v>2020</v>
      </c>
      <c r="X126">
        <f t="shared" si="5"/>
        <v>2021</v>
      </c>
      <c r="Y126">
        <f t="shared" si="5"/>
        <v>2022</v>
      </c>
      <c r="Z126">
        <f t="shared" si="5"/>
        <v>2023</v>
      </c>
      <c r="AA126">
        <f t="shared" si="5"/>
        <v>2024</v>
      </c>
      <c r="AB126">
        <f t="shared" si="5"/>
        <v>2025</v>
      </c>
    </row>
    <row r="127" spans="2:28" x14ac:dyDescent="0.25">
      <c r="B127" t="str">
        <f>Raw!B24</f>
        <v>Missing Exports</v>
      </c>
      <c r="C127" s="4">
        <f>Raw!C24</f>
        <v>0</v>
      </c>
      <c r="D127" s="4">
        <f>Raw!D24</f>
        <v>0</v>
      </c>
      <c r="E127" s="4">
        <f>Raw!E24</f>
        <v>81556.100000000006</v>
      </c>
      <c r="F127" s="4">
        <f>Raw!F24</f>
        <v>7826.4780000000001</v>
      </c>
      <c r="G127" s="4">
        <f>Raw!G24</f>
        <v>0</v>
      </c>
      <c r="H127" s="4">
        <f>Raw!H24</f>
        <v>0</v>
      </c>
      <c r="I127" s="4">
        <f>Raw!I24</f>
        <v>0</v>
      </c>
      <c r="J127" s="4">
        <f>Raw!J24</f>
        <v>213734.3</v>
      </c>
      <c r="K127" s="4">
        <f>Raw!K24</f>
        <v>0</v>
      </c>
      <c r="L127" s="4">
        <f>Raw!L24</f>
        <v>0</v>
      </c>
      <c r="M127" s="4">
        <f>Raw!M24</f>
        <v>347816.83500000002</v>
      </c>
      <c r="N127" s="4">
        <f>Raw!N24</f>
        <v>580484.25399999996</v>
      </c>
      <c r="O127" s="4">
        <f>Raw!O24</f>
        <v>1007552.2560000001</v>
      </c>
      <c r="P127" s="4">
        <f>Raw!P24</f>
        <v>607515.89</v>
      </c>
      <c r="Q127" s="4">
        <f>Raw!Q24</f>
        <v>937854.87800000003</v>
      </c>
      <c r="R127" s="4">
        <f>Raw!R24</f>
        <v>1596370.0530000001</v>
      </c>
      <c r="S127" s="4">
        <f>Raw!S24</f>
        <v>2147774.3199999998</v>
      </c>
      <c r="T127" s="4">
        <f>Raw!T24</f>
        <v>1528070.358</v>
      </c>
      <c r="U127" s="4">
        <f>Raw!U24</f>
        <v>1727496.8759999999</v>
      </c>
      <c r="V127" s="4">
        <f>Raw!V24</f>
        <v>1025653.148</v>
      </c>
      <c r="W127" s="4">
        <f>Raw!W24</f>
        <v>1707234.7690000001</v>
      </c>
      <c r="X127" s="4">
        <f>Raw!X24</f>
        <v>1528349.0419999999</v>
      </c>
      <c r="Y127" s="4">
        <f>Raw!Y24</f>
        <v>1648374.6059999999</v>
      </c>
      <c r="Z127" s="4">
        <f>Raw!Z24</f>
        <v>1221057.45</v>
      </c>
      <c r="AA127" s="4">
        <f>Raw!AA24</f>
        <v>1679601.182</v>
      </c>
      <c r="AB127" s="4">
        <f>Raw!AB24</f>
        <v>646489.23199999996</v>
      </c>
    </row>
    <row r="128" spans="2:28" x14ac:dyDescent="0.25">
      <c r="B128" t="s">
        <v>138</v>
      </c>
      <c r="C128" s="4">
        <f>'4. Summary of catch'!E41+'4. Summary of catch'!E43+'4. Summary of catch'!E45+'4. Summary of catch'!E49+'4. Summary of catch'!E50+'4. Summary of catch'!E51+'4. Summary of catch'!E54+'4. Summary of catch'!E56</f>
        <v>799928</v>
      </c>
      <c r="D128" s="4">
        <f>'4. Summary of catch'!F41+'4. Summary of catch'!F43+'4. Summary of catch'!F45+'4. Summary of catch'!F49+'4. Summary of catch'!F50+'4. Summary of catch'!F51+'4. Summary of catch'!F54+'4. Summary of catch'!F56</f>
        <v>801096</v>
      </c>
      <c r="E128" s="4">
        <f>'4. Summary of catch'!G41+'4. Summary of catch'!G43+'4. Summary of catch'!G45+'4. Summary of catch'!G49+'4. Summary of catch'!G50+'4. Summary of catch'!G51+'4. Summary of catch'!G54+'4. Summary of catch'!G56</f>
        <v>929010</v>
      </c>
      <c r="F128" s="4">
        <f>'4. Summary of catch'!H41+'4. Summary of catch'!H43+'4. Summary of catch'!H45+'4. Summary of catch'!H49+'4. Summary of catch'!H50+'4. Summary of catch'!H51+'4. Summary of catch'!H54+'4. Summary of catch'!H56</f>
        <v>903088</v>
      </c>
      <c r="G128" s="4">
        <f>'4. Summary of catch'!I41+'4. Summary of catch'!I43+'4. Summary of catch'!I45+'4. Summary of catch'!I49+'4. Summary of catch'!I50+'4. Summary of catch'!I51+'4. Summary of catch'!I54+'4. Summary of catch'!I56</f>
        <v>916286</v>
      </c>
      <c r="H128" s="4">
        <f>'4. Summary of catch'!J41+'4. Summary of catch'!J43+'4. Summary of catch'!J45+'4. Summary of catch'!J49+'4. Summary of catch'!J50+'4. Summary of catch'!J51+'4. Summary of catch'!J54+'4. Summary of catch'!J56</f>
        <v>1032583</v>
      </c>
      <c r="I128" s="4">
        <f>'4. Summary of catch'!K41+'4. Summary of catch'!K43+'4. Summary of catch'!K45+'4. Summary of catch'!K49+'4. Summary of catch'!K50+'4. Summary of catch'!K51+'4. Summary of catch'!K54+'4. Summary of catch'!K56</f>
        <v>1141718</v>
      </c>
      <c r="J128" s="4">
        <f>'4. Summary of catch'!L41+'4. Summary of catch'!L43+'4. Summary of catch'!L45+'4. Summary of catch'!L49+'4. Summary of catch'!L50+'4. Summary of catch'!L51+'4. Summary of catch'!L54+'4. Summary of catch'!L56</f>
        <v>1194701</v>
      </c>
      <c r="K128" s="4">
        <f>'4. Summary of catch'!M41+'4. Summary of catch'!M43+'4. Summary of catch'!M45+'4. Summary of catch'!M49+'4. Summary of catch'!M50+'4. Summary of catch'!M51+'4. Summary of catch'!M54+'4. Summary of catch'!M56</f>
        <v>1255344</v>
      </c>
      <c r="L128" s="4">
        <f>'4. Summary of catch'!N41+'4. Summary of catch'!N43+'4. Summary of catch'!N45+'4. Summary of catch'!N49+'4. Summary of catch'!N50+'4. Summary of catch'!N51+'4. Summary of catch'!N54+'4. Summary of catch'!N56</f>
        <v>1312509</v>
      </c>
      <c r="M128" s="4">
        <f>'4. Summary of catch'!O41+'4. Summary of catch'!O43+'4. Summary of catch'!O45+'4. Summary of catch'!O49+'4. Summary of catch'!O50+'4. Summary of catch'!O51+'4. Summary of catch'!O54+'4. Summary of catch'!O56</f>
        <v>1549838</v>
      </c>
      <c r="N128" s="4">
        <f>'4. Summary of catch'!P41+'4. Summary of catch'!P43+'4. Summary of catch'!P45+'4. Summary of catch'!P49+'4. Summary of catch'!P50+'4. Summary of catch'!P51+'4. Summary of catch'!P54+'4. Summary of catch'!P56</f>
        <v>1481560</v>
      </c>
      <c r="O128" s="4">
        <f>'4. Summary of catch'!Q41+'4. Summary of catch'!Q43+'4. Summary of catch'!Q45+'4. Summary of catch'!Q49+'4. Summary of catch'!Q50+'4. Summary of catch'!Q51+'4. Summary of catch'!Q54+'4. Summary of catch'!Q56</f>
        <v>1704854</v>
      </c>
      <c r="P128" s="4">
        <f>'4. Summary of catch'!R41+'4. Summary of catch'!R43+'4. Summary of catch'!R45+'4. Summary of catch'!R49+'4. Summary of catch'!R50+'4. Summary of catch'!R51+'4. Summary of catch'!R54+'4. Summary of catch'!R56</f>
        <v>1632840</v>
      </c>
      <c r="Q128" s="4">
        <f>'4. Summary of catch'!S41+'4. Summary of catch'!S43+'4. Summary of catch'!S45+'4. Summary of catch'!S49+'4. Summary of catch'!S50+'4. Summary of catch'!S51+'4. Summary of catch'!S54+'4. Summary of catch'!S56</f>
        <v>1803204</v>
      </c>
      <c r="R128" s="4">
        <f>'4. Summary of catch'!T41+'4. Summary of catch'!T43+'4. Summary of catch'!T45+'4. Summary of catch'!T49+'4. Summary of catch'!T50+'4. Summary of catch'!T51+'4. Summary of catch'!T54+'4. Summary of catch'!T56</f>
        <v>1456788</v>
      </c>
      <c r="S128" s="4">
        <f>'4. Summary of catch'!U41+'4. Summary of catch'!U43+'4. Summary of catch'!U45+'4. Summary of catch'!U49+'4. Summary of catch'!U50+'4. Summary of catch'!U51+'4. Summary of catch'!U54+'4. Summary of catch'!U56</f>
        <v>1553485</v>
      </c>
      <c r="T128" s="4">
        <f>'4. Summary of catch'!V41+'4. Summary of catch'!V43+'4. Summary of catch'!V45+'4. Summary of catch'!V49+'4. Summary of catch'!V50+'4. Summary of catch'!V51+'4. Summary of catch'!V54+'4. Summary of catch'!V56</f>
        <v>1457486</v>
      </c>
      <c r="U128" s="4">
        <f>'4. Summary of catch'!W41+'4. Summary of catch'!W43+'4. Summary of catch'!W45+'4. Summary of catch'!W49+'4. Summary of catch'!W50+'4. Summary of catch'!W51+'4. Summary of catch'!W54+'4. Summary of catch'!W56</f>
        <v>1604951</v>
      </c>
      <c r="V128" s="4">
        <f>'4. Summary of catch'!X41+'4. Summary of catch'!X43+'4. Summary of catch'!X45+'4. Summary of catch'!X49+'4. Summary of catch'!X50+'4. Summary of catch'!X51+'4. Summary of catch'!X54+'4. Summary of catch'!X56</f>
        <v>1670191</v>
      </c>
      <c r="W128" s="4">
        <f>'4. Summary of catch'!Y41+'4. Summary of catch'!Y43+'4. Summary of catch'!Y45+'4. Summary of catch'!Y49+'4. Summary of catch'!Y50+'4. Summary of catch'!Y51+'4. Summary of catch'!Y54+'4. Summary of catch'!Y56</f>
        <v>1514847</v>
      </c>
      <c r="X128" s="4">
        <f>'4. Summary of catch'!Z41+'4. Summary of catch'!Z43+'4. Summary of catch'!Z45+'4. Summary of catch'!Z49+'4. Summary of catch'!Z50+'4. Summary of catch'!Z51+'4. Summary of catch'!Z54+'4. Summary of catch'!Z56</f>
        <v>1438145</v>
      </c>
      <c r="Y128" s="4">
        <f>'4. Summary of catch'!AA41+'4. Summary of catch'!AA43+'4. Summary of catch'!AA45+'4. Summary of catch'!AA49+'4. Summary of catch'!AA50+'4. Summary of catch'!AA51+'4. Summary of catch'!AA54+'4. Summary of catch'!AA56</f>
        <v>1602013</v>
      </c>
      <c r="Z128" s="4">
        <f>'4. Summary of catch'!AB41+'4. Summary of catch'!AB43+'4. Summary of catch'!AB45+'4. Summary of catch'!AB49+'4. Summary of catch'!AB50+'4. Summary of catch'!AB51+'4. Summary of catch'!AB54+'4. Summary of catch'!AB56</f>
        <v>1402254</v>
      </c>
      <c r="AA128" s="4">
        <f>'4. Summary of catch'!AC41+'4. Summary of catch'!AC43+'4. Summary of catch'!AC45+'4. Summary of catch'!AC49+'4. Summary of catch'!AC50+'4. Summary of catch'!AC51+'4. Summary of catch'!AC54+'4. Summary of catch'!AC56</f>
        <v>1800851</v>
      </c>
      <c r="AB128" s="4">
        <f>'4. Summary of catch'!AD41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0A9CA-65AA-4890-A8BA-C6DF92D5D416}">
  <dimension ref="A1:BF208"/>
  <sheetViews>
    <sheetView topLeftCell="A161" zoomScale="80" zoomScaleNormal="80" workbookViewId="0">
      <pane xSplit="1" topLeftCell="E1" activePane="topRight" state="frozen"/>
      <selection activeCell="A67" sqref="A67"/>
      <selection pane="topRight" activeCell="E56" sqref="E56"/>
    </sheetView>
  </sheetViews>
  <sheetFormatPr defaultColWidth="9.140625" defaultRowHeight="13.5" x14ac:dyDescent="0.25"/>
  <cols>
    <col min="1" max="1" width="36" style="10" customWidth="1"/>
    <col min="2" max="2" width="10.140625" style="9" customWidth="1"/>
    <col min="3" max="3" width="10.7109375" style="9" bestFit="1" customWidth="1"/>
    <col min="4" max="21" width="10.140625" style="9" customWidth="1"/>
    <col min="22" max="22" width="10.7109375" style="9" customWidth="1"/>
    <col min="23" max="23" width="11.42578125" style="10" customWidth="1"/>
    <col min="24" max="26" width="10.85546875" style="10" customWidth="1"/>
    <col min="27" max="27" width="11.140625" style="10" customWidth="1"/>
    <col min="28" max="28" width="10.5703125" style="10" customWidth="1"/>
    <col min="29" max="29" width="11.85546875" style="10" customWidth="1"/>
    <col min="30" max="16384" width="9.140625" style="10"/>
  </cols>
  <sheetData>
    <row r="1" spans="1:29" s="7" customFormat="1" ht="15.75" x14ac:dyDescent="0.25">
      <c r="A1" s="5" t="s">
        <v>75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1:29" x14ac:dyDescent="0.25">
      <c r="A2" s="8" t="s">
        <v>76</v>
      </c>
    </row>
    <row r="4" spans="1:29" ht="14.25" thickBot="1" x14ac:dyDescent="0.3">
      <c r="A4" s="11" t="s">
        <v>77</v>
      </c>
      <c r="V4" s="12"/>
      <c r="W4" s="12"/>
      <c r="X4" s="12"/>
      <c r="Y4" s="12"/>
    </row>
    <row r="5" spans="1:29" s="15" customFormat="1" x14ac:dyDescent="0.25">
      <c r="A5" s="13"/>
      <c r="B5" s="14">
        <v>1997</v>
      </c>
      <c r="C5" s="14">
        <v>1998</v>
      </c>
      <c r="D5" s="14">
        <v>1999</v>
      </c>
      <c r="E5" s="14">
        <v>2000</v>
      </c>
      <c r="F5" s="14">
        <v>2001</v>
      </c>
      <c r="G5" s="14">
        <v>2002</v>
      </c>
      <c r="H5" s="14">
        <v>2003</v>
      </c>
      <c r="I5" s="14">
        <v>2004</v>
      </c>
      <c r="J5" s="14">
        <v>2005</v>
      </c>
      <c r="K5" s="14">
        <v>2006</v>
      </c>
      <c r="L5" s="14">
        <v>2007</v>
      </c>
      <c r="M5" s="14">
        <v>2008</v>
      </c>
      <c r="N5" s="14">
        <v>2009</v>
      </c>
      <c r="O5" s="14">
        <v>2010</v>
      </c>
      <c r="P5" s="14">
        <v>2011</v>
      </c>
      <c r="Q5" s="14">
        <v>2012</v>
      </c>
      <c r="R5" s="14">
        <v>2013</v>
      </c>
      <c r="S5" s="14">
        <v>2014</v>
      </c>
      <c r="T5" s="14">
        <v>2015</v>
      </c>
      <c r="U5" s="14">
        <v>2016</v>
      </c>
      <c r="V5" s="14">
        <v>2017</v>
      </c>
      <c r="W5" s="14">
        <v>2018</v>
      </c>
      <c r="X5" s="14">
        <v>2019</v>
      </c>
      <c r="Y5" s="14">
        <v>2020</v>
      </c>
      <c r="Z5" s="14">
        <v>2021</v>
      </c>
      <c r="AA5" s="14">
        <v>2022</v>
      </c>
      <c r="AB5" s="14">
        <v>2023</v>
      </c>
      <c r="AC5" s="14">
        <v>2024</v>
      </c>
    </row>
    <row r="6" spans="1:29" s="16" customFormat="1" x14ac:dyDescent="0.25">
      <c r="A6" s="16" t="s">
        <v>78</v>
      </c>
      <c r="B6" s="17">
        <v>226040</v>
      </c>
      <c r="C6" s="17">
        <v>251429</v>
      </c>
      <c r="D6" s="17">
        <v>218783</v>
      </c>
      <c r="E6" s="17">
        <v>248354</v>
      </c>
      <c r="F6" s="17">
        <v>264273</v>
      </c>
      <c r="G6" s="17">
        <v>281550</v>
      </c>
      <c r="H6" s="17">
        <v>261526</v>
      </c>
      <c r="I6" s="17">
        <v>285206</v>
      </c>
      <c r="J6" s="17">
        <v>250771</v>
      </c>
      <c r="K6" s="17">
        <v>255695</v>
      </c>
      <c r="L6" s="17">
        <v>245137</v>
      </c>
      <c r="M6" s="17">
        <v>247678</v>
      </c>
      <c r="N6" s="17">
        <v>280391</v>
      </c>
      <c r="O6" s="17">
        <v>278510</v>
      </c>
      <c r="P6" s="17">
        <v>261801</v>
      </c>
      <c r="Q6" s="17">
        <v>275109</v>
      </c>
      <c r="R6" s="17">
        <v>242854</v>
      </c>
      <c r="S6" s="17">
        <v>264682</v>
      </c>
      <c r="T6" s="17">
        <v>270141</v>
      </c>
      <c r="U6" s="17">
        <v>241014</v>
      </c>
      <c r="V6" s="17">
        <v>246633</v>
      </c>
      <c r="W6" s="17">
        <v>257487</v>
      </c>
      <c r="X6" s="17">
        <v>268608</v>
      </c>
      <c r="Y6" s="17">
        <v>212294</v>
      </c>
      <c r="Z6" s="17">
        <v>205387</v>
      </c>
      <c r="AA6" s="17">
        <v>231506</v>
      </c>
      <c r="AB6" s="17">
        <v>228004</v>
      </c>
      <c r="AC6" s="17">
        <v>226561</v>
      </c>
    </row>
    <row r="7" spans="1:29" s="16" customFormat="1" x14ac:dyDescent="0.25">
      <c r="A7" s="16" t="s">
        <v>79</v>
      </c>
      <c r="B7" s="17">
        <v>958951</v>
      </c>
      <c r="C7" s="17">
        <v>1255832</v>
      </c>
      <c r="D7" s="17">
        <v>1061850</v>
      </c>
      <c r="E7" s="17">
        <v>1143134</v>
      </c>
      <c r="F7" s="17">
        <v>1118794</v>
      </c>
      <c r="G7" s="17">
        <v>1265407</v>
      </c>
      <c r="H7" s="17">
        <v>1265759</v>
      </c>
      <c r="I7" s="17">
        <v>1354187</v>
      </c>
      <c r="J7" s="17">
        <v>1483370</v>
      </c>
      <c r="K7" s="17">
        <v>1524422</v>
      </c>
      <c r="L7" s="17">
        <v>1685359</v>
      </c>
      <c r="M7" s="17">
        <v>1736472</v>
      </c>
      <c r="N7" s="17">
        <v>1798547</v>
      </c>
      <c r="O7" s="17">
        <v>1707212</v>
      </c>
      <c r="P7" s="17">
        <v>1574849</v>
      </c>
      <c r="Q7" s="17">
        <v>1847061</v>
      </c>
      <c r="R7" s="17">
        <v>1932645</v>
      </c>
      <c r="S7" s="17">
        <v>2077821</v>
      </c>
      <c r="T7" s="17">
        <v>1771661</v>
      </c>
      <c r="U7" s="17">
        <v>1859066</v>
      </c>
      <c r="V7" s="17">
        <v>1830992</v>
      </c>
      <c r="W7" s="17">
        <v>1907318</v>
      </c>
      <c r="X7" s="17">
        <v>2098850</v>
      </c>
      <c r="Y7" s="17">
        <v>1879312</v>
      </c>
      <c r="Z7" s="17">
        <v>1834182</v>
      </c>
      <c r="AA7" s="17">
        <v>1876661</v>
      </c>
      <c r="AB7" s="17">
        <v>1836104</v>
      </c>
      <c r="AC7" s="17">
        <v>2145086</v>
      </c>
    </row>
    <row r="8" spans="1:29" s="16" customFormat="1" x14ac:dyDescent="0.25">
      <c r="A8" s="16" t="s">
        <v>80</v>
      </c>
      <c r="B8" s="17">
        <v>298668</v>
      </c>
      <c r="C8" s="17">
        <v>323645</v>
      </c>
      <c r="D8" s="17">
        <v>338479</v>
      </c>
      <c r="E8" s="17">
        <v>319855</v>
      </c>
      <c r="F8" s="17">
        <v>272484</v>
      </c>
      <c r="G8" s="17">
        <v>286202</v>
      </c>
      <c r="H8" s="17">
        <v>303907</v>
      </c>
      <c r="I8" s="17">
        <v>322176</v>
      </c>
      <c r="J8" s="17">
        <v>266737</v>
      </c>
      <c r="K8" s="17">
        <v>257594</v>
      </c>
      <c r="L8" s="17">
        <v>284659</v>
      </c>
      <c r="M8" s="17">
        <v>269551</v>
      </c>
      <c r="N8" s="17">
        <v>264350</v>
      </c>
      <c r="O8" s="17">
        <v>270121</v>
      </c>
      <c r="P8" s="17">
        <v>275545</v>
      </c>
      <c r="Q8" s="17">
        <v>242958</v>
      </c>
      <c r="R8" s="17">
        <v>229557</v>
      </c>
      <c r="S8" s="17">
        <v>206934</v>
      </c>
      <c r="T8" s="17">
        <v>214039</v>
      </c>
      <c r="U8" s="17">
        <v>198395</v>
      </c>
      <c r="V8" s="17">
        <v>171568</v>
      </c>
      <c r="W8" s="17">
        <v>232215</v>
      </c>
      <c r="X8" s="17">
        <v>186021</v>
      </c>
      <c r="Y8" s="17">
        <v>228504</v>
      </c>
      <c r="Z8" s="17">
        <v>200084</v>
      </c>
      <c r="AA8" s="17">
        <v>154240</v>
      </c>
      <c r="AB8" s="17">
        <v>111668</v>
      </c>
      <c r="AC8" s="17">
        <v>127366</v>
      </c>
    </row>
    <row r="9" spans="1:29" s="16" customFormat="1" x14ac:dyDescent="0.25">
      <c r="A9" s="16" t="s">
        <v>81</v>
      </c>
      <c r="B9" s="17">
        <v>18637</v>
      </c>
      <c r="C9" s="17">
        <v>19004</v>
      </c>
      <c r="D9" s="17">
        <v>13381</v>
      </c>
      <c r="E9" s="17">
        <v>25750</v>
      </c>
      <c r="F9" s="17">
        <v>17234</v>
      </c>
      <c r="G9" s="17">
        <v>16026</v>
      </c>
      <c r="H9" s="17">
        <v>19777</v>
      </c>
      <c r="I9" s="17">
        <v>23347</v>
      </c>
      <c r="J9" s="17">
        <v>13084</v>
      </c>
      <c r="K9" s="17">
        <v>9983</v>
      </c>
      <c r="L9" s="17">
        <v>9046</v>
      </c>
      <c r="M9" s="17">
        <v>11706</v>
      </c>
      <c r="N9" s="17">
        <v>9850</v>
      </c>
      <c r="O9" s="17">
        <v>11284</v>
      </c>
      <c r="P9" s="17">
        <v>9075</v>
      </c>
      <c r="Q9" s="17">
        <v>10659</v>
      </c>
      <c r="R9" s="17">
        <v>9202</v>
      </c>
      <c r="S9" s="17">
        <v>6348</v>
      </c>
      <c r="T9" s="17">
        <v>7261</v>
      </c>
      <c r="U9" s="17">
        <v>6677</v>
      </c>
      <c r="V9" s="17">
        <v>7529</v>
      </c>
      <c r="W9" s="17">
        <v>7016</v>
      </c>
      <c r="X9" s="17">
        <v>8811</v>
      </c>
      <c r="Y9" s="17">
        <v>9441</v>
      </c>
      <c r="Z9" s="17">
        <v>9968</v>
      </c>
      <c r="AA9" s="17">
        <v>9540</v>
      </c>
      <c r="AB9" s="17">
        <v>6925</v>
      </c>
      <c r="AC9" s="17">
        <v>7348</v>
      </c>
    </row>
    <row r="10" spans="1:29" s="16" customFormat="1" x14ac:dyDescent="0.25">
      <c r="A10" s="16" t="s">
        <v>82</v>
      </c>
      <c r="B10" s="17">
        <v>178294</v>
      </c>
      <c r="C10" s="17">
        <v>213874</v>
      </c>
      <c r="D10" s="17">
        <v>211995</v>
      </c>
      <c r="E10" s="17">
        <v>235765</v>
      </c>
      <c r="F10" s="17">
        <v>212029</v>
      </c>
      <c r="G10" s="17">
        <v>222616</v>
      </c>
      <c r="H10" s="17">
        <v>252968</v>
      </c>
      <c r="I10" s="17">
        <v>296266</v>
      </c>
      <c r="J10" s="17">
        <v>228682</v>
      </c>
      <c r="K10" s="17">
        <v>255759</v>
      </c>
      <c r="L10" s="17">
        <v>304655</v>
      </c>
      <c r="M10" s="17">
        <v>313323</v>
      </c>
      <c r="N10" s="17">
        <v>277334</v>
      </c>
      <c r="O10" s="17">
        <v>260046</v>
      </c>
      <c r="P10" s="17">
        <v>242160</v>
      </c>
      <c r="Q10" s="17">
        <v>302350</v>
      </c>
      <c r="R10" s="17">
        <v>313341</v>
      </c>
      <c r="S10" s="17">
        <v>348113</v>
      </c>
      <c r="T10" s="17">
        <v>396971</v>
      </c>
      <c r="U10" s="17">
        <v>411945</v>
      </c>
      <c r="V10" s="17">
        <v>332115</v>
      </c>
      <c r="W10" s="17">
        <v>412953</v>
      </c>
      <c r="X10" s="17">
        <v>411513</v>
      </c>
      <c r="Y10" s="17">
        <v>399659</v>
      </c>
      <c r="Z10" s="17">
        <v>419543</v>
      </c>
      <c r="AA10" s="17">
        <v>387283</v>
      </c>
      <c r="AB10" s="17">
        <v>440588</v>
      </c>
      <c r="AC10" s="17">
        <v>492338</v>
      </c>
    </row>
    <row r="11" spans="1:29" s="16" customFormat="1" ht="14.25" thickBot="1" x14ac:dyDescent="0.3">
      <c r="A11" s="18" t="s">
        <v>83</v>
      </c>
      <c r="B11" s="19">
        <v>1680590</v>
      </c>
      <c r="C11" s="19">
        <v>2063784</v>
      </c>
      <c r="D11" s="19">
        <v>1844488</v>
      </c>
      <c r="E11" s="19">
        <v>1972858</v>
      </c>
      <c r="F11" s="19">
        <v>1884814</v>
      </c>
      <c r="G11" s="19">
        <v>2071801</v>
      </c>
      <c r="H11" s="19">
        <v>2103937</v>
      </c>
      <c r="I11" s="19">
        <v>2281182</v>
      </c>
      <c r="J11" s="19">
        <v>2242644</v>
      </c>
      <c r="K11" s="19">
        <v>2303453</v>
      </c>
      <c r="L11" s="19">
        <v>2528856</v>
      </c>
      <c r="M11" s="19">
        <v>2578730</v>
      </c>
      <c r="N11" s="19">
        <v>2630472</v>
      </c>
      <c r="O11" s="19">
        <v>2527173</v>
      </c>
      <c r="P11" s="19">
        <v>2363430</v>
      </c>
      <c r="Q11" s="19">
        <v>2678137</v>
      </c>
      <c r="R11" s="19">
        <v>2727599</v>
      </c>
      <c r="S11" s="19">
        <v>2903898</v>
      </c>
      <c r="T11" s="19">
        <v>2660073</v>
      </c>
      <c r="U11" s="19">
        <v>2717097</v>
      </c>
      <c r="V11" s="19">
        <v>2588837</v>
      </c>
      <c r="W11" s="19">
        <v>2816989</v>
      </c>
      <c r="X11" s="19">
        <v>2973803</v>
      </c>
      <c r="Y11" s="19">
        <v>2729210</v>
      </c>
      <c r="Z11" s="19">
        <v>2669164</v>
      </c>
      <c r="AA11" s="19">
        <v>2659230</v>
      </c>
      <c r="AB11" s="19">
        <v>2623289</v>
      </c>
      <c r="AC11" s="19">
        <v>2998699</v>
      </c>
    </row>
    <row r="12" spans="1:29" x14ac:dyDescent="0.25">
      <c r="A12" s="8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</row>
    <row r="13" spans="1:29" ht="14.25" thickBot="1" x14ac:dyDescent="0.3">
      <c r="A13" s="11" t="s">
        <v>84</v>
      </c>
      <c r="E13" s="20"/>
      <c r="F13" s="20"/>
      <c r="P13" s="20"/>
      <c r="Q13" s="20"/>
      <c r="R13" s="20"/>
      <c r="S13" s="20"/>
      <c r="T13" s="20"/>
      <c r="V13" s="20"/>
      <c r="W13" s="20"/>
      <c r="X13" s="20"/>
      <c r="Y13" s="20"/>
      <c r="Z13" s="20"/>
      <c r="AA13" s="20"/>
      <c r="AB13" s="20"/>
      <c r="AC13" s="20"/>
    </row>
    <row r="14" spans="1:29" s="15" customFormat="1" x14ac:dyDescent="0.25">
      <c r="A14" s="13"/>
      <c r="B14" s="14">
        <v>1997</v>
      </c>
      <c r="C14" s="14">
        <v>1998</v>
      </c>
      <c r="D14" s="14">
        <v>1999</v>
      </c>
      <c r="E14" s="14">
        <v>2000</v>
      </c>
      <c r="F14" s="14">
        <v>2001</v>
      </c>
      <c r="G14" s="14">
        <v>2002</v>
      </c>
      <c r="H14" s="14">
        <v>2003</v>
      </c>
      <c r="I14" s="14">
        <v>2004</v>
      </c>
      <c r="J14" s="14">
        <v>2005</v>
      </c>
      <c r="K14" s="14">
        <v>2006</v>
      </c>
      <c r="L14" s="14">
        <v>2007</v>
      </c>
      <c r="M14" s="14">
        <v>2008</v>
      </c>
      <c r="N14" s="14">
        <v>2009</v>
      </c>
      <c r="O14" s="14">
        <v>2010</v>
      </c>
      <c r="P14" s="14">
        <v>2011</v>
      </c>
      <c r="Q14" s="14">
        <v>2012</v>
      </c>
      <c r="R14" s="14">
        <v>2013</v>
      </c>
      <c r="S14" s="14">
        <v>2014</v>
      </c>
      <c r="T14" s="14">
        <v>2015</v>
      </c>
      <c r="U14" s="14">
        <v>2016</v>
      </c>
      <c r="V14" s="14">
        <v>2017</v>
      </c>
      <c r="W14" s="14">
        <v>2018</v>
      </c>
      <c r="X14" s="14">
        <v>2019</v>
      </c>
      <c r="Y14" s="14">
        <v>2020</v>
      </c>
      <c r="Z14" s="14">
        <v>2021</v>
      </c>
      <c r="AA14" s="14">
        <v>2022</v>
      </c>
      <c r="AB14" s="14">
        <v>2023</v>
      </c>
      <c r="AC14" s="14">
        <v>2024</v>
      </c>
    </row>
    <row r="15" spans="1:29" s="16" customFormat="1" x14ac:dyDescent="0.25">
      <c r="A15" s="16" t="s">
        <v>85</v>
      </c>
      <c r="B15" s="17">
        <v>107097</v>
      </c>
      <c r="C15" s="17">
        <v>106691</v>
      </c>
      <c r="D15" s="17">
        <v>119703</v>
      </c>
      <c r="E15" s="17">
        <v>99960</v>
      </c>
      <c r="F15" s="17">
        <v>119142</v>
      </c>
      <c r="G15" s="17">
        <v>144535</v>
      </c>
      <c r="H15" s="17">
        <v>122110</v>
      </c>
      <c r="I15" s="17">
        <v>121420</v>
      </c>
      <c r="J15" s="17">
        <v>103274</v>
      </c>
      <c r="K15" s="17">
        <v>102653</v>
      </c>
      <c r="L15" s="17">
        <v>118813</v>
      </c>
      <c r="M15" s="17">
        <v>102950</v>
      </c>
      <c r="N15" s="17">
        <v>132064</v>
      </c>
      <c r="O15" s="17">
        <v>128091</v>
      </c>
      <c r="P15" s="17">
        <v>113761</v>
      </c>
      <c r="Q15" s="17">
        <v>138846</v>
      </c>
      <c r="R15" s="17">
        <v>135325</v>
      </c>
      <c r="S15" s="17">
        <v>118743</v>
      </c>
      <c r="T15" s="17">
        <v>114239</v>
      </c>
      <c r="U15" s="17">
        <v>96305</v>
      </c>
      <c r="V15" s="17">
        <v>122561</v>
      </c>
      <c r="W15" s="17">
        <v>106765</v>
      </c>
      <c r="X15" s="17">
        <v>102433</v>
      </c>
      <c r="Y15" s="17">
        <v>120645</v>
      </c>
      <c r="Z15" s="17">
        <v>89748</v>
      </c>
      <c r="AA15" s="17">
        <v>94013</v>
      </c>
      <c r="AB15" s="17">
        <v>95673</v>
      </c>
      <c r="AC15" s="17">
        <v>111036</v>
      </c>
    </row>
    <row r="16" spans="1:29" s="16" customFormat="1" x14ac:dyDescent="0.25">
      <c r="A16" s="16" t="s">
        <v>86</v>
      </c>
      <c r="B16" s="17">
        <v>147850</v>
      </c>
      <c r="C16" s="17">
        <v>165731</v>
      </c>
      <c r="D16" s="17">
        <v>176040</v>
      </c>
      <c r="E16" s="17">
        <v>164876</v>
      </c>
      <c r="F16" s="17">
        <v>150793</v>
      </c>
      <c r="G16" s="17">
        <v>172611</v>
      </c>
      <c r="H16" s="17">
        <v>159153</v>
      </c>
      <c r="I16" s="17">
        <v>198179</v>
      </c>
      <c r="J16" s="17">
        <v>164764</v>
      </c>
      <c r="K16" s="17">
        <v>171732</v>
      </c>
      <c r="L16" s="17">
        <v>167657</v>
      </c>
      <c r="M16" s="17">
        <v>168570</v>
      </c>
      <c r="N16" s="17">
        <v>160099</v>
      </c>
      <c r="O16" s="17">
        <v>142622</v>
      </c>
      <c r="P16" s="17">
        <v>167732</v>
      </c>
      <c r="Q16" s="17">
        <v>169998</v>
      </c>
      <c r="R16" s="17">
        <v>159864</v>
      </c>
      <c r="S16" s="17">
        <v>169622</v>
      </c>
      <c r="T16" s="17">
        <v>149108</v>
      </c>
      <c r="U16" s="17">
        <v>154073</v>
      </c>
      <c r="V16" s="17">
        <v>133104</v>
      </c>
      <c r="W16" s="17">
        <v>152796</v>
      </c>
      <c r="X16" s="17">
        <v>132212</v>
      </c>
      <c r="Y16" s="17">
        <v>146429</v>
      </c>
      <c r="Z16" s="17">
        <v>139424</v>
      </c>
      <c r="AA16" s="17">
        <v>146950</v>
      </c>
      <c r="AB16" s="17">
        <v>142901</v>
      </c>
      <c r="AC16" s="17">
        <v>116754</v>
      </c>
    </row>
    <row r="17" spans="1:29" s="16" customFormat="1" x14ac:dyDescent="0.25">
      <c r="A17" s="16" t="s">
        <v>87</v>
      </c>
      <c r="B17" s="17">
        <v>931033</v>
      </c>
      <c r="C17" s="17">
        <v>1230277</v>
      </c>
      <c r="D17" s="17">
        <v>1064271</v>
      </c>
      <c r="E17" s="17">
        <v>1184447</v>
      </c>
      <c r="F17" s="17">
        <v>1089888</v>
      </c>
      <c r="G17" s="17">
        <v>1239363</v>
      </c>
      <c r="H17" s="17">
        <v>1232889</v>
      </c>
      <c r="I17" s="17">
        <v>1353349</v>
      </c>
      <c r="J17" s="17">
        <v>1412235</v>
      </c>
      <c r="K17" s="17">
        <v>1482251</v>
      </c>
      <c r="L17" s="17">
        <v>1671272</v>
      </c>
      <c r="M17" s="17">
        <v>1674742</v>
      </c>
      <c r="N17" s="17">
        <v>1787098</v>
      </c>
      <c r="O17" s="17">
        <v>1684674</v>
      </c>
      <c r="P17" s="17">
        <v>1544004</v>
      </c>
      <c r="Q17" s="17">
        <v>1740330</v>
      </c>
      <c r="R17" s="17">
        <v>1848938</v>
      </c>
      <c r="S17" s="17">
        <v>1990054</v>
      </c>
      <c r="T17" s="17">
        <v>1793700</v>
      </c>
      <c r="U17" s="17">
        <v>1795696</v>
      </c>
      <c r="V17" s="17">
        <v>1617568</v>
      </c>
      <c r="W17" s="17">
        <v>1852003</v>
      </c>
      <c r="X17" s="17">
        <v>2041732</v>
      </c>
      <c r="Y17" s="17">
        <v>1725421</v>
      </c>
      <c r="Z17" s="17">
        <v>1681042</v>
      </c>
      <c r="AA17" s="17">
        <v>1723096</v>
      </c>
      <c r="AB17" s="17">
        <v>1635211</v>
      </c>
      <c r="AC17" s="17">
        <v>2096232</v>
      </c>
    </row>
    <row r="18" spans="1:29" s="16" customFormat="1" x14ac:dyDescent="0.25">
      <c r="A18" s="16" t="s">
        <v>88</v>
      </c>
      <c r="B18" s="17">
        <v>494610</v>
      </c>
      <c r="C18" s="17">
        <v>561085</v>
      </c>
      <c r="D18" s="17">
        <v>484474</v>
      </c>
      <c r="E18" s="17">
        <v>523575</v>
      </c>
      <c r="F18" s="17">
        <v>524991</v>
      </c>
      <c r="G18" s="17">
        <v>515292</v>
      </c>
      <c r="H18" s="17">
        <v>589785</v>
      </c>
      <c r="I18" s="17">
        <v>608234</v>
      </c>
      <c r="J18" s="17">
        <v>562371</v>
      </c>
      <c r="K18" s="17">
        <v>546817</v>
      </c>
      <c r="L18" s="17">
        <v>571114</v>
      </c>
      <c r="M18" s="17">
        <v>632468</v>
      </c>
      <c r="N18" s="17">
        <v>551211</v>
      </c>
      <c r="O18" s="17">
        <v>571786</v>
      </c>
      <c r="P18" s="17">
        <v>537933</v>
      </c>
      <c r="Q18" s="17">
        <v>628963</v>
      </c>
      <c r="R18" s="17">
        <v>583472</v>
      </c>
      <c r="S18" s="17">
        <v>625479</v>
      </c>
      <c r="T18" s="17">
        <v>603026</v>
      </c>
      <c r="U18" s="17">
        <v>671023</v>
      </c>
      <c r="V18" s="17">
        <v>715604</v>
      </c>
      <c r="W18" s="17">
        <v>705425</v>
      </c>
      <c r="X18" s="17">
        <v>697426</v>
      </c>
      <c r="Y18" s="17">
        <v>736715</v>
      </c>
      <c r="Z18" s="17">
        <v>758950</v>
      </c>
      <c r="AA18" s="17">
        <v>695171</v>
      </c>
      <c r="AB18" s="17">
        <v>749504</v>
      </c>
      <c r="AC18" s="17">
        <v>674677</v>
      </c>
    </row>
    <row r="19" spans="1:29" s="16" customFormat="1" ht="14.25" thickBot="1" x14ac:dyDescent="0.3">
      <c r="A19" s="18" t="s">
        <v>83</v>
      </c>
      <c r="B19" s="19">
        <v>1680590</v>
      </c>
      <c r="C19" s="19">
        <v>2063784</v>
      </c>
      <c r="D19" s="19">
        <v>1844488</v>
      </c>
      <c r="E19" s="19">
        <v>1972858</v>
      </c>
      <c r="F19" s="19">
        <v>1884814</v>
      </c>
      <c r="G19" s="19">
        <v>2071801</v>
      </c>
      <c r="H19" s="19">
        <v>2103937</v>
      </c>
      <c r="I19" s="19">
        <v>2281182</v>
      </c>
      <c r="J19" s="19">
        <v>2242644</v>
      </c>
      <c r="K19" s="19">
        <v>2303453</v>
      </c>
      <c r="L19" s="19">
        <v>2528856</v>
      </c>
      <c r="M19" s="19">
        <v>2578730</v>
      </c>
      <c r="N19" s="19">
        <v>2630472</v>
      </c>
      <c r="O19" s="19">
        <v>2527173</v>
      </c>
      <c r="P19" s="19">
        <v>2363430</v>
      </c>
      <c r="Q19" s="19">
        <v>2678137</v>
      </c>
      <c r="R19" s="19">
        <v>2727599</v>
      </c>
      <c r="S19" s="19">
        <v>2903898</v>
      </c>
      <c r="T19" s="19">
        <v>2660073</v>
      </c>
      <c r="U19" s="19">
        <v>2717097</v>
      </c>
      <c r="V19" s="19">
        <v>2588837</v>
      </c>
      <c r="W19" s="19">
        <v>2816989</v>
      </c>
      <c r="X19" s="19">
        <v>2973803</v>
      </c>
      <c r="Y19" s="19">
        <v>2729210</v>
      </c>
      <c r="Z19" s="19">
        <v>2669164</v>
      </c>
      <c r="AA19" s="19">
        <v>2659230</v>
      </c>
      <c r="AB19" s="19">
        <v>2623289</v>
      </c>
      <c r="AC19" s="19">
        <v>2998699</v>
      </c>
    </row>
    <row r="20" spans="1:29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spans="1:29" ht="14.25" thickBot="1" x14ac:dyDescent="0.3">
      <c r="A21" s="11" t="s">
        <v>89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9" s="15" customFormat="1" x14ac:dyDescent="0.25">
      <c r="A22" s="13"/>
      <c r="B22" s="14">
        <v>1997</v>
      </c>
      <c r="C22" s="14">
        <v>1998</v>
      </c>
      <c r="D22" s="14">
        <v>1999</v>
      </c>
      <c r="E22" s="14">
        <v>2000</v>
      </c>
      <c r="F22" s="14">
        <v>2001</v>
      </c>
      <c r="G22" s="14">
        <v>2002</v>
      </c>
      <c r="H22" s="14">
        <v>2003</v>
      </c>
      <c r="I22" s="14">
        <v>2004</v>
      </c>
      <c r="J22" s="14">
        <v>2005</v>
      </c>
      <c r="K22" s="14">
        <v>2006</v>
      </c>
      <c r="L22" s="14">
        <v>2007</v>
      </c>
      <c r="M22" s="14">
        <v>2008</v>
      </c>
      <c r="N22" s="14">
        <v>2009</v>
      </c>
      <c r="O22" s="14">
        <v>2010</v>
      </c>
      <c r="P22" s="14">
        <v>2011</v>
      </c>
      <c r="Q22" s="14">
        <v>2012</v>
      </c>
      <c r="R22" s="14">
        <v>2013</v>
      </c>
      <c r="S22" s="14">
        <v>2014</v>
      </c>
      <c r="T22" s="14">
        <v>2015</v>
      </c>
      <c r="U22" s="14">
        <v>2016</v>
      </c>
      <c r="V22" s="14">
        <v>2017</v>
      </c>
      <c r="W22" s="14">
        <v>2018</v>
      </c>
      <c r="X22" s="14">
        <v>2019</v>
      </c>
      <c r="Y22" s="14">
        <v>2020</v>
      </c>
      <c r="Z22" s="14">
        <v>2021</v>
      </c>
      <c r="AA22" s="14">
        <v>2022</v>
      </c>
      <c r="AB22" s="14">
        <v>2023</v>
      </c>
      <c r="AC22" s="14">
        <v>2024</v>
      </c>
    </row>
    <row r="23" spans="1:29" s="16" customFormat="1" x14ac:dyDescent="0.25">
      <c r="A23" s="22" t="s">
        <v>90</v>
      </c>
      <c r="B23" s="23"/>
      <c r="C23" s="23"/>
      <c r="D23" s="23"/>
      <c r="E23" s="23"/>
      <c r="F23" s="23"/>
      <c r="G23" s="23"/>
      <c r="H23" s="23"/>
      <c r="I23" s="23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spans="1:29" s="16" customFormat="1" x14ac:dyDescent="0.25">
      <c r="A24" s="16" t="s">
        <v>91</v>
      </c>
      <c r="B24" s="17">
        <v>11224</v>
      </c>
      <c r="C24" s="17">
        <v>5053</v>
      </c>
      <c r="D24" s="17">
        <v>7521</v>
      </c>
      <c r="E24" s="17">
        <v>6971</v>
      </c>
      <c r="F24" s="17">
        <v>5236</v>
      </c>
      <c r="G24" s="17">
        <v>5188</v>
      </c>
      <c r="H24" s="17">
        <v>5686</v>
      </c>
      <c r="I24" s="17">
        <v>4107</v>
      </c>
      <c r="J24" s="17">
        <v>3018</v>
      </c>
      <c r="K24" s="17">
        <v>4962</v>
      </c>
      <c r="L24" s="17">
        <v>4377</v>
      </c>
      <c r="M24" s="17">
        <v>3956</v>
      </c>
      <c r="N24" s="17">
        <v>3658</v>
      </c>
      <c r="O24" s="17">
        <v>2559</v>
      </c>
      <c r="P24" s="17">
        <v>2916</v>
      </c>
      <c r="Q24" s="17">
        <v>2519</v>
      </c>
      <c r="R24" s="17">
        <v>2584</v>
      </c>
      <c r="S24" s="17">
        <v>2911</v>
      </c>
      <c r="T24" s="17">
        <v>3907</v>
      </c>
      <c r="U24" s="17">
        <v>3458</v>
      </c>
      <c r="V24" s="17">
        <v>2918</v>
      </c>
      <c r="W24" s="17">
        <v>2390</v>
      </c>
      <c r="X24" s="17">
        <v>3009</v>
      </c>
      <c r="Y24" s="17">
        <v>3193</v>
      </c>
      <c r="Z24" s="17">
        <v>2888</v>
      </c>
      <c r="AA24" s="17">
        <v>2888</v>
      </c>
      <c r="AB24" s="17">
        <v>2529</v>
      </c>
      <c r="AC24" s="17">
        <v>3813</v>
      </c>
    </row>
    <row r="25" spans="1:29" s="16" customFormat="1" x14ac:dyDescent="0.25">
      <c r="A25" s="16" t="s">
        <v>92</v>
      </c>
      <c r="B25" s="17">
        <v>236</v>
      </c>
      <c r="C25" s="17">
        <v>744</v>
      </c>
      <c r="D25" s="17">
        <v>283</v>
      </c>
      <c r="E25" s="17">
        <v>318</v>
      </c>
      <c r="F25" s="17">
        <v>1495</v>
      </c>
      <c r="G25" s="17">
        <v>5192</v>
      </c>
      <c r="H25" s="17">
        <v>2367</v>
      </c>
      <c r="I25" s="17">
        <v>3285</v>
      </c>
      <c r="J25" s="17">
        <v>2927</v>
      </c>
      <c r="K25" s="17">
        <v>2432</v>
      </c>
      <c r="L25" s="17">
        <v>3510</v>
      </c>
      <c r="M25" s="17">
        <v>3858</v>
      </c>
      <c r="N25" s="17">
        <v>6483</v>
      </c>
      <c r="O25" s="17">
        <v>6617</v>
      </c>
      <c r="P25" s="17">
        <v>11164</v>
      </c>
      <c r="Q25" s="17">
        <v>30757</v>
      </c>
      <c r="R25" s="17">
        <v>16650</v>
      </c>
      <c r="S25" s="17">
        <v>20429</v>
      </c>
      <c r="T25" s="17">
        <v>24577</v>
      </c>
      <c r="U25" s="17">
        <v>13875</v>
      </c>
      <c r="V25" s="17">
        <v>24062</v>
      </c>
      <c r="W25" s="17">
        <v>40070</v>
      </c>
      <c r="X25" s="17">
        <v>39838</v>
      </c>
      <c r="Y25" s="17">
        <v>20112</v>
      </c>
      <c r="Z25" s="17">
        <v>7816</v>
      </c>
      <c r="AA25" s="17">
        <v>12503</v>
      </c>
      <c r="AB25" s="17">
        <v>20485</v>
      </c>
      <c r="AC25" s="17">
        <v>14110</v>
      </c>
    </row>
    <row r="26" spans="1:29" s="16" customFormat="1" x14ac:dyDescent="0.25">
      <c r="A26" s="16" t="s">
        <v>5</v>
      </c>
      <c r="B26" s="17">
        <v>4917</v>
      </c>
      <c r="C26" s="17">
        <v>4660</v>
      </c>
      <c r="D26" s="17">
        <v>4706</v>
      </c>
      <c r="E26" s="17">
        <v>9052</v>
      </c>
      <c r="F26" s="17">
        <v>11364</v>
      </c>
      <c r="G26" s="17">
        <v>10125</v>
      </c>
      <c r="H26" s="17">
        <v>7734</v>
      </c>
      <c r="I26" s="17">
        <v>10639</v>
      </c>
      <c r="J26" s="17">
        <v>8726</v>
      </c>
      <c r="K26" s="17">
        <v>8056</v>
      </c>
      <c r="L26" s="17">
        <v>6251</v>
      </c>
      <c r="M26" s="17">
        <v>7550</v>
      </c>
      <c r="N26" s="17">
        <v>8353</v>
      </c>
      <c r="O26" s="17">
        <v>9909</v>
      </c>
      <c r="P26" s="17">
        <v>7348</v>
      </c>
      <c r="Q26" s="17">
        <v>6854</v>
      </c>
      <c r="R26" s="17">
        <v>5471</v>
      </c>
      <c r="S26" s="17">
        <v>7011</v>
      </c>
      <c r="T26" s="17">
        <v>11662</v>
      </c>
      <c r="U26" s="17">
        <v>10408</v>
      </c>
      <c r="V26" s="17">
        <v>12136</v>
      </c>
      <c r="W26" s="17">
        <v>8876</v>
      </c>
      <c r="X26" s="17">
        <v>8940</v>
      </c>
      <c r="Y26" s="17">
        <v>8116</v>
      </c>
      <c r="Z26" s="17">
        <v>6920</v>
      </c>
      <c r="AA26" s="17">
        <v>8175</v>
      </c>
      <c r="AB26" s="17">
        <v>6055</v>
      </c>
      <c r="AC26" s="17">
        <v>10423</v>
      </c>
    </row>
    <row r="27" spans="1:29" s="16" customFormat="1" x14ac:dyDescent="0.25">
      <c r="A27" s="16" t="s">
        <v>93</v>
      </c>
      <c r="B27" s="17">
        <v>91427</v>
      </c>
      <c r="C27" s="17">
        <v>88675</v>
      </c>
      <c r="D27" s="17">
        <v>189212</v>
      </c>
      <c r="E27" s="17">
        <v>145890</v>
      </c>
      <c r="F27" s="17">
        <v>104694</v>
      </c>
      <c r="G27" s="17">
        <v>87010</v>
      </c>
      <c r="H27" s="17">
        <v>235615</v>
      </c>
      <c r="I27" s="17">
        <v>162179</v>
      </c>
      <c r="J27" s="17">
        <v>239058</v>
      </c>
      <c r="K27" s="17">
        <v>212449</v>
      </c>
      <c r="L27" s="17">
        <v>166695</v>
      </c>
      <c r="M27" s="17">
        <v>143371</v>
      </c>
      <c r="N27" s="17">
        <v>133956</v>
      </c>
      <c r="O27" s="17">
        <v>160368</v>
      </c>
      <c r="P27" s="17">
        <v>162661</v>
      </c>
      <c r="Q27" s="17">
        <v>188518</v>
      </c>
      <c r="R27" s="17">
        <v>220519</v>
      </c>
      <c r="S27" s="17">
        <v>143950</v>
      </c>
      <c r="T27" s="17">
        <v>172308</v>
      </c>
      <c r="U27" s="17">
        <v>200959</v>
      </c>
      <c r="V27" s="17">
        <v>194948</v>
      </c>
      <c r="W27" s="17">
        <v>299482</v>
      </c>
      <c r="X27" s="17">
        <v>173660</v>
      </c>
      <c r="Y27" s="17">
        <v>202661</v>
      </c>
      <c r="Z27" s="17">
        <v>119972</v>
      </c>
      <c r="AA27" s="17">
        <v>241698</v>
      </c>
      <c r="AB27" s="17">
        <v>84619</v>
      </c>
      <c r="AC27" s="17">
        <v>307626</v>
      </c>
    </row>
    <row r="28" spans="1:29" s="16" customFormat="1" x14ac:dyDescent="0.25">
      <c r="A28" s="16" t="s">
        <v>94</v>
      </c>
      <c r="B28" s="17">
        <v>204595</v>
      </c>
      <c r="C28" s="17">
        <v>158135</v>
      </c>
      <c r="D28" s="17">
        <v>153419</v>
      </c>
      <c r="E28" s="17">
        <v>152302</v>
      </c>
      <c r="F28" s="17">
        <v>282119</v>
      </c>
      <c r="G28" s="17">
        <v>365383</v>
      </c>
      <c r="H28" s="17">
        <v>90860</v>
      </c>
      <c r="I28" s="17">
        <v>107342</v>
      </c>
      <c r="J28" s="17">
        <v>212457</v>
      </c>
      <c r="K28" s="17">
        <v>176408</v>
      </c>
      <c r="L28" s="17">
        <v>201230</v>
      </c>
      <c r="M28" s="17">
        <v>248274</v>
      </c>
      <c r="N28" s="17">
        <v>333879</v>
      </c>
      <c r="O28" s="17">
        <v>208047</v>
      </c>
      <c r="P28" s="17">
        <v>223586</v>
      </c>
      <c r="Q28" s="17">
        <v>559842</v>
      </c>
      <c r="R28" s="17">
        <v>299526</v>
      </c>
      <c r="S28" s="17">
        <v>743455</v>
      </c>
      <c r="T28" s="17">
        <v>648468</v>
      </c>
      <c r="U28" s="17">
        <v>413595</v>
      </c>
      <c r="V28" s="17">
        <v>386439</v>
      </c>
      <c r="W28" s="17">
        <v>401677</v>
      </c>
      <c r="X28" s="17">
        <v>689669</v>
      </c>
      <c r="Y28" s="17">
        <v>353921</v>
      </c>
      <c r="Z28" s="17">
        <v>355703</v>
      </c>
      <c r="AA28" s="17">
        <v>238314</v>
      </c>
      <c r="AB28" s="17">
        <v>589705</v>
      </c>
      <c r="AC28" s="17">
        <v>260013</v>
      </c>
    </row>
    <row r="29" spans="1:29" s="16" customFormat="1" x14ac:dyDescent="0.25">
      <c r="A29" s="16" t="s">
        <v>95</v>
      </c>
      <c r="B29" s="17">
        <v>5083</v>
      </c>
      <c r="C29" s="17">
        <v>92023</v>
      </c>
      <c r="D29" s="17">
        <v>32851</v>
      </c>
      <c r="E29" s="17">
        <v>34186</v>
      </c>
      <c r="F29" s="17">
        <v>61826</v>
      </c>
      <c r="G29" s="17">
        <v>41436</v>
      </c>
      <c r="H29" s="17">
        <v>7496</v>
      </c>
      <c r="I29" s="17">
        <v>19104</v>
      </c>
      <c r="J29" s="17">
        <v>22026</v>
      </c>
      <c r="K29" s="17">
        <v>19233</v>
      </c>
      <c r="L29" s="17">
        <v>21935</v>
      </c>
      <c r="M29" s="17">
        <v>29964</v>
      </c>
      <c r="N29" s="17">
        <v>16985</v>
      </c>
      <c r="O29" s="17">
        <v>26286</v>
      </c>
      <c r="P29" s="17">
        <v>25936</v>
      </c>
      <c r="Q29" s="17">
        <v>33953</v>
      </c>
      <c r="R29" s="17">
        <v>46342</v>
      </c>
      <c r="S29" s="17">
        <v>88656</v>
      </c>
      <c r="T29" s="17">
        <v>37844</v>
      </c>
      <c r="U29" s="17">
        <v>90892</v>
      </c>
      <c r="V29" s="17">
        <v>33142</v>
      </c>
      <c r="W29" s="17">
        <v>37672</v>
      </c>
      <c r="X29" s="17">
        <v>15565</v>
      </c>
      <c r="Y29" s="17">
        <v>49413</v>
      </c>
      <c r="Z29" s="17">
        <v>67113</v>
      </c>
      <c r="AA29" s="17">
        <v>45303</v>
      </c>
      <c r="AB29" s="17">
        <v>52403</v>
      </c>
      <c r="AC29" s="17">
        <v>40049</v>
      </c>
    </row>
    <row r="30" spans="1:29" s="16" customFormat="1" x14ac:dyDescent="0.25">
      <c r="A30" s="16" t="s">
        <v>96</v>
      </c>
      <c r="B30" s="17">
        <v>26292</v>
      </c>
      <c r="C30" s="17">
        <v>43074</v>
      </c>
      <c r="D30" s="17">
        <v>50688</v>
      </c>
      <c r="E30" s="17">
        <v>68929</v>
      </c>
      <c r="F30" s="17">
        <v>66649</v>
      </c>
      <c r="G30" s="17">
        <v>126841</v>
      </c>
      <c r="H30" s="17">
        <v>21603</v>
      </c>
      <c r="I30" s="17">
        <v>64728</v>
      </c>
      <c r="J30" s="17">
        <v>50691</v>
      </c>
      <c r="K30" s="17">
        <v>56978</v>
      </c>
      <c r="L30" s="17">
        <v>68449</v>
      </c>
      <c r="M30" s="17">
        <v>64413</v>
      </c>
      <c r="N30" s="17">
        <v>61976</v>
      </c>
      <c r="O30" s="17">
        <v>109225</v>
      </c>
      <c r="P30" s="17">
        <v>104050</v>
      </c>
      <c r="Q30" s="17">
        <v>50786</v>
      </c>
      <c r="R30" s="17">
        <v>165365</v>
      </c>
      <c r="S30" s="17">
        <v>184785</v>
      </c>
      <c r="T30" s="17">
        <v>68933</v>
      </c>
      <c r="U30" s="17">
        <v>119535</v>
      </c>
      <c r="V30" s="17">
        <v>83133</v>
      </c>
      <c r="W30" s="17">
        <v>172918</v>
      </c>
      <c r="X30" s="17">
        <v>105696</v>
      </c>
      <c r="Y30" s="17">
        <v>135623</v>
      </c>
      <c r="Z30" s="17">
        <v>149537</v>
      </c>
      <c r="AA30" s="17">
        <v>80446</v>
      </c>
      <c r="AB30" s="17">
        <v>63913</v>
      </c>
      <c r="AC30" s="17">
        <v>68856</v>
      </c>
    </row>
    <row r="31" spans="1:29" s="16" customFormat="1" x14ac:dyDescent="0.25">
      <c r="A31" s="16" t="s">
        <v>49</v>
      </c>
      <c r="B31" s="17">
        <v>10451</v>
      </c>
      <c r="C31" s="17">
        <v>15422</v>
      </c>
      <c r="D31" s="17">
        <v>10697</v>
      </c>
      <c r="E31" s="17">
        <v>16939</v>
      </c>
      <c r="F31" s="17">
        <v>10075</v>
      </c>
      <c r="G31" s="17">
        <v>10564</v>
      </c>
      <c r="H31" s="17">
        <v>10182</v>
      </c>
      <c r="I31" s="17">
        <v>15750</v>
      </c>
      <c r="J31" s="17">
        <v>14229</v>
      </c>
      <c r="K31" s="17">
        <v>8317</v>
      </c>
      <c r="L31" s="17">
        <v>11568</v>
      </c>
      <c r="M31" s="17">
        <v>11619</v>
      </c>
      <c r="N31" s="17">
        <v>6348</v>
      </c>
      <c r="O31" s="17">
        <v>9388</v>
      </c>
      <c r="P31" s="17">
        <v>12807</v>
      </c>
      <c r="Q31" s="17">
        <v>12366</v>
      </c>
      <c r="R31" s="17">
        <v>15590</v>
      </c>
      <c r="S31" s="17">
        <v>11928</v>
      </c>
      <c r="T31" s="17">
        <v>13452</v>
      </c>
      <c r="U31" s="17">
        <v>7840</v>
      </c>
      <c r="V31" s="17">
        <v>6372</v>
      </c>
      <c r="W31" s="17">
        <v>6363</v>
      </c>
      <c r="X31" s="17">
        <v>8276</v>
      </c>
      <c r="Y31" s="17">
        <v>8661</v>
      </c>
      <c r="Z31" s="17">
        <v>8507</v>
      </c>
      <c r="AA31" s="17">
        <v>3449</v>
      </c>
      <c r="AB31" s="17">
        <v>1208</v>
      </c>
      <c r="AC31" s="17">
        <v>1327</v>
      </c>
    </row>
    <row r="32" spans="1:29" s="16" customFormat="1" x14ac:dyDescent="0.25">
      <c r="A32" s="16" t="s">
        <v>97</v>
      </c>
      <c r="B32" s="17">
        <v>94</v>
      </c>
      <c r="C32" s="17">
        <v>3</v>
      </c>
      <c r="D32" s="17">
        <v>0</v>
      </c>
      <c r="E32" s="17">
        <v>0</v>
      </c>
      <c r="F32" s="17">
        <v>0</v>
      </c>
      <c r="G32" s="17">
        <v>37</v>
      </c>
      <c r="H32" s="17">
        <v>0</v>
      </c>
      <c r="I32" s="17">
        <v>6</v>
      </c>
      <c r="J32" s="17">
        <v>105</v>
      </c>
      <c r="K32" s="17">
        <v>345</v>
      </c>
      <c r="L32" s="17">
        <v>306</v>
      </c>
      <c r="M32" s="17">
        <v>435</v>
      </c>
      <c r="N32" s="17">
        <v>294</v>
      </c>
      <c r="O32" s="17">
        <v>222</v>
      </c>
      <c r="P32" s="17">
        <v>0</v>
      </c>
      <c r="Q32" s="17">
        <v>0</v>
      </c>
      <c r="R32" s="17">
        <v>421</v>
      </c>
      <c r="S32" s="17">
        <v>274</v>
      </c>
      <c r="T32" s="17">
        <v>263</v>
      </c>
      <c r="U32" s="17">
        <v>103</v>
      </c>
      <c r="V32" s="17">
        <v>17</v>
      </c>
      <c r="W32" s="17">
        <v>423</v>
      </c>
      <c r="X32" s="17">
        <v>468</v>
      </c>
      <c r="Y32" s="17">
        <v>226</v>
      </c>
      <c r="Z32" s="17">
        <v>25</v>
      </c>
      <c r="AA32" s="17">
        <v>3</v>
      </c>
      <c r="AB32" s="17">
        <v>5</v>
      </c>
      <c r="AC32" s="17">
        <v>15</v>
      </c>
    </row>
    <row r="33" spans="1:29" s="16" customFormat="1" x14ac:dyDescent="0.25">
      <c r="A33" s="16" t="s">
        <v>98</v>
      </c>
      <c r="B33" s="17">
        <v>173423</v>
      </c>
      <c r="C33" s="17">
        <v>157502</v>
      </c>
      <c r="D33" s="17">
        <v>110850</v>
      </c>
      <c r="E33" s="17">
        <v>277079</v>
      </c>
      <c r="F33" s="17">
        <v>161608</v>
      </c>
      <c r="G33" s="17">
        <v>175329</v>
      </c>
      <c r="H33" s="17">
        <v>414491</v>
      </c>
      <c r="I33" s="17">
        <v>351707</v>
      </c>
      <c r="J33" s="17">
        <v>325755</v>
      </c>
      <c r="K33" s="17">
        <v>455597</v>
      </c>
      <c r="L33" s="17">
        <v>506890</v>
      </c>
      <c r="M33" s="17">
        <v>516090</v>
      </c>
      <c r="N33" s="17">
        <v>492111</v>
      </c>
      <c r="O33" s="17">
        <v>735683</v>
      </c>
      <c r="P33" s="17">
        <v>639327</v>
      </c>
      <c r="Q33" s="17">
        <v>590430</v>
      </c>
      <c r="R33" s="17">
        <v>619145</v>
      </c>
      <c r="S33" s="17">
        <v>345433</v>
      </c>
      <c r="T33" s="17">
        <v>190765</v>
      </c>
      <c r="U33" s="17">
        <v>351638</v>
      </c>
      <c r="V33" s="17">
        <v>392159</v>
      </c>
      <c r="W33" s="17">
        <v>375348</v>
      </c>
      <c r="X33" s="17">
        <v>380941</v>
      </c>
      <c r="Y33" s="17">
        <v>483315</v>
      </c>
      <c r="Z33" s="17">
        <v>481590</v>
      </c>
      <c r="AA33" s="17">
        <v>710997</v>
      </c>
      <c r="AB33" s="17">
        <v>438112</v>
      </c>
      <c r="AC33" s="17">
        <v>807693</v>
      </c>
    </row>
    <row r="34" spans="1:29" s="16" customFormat="1" x14ac:dyDescent="0.25">
      <c r="A34" s="16" t="s">
        <v>99</v>
      </c>
      <c r="B34" s="17">
        <v>2843</v>
      </c>
      <c r="C34" s="17">
        <v>822</v>
      </c>
      <c r="D34" s="17">
        <v>2062</v>
      </c>
      <c r="E34" s="17">
        <v>2210</v>
      </c>
      <c r="F34" s="17">
        <v>1745</v>
      </c>
      <c r="G34" s="17">
        <v>824</v>
      </c>
      <c r="H34" s="17">
        <v>5132</v>
      </c>
      <c r="I34" s="17">
        <v>7056</v>
      </c>
      <c r="J34" s="17">
        <v>4740</v>
      </c>
      <c r="K34" s="17">
        <v>8664</v>
      </c>
      <c r="L34" s="17">
        <v>3794</v>
      </c>
      <c r="M34" s="17">
        <v>7747</v>
      </c>
      <c r="N34" s="17">
        <v>2180</v>
      </c>
      <c r="O34" s="17">
        <v>2945</v>
      </c>
      <c r="P34" s="17">
        <v>2910</v>
      </c>
      <c r="Q34" s="17">
        <v>3923</v>
      </c>
      <c r="R34" s="17">
        <v>3209</v>
      </c>
      <c r="S34" s="17">
        <v>4995</v>
      </c>
      <c r="T34" s="17">
        <v>1575</v>
      </c>
      <c r="U34" s="17">
        <v>6135</v>
      </c>
      <c r="V34" s="17">
        <v>18108</v>
      </c>
      <c r="W34" s="17">
        <v>9788</v>
      </c>
      <c r="X34" s="17">
        <v>6655</v>
      </c>
      <c r="Y34" s="17">
        <v>896</v>
      </c>
      <c r="Z34" s="17">
        <v>1310</v>
      </c>
      <c r="AA34" s="17">
        <v>753</v>
      </c>
      <c r="AB34" s="17">
        <v>582</v>
      </c>
      <c r="AC34" s="17">
        <v>1721</v>
      </c>
    </row>
    <row r="35" spans="1:29" s="16" customFormat="1" x14ac:dyDescent="0.25">
      <c r="A35" s="16" t="s">
        <v>100</v>
      </c>
      <c r="B35" s="17">
        <v>5498</v>
      </c>
      <c r="C35" s="17">
        <v>6820</v>
      </c>
      <c r="D35" s="17">
        <v>6067</v>
      </c>
      <c r="E35" s="17">
        <v>5589</v>
      </c>
      <c r="F35" s="17">
        <v>5894</v>
      </c>
      <c r="G35" s="17">
        <v>4998</v>
      </c>
      <c r="H35" s="17">
        <v>2944</v>
      </c>
      <c r="I35" s="17">
        <v>1967</v>
      </c>
      <c r="J35" s="17">
        <v>1626</v>
      </c>
      <c r="K35" s="17">
        <v>2564</v>
      </c>
      <c r="L35" s="17">
        <v>3563</v>
      </c>
      <c r="M35" s="17">
        <v>2923</v>
      </c>
      <c r="N35" s="17">
        <v>3572</v>
      </c>
      <c r="O35" s="17">
        <v>3347</v>
      </c>
      <c r="P35" s="17">
        <v>2752</v>
      </c>
      <c r="Q35" s="17">
        <v>3257</v>
      </c>
      <c r="R35" s="17">
        <v>2052</v>
      </c>
      <c r="S35" s="17">
        <v>1386</v>
      </c>
      <c r="T35" s="17">
        <v>2239</v>
      </c>
      <c r="U35" s="17">
        <v>3540</v>
      </c>
      <c r="V35" s="17">
        <v>2450</v>
      </c>
      <c r="W35" s="17">
        <v>1844</v>
      </c>
      <c r="X35" s="17">
        <v>1883</v>
      </c>
      <c r="Y35" s="17">
        <v>1869</v>
      </c>
      <c r="Z35" s="17">
        <v>1308</v>
      </c>
      <c r="AA35" s="17">
        <v>1020</v>
      </c>
      <c r="AB35" s="17">
        <v>1463</v>
      </c>
      <c r="AC35" s="17">
        <v>454</v>
      </c>
    </row>
    <row r="36" spans="1:29" s="16" customFormat="1" x14ac:dyDescent="0.25">
      <c r="A36" s="16" t="s">
        <v>101</v>
      </c>
      <c r="B36" s="17">
        <v>65177</v>
      </c>
      <c r="C36" s="17">
        <v>167724</v>
      </c>
      <c r="D36" s="17">
        <v>48499</v>
      </c>
      <c r="E36" s="17">
        <v>9672</v>
      </c>
      <c r="F36" s="17">
        <v>36773</v>
      </c>
      <c r="G36" s="17">
        <v>25606</v>
      </c>
      <c r="H36" s="17">
        <v>68742</v>
      </c>
      <c r="I36" s="17">
        <v>120600</v>
      </c>
      <c r="J36" s="17">
        <v>99329</v>
      </c>
      <c r="K36" s="17">
        <v>133163</v>
      </c>
      <c r="L36" s="17">
        <v>121810</v>
      </c>
      <c r="M36" s="17">
        <v>144209</v>
      </c>
      <c r="N36" s="17">
        <v>141851</v>
      </c>
      <c r="O36" s="17">
        <v>180989</v>
      </c>
      <c r="P36" s="17">
        <v>177888</v>
      </c>
      <c r="Q36" s="17">
        <v>97888</v>
      </c>
      <c r="R36" s="17">
        <v>131738</v>
      </c>
      <c r="S36" s="17">
        <v>89226</v>
      </c>
      <c r="T36" s="17">
        <v>126341</v>
      </c>
      <c r="U36" s="17">
        <v>165215</v>
      </c>
      <c r="V36" s="17">
        <v>172012</v>
      </c>
      <c r="W36" s="17">
        <v>89885</v>
      </c>
      <c r="X36" s="17">
        <v>74035</v>
      </c>
      <c r="Y36" s="17">
        <v>108096</v>
      </c>
      <c r="Z36" s="17">
        <v>121666</v>
      </c>
      <c r="AA36" s="17">
        <v>155380</v>
      </c>
      <c r="AB36" s="17">
        <v>58990</v>
      </c>
      <c r="AC36" s="17">
        <v>165760</v>
      </c>
    </row>
    <row r="37" spans="1:29" s="16" customFormat="1" x14ac:dyDescent="0.25">
      <c r="A37" s="16" t="s">
        <v>102</v>
      </c>
      <c r="B37" s="17">
        <v>100</v>
      </c>
      <c r="C37" s="17">
        <v>2046</v>
      </c>
      <c r="D37" s="17">
        <v>2050</v>
      </c>
      <c r="E37" s="17">
        <v>5652</v>
      </c>
      <c r="F37" s="17">
        <v>1314</v>
      </c>
      <c r="G37" s="17">
        <v>6778</v>
      </c>
      <c r="H37" s="17">
        <v>85</v>
      </c>
      <c r="I37" s="17">
        <v>997</v>
      </c>
      <c r="J37" s="17">
        <v>4855</v>
      </c>
      <c r="K37" s="17">
        <v>1088</v>
      </c>
      <c r="L37" s="17">
        <v>901</v>
      </c>
      <c r="M37" s="17">
        <v>3944</v>
      </c>
      <c r="N37" s="17">
        <v>7267</v>
      </c>
      <c r="O37" s="17">
        <v>3992</v>
      </c>
      <c r="P37" s="17">
        <v>20260</v>
      </c>
      <c r="Q37" s="17">
        <v>21234</v>
      </c>
      <c r="R37" s="17">
        <v>15848</v>
      </c>
      <c r="S37" s="17">
        <v>26982</v>
      </c>
      <c r="T37" s="17">
        <v>47619</v>
      </c>
      <c r="U37" s="17">
        <v>8781</v>
      </c>
      <c r="V37" s="17">
        <v>36287</v>
      </c>
      <c r="W37" s="17">
        <v>39607</v>
      </c>
      <c r="X37" s="17">
        <v>9064</v>
      </c>
      <c r="Y37" s="17">
        <v>18462</v>
      </c>
      <c r="Z37" s="17">
        <v>6949</v>
      </c>
      <c r="AA37" s="17">
        <v>5455</v>
      </c>
      <c r="AB37" s="17">
        <v>5267</v>
      </c>
      <c r="AC37" s="17">
        <v>12504</v>
      </c>
    </row>
    <row r="38" spans="1:29" s="16" customFormat="1" x14ac:dyDescent="0.25">
      <c r="A38" s="16" t="s">
        <v>103</v>
      </c>
      <c r="B38" s="17">
        <v>663</v>
      </c>
      <c r="C38" s="17">
        <v>825</v>
      </c>
      <c r="D38" s="17">
        <v>1075</v>
      </c>
      <c r="E38" s="17">
        <v>1158</v>
      </c>
      <c r="F38" s="17">
        <v>1552</v>
      </c>
      <c r="G38" s="17">
        <v>1253</v>
      </c>
      <c r="H38" s="17">
        <v>654</v>
      </c>
      <c r="I38" s="17">
        <v>427</v>
      </c>
      <c r="J38" s="17">
        <v>598</v>
      </c>
      <c r="K38" s="17">
        <v>753</v>
      </c>
      <c r="L38" s="17">
        <v>822</v>
      </c>
      <c r="M38" s="17">
        <v>592</v>
      </c>
      <c r="N38" s="17">
        <v>271</v>
      </c>
      <c r="O38" s="17">
        <v>128</v>
      </c>
      <c r="P38" s="17">
        <v>244</v>
      </c>
      <c r="Q38" s="17">
        <v>1346</v>
      </c>
      <c r="R38" s="17">
        <v>2347</v>
      </c>
      <c r="S38" s="17">
        <v>743</v>
      </c>
      <c r="T38" s="17">
        <v>1735</v>
      </c>
      <c r="U38" s="17">
        <v>2836</v>
      </c>
      <c r="V38" s="17">
        <v>2278</v>
      </c>
      <c r="W38" s="17">
        <v>1427</v>
      </c>
      <c r="X38" s="17">
        <v>2387</v>
      </c>
      <c r="Y38" s="17">
        <v>1969</v>
      </c>
      <c r="Z38" s="17">
        <v>2037</v>
      </c>
      <c r="AA38" s="17">
        <v>1894</v>
      </c>
      <c r="AB38" s="17">
        <v>2692</v>
      </c>
      <c r="AC38" s="17">
        <v>1377</v>
      </c>
    </row>
    <row r="39" spans="1:29" s="16" customFormat="1" x14ac:dyDescent="0.25">
      <c r="A39" s="16" t="s">
        <v>104</v>
      </c>
      <c r="B39" s="17">
        <v>7288</v>
      </c>
      <c r="C39" s="17">
        <v>44070</v>
      </c>
      <c r="D39" s="17">
        <v>37182</v>
      </c>
      <c r="E39" s="17">
        <v>42399</v>
      </c>
      <c r="F39" s="17">
        <v>22377</v>
      </c>
      <c r="G39" s="17">
        <v>29779</v>
      </c>
      <c r="H39" s="17">
        <v>4026</v>
      </c>
      <c r="I39" s="17">
        <v>20973</v>
      </c>
      <c r="J39" s="17">
        <v>15309</v>
      </c>
      <c r="K39" s="17">
        <v>16090</v>
      </c>
      <c r="L39" s="17">
        <v>46208</v>
      </c>
      <c r="M39" s="17">
        <v>42831</v>
      </c>
      <c r="N39" s="17">
        <v>66564</v>
      </c>
      <c r="O39" s="17">
        <v>67763</v>
      </c>
      <c r="P39" s="17">
        <v>63326</v>
      </c>
      <c r="Q39" s="17">
        <v>71876</v>
      </c>
      <c r="R39" s="17">
        <v>57016</v>
      </c>
      <c r="S39" s="17">
        <v>99139</v>
      </c>
      <c r="T39" s="17">
        <v>76929</v>
      </c>
      <c r="U39" s="17">
        <v>124169</v>
      </c>
      <c r="V39" s="17">
        <v>57597</v>
      </c>
      <c r="W39" s="17">
        <v>90207</v>
      </c>
      <c r="X39" s="17">
        <v>121642</v>
      </c>
      <c r="Y39" s="17">
        <v>90268</v>
      </c>
      <c r="Z39" s="17">
        <v>79244</v>
      </c>
      <c r="AA39" s="17">
        <v>61459</v>
      </c>
      <c r="AB39" s="17">
        <v>49682</v>
      </c>
      <c r="AC39" s="17">
        <v>71113</v>
      </c>
    </row>
    <row r="40" spans="1:29" s="16" customFormat="1" x14ac:dyDescent="0.25">
      <c r="A40" s="16" t="s">
        <v>105</v>
      </c>
      <c r="B40" s="17">
        <v>744</v>
      </c>
      <c r="C40" s="17">
        <v>700</v>
      </c>
      <c r="D40" s="17">
        <v>942</v>
      </c>
      <c r="E40" s="17">
        <v>3981</v>
      </c>
      <c r="F40" s="17">
        <v>2087</v>
      </c>
      <c r="G40" s="17">
        <v>3862</v>
      </c>
      <c r="H40" s="17">
        <v>4746</v>
      </c>
      <c r="I40" s="17">
        <v>5504</v>
      </c>
      <c r="J40" s="17">
        <v>8544</v>
      </c>
      <c r="K40" s="17">
        <v>10591</v>
      </c>
      <c r="L40" s="17">
        <v>6678</v>
      </c>
      <c r="M40" s="17">
        <v>7840</v>
      </c>
      <c r="N40" s="17">
        <v>7534</v>
      </c>
      <c r="O40" s="17">
        <v>6544</v>
      </c>
      <c r="P40" s="17">
        <v>8713</v>
      </c>
      <c r="Q40" s="17">
        <v>6137</v>
      </c>
      <c r="R40" s="17">
        <v>8434</v>
      </c>
      <c r="S40" s="17">
        <v>8007</v>
      </c>
      <c r="T40" s="17">
        <v>7693</v>
      </c>
      <c r="U40" s="17">
        <v>9747</v>
      </c>
      <c r="V40" s="17">
        <v>11322</v>
      </c>
      <c r="W40" s="17">
        <v>7120</v>
      </c>
      <c r="X40" s="17">
        <v>8136</v>
      </c>
      <c r="Y40" s="17">
        <v>6090</v>
      </c>
      <c r="Z40" s="17">
        <v>2232</v>
      </c>
      <c r="AA40" s="17">
        <v>6664</v>
      </c>
      <c r="AB40" s="17">
        <v>3977</v>
      </c>
      <c r="AC40" s="17">
        <v>7405</v>
      </c>
    </row>
    <row r="41" spans="1:29" s="16" customFormat="1" x14ac:dyDescent="0.25">
      <c r="A41" s="24" t="s">
        <v>106</v>
      </c>
      <c r="B41" s="25">
        <v>610055</v>
      </c>
      <c r="C41" s="25">
        <v>788298</v>
      </c>
      <c r="D41" s="25">
        <v>658104</v>
      </c>
      <c r="E41" s="25">
        <v>782327</v>
      </c>
      <c r="F41" s="25">
        <v>776808</v>
      </c>
      <c r="G41" s="25">
        <v>900205</v>
      </c>
      <c r="H41" s="25">
        <v>882363</v>
      </c>
      <c r="I41" s="25">
        <v>896371</v>
      </c>
      <c r="J41" s="25">
        <v>1013993</v>
      </c>
      <c r="K41" s="25">
        <v>1117690</v>
      </c>
      <c r="L41" s="25">
        <v>1174987</v>
      </c>
      <c r="M41" s="25">
        <v>1239616</v>
      </c>
      <c r="N41" s="25">
        <v>1293282</v>
      </c>
      <c r="O41" s="25">
        <v>1534012</v>
      </c>
      <c r="P41" s="25">
        <v>1465888</v>
      </c>
      <c r="Q41" s="25">
        <v>1681686</v>
      </c>
      <c r="R41" s="25">
        <v>1612257</v>
      </c>
      <c r="S41" s="25">
        <v>1779310</v>
      </c>
      <c r="T41" s="25">
        <v>1436310</v>
      </c>
      <c r="U41" s="25">
        <v>1532726</v>
      </c>
      <c r="V41" s="25">
        <v>1435380</v>
      </c>
      <c r="W41" s="25">
        <v>1585097</v>
      </c>
      <c r="X41" s="25">
        <v>1649864</v>
      </c>
      <c r="Y41" s="25">
        <v>1492891</v>
      </c>
      <c r="Z41" s="25">
        <v>1414817</v>
      </c>
      <c r="AA41" s="25">
        <v>1576401</v>
      </c>
      <c r="AB41" s="25">
        <v>1381687</v>
      </c>
      <c r="AC41" s="25">
        <v>1774259</v>
      </c>
    </row>
    <row r="42" spans="1:29" x14ac:dyDescent="0.25">
      <c r="A42" s="26" t="s">
        <v>107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 spans="1:29" s="16" customFormat="1" x14ac:dyDescent="0.25">
      <c r="A43" s="16" t="s">
        <v>108</v>
      </c>
      <c r="B43" s="17">
        <v>361</v>
      </c>
      <c r="C43" s="17">
        <v>377</v>
      </c>
      <c r="D43" s="17">
        <v>480</v>
      </c>
      <c r="E43" s="17">
        <v>872</v>
      </c>
      <c r="F43" s="17">
        <v>3682</v>
      </c>
      <c r="G43" s="17">
        <v>6257</v>
      </c>
      <c r="H43" s="17">
        <v>3976</v>
      </c>
      <c r="I43" s="17">
        <v>3061</v>
      </c>
      <c r="J43" s="17">
        <v>3748</v>
      </c>
      <c r="K43" s="17">
        <v>4989</v>
      </c>
      <c r="L43" s="17">
        <v>5467</v>
      </c>
      <c r="M43" s="17">
        <v>3551</v>
      </c>
      <c r="N43" s="17">
        <v>4063</v>
      </c>
      <c r="O43" s="17">
        <v>3647</v>
      </c>
      <c r="P43" s="28">
        <v>3378</v>
      </c>
      <c r="Q43" s="28">
        <v>5398</v>
      </c>
      <c r="R43" s="28">
        <v>3018</v>
      </c>
      <c r="S43" s="28">
        <v>5254</v>
      </c>
      <c r="T43" s="28">
        <v>2559</v>
      </c>
      <c r="U43" s="28">
        <v>2611</v>
      </c>
      <c r="V43" s="17">
        <v>2664</v>
      </c>
      <c r="W43" s="17">
        <v>2499</v>
      </c>
      <c r="X43" s="17">
        <v>1619</v>
      </c>
      <c r="Y43" s="17">
        <v>1540</v>
      </c>
      <c r="Z43" s="17">
        <v>1372</v>
      </c>
      <c r="AA43" s="17">
        <v>1957</v>
      </c>
      <c r="AB43" s="17">
        <v>1514</v>
      </c>
      <c r="AC43" s="17">
        <v>1900</v>
      </c>
    </row>
    <row r="44" spans="1:29" s="16" customFormat="1" x14ac:dyDescent="0.25">
      <c r="A44" s="16" t="s">
        <v>2</v>
      </c>
      <c r="B44" s="17">
        <v>25</v>
      </c>
      <c r="C44" s="17">
        <v>5</v>
      </c>
      <c r="D44" s="17">
        <v>0</v>
      </c>
      <c r="E44" s="17">
        <v>9</v>
      </c>
      <c r="F44" s="17">
        <v>9</v>
      </c>
      <c r="G44" s="17">
        <v>8</v>
      </c>
      <c r="H44" s="17">
        <v>1</v>
      </c>
      <c r="I44" s="17">
        <v>20</v>
      </c>
      <c r="J44" s="17">
        <v>5</v>
      </c>
      <c r="K44" s="17">
        <v>8</v>
      </c>
      <c r="L44" s="17">
        <v>12</v>
      </c>
      <c r="M44" s="17">
        <v>0</v>
      </c>
      <c r="N44" s="17">
        <v>1</v>
      </c>
      <c r="O44" s="17">
        <v>0</v>
      </c>
      <c r="P44" s="28">
        <v>1</v>
      </c>
      <c r="Q44" s="28">
        <v>0</v>
      </c>
      <c r="R44" s="28">
        <v>1</v>
      </c>
      <c r="S44" s="28">
        <v>0</v>
      </c>
      <c r="T44" s="28">
        <v>5</v>
      </c>
      <c r="U44" s="28">
        <v>3</v>
      </c>
      <c r="V44" s="17">
        <v>4</v>
      </c>
      <c r="W44" s="17">
        <v>2</v>
      </c>
      <c r="X44" s="17">
        <v>0</v>
      </c>
      <c r="Y44" s="17">
        <v>0</v>
      </c>
      <c r="Z44" s="17">
        <v>0</v>
      </c>
      <c r="AA44" s="17">
        <v>0</v>
      </c>
      <c r="AB44" s="17">
        <v>4</v>
      </c>
      <c r="AC44" s="17">
        <v>0</v>
      </c>
    </row>
    <row r="45" spans="1:29" s="16" customFormat="1" x14ac:dyDescent="0.25">
      <c r="A45" s="16" t="s">
        <v>109</v>
      </c>
      <c r="B45" s="17">
        <v>5299</v>
      </c>
      <c r="C45" s="17">
        <v>6717</v>
      </c>
      <c r="D45" s="17">
        <v>6660</v>
      </c>
      <c r="E45" s="17">
        <v>8063</v>
      </c>
      <c r="F45" s="17">
        <v>7735</v>
      </c>
      <c r="G45" s="17">
        <v>7559</v>
      </c>
      <c r="H45" s="17">
        <v>6264</v>
      </c>
      <c r="I45" s="17">
        <v>5484</v>
      </c>
      <c r="J45" s="17">
        <v>4818</v>
      </c>
      <c r="K45" s="17">
        <v>5822</v>
      </c>
      <c r="L45" s="17">
        <v>6365</v>
      </c>
      <c r="M45" s="17">
        <v>5657</v>
      </c>
      <c r="N45" s="17">
        <v>6873</v>
      </c>
      <c r="O45" s="17">
        <v>6249</v>
      </c>
      <c r="P45" s="28">
        <v>6027</v>
      </c>
      <c r="Q45" s="28">
        <v>7266</v>
      </c>
      <c r="R45" s="28">
        <v>6671</v>
      </c>
      <c r="S45" s="28">
        <v>7173</v>
      </c>
      <c r="T45" s="28">
        <v>7402</v>
      </c>
      <c r="U45" s="28">
        <v>6663</v>
      </c>
      <c r="V45" s="17">
        <v>6349</v>
      </c>
      <c r="W45" s="17">
        <v>7071</v>
      </c>
      <c r="X45" s="17">
        <v>7371</v>
      </c>
      <c r="Y45" s="17">
        <v>6313</v>
      </c>
      <c r="Z45" s="17">
        <v>7744</v>
      </c>
      <c r="AA45" s="17">
        <v>8539</v>
      </c>
      <c r="AB45" s="17">
        <v>9647</v>
      </c>
      <c r="AC45" s="17">
        <v>11829</v>
      </c>
    </row>
    <row r="46" spans="1:29" s="16" customFormat="1" x14ac:dyDescent="0.25">
      <c r="A46" s="16" t="s">
        <v>10</v>
      </c>
      <c r="B46" s="17">
        <v>257882</v>
      </c>
      <c r="C46" s="17">
        <v>339528</v>
      </c>
      <c r="D46" s="17">
        <v>321799</v>
      </c>
      <c r="E46" s="17">
        <v>342687</v>
      </c>
      <c r="F46" s="17">
        <v>314947</v>
      </c>
      <c r="G46" s="17">
        <v>302821</v>
      </c>
      <c r="H46" s="17">
        <v>312543</v>
      </c>
      <c r="I46" s="17">
        <v>413363</v>
      </c>
      <c r="J46" s="17">
        <v>248450</v>
      </c>
      <c r="K46" s="17">
        <v>286346</v>
      </c>
      <c r="L46" s="17">
        <v>322842</v>
      </c>
      <c r="M46" s="17">
        <v>335818</v>
      </c>
      <c r="N46" s="17">
        <v>389466</v>
      </c>
      <c r="O46" s="17">
        <v>358455</v>
      </c>
      <c r="P46" s="28">
        <v>398075</v>
      </c>
      <c r="Q46" s="28">
        <v>443652</v>
      </c>
      <c r="R46" s="28">
        <v>526370</v>
      </c>
      <c r="S46" s="28">
        <v>483018</v>
      </c>
      <c r="T46" s="28">
        <v>432081</v>
      </c>
      <c r="U46" s="28">
        <v>525638</v>
      </c>
      <c r="V46" s="17">
        <v>470966</v>
      </c>
      <c r="W46" s="17">
        <v>526477</v>
      </c>
      <c r="X46" s="17">
        <v>536287</v>
      </c>
      <c r="Y46" s="17">
        <v>514558</v>
      </c>
      <c r="Z46" s="17">
        <v>546989</v>
      </c>
      <c r="AA46" s="17">
        <v>513429</v>
      </c>
      <c r="AB46" s="17">
        <v>511995</v>
      </c>
      <c r="AC46" s="17">
        <v>512341</v>
      </c>
    </row>
    <row r="47" spans="1:29" s="16" customFormat="1" x14ac:dyDescent="0.25">
      <c r="A47" s="16" t="s">
        <v>42</v>
      </c>
      <c r="B47" s="17">
        <v>146158</v>
      </c>
      <c r="C47" s="17">
        <v>146410</v>
      </c>
      <c r="D47" s="17">
        <v>141765</v>
      </c>
      <c r="E47" s="17">
        <v>148627</v>
      </c>
      <c r="F47" s="17">
        <v>82219</v>
      </c>
      <c r="G47" s="17">
        <v>75636</v>
      </c>
      <c r="H47" s="17">
        <v>90356</v>
      </c>
      <c r="I47" s="17">
        <v>104502</v>
      </c>
      <c r="J47" s="17">
        <v>109913</v>
      </c>
      <c r="K47" s="17">
        <v>101396</v>
      </c>
      <c r="L47" s="17">
        <v>121352</v>
      </c>
      <c r="M47" s="17">
        <v>102221</v>
      </c>
      <c r="N47" s="17">
        <v>101990</v>
      </c>
      <c r="O47" s="17">
        <v>87773</v>
      </c>
      <c r="P47" s="28">
        <v>77423</v>
      </c>
      <c r="Q47" s="28">
        <v>71141</v>
      </c>
      <c r="R47" s="28">
        <v>94076</v>
      </c>
      <c r="S47" s="28">
        <v>74284</v>
      </c>
      <c r="T47" s="28">
        <v>89571</v>
      </c>
      <c r="U47" s="28">
        <v>71709</v>
      </c>
      <c r="V47" s="17">
        <v>76829</v>
      </c>
      <c r="W47" s="17">
        <v>86713</v>
      </c>
      <c r="X47" s="17">
        <v>65942</v>
      </c>
      <c r="Y47" s="17">
        <v>68617</v>
      </c>
      <c r="Z47" s="17">
        <v>79243</v>
      </c>
      <c r="AA47" s="17">
        <v>68249</v>
      </c>
      <c r="AB47" s="17">
        <v>84557</v>
      </c>
      <c r="AC47" s="17">
        <v>75063</v>
      </c>
    </row>
    <row r="48" spans="1:29" s="16" customFormat="1" x14ac:dyDescent="0.25">
      <c r="A48" s="16" t="s">
        <v>110</v>
      </c>
      <c r="B48" s="17">
        <v>0</v>
      </c>
      <c r="C48" s="17">
        <v>0</v>
      </c>
      <c r="D48" s="17">
        <v>0</v>
      </c>
      <c r="E48" s="17">
        <v>0</v>
      </c>
      <c r="F48" s="17">
        <v>0</v>
      </c>
      <c r="G48" s="17">
        <v>0</v>
      </c>
      <c r="H48" s="17">
        <v>0</v>
      </c>
      <c r="I48" s="17">
        <v>0</v>
      </c>
      <c r="J48" s="17">
        <v>0</v>
      </c>
      <c r="K48" s="17">
        <v>0</v>
      </c>
      <c r="L48" s="17">
        <v>0</v>
      </c>
      <c r="M48" s="17">
        <v>376</v>
      </c>
      <c r="N48" s="17">
        <v>62</v>
      </c>
      <c r="O48" s="17">
        <v>325</v>
      </c>
      <c r="P48" s="28">
        <v>71</v>
      </c>
      <c r="Q48" s="28">
        <v>299</v>
      </c>
      <c r="R48" s="28">
        <v>234</v>
      </c>
      <c r="S48" s="28">
        <v>44</v>
      </c>
      <c r="T48" s="28">
        <v>33</v>
      </c>
      <c r="U48" s="28">
        <v>2</v>
      </c>
      <c r="V48" s="17">
        <v>24</v>
      </c>
      <c r="W48" s="17">
        <v>109</v>
      </c>
      <c r="X48" s="17">
        <v>4</v>
      </c>
      <c r="Y48" s="17">
        <v>12</v>
      </c>
      <c r="Z48" s="17">
        <v>0</v>
      </c>
      <c r="AA48" s="17">
        <v>0</v>
      </c>
      <c r="AB48" s="17">
        <v>0</v>
      </c>
      <c r="AC48" s="17">
        <v>70</v>
      </c>
    </row>
    <row r="49" spans="1:29" s="16" customFormat="1" x14ac:dyDescent="0.25">
      <c r="A49" s="16" t="s">
        <v>111</v>
      </c>
      <c r="B49" s="17">
        <v>10</v>
      </c>
      <c r="C49" s="17">
        <v>51</v>
      </c>
      <c r="D49" s="17">
        <v>11</v>
      </c>
      <c r="E49" s="17">
        <v>9</v>
      </c>
      <c r="F49" s="17">
        <v>5</v>
      </c>
      <c r="G49" s="17">
        <v>1</v>
      </c>
      <c r="H49" s="17">
        <v>20</v>
      </c>
      <c r="I49" s="17">
        <v>11</v>
      </c>
      <c r="J49" s="17">
        <v>12</v>
      </c>
      <c r="K49" s="17">
        <v>7</v>
      </c>
      <c r="L49" s="17">
        <v>9</v>
      </c>
      <c r="M49" s="17">
        <v>4</v>
      </c>
      <c r="N49" s="17">
        <v>21</v>
      </c>
      <c r="O49" s="17">
        <v>19</v>
      </c>
      <c r="P49" s="28">
        <v>7</v>
      </c>
      <c r="Q49" s="28">
        <v>12</v>
      </c>
      <c r="R49" s="28">
        <v>0</v>
      </c>
      <c r="S49" s="28">
        <v>0</v>
      </c>
      <c r="T49" s="28">
        <v>5</v>
      </c>
      <c r="U49" s="28">
        <v>1</v>
      </c>
      <c r="V49" s="17">
        <v>5</v>
      </c>
      <c r="W49" s="17">
        <v>1</v>
      </c>
      <c r="X49" s="17">
        <v>3</v>
      </c>
      <c r="Y49" s="17">
        <v>1</v>
      </c>
      <c r="Z49" s="17">
        <v>35</v>
      </c>
      <c r="AA49" s="17">
        <v>29</v>
      </c>
      <c r="AB49" s="17">
        <v>6</v>
      </c>
      <c r="AC49" s="17">
        <v>6</v>
      </c>
    </row>
    <row r="50" spans="1:29" s="16" customFormat="1" x14ac:dyDescent="0.25">
      <c r="A50" s="16" t="s">
        <v>112</v>
      </c>
      <c r="B50" s="17">
        <v>926</v>
      </c>
      <c r="C50" s="17">
        <v>1497</v>
      </c>
      <c r="D50" s="17">
        <v>1567</v>
      </c>
      <c r="E50" s="17">
        <v>1653</v>
      </c>
      <c r="F50" s="17">
        <v>1713</v>
      </c>
      <c r="G50" s="17">
        <v>1925</v>
      </c>
      <c r="H50" s="17">
        <v>2000</v>
      </c>
      <c r="I50" s="17">
        <v>2161</v>
      </c>
      <c r="J50" s="17">
        <v>2109</v>
      </c>
      <c r="K50" s="17">
        <v>1802</v>
      </c>
      <c r="L50" s="17">
        <v>1764</v>
      </c>
      <c r="M50" s="17">
        <v>1982</v>
      </c>
      <c r="N50" s="17">
        <v>2178</v>
      </c>
      <c r="O50" s="17">
        <v>2481</v>
      </c>
      <c r="P50" s="28">
        <v>2360</v>
      </c>
      <c r="Q50" s="28">
        <v>2332</v>
      </c>
      <c r="R50" s="28">
        <v>2290</v>
      </c>
      <c r="S50" s="28">
        <v>2426</v>
      </c>
      <c r="T50" s="28">
        <v>2497</v>
      </c>
      <c r="U50" s="28">
        <v>2359</v>
      </c>
      <c r="V50" s="17">
        <v>2363</v>
      </c>
      <c r="W50" s="17">
        <v>2270</v>
      </c>
      <c r="X50" s="17">
        <v>2747</v>
      </c>
      <c r="Y50" s="17">
        <v>2467</v>
      </c>
      <c r="Z50" s="17">
        <v>2434</v>
      </c>
      <c r="AA50" s="17">
        <v>2879</v>
      </c>
      <c r="AB50" s="17">
        <v>2515</v>
      </c>
      <c r="AC50" s="17">
        <v>2803</v>
      </c>
    </row>
    <row r="51" spans="1:29" s="16" customFormat="1" x14ac:dyDescent="0.25">
      <c r="A51" s="16" t="s">
        <v>113</v>
      </c>
      <c r="B51" s="17">
        <v>89</v>
      </c>
      <c r="C51" s="17">
        <v>85</v>
      </c>
      <c r="D51" s="17">
        <v>59</v>
      </c>
      <c r="E51" s="17">
        <v>207</v>
      </c>
      <c r="F51" s="17">
        <v>277</v>
      </c>
      <c r="G51" s="17">
        <v>184</v>
      </c>
      <c r="H51" s="17">
        <v>89</v>
      </c>
      <c r="I51" s="17">
        <v>78</v>
      </c>
      <c r="J51" s="17">
        <v>130</v>
      </c>
      <c r="K51" s="17">
        <v>144</v>
      </c>
      <c r="L51" s="17">
        <v>124</v>
      </c>
      <c r="M51" s="17">
        <v>85</v>
      </c>
      <c r="N51" s="17">
        <v>120</v>
      </c>
      <c r="O51" s="17">
        <v>162</v>
      </c>
      <c r="P51" s="28">
        <v>120</v>
      </c>
      <c r="Q51" s="28">
        <v>163</v>
      </c>
      <c r="R51" s="28">
        <v>175</v>
      </c>
      <c r="S51" s="28">
        <v>117</v>
      </c>
      <c r="T51" s="28">
        <v>42</v>
      </c>
      <c r="U51" s="28">
        <v>96</v>
      </c>
      <c r="V51" s="17">
        <v>115</v>
      </c>
      <c r="W51" s="17">
        <v>175</v>
      </c>
      <c r="X51" s="17">
        <v>174</v>
      </c>
      <c r="Y51" s="17">
        <v>119</v>
      </c>
      <c r="Z51" s="17">
        <v>148</v>
      </c>
      <c r="AA51" s="17">
        <v>66</v>
      </c>
      <c r="AB51" s="17">
        <v>44</v>
      </c>
      <c r="AC51" s="17">
        <v>0</v>
      </c>
    </row>
    <row r="52" spans="1:29" s="16" customFormat="1" x14ac:dyDescent="0.25">
      <c r="A52" s="16" t="s">
        <v>18</v>
      </c>
      <c r="B52" s="17">
        <v>173753</v>
      </c>
      <c r="C52" s="17">
        <v>191743</v>
      </c>
      <c r="D52" s="17">
        <v>194899</v>
      </c>
      <c r="E52" s="17">
        <v>199003</v>
      </c>
      <c r="F52" s="17">
        <v>185060</v>
      </c>
      <c r="G52" s="17">
        <v>205311</v>
      </c>
      <c r="H52" s="17">
        <v>259729</v>
      </c>
      <c r="I52" s="17">
        <v>266705</v>
      </c>
      <c r="J52" s="17">
        <v>273277</v>
      </c>
      <c r="K52" s="17">
        <v>300395</v>
      </c>
      <c r="L52" s="17">
        <v>346832</v>
      </c>
      <c r="M52" s="17">
        <v>370658</v>
      </c>
      <c r="N52" s="17">
        <v>266721</v>
      </c>
      <c r="O52" s="17">
        <v>212163</v>
      </c>
      <c r="P52" s="28">
        <v>113102</v>
      </c>
      <c r="Q52" s="28">
        <v>121095</v>
      </c>
      <c r="R52" s="28">
        <v>132279</v>
      </c>
      <c r="S52" s="28">
        <v>154820</v>
      </c>
      <c r="T52" s="28">
        <v>148196</v>
      </c>
      <c r="U52" s="28">
        <v>120892</v>
      </c>
      <c r="V52" s="17">
        <v>145895</v>
      </c>
      <c r="W52" s="17">
        <v>123404</v>
      </c>
      <c r="X52" s="17">
        <v>131428</v>
      </c>
      <c r="Y52" s="17">
        <v>155285</v>
      </c>
      <c r="Z52" s="17">
        <v>156196</v>
      </c>
      <c r="AA52" s="17">
        <v>126451</v>
      </c>
      <c r="AB52" s="17">
        <v>138311</v>
      </c>
      <c r="AC52" s="17">
        <v>169021</v>
      </c>
    </row>
    <row r="53" spans="1:29" s="16" customFormat="1" x14ac:dyDescent="0.25">
      <c r="A53" s="16" t="s">
        <v>114</v>
      </c>
      <c r="B53" s="17">
        <v>1495</v>
      </c>
      <c r="C53" s="17">
        <v>0</v>
      </c>
      <c r="D53" s="17">
        <v>0</v>
      </c>
      <c r="E53" s="17">
        <v>0</v>
      </c>
      <c r="F53" s="17">
        <v>848</v>
      </c>
      <c r="G53" s="17">
        <v>987</v>
      </c>
      <c r="H53" s="17">
        <v>1980</v>
      </c>
      <c r="I53" s="17">
        <v>2473</v>
      </c>
      <c r="J53" s="17">
        <v>607</v>
      </c>
      <c r="K53" s="17">
        <v>1231</v>
      </c>
      <c r="L53" s="17">
        <v>1994</v>
      </c>
      <c r="M53" s="17">
        <v>2528</v>
      </c>
      <c r="N53" s="17">
        <v>2790</v>
      </c>
      <c r="O53" s="17">
        <v>2939</v>
      </c>
      <c r="P53" s="28">
        <v>3961</v>
      </c>
      <c r="Q53" s="28">
        <v>4054</v>
      </c>
      <c r="R53" s="28">
        <v>4510</v>
      </c>
      <c r="S53" s="28">
        <v>4510</v>
      </c>
      <c r="T53" s="28">
        <v>4510</v>
      </c>
      <c r="U53" s="28">
        <v>4510</v>
      </c>
      <c r="V53" s="17">
        <v>4566</v>
      </c>
      <c r="W53" s="17">
        <v>4532</v>
      </c>
      <c r="X53" s="17">
        <v>4522</v>
      </c>
      <c r="Y53" s="17">
        <v>4527</v>
      </c>
      <c r="Z53" s="17">
        <v>4530</v>
      </c>
      <c r="AA53" s="17">
        <v>4516</v>
      </c>
      <c r="AB53" s="17">
        <v>4517</v>
      </c>
      <c r="AC53" s="17">
        <v>4510</v>
      </c>
    </row>
    <row r="54" spans="1:29" s="16" customFormat="1" x14ac:dyDescent="0.25">
      <c r="A54" s="16" t="s">
        <v>115</v>
      </c>
      <c r="B54" s="17">
        <v>42399</v>
      </c>
      <c r="C54" s="17">
        <v>26455</v>
      </c>
      <c r="D54" s="17">
        <v>16426</v>
      </c>
      <c r="E54" s="17">
        <v>6797</v>
      </c>
      <c r="F54" s="17">
        <v>10864</v>
      </c>
      <c r="G54" s="17">
        <v>12819</v>
      </c>
      <c r="H54" s="17">
        <v>8358</v>
      </c>
      <c r="I54" s="17">
        <v>9120</v>
      </c>
      <c r="J54" s="17">
        <v>7708</v>
      </c>
      <c r="K54" s="17">
        <v>11248</v>
      </c>
      <c r="L54" s="17">
        <v>5985</v>
      </c>
      <c r="M54" s="17">
        <v>4420</v>
      </c>
      <c r="N54" s="17">
        <v>5834</v>
      </c>
      <c r="O54" s="17">
        <v>3225</v>
      </c>
      <c r="P54" s="28">
        <v>3756</v>
      </c>
      <c r="Q54" s="28">
        <v>7990</v>
      </c>
      <c r="R54" s="28">
        <v>8420</v>
      </c>
      <c r="S54" s="28">
        <v>8917</v>
      </c>
      <c r="T54" s="28">
        <v>7967</v>
      </c>
      <c r="U54" s="28">
        <v>9022</v>
      </c>
      <c r="V54" s="17">
        <v>10605</v>
      </c>
      <c r="W54" s="17">
        <v>7827</v>
      </c>
      <c r="X54" s="17">
        <v>8394</v>
      </c>
      <c r="Y54" s="17">
        <v>11503</v>
      </c>
      <c r="Z54" s="17">
        <v>11582</v>
      </c>
      <c r="AA54" s="17">
        <v>12138</v>
      </c>
      <c r="AB54" s="17">
        <v>6837</v>
      </c>
      <c r="AC54" s="17">
        <v>10054</v>
      </c>
    </row>
    <row r="55" spans="1:29" s="16" customFormat="1" x14ac:dyDescent="0.25">
      <c r="A55" s="16" t="s">
        <v>116</v>
      </c>
      <c r="B55" s="17">
        <v>0</v>
      </c>
      <c r="C55" s="17">
        <v>0</v>
      </c>
      <c r="D55" s="17">
        <v>0</v>
      </c>
      <c r="E55" s="17">
        <v>33632</v>
      </c>
      <c r="F55" s="17">
        <v>35400</v>
      </c>
      <c r="G55" s="17">
        <v>37683</v>
      </c>
      <c r="H55" s="17">
        <v>37458</v>
      </c>
      <c r="I55" s="17">
        <v>50521</v>
      </c>
      <c r="J55" s="17">
        <v>52409</v>
      </c>
      <c r="K55" s="17">
        <v>52573</v>
      </c>
      <c r="L55" s="17">
        <v>54210</v>
      </c>
      <c r="M55" s="17">
        <v>49903</v>
      </c>
      <c r="N55" s="17">
        <v>44241</v>
      </c>
      <c r="O55" s="17">
        <v>41665</v>
      </c>
      <c r="P55" s="28">
        <v>49584</v>
      </c>
      <c r="Q55" s="28">
        <v>65556</v>
      </c>
      <c r="R55" s="28">
        <v>78631</v>
      </c>
      <c r="S55" s="28">
        <v>80842</v>
      </c>
      <c r="T55" s="28">
        <v>89063</v>
      </c>
      <c r="U55" s="28">
        <v>123076</v>
      </c>
      <c r="V55" s="17">
        <v>112626</v>
      </c>
      <c r="W55" s="17">
        <v>120535</v>
      </c>
      <c r="X55" s="17">
        <v>109315</v>
      </c>
      <c r="Y55" s="17">
        <v>95540</v>
      </c>
      <c r="Z55" s="17">
        <v>89589</v>
      </c>
      <c r="AA55" s="17">
        <v>97615</v>
      </c>
      <c r="AB55" s="17">
        <v>97145</v>
      </c>
      <c r="AC55" s="17">
        <v>97613</v>
      </c>
    </row>
    <row r="56" spans="1:29" s="16" customFormat="1" x14ac:dyDescent="0.25">
      <c r="A56" s="16" t="s">
        <v>117</v>
      </c>
      <c r="B56" s="17">
        <v>58</v>
      </c>
      <c r="C56" s="17">
        <v>43</v>
      </c>
      <c r="D56" s="17">
        <v>38</v>
      </c>
      <c r="E56" s="17">
        <v>0</v>
      </c>
      <c r="F56" s="17">
        <v>12</v>
      </c>
      <c r="G56" s="17">
        <v>60</v>
      </c>
      <c r="H56" s="17">
        <v>18</v>
      </c>
      <c r="I56" s="17">
        <v>0</v>
      </c>
      <c r="J56" s="17">
        <v>65</v>
      </c>
      <c r="K56" s="17">
        <v>16</v>
      </c>
      <c r="L56" s="17">
        <v>0</v>
      </c>
      <c r="M56" s="17">
        <v>29</v>
      </c>
      <c r="N56" s="17">
        <v>138</v>
      </c>
      <c r="O56" s="17">
        <v>43</v>
      </c>
      <c r="P56" s="28">
        <v>24</v>
      </c>
      <c r="Q56" s="28">
        <v>7</v>
      </c>
      <c r="R56" s="28">
        <v>9</v>
      </c>
      <c r="S56" s="28">
        <v>7</v>
      </c>
      <c r="T56" s="28">
        <v>6</v>
      </c>
      <c r="U56" s="28">
        <v>7</v>
      </c>
      <c r="V56" s="17">
        <v>5</v>
      </c>
      <c r="W56" s="17">
        <v>11</v>
      </c>
      <c r="X56" s="17">
        <v>19</v>
      </c>
      <c r="Y56" s="17">
        <v>13</v>
      </c>
      <c r="Z56" s="17">
        <v>13</v>
      </c>
      <c r="AA56" s="17">
        <v>4</v>
      </c>
      <c r="AB56" s="17">
        <v>4</v>
      </c>
      <c r="AC56" s="17">
        <v>0</v>
      </c>
    </row>
    <row r="57" spans="1:29" s="16" customFormat="1" x14ac:dyDescent="0.25">
      <c r="A57" s="24" t="s">
        <v>106</v>
      </c>
      <c r="B57" s="25">
        <v>628455</v>
      </c>
      <c r="C57" s="25">
        <v>712911</v>
      </c>
      <c r="D57" s="25">
        <v>683704</v>
      </c>
      <c r="E57" s="25">
        <v>741559</v>
      </c>
      <c r="F57" s="25">
        <v>642771</v>
      </c>
      <c r="G57" s="25">
        <v>651251</v>
      </c>
      <c r="H57" s="25">
        <v>722792</v>
      </c>
      <c r="I57" s="25">
        <v>857499</v>
      </c>
      <c r="J57" s="25">
        <v>703251</v>
      </c>
      <c r="K57" s="25">
        <v>765977</v>
      </c>
      <c r="L57" s="25">
        <v>866956</v>
      </c>
      <c r="M57" s="25">
        <v>877232</v>
      </c>
      <c r="N57" s="25">
        <v>824498</v>
      </c>
      <c r="O57" s="25">
        <v>719146</v>
      </c>
      <c r="P57" s="25">
        <v>657889</v>
      </c>
      <c r="Q57" s="25">
        <v>728965</v>
      </c>
      <c r="R57" s="25">
        <v>856684</v>
      </c>
      <c r="S57" s="25">
        <v>821412</v>
      </c>
      <c r="T57" s="25">
        <v>783937</v>
      </c>
      <c r="U57" s="25">
        <v>866589</v>
      </c>
      <c r="V57" s="25">
        <v>833016</v>
      </c>
      <c r="W57" s="25">
        <v>881626</v>
      </c>
      <c r="X57" s="25">
        <v>867825</v>
      </c>
      <c r="Y57" s="25">
        <v>860495</v>
      </c>
      <c r="Z57" s="25">
        <v>899875</v>
      </c>
      <c r="AA57" s="25">
        <v>835872</v>
      </c>
      <c r="AB57" s="25">
        <v>857096</v>
      </c>
      <c r="AC57" s="25">
        <v>885210</v>
      </c>
    </row>
    <row r="58" spans="1:29" s="16" customFormat="1" ht="15.75" x14ac:dyDescent="0.4">
      <c r="A58" s="29" t="s">
        <v>118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17"/>
      <c r="W58" s="17"/>
    </row>
    <row r="59" spans="1:29" s="16" customFormat="1" x14ac:dyDescent="0.25">
      <c r="A59" s="31" t="s">
        <v>119</v>
      </c>
      <c r="B59" s="28">
        <v>4403</v>
      </c>
      <c r="C59" s="28">
        <v>19594</v>
      </c>
      <c r="D59" s="28">
        <v>16363</v>
      </c>
      <c r="E59" s="28">
        <v>9606</v>
      </c>
      <c r="F59" s="28">
        <v>15176</v>
      </c>
      <c r="G59" s="28">
        <v>8704</v>
      </c>
      <c r="H59" s="28">
        <v>8029</v>
      </c>
      <c r="I59" s="28">
        <v>4513</v>
      </c>
      <c r="J59" s="28">
        <v>3471</v>
      </c>
      <c r="K59" s="28">
        <v>14300</v>
      </c>
      <c r="L59" s="28">
        <v>7880</v>
      </c>
      <c r="M59" s="28">
        <v>5898</v>
      </c>
      <c r="N59" s="28">
        <v>41880</v>
      </c>
      <c r="O59" s="28">
        <v>11680</v>
      </c>
      <c r="P59" s="28">
        <v>6765</v>
      </c>
      <c r="Q59" s="28">
        <v>10902</v>
      </c>
      <c r="R59" s="28">
        <v>7082</v>
      </c>
      <c r="S59" s="28">
        <v>23028</v>
      </c>
      <c r="T59" s="28">
        <v>21837</v>
      </c>
      <c r="U59" s="28">
        <v>41447</v>
      </c>
      <c r="V59" s="17">
        <v>43612</v>
      </c>
      <c r="W59" s="17">
        <v>20093</v>
      </c>
      <c r="X59" s="17">
        <v>22774</v>
      </c>
      <c r="Y59" s="17">
        <v>49582</v>
      </c>
      <c r="Z59" s="17">
        <v>26843</v>
      </c>
      <c r="AA59" s="17">
        <v>20735</v>
      </c>
      <c r="AB59" s="17">
        <v>20114</v>
      </c>
      <c r="AC59" s="17">
        <v>21460</v>
      </c>
    </row>
    <row r="60" spans="1:29" s="16" customFormat="1" x14ac:dyDescent="0.25">
      <c r="A60" s="31" t="s">
        <v>120</v>
      </c>
      <c r="B60" s="28">
        <v>9328</v>
      </c>
      <c r="C60" s="28">
        <v>1192</v>
      </c>
      <c r="D60" s="28">
        <v>7192</v>
      </c>
      <c r="E60" s="28">
        <v>11470</v>
      </c>
      <c r="F60" s="28">
        <v>2338</v>
      </c>
      <c r="G60" s="28">
        <v>26571</v>
      </c>
      <c r="H60" s="28">
        <v>1410</v>
      </c>
      <c r="I60" s="28">
        <v>5086</v>
      </c>
      <c r="J60" s="28">
        <v>20633</v>
      </c>
      <c r="K60" s="28">
        <v>2003</v>
      </c>
      <c r="L60" s="28">
        <v>10422</v>
      </c>
      <c r="M60" s="28">
        <v>9035</v>
      </c>
      <c r="N60" s="28">
        <v>21926</v>
      </c>
      <c r="O60" s="28">
        <v>15158</v>
      </c>
      <c r="P60" s="28">
        <v>13492</v>
      </c>
      <c r="Q60" s="28">
        <v>32707</v>
      </c>
      <c r="R60" s="28">
        <v>17058</v>
      </c>
      <c r="S60" s="28">
        <v>64828</v>
      </c>
      <c r="T60" s="28">
        <v>174325</v>
      </c>
      <c r="U60" s="28">
        <v>19595</v>
      </c>
      <c r="V60" s="17">
        <v>40875</v>
      </c>
      <c r="W60" s="17">
        <v>97888</v>
      </c>
      <c r="X60" s="17">
        <v>122996</v>
      </c>
      <c r="Y60" s="17">
        <v>57624</v>
      </c>
      <c r="Z60" s="17">
        <v>28387</v>
      </c>
      <c r="AA60" s="17">
        <v>31187</v>
      </c>
      <c r="AB60" s="17">
        <v>86480</v>
      </c>
      <c r="AC60" s="17">
        <v>21892</v>
      </c>
    </row>
    <row r="61" spans="1:29" s="16" customFormat="1" x14ac:dyDescent="0.25">
      <c r="A61" s="31" t="s">
        <v>121</v>
      </c>
      <c r="B61" s="28">
        <v>55033</v>
      </c>
      <c r="C61" s="28">
        <v>30881</v>
      </c>
      <c r="D61" s="28">
        <v>63857</v>
      </c>
      <c r="E61" s="28">
        <v>58585</v>
      </c>
      <c r="F61" s="28">
        <v>30341</v>
      </c>
      <c r="G61" s="28">
        <v>25763</v>
      </c>
      <c r="H61" s="28">
        <v>103712</v>
      </c>
      <c r="I61" s="28">
        <v>44961</v>
      </c>
      <c r="J61" s="28">
        <v>57782</v>
      </c>
      <c r="K61" s="28">
        <v>54404</v>
      </c>
      <c r="L61" s="28">
        <v>43648</v>
      </c>
      <c r="M61" s="28">
        <v>37959</v>
      </c>
      <c r="N61" s="28">
        <v>34326</v>
      </c>
      <c r="O61" s="28">
        <v>15258</v>
      </c>
      <c r="P61" s="28">
        <v>13492</v>
      </c>
      <c r="Q61" s="28">
        <v>12218</v>
      </c>
      <c r="R61" s="28">
        <v>22853</v>
      </c>
      <c r="S61" s="28">
        <v>33336</v>
      </c>
      <c r="T61" s="28">
        <v>34498</v>
      </c>
      <c r="U61" s="28">
        <v>32187</v>
      </c>
      <c r="V61" s="17">
        <v>29595</v>
      </c>
      <c r="W61" s="17">
        <v>25731</v>
      </c>
      <c r="X61" s="17">
        <v>27035</v>
      </c>
      <c r="Y61" s="17">
        <v>33487</v>
      </c>
      <c r="Z61" s="17">
        <v>24828</v>
      </c>
      <c r="AA61" s="17">
        <v>26545</v>
      </c>
      <c r="AB61" s="17">
        <v>23863</v>
      </c>
      <c r="AC61" s="17">
        <v>33618</v>
      </c>
    </row>
    <row r="62" spans="1:29" s="16" customFormat="1" x14ac:dyDescent="0.25">
      <c r="A62" s="31" t="s">
        <v>122</v>
      </c>
      <c r="B62" s="28">
        <v>75656</v>
      </c>
      <c r="C62" s="28">
        <v>144123</v>
      </c>
      <c r="D62" s="28">
        <v>183809</v>
      </c>
      <c r="E62" s="28">
        <v>140827</v>
      </c>
      <c r="F62" s="28">
        <v>122804</v>
      </c>
      <c r="G62" s="28">
        <v>140411</v>
      </c>
      <c r="H62" s="28">
        <v>87488</v>
      </c>
      <c r="I62" s="28">
        <v>179693</v>
      </c>
      <c r="J62" s="28">
        <v>147536</v>
      </c>
      <c r="K62" s="28">
        <v>105335</v>
      </c>
      <c r="L62" s="28">
        <v>212553</v>
      </c>
      <c r="M62" s="28">
        <v>183038</v>
      </c>
      <c r="N62" s="28">
        <v>211735</v>
      </c>
      <c r="O62" s="28">
        <v>17835</v>
      </c>
      <c r="P62" s="28">
        <v>17763</v>
      </c>
      <c r="Q62" s="28">
        <v>7618</v>
      </c>
      <c r="R62" s="28">
        <v>26353</v>
      </c>
      <c r="S62" s="28">
        <v>12517</v>
      </c>
      <c r="T62" s="28">
        <v>15815</v>
      </c>
      <c r="U62" s="28">
        <v>9862</v>
      </c>
      <c r="V62" s="17">
        <v>9485</v>
      </c>
      <c r="W62" s="17">
        <v>8141</v>
      </c>
      <c r="X62" s="17">
        <v>12134</v>
      </c>
      <c r="Y62" s="17">
        <v>6300</v>
      </c>
      <c r="Z62" s="17">
        <v>5682</v>
      </c>
      <c r="AA62" s="17">
        <v>10637</v>
      </c>
      <c r="AB62" s="17">
        <v>7532</v>
      </c>
      <c r="AC62" s="17">
        <v>14487</v>
      </c>
    </row>
    <row r="63" spans="1:29" s="16" customFormat="1" x14ac:dyDescent="0.25">
      <c r="A63" s="31" t="s">
        <v>123</v>
      </c>
      <c r="B63" s="28">
        <v>14234</v>
      </c>
      <c r="C63" s="28">
        <v>28292</v>
      </c>
      <c r="D63" s="28">
        <v>15551</v>
      </c>
      <c r="E63" s="28">
        <v>26580</v>
      </c>
      <c r="F63" s="28">
        <v>28492</v>
      </c>
      <c r="G63" s="28">
        <v>27375</v>
      </c>
      <c r="H63" s="28">
        <v>14832</v>
      </c>
      <c r="I63" s="28">
        <v>26205</v>
      </c>
      <c r="J63" s="28">
        <v>14387</v>
      </c>
      <c r="K63" s="28">
        <v>17278</v>
      </c>
      <c r="L63" s="28">
        <v>22002</v>
      </c>
      <c r="M63" s="28">
        <v>12616</v>
      </c>
      <c r="N63" s="28">
        <v>16378</v>
      </c>
      <c r="O63" s="28">
        <v>12555</v>
      </c>
      <c r="P63" s="28">
        <v>13324</v>
      </c>
      <c r="Q63" s="28">
        <v>15715</v>
      </c>
      <c r="R63" s="28">
        <v>10053</v>
      </c>
      <c r="S63" s="28">
        <v>15196</v>
      </c>
      <c r="T63" s="28">
        <v>14983</v>
      </c>
      <c r="U63" s="28">
        <v>16132</v>
      </c>
      <c r="V63" s="17">
        <v>13062</v>
      </c>
      <c r="W63" s="17">
        <v>18976</v>
      </c>
      <c r="X63" s="17">
        <v>19347</v>
      </c>
      <c r="Y63" s="17">
        <v>8726</v>
      </c>
      <c r="Z63" s="17">
        <v>8953</v>
      </c>
      <c r="AA63" s="17">
        <v>8982</v>
      </c>
      <c r="AB63" s="17">
        <v>13105</v>
      </c>
      <c r="AC63" s="17">
        <v>9398</v>
      </c>
    </row>
    <row r="64" spans="1:29" s="16" customFormat="1" x14ac:dyDescent="0.25">
      <c r="A64" s="31" t="s">
        <v>124</v>
      </c>
      <c r="B64" s="28">
        <v>83376</v>
      </c>
      <c r="C64" s="28">
        <v>136252</v>
      </c>
      <c r="D64" s="28">
        <v>40855</v>
      </c>
      <c r="E64" s="28">
        <v>36692</v>
      </c>
      <c r="F64" s="28">
        <v>84197</v>
      </c>
      <c r="G64" s="28">
        <v>62017</v>
      </c>
      <c r="H64" s="28">
        <v>46984</v>
      </c>
      <c r="I64" s="28">
        <v>59519</v>
      </c>
      <c r="J64" s="28">
        <v>54289</v>
      </c>
      <c r="K64" s="28">
        <v>42261</v>
      </c>
      <c r="L64" s="28">
        <v>25284</v>
      </c>
      <c r="M64" s="28">
        <v>34562</v>
      </c>
      <c r="N64" s="28">
        <v>52101</v>
      </c>
      <c r="O64" s="28">
        <v>31354</v>
      </c>
      <c r="P64" s="28">
        <v>36460</v>
      </c>
      <c r="Q64" s="28">
        <v>33745</v>
      </c>
      <c r="R64" s="28">
        <v>31141</v>
      </c>
      <c r="S64" s="28">
        <v>21737</v>
      </c>
      <c r="T64" s="28">
        <v>32501</v>
      </c>
      <c r="U64" s="28">
        <v>71191</v>
      </c>
      <c r="V64" s="17">
        <v>43373</v>
      </c>
      <c r="W64" s="17">
        <v>35644</v>
      </c>
      <c r="X64" s="17">
        <v>87152</v>
      </c>
      <c r="Y64" s="17">
        <v>64572</v>
      </c>
      <c r="Z64" s="17">
        <v>75009</v>
      </c>
      <c r="AA64" s="17">
        <v>45020</v>
      </c>
      <c r="AB64" s="17">
        <v>60792</v>
      </c>
      <c r="AC64" s="17">
        <v>56439</v>
      </c>
    </row>
    <row r="65" spans="1:58" s="16" customFormat="1" x14ac:dyDescent="0.25">
      <c r="A65" s="31" t="s">
        <v>125</v>
      </c>
      <c r="B65" s="28">
        <v>35860</v>
      </c>
      <c r="C65" s="28">
        <v>41064</v>
      </c>
      <c r="D65" s="28">
        <v>29255</v>
      </c>
      <c r="E65" s="28">
        <v>42811</v>
      </c>
      <c r="F65" s="28">
        <v>38715</v>
      </c>
      <c r="G65" s="28">
        <v>63608</v>
      </c>
      <c r="H65" s="28">
        <v>41634</v>
      </c>
      <c r="I65" s="28">
        <v>54769</v>
      </c>
      <c r="J65" s="28">
        <v>50593</v>
      </c>
      <c r="K65" s="28">
        <v>51455</v>
      </c>
      <c r="L65" s="28">
        <v>36611</v>
      </c>
      <c r="M65" s="28">
        <v>43131</v>
      </c>
      <c r="N65" s="28">
        <v>43609</v>
      </c>
      <c r="O65" s="28">
        <v>37107</v>
      </c>
      <c r="P65" s="28">
        <v>29887</v>
      </c>
      <c r="Q65" s="28">
        <v>31452</v>
      </c>
      <c r="R65" s="28">
        <v>34558</v>
      </c>
      <c r="S65" s="28">
        <v>28049</v>
      </c>
      <c r="T65" s="28">
        <v>52241</v>
      </c>
      <c r="U65" s="28">
        <v>56963</v>
      </c>
      <c r="V65" s="17">
        <v>30513</v>
      </c>
      <c r="W65" s="17">
        <v>60537</v>
      </c>
      <c r="X65" s="17">
        <v>86301</v>
      </c>
      <c r="Y65" s="17">
        <v>64567</v>
      </c>
      <c r="Z65" s="17">
        <v>59243</v>
      </c>
      <c r="AA65" s="17">
        <v>51988</v>
      </c>
      <c r="AB65" s="17">
        <v>121973</v>
      </c>
      <c r="AC65" s="17">
        <v>105291</v>
      </c>
    </row>
    <row r="66" spans="1:58" s="16" customFormat="1" x14ac:dyDescent="0.25">
      <c r="A66" s="31" t="s">
        <v>126</v>
      </c>
      <c r="B66" s="28">
        <v>146549</v>
      </c>
      <c r="C66" s="28">
        <v>142677</v>
      </c>
      <c r="D66" s="28">
        <v>128640</v>
      </c>
      <c r="E66" s="28">
        <v>105833</v>
      </c>
      <c r="F66" s="28">
        <v>120724</v>
      </c>
      <c r="G66" s="28">
        <v>137310</v>
      </c>
      <c r="H66" s="28">
        <v>167109</v>
      </c>
      <c r="I66" s="28">
        <v>125536</v>
      </c>
      <c r="J66" s="28">
        <v>153013</v>
      </c>
      <c r="K66" s="28">
        <v>113597</v>
      </c>
      <c r="L66" s="28">
        <v>114297</v>
      </c>
      <c r="M66" s="28">
        <v>114028</v>
      </c>
      <c r="N66" s="28">
        <v>63303</v>
      </c>
      <c r="O66" s="28">
        <v>104834</v>
      </c>
      <c r="P66" s="28">
        <v>89917</v>
      </c>
      <c r="Q66" s="28">
        <v>97375</v>
      </c>
      <c r="R66" s="28">
        <v>85357</v>
      </c>
      <c r="S66" s="28">
        <v>87905</v>
      </c>
      <c r="T66" s="28">
        <v>74489</v>
      </c>
      <c r="U66" s="28">
        <v>57864</v>
      </c>
      <c r="V66" s="17">
        <v>71311</v>
      </c>
      <c r="W66" s="17">
        <v>53507</v>
      </c>
      <c r="X66" s="17">
        <v>54514</v>
      </c>
      <c r="Y66" s="17">
        <v>58851</v>
      </c>
      <c r="Z66" s="17">
        <v>102106</v>
      </c>
      <c r="AA66" s="17">
        <v>28732</v>
      </c>
      <c r="AB66" s="17">
        <v>21413</v>
      </c>
      <c r="AC66" s="17">
        <v>46645</v>
      </c>
    </row>
    <row r="67" spans="1:58" s="16" customFormat="1" x14ac:dyDescent="0.25">
      <c r="A67" s="31" t="s">
        <v>127</v>
      </c>
      <c r="B67" s="28">
        <v>17301</v>
      </c>
      <c r="C67" s="28">
        <v>18291</v>
      </c>
      <c r="D67" s="28">
        <v>16841</v>
      </c>
      <c r="E67" s="28">
        <v>15719</v>
      </c>
      <c r="F67" s="28">
        <v>22251</v>
      </c>
      <c r="G67" s="28">
        <v>26938</v>
      </c>
      <c r="H67" s="28">
        <v>26053</v>
      </c>
      <c r="I67" s="28">
        <v>24916</v>
      </c>
      <c r="J67" s="28">
        <v>21929</v>
      </c>
      <c r="K67" s="28">
        <v>17058</v>
      </c>
      <c r="L67" s="28">
        <v>12040</v>
      </c>
      <c r="M67" s="28">
        <v>19942</v>
      </c>
      <c r="N67" s="28">
        <v>25741</v>
      </c>
      <c r="O67" s="28">
        <v>26431</v>
      </c>
      <c r="P67" s="28">
        <v>16068</v>
      </c>
      <c r="Q67" s="28">
        <v>22870</v>
      </c>
      <c r="R67" s="28">
        <v>21799</v>
      </c>
      <c r="S67" s="28">
        <v>14922</v>
      </c>
      <c r="T67" s="28">
        <v>17395</v>
      </c>
      <c r="U67" s="28">
        <v>10603</v>
      </c>
      <c r="V67" s="17">
        <v>33417</v>
      </c>
      <c r="W67" s="17">
        <v>25661</v>
      </c>
      <c r="X67" s="17">
        <v>18922</v>
      </c>
      <c r="Y67" s="17">
        <v>28354</v>
      </c>
      <c r="Z67" s="17">
        <v>21355</v>
      </c>
      <c r="AA67" s="17">
        <v>20992</v>
      </c>
      <c r="AB67" s="17">
        <v>25313</v>
      </c>
      <c r="AC67" s="17">
        <v>25992</v>
      </c>
    </row>
    <row r="68" spans="1:58" s="16" customFormat="1" x14ac:dyDescent="0.25">
      <c r="A68" s="31" t="s">
        <v>128</v>
      </c>
      <c r="B68" s="28">
        <v>262</v>
      </c>
      <c r="C68" s="28">
        <v>143</v>
      </c>
      <c r="D68" s="28">
        <v>148</v>
      </c>
      <c r="E68" s="28">
        <v>819</v>
      </c>
      <c r="F68" s="28">
        <v>73</v>
      </c>
      <c r="G68" s="28">
        <v>772</v>
      </c>
      <c r="H68" s="28">
        <v>1155</v>
      </c>
      <c r="I68" s="28">
        <v>1982</v>
      </c>
      <c r="J68" s="28">
        <v>1609</v>
      </c>
      <c r="K68" s="28">
        <v>1645</v>
      </c>
      <c r="L68" s="28">
        <v>973</v>
      </c>
      <c r="M68" s="28">
        <v>1521</v>
      </c>
      <c r="N68" s="28">
        <v>987</v>
      </c>
      <c r="O68" s="28">
        <v>1322</v>
      </c>
      <c r="P68" s="28">
        <v>1548</v>
      </c>
      <c r="Q68" s="28">
        <v>756</v>
      </c>
      <c r="R68" s="28">
        <v>1187</v>
      </c>
      <c r="S68" s="28">
        <v>1365</v>
      </c>
      <c r="T68" s="28">
        <v>1601</v>
      </c>
      <c r="U68" s="28">
        <v>1834</v>
      </c>
      <c r="V68" s="17">
        <v>2588</v>
      </c>
      <c r="W68" s="17">
        <v>2321</v>
      </c>
      <c r="X68" s="17">
        <v>1990</v>
      </c>
      <c r="Y68" s="17">
        <v>1063</v>
      </c>
      <c r="Z68" s="17">
        <v>1276</v>
      </c>
      <c r="AA68" s="17">
        <v>1332</v>
      </c>
      <c r="AB68" s="17">
        <v>344</v>
      </c>
      <c r="AC68" s="17">
        <v>1113</v>
      </c>
    </row>
    <row r="69" spans="1:58" s="16" customFormat="1" x14ac:dyDescent="0.25">
      <c r="A69" s="31" t="s">
        <v>129</v>
      </c>
      <c r="B69" s="28">
        <v>78</v>
      </c>
      <c r="C69" s="28">
        <v>65</v>
      </c>
      <c r="D69" s="28">
        <v>169</v>
      </c>
      <c r="E69" s="28">
        <v>30</v>
      </c>
      <c r="F69" s="28">
        <v>124</v>
      </c>
      <c r="G69" s="28">
        <v>876</v>
      </c>
      <c r="H69" s="28">
        <v>376</v>
      </c>
      <c r="I69" s="28">
        <v>132</v>
      </c>
      <c r="J69" s="28">
        <v>158</v>
      </c>
      <c r="K69" s="28">
        <v>450</v>
      </c>
      <c r="L69" s="28">
        <v>1203</v>
      </c>
      <c r="M69" s="28">
        <v>152</v>
      </c>
      <c r="N69" s="28">
        <v>706</v>
      </c>
      <c r="O69" s="28">
        <v>481</v>
      </c>
      <c r="P69" s="28">
        <v>937</v>
      </c>
      <c r="Q69" s="28">
        <v>2128</v>
      </c>
      <c r="R69" s="28">
        <v>1217</v>
      </c>
      <c r="S69" s="28">
        <v>293</v>
      </c>
      <c r="T69" s="28">
        <v>141</v>
      </c>
      <c r="U69" s="28">
        <v>104</v>
      </c>
      <c r="V69" s="17">
        <v>2610</v>
      </c>
      <c r="W69" s="17">
        <v>1767</v>
      </c>
      <c r="X69" s="17">
        <v>2949</v>
      </c>
      <c r="Y69" s="17">
        <v>2698</v>
      </c>
      <c r="Z69" s="17">
        <v>790</v>
      </c>
      <c r="AA69" s="17">
        <v>807</v>
      </c>
      <c r="AB69" s="17">
        <v>3576</v>
      </c>
      <c r="AC69" s="17">
        <v>451</v>
      </c>
    </row>
    <row r="70" spans="1:58" s="16" customFormat="1" x14ac:dyDescent="0.25">
      <c r="A70" s="32" t="s">
        <v>130</v>
      </c>
      <c r="B70" s="28">
        <v>0</v>
      </c>
      <c r="C70" s="28">
        <v>1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0</v>
      </c>
      <c r="V70" s="17">
        <v>0</v>
      </c>
      <c r="W70" s="17">
        <v>0</v>
      </c>
      <c r="X70" s="17">
        <v>0</v>
      </c>
      <c r="Y70" s="17">
        <v>0</v>
      </c>
      <c r="Z70" s="17">
        <v>0</v>
      </c>
      <c r="AA70" s="17">
        <v>0</v>
      </c>
      <c r="AB70" s="17">
        <v>1</v>
      </c>
      <c r="AC70" s="17">
        <v>2444</v>
      </c>
    </row>
    <row r="71" spans="1:58" s="34" customFormat="1" x14ac:dyDescent="0.25">
      <c r="A71" s="33" t="s">
        <v>106</v>
      </c>
      <c r="B71" s="25">
        <v>442080</v>
      </c>
      <c r="C71" s="25">
        <v>562575</v>
      </c>
      <c r="D71" s="25">
        <v>502680</v>
      </c>
      <c r="E71" s="25">
        <v>448972</v>
      </c>
      <c r="F71" s="25">
        <v>465235</v>
      </c>
      <c r="G71" s="25">
        <v>520345</v>
      </c>
      <c r="H71" s="25">
        <v>498782</v>
      </c>
      <c r="I71" s="25">
        <v>527312</v>
      </c>
      <c r="J71" s="25">
        <v>525400</v>
      </c>
      <c r="K71" s="25">
        <v>419786</v>
      </c>
      <c r="L71" s="25">
        <v>486913</v>
      </c>
      <c r="M71" s="25">
        <v>461882</v>
      </c>
      <c r="N71" s="25">
        <v>512692</v>
      </c>
      <c r="O71" s="25">
        <v>274015</v>
      </c>
      <c r="P71" s="25">
        <v>239653</v>
      </c>
      <c r="Q71" s="25">
        <v>267486</v>
      </c>
      <c r="R71" s="25">
        <v>258658</v>
      </c>
      <c r="S71" s="25">
        <v>303176</v>
      </c>
      <c r="T71" s="25">
        <v>439826</v>
      </c>
      <c r="U71" s="25">
        <v>317782</v>
      </c>
      <c r="V71" s="25">
        <v>320441</v>
      </c>
      <c r="W71" s="25">
        <v>350266</v>
      </c>
      <c r="X71" s="25">
        <v>456114</v>
      </c>
      <c r="Y71" s="25">
        <v>375824</v>
      </c>
      <c r="Z71" s="25">
        <v>354472</v>
      </c>
      <c r="AA71" s="25">
        <v>246957</v>
      </c>
      <c r="AB71" s="25">
        <v>384506</v>
      </c>
      <c r="AC71" s="25">
        <v>339230</v>
      </c>
    </row>
    <row r="72" spans="1:58" s="16" customFormat="1" ht="14.25" thickBot="1" x14ac:dyDescent="0.3">
      <c r="A72" s="18" t="s">
        <v>83</v>
      </c>
      <c r="B72" s="35">
        <v>1680590</v>
      </c>
      <c r="C72" s="35">
        <v>2063784</v>
      </c>
      <c r="D72" s="35">
        <v>1844488</v>
      </c>
      <c r="E72" s="35">
        <v>1972858</v>
      </c>
      <c r="F72" s="35">
        <v>1884814</v>
      </c>
      <c r="G72" s="35">
        <v>2071801</v>
      </c>
      <c r="H72" s="35">
        <v>2103937</v>
      </c>
      <c r="I72" s="35">
        <v>2281182</v>
      </c>
      <c r="J72" s="35">
        <v>2242644</v>
      </c>
      <c r="K72" s="35">
        <v>2303453</v>
      </c>
      <c r="L72" s="35">
        <v>2528856</v>
      </c>
      <c r="M72" s="35">
        <v>2578730</v>
      </c>
      <c r="N72" s="35">
        <v>2630472</v>
      </c>
      <c r="O72" s="35">
        <v>2527173</v>
      </c>
      <c r="P72" s="35">
        <v>2363430</v>
      </c>
      <c r="Q72" s="35">
        <v>2678137</v>
      </c>
      <c r="R72" s="35">
        <v>2727599</v>
      </c>
      <c r="S72" s="35">
        <v>2903898</v>
      </c>
      <c r="T72" s="35">
        <v>2660073</v>
      </c>
      <c r="U72" s="35">
        <v>2717097</v>
      </c>
      <c r="V72" s="35">
        <v>2588837</v>
      </c>
      <c r="W72" s="35">
        <v>2816989</v>
      </c>
      <c r="X72" s="35">
        <v>2973803</v>
      </c>
      <c r="Y72" s="35">
        <v>2729210</v>
      </c>
      <c r="Z72" s="35">
        <v>2669164</v>
      </c>
      <c r="AA72" s="35">
        <v>2659230</v>
      </c>
      <c r="AB72" s="35">
        <v>2623289</v>
      </c>
      <c r="AC72" s="35">
        <v>2998699</v>
      </c>
    </row>
    <row r="73" spans="1:58" x14ac:dyDescent="0.25"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</row>
    <row r="74" spans="1:58" ht="14.25" thickBot="1" x14ac:dyDescent="0.3">
      <c r="A74" s="11" t="s">
        <v>131</v>
      </c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</row>
    <row r="75" spans="1:58" s="15" customFormat="1" x14ac:dyDescent="0.25">
      <c r="A75" s="13"/>
      <c r="B75" s="14">
        <v>1997</v>
      </c>
      <c r="C75" s="14">
        <v>1998</v>
      </c>
      <c r="D75" s="14">
        <v>1999</v>
      </c>
      <c r="E75" s="14">
        <v>2000</v>
      </c>
      <c r="F75" s="14">
        <v>2001</v>
      </c>
      <c r="G75" s="14">
        <v>2002</v>
      </c>
      <c r="H75" s="14">
        <v>2003</v>
      </c>
      <c r="I75" s="14">
        <v>2004</v>
      </c>
      <c r="J75" s="14">
        <v>2005</v>
      </c>
      <c r="K75" s="14">
        <v>2006</v>
      </c>
      <c r="L75" s="14">
        <v>2007</v>
      </c>
      <c r="M75" s="14">
        <v>2008</v>
      </c>
      <c r="N75" s="14">
        <v>2009</v>
      </c>
      <c r="O75" s="14">
        <v>2010</v>
      </c>
      <c r="P75" s="14">
        <v>2011</v>
      </c>
      <c r="Q75" s="14">
        <v>2012</v>
      </c>
      <c r="R75" s="14">
        <v>2013</v>
      </c>
      <c r="S75" s="14">
        <v>2014</v>
      </c>
      <c r="T75" s="14">
        <v>2015</v>
      </c>
      <c r="U75" s="14">
        <v>2016</v>
      </c>
      <c r="V75" s="14">
        <v>2017</v>
      </c>
      <c r="W75" s="14">
        <v>2018</v>
      </c>
      <c r="X75" s="14">
        <v>2019</v>
      </c>
      <c r="Y75" s="14">
        <v>2020</v>
      </c>
      <c r="Z75" s="14">
        <v>2021</v>
      </c>
      <c r="AA75" s="14">
        <v>2022</v>
      </c>
      <c r="AB75" s="14">
        <v>2023</v>
      </c>
      <c r="AC75" s="14">
        <v>2024</v>
      </c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</row>
    <row r="76" spans="1:58" x14ac:dyDescent="0.25">
      <c r="A76" s="39" t="s">
        <v>90</v>
      </c>
      <c r="W76" s="9"/>
    </row>
    <row r="77" spans="1:58" s="16" customFormat="1" x14ac:dyDescent="0.25">
      <c r="A77" s="40" t="s">
        <v>26</v>
      </c>
      <c r="B77" s="17">
        <v>7550</v>
      </c>
      <c r="C77" s="17">
        <v>5152</v>
      </c>
      <c r="D77" s="17">
        <v>7550</v>
      </c>
      <c r="E77" s="17">
        <v>6997</v>
      </c>
      <c r="F77" s="17">
        <v>5279</v>
      </c>
      <c r="G77" s="17">
        <v>5234</v>
      </c>
      <c r="H77" s="17">
        <v>5809</v>
      </c>
      <c r="I77" s="17">
        <v>4200</v>
      </c>
      <c r="J77" s="17">
        <v>3091</v>
      </c>
      <c r="K77" s="17">
        <v>5031</v>
      </c>
      <c r="L77" s="17">
        <v>4404</v>
      </c>
      <c r="M77" s="17">
        <v>3969</v>
      </c>
      <c r="N77" s="17">
        <v>3646</v>
      </c>
      <c r="O77" s="17">
        <v>2565</v>
      </c>
      <c r="P77" s="17">
        <v>2924</v>
      </c>
      <c r="Q77" s="17">
        <v>2538</v>
      </c>
      <c r="R77" s="17">
        <v>2613</v>
      </c>
      <c r="S77" s="17">
        <v>2936</v>
      </c>
      <c r="T77" s="17">
        <v>3916</v>
      </c>
      <c r="U77" s="17">
        <v>3480</v>
      </c>
      <c r="V77" s="17">
        <v>2928</v>
      </c>
      <c r="W77" s="17">
        <v>2395</v>
      </c>
      <c r="X77" s="17">
        <v>3014</v>
      </c>
      <c r="Y77" s="17">
        <v>3207</v>
      </c>
      <c r="Z77" s="17">
        <v>2889</v>
      </c>
      <c r="AA77" s="17">
        <v>2888</v>
      </c>
      <c r="AB77" s="17">
        <v>2549</v>
      </c>
      <c r="AC77" s="17">
        <v>3718</v>
      </c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</row>
    <row r="78" spans="1:58" s="16" customFormat="1" x14ac:dyDescent="0.25">
      <c r="A78" s="40" t="s">
        <v>92</v>
      </c>
      <c r="B78" s="17">
        <v>0</v>
      </c>
      <c r="C78" s="17">
        <v>22</v>
      </c>
      <c r="D78" s="17">
        <v>56</v>
      </c>
      <c r="E78" s="17">
        <v>335</v>
      </c>
      <c r="F78" s="17">
        <v>206</v>
      </c>
      <c r="G78" s="17">
        <v>770</v>
      </c>
      <c r="H78" s="17">
        <v>2460</v>
      </c>
      <c r="I78" s="17">
        <v>3206</v>
      </c>
      <c r="J78" s="17">
        <v>3123</v>
      </c>
      <c r="K78" s="17">
        <v>2839</v>
      </c>
      <c r="L78" s="17">
        <v>3268</v>
      </c>
      <c r="M78" s="17">
        <v>2819</v>
      </c>
      <c r="N78" s="17">
        <v>2051</v>
      </c>
      <c r="O78" s="17">
        <v>3056</v>
      </c>
      <c r="P78" s="17">
        <v>3636</v>
      </c>
      <c r="Q78" s="17">
        <v>5381</v>
      </c>
      <c r="R78" s="17">
        <v>1950</v>
      </c>
      <c r="S78" s="17">
        <v>2032</v>
      </c>
      <c r="T78" s="17">
        <v>1762</v>
      </c>
      <c r="U78" s="17">
        <v>1908</v>
      </c>
      <c r="V78" s="17">
        <v>3636</v>
      </c>
      <c r="W78" s="17">
        <v>3986</v>
      </c>
      <c r="X78" s="17">
        <v>5312</v>
      </c>
      <c r="Y78" s="17">
        <v>2254</v>
      </c>
      <c r="Z78" s="17">
        <v>5120</v>
      </c>
      <c r="AA78" s="17">
        <v>6104</v>
      </c>
      <c r="AB78" s="17">
        <v>3616</v>
      </c>
      <c r="AC78" s="17">
        <v>6225</v>
      </c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</row>
    <row r="79" spans="1:58" s="16" customFormat="1" x14ac:dyDescent="0.25">
      <c r="A79" s="40" t="s">
        <v>5</v>
      </c>
      <c r="B79" s="17">
        <v>4353</v>
      </c>
      <c r="C79" s="17">
        <v>4013</v>
      </c>
      <c r="D79" s="17">
        <v>4074</v>
      </c>
      <c r="E79" s="17">
        <v>9660</v>
      </c>
      <c r="F79" s="17">
        <v>11311</v>
      </c>
      <c r="G79" s="17">
        <v>11552</v>
      </c>
      <c r="H79" s="17">
        <v>10853</v>
      </c>
      <c r="I79" s="17">
        <v>17310</v>
      </c>
      <c r="J79" s="17">
        <v>15476</v>
      </c>
      <c r="K79" s="17">
        <v>15472</v>
      </c>
      <c r="L79" s="17">
        <v>10042</v>
      </c>
      <c r="M79" s="17">
        <v>13627</v>
      </c>
      <c r="N79" s="17">
        <v>16826</v>
      </c>
      <c r="O79" s="17">
        <v>12545</v>
      </c>
      <c r="P79" s="17">
        <v>16305</v>
      </c>
      <c r="Q79" s="17">
        <v>14978</v>
      </c>
      <c r="R79" s="17">
        <v>12780</v>
      </c>
      <c r="S79" s="17">
        <v>13659</v>
      </c>
      <c r="T79" s="17">
        <v>13083</v>
      </c>
      <c r="U79" s="17">
        <v>14256</v>
      </c>
      <c r="V79" s="17">
        <v>17144</v>
      </c>
      <c r="W79" s="17">
        <v>13692</v>
      </c>
      <c r="X79" s="17">
        <v>14425</v>
      </c>
      <c r="Y79" s="17">
        <v>12439</v>
      </c>
      <c r="Z79" s="17">
        <v>9885</v>
      </c>
      <c r="AA79" s="17">
        <v>10431</v>
      </c>
      <c r="AB79" s="17">
        <v>9360</v>
      </c>
      <c r="AC79" s="17">
        <v>13866</v>
      </c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</row>
    <row r="80" spans="1:58" s="16" customFormat="1" x14ac:dyDescent="0.25">
      <c r="A80" s="40" t="s">
        <v>93</v>
      </c>
      <c r="B80" s="17">
        <v>8254</v>
      </c>
      <c r="C80" s="17">
        <v>14177</v>
      </c>
      <c r="D80" s="17">
        <v>10883</v>
      </c>
      <c r="E80" s="17">
        <v>21650</v>
      </c>
      <c r="F80" s="17">
        <v>17647</v>
      </c>
      <c r="G80" s="17">
        <v>20608</v>
      </c>
      <c r="H80" s="17">
        <v>30828</v>
      </c>
      <c r="I80" s="17">
        <v>28466</v>
      </c>
      <c r="J80" s="17">
        <v>28303</v>
      </c>
      <c r="K80" s="17">
        <v>10771</v>
      </c>
      <c r="L80" s="17">
        <v>15442</v>
      </c>
      <c r="M80" s="17">
        <v>19425</v>
      </c>
      <c r="N80" s="17">
        <v>26442</v>
      </c>
      <c r="O80" s="17">
        <v>26408</v>
      </c>
      <c r="P80" s="17">
        <v>28784</v>
      </c>
      <c r="Q80" s="17">
        <v>38986</v>
      </c>
      <c r="R80" s="17">
        <v>30756</v>
      </c>
      <c r="S80" s="17">
        <v>42707</v>
      </c>
      <c r="T80" s="17">
        <v>61206</v>
      </c>
      <c r="U80" s="17">
        <v>77418</v>
      </c>
      <c r="V80" s="17">
        <v>89845</v>
      </c>
      <c r="W80" s="17">
        <v>126698</v>
      </c>
      <c r="X80" s="17">
        <v>170072</v>
      </c>
      <c r="Y80" s="17">
        <v>182607</v>
      </c>
      <c r="Z80" s="17">
        <v>154638</v>
      </c>
      <c r="AA80" s="17">
        <v>167222</v>
      </c>
      <c r="AB80" s="17">
        <v>151300</v>
      </c>
      <c r="AC80" s="17">
        <v>196640</v>
      </c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</row>
    <row r="81" spans="1:58" s="16" customFormat="1" x14ac:dyDescent="0.25">
      <c r="A81" s="40" t="s">
        <v>94</v>
      </c>
      <c r="B81" s="17">
        <v>6798</v>
      </c>
      <c r="C81" s="17">
        <v>9390</v>
      </c>
      <c r="D81" s="17">
        <v>9794</v>
      </c>
      <c r="E81" s="17">
        <v>14727</v>
      </c>
      <c r="F81" s="17">
        <v>5401</v>
      </c>
      <c r="G81" s="17">
        <v>9829</v>
      </c>
      <c r="H81" s="17">
        <v>6896</v>
      </c>
      <c r="I81" s="17">
        <v>6663</v>
      </c>
      <c r="J81" s="17">
        <v>9165</v>
      </c>
      <c r="K81" s="17">
        <v>6724</v>
      </c>
      <c r="L81" s="17">
        <v>18019</v>
      </c>
      <c r="M81" s="17">
        <v>19408</v>
      </c>
      <c r="N81" s="17">
        <v>34007</v>
      </c>
      <c r="O81" s="17">
        <v>38949</v>
      </c>
      <c r="P81" s="17">
        <v>59611</v>
      </c>
      <c r="Q81" s="17">
        <v>74107</v>
      </c>
      <c r="R81" s="17">
        <v>77780</v>
      </c>
      <c r="S81" s="17">
        <v>114153</v>
      </c>
      <c r="T81" s="17">
        <v>142624</v>
      </c>
      <c r="U81" s="17">
        <v>171086</v>
      </c>
      <c r="V81" s="17">
        <v>159390</v>
      </c>
      <c r="W81" s="17">
        <v>194790</v>
      </c>
      <c r="X81" s="17">
        <v>235572</v>
      </c>
      <c r="Y81" s="17">
        <v>209502</v>
      </c>
      <c r="Z81" s="17">
        <v>188072</v>
      </c>
      <c r="AA81" s="17">
        <v>199548</v>
      </c>
      <c r="AB81" s="17">
        <v>235382</v>
      </c>
      <c r="AC81" s="17">
        <v>263264</v>
      </c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</row>
    <row r="82" spans="1:58" s="16" customFormat="1" x14ac:dyDescent="0.25">
      <c r="A82" s="40" t="s">
        <v>95</v>
      </c>
      <c r="B82" s="17">
        <v>0</v>
      </c>
      <c r="C82" s="17">
        <v>0</v>
      </c>
      <c r="D82" s="17">
        <v>0</v>
      </c>
      <c r="E82" s="17">
        <v>7560</v>
      </c>
      <c r="F82" s="17">
        <v>35772</v>
      </c>
      <c r="G82" s="17">
        <v>38952</v>
      </c>
      <c r="H82" s="17">
        <v>37876</v>
      </c>
      <c r="I82" s="17">
        <v>46677</v>
      </c>
      <c r="J82" s="17">
        <v>56167</v>
      </c>
      <c r="K82" s="17">
        <v>42346</v>
      </c>
      <c r="L82" s="17">
        <v>59364</v>
      </c>
      <c r="M82" s="17">
        <v>33015</v>
      </c>
      <c r="N82" s="17">
        <v>43976</v>
      </c>
      <c r="O82" s="17">
        <v>57229</v>
      </c>
      <c r="P82" s="17">
        <v>90543</v>
      </c>
      <c r="Q82" s="17">
        <v>74061</v>
      </c>
      <c r="R82" s="17">
        <v>77766</v>
      </c>
      <c r="S82" s="17">
        <v>75895</v>
      </c>
      <c r="T82" s="17">
        <v>86872</v>
      </c>
      <c r="U82" s="17">
        <v>62208</v>
      </c>
      <c r="V82" s="17">
        <v>67009</v>
      </c>
      <c r="W82" s="17">
        <v>75290</v>
      </c>
      <c r="X82" s="17">
        <v>98339</v>
      </c>
      <c r="Y82" s="17">
        <v>85213</v>
      </c>
      <c r="Z82" s="17">
        <v>92644</v>
      </c>
      <c r="AA82" s="17">
        <v>88294</v>
      </c>
      <c r="AB82" s="17">
        <v>70181</v>
      </c>
      <c r="AC82" s="17">
        <v>95083</v>
      </c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</row>
    <row r="83" spans="1:58" s="16" customFormat="1" x14ac:dyDescent="0.25">
      <c r="A83" s="40" t="s">
        <v>96</v>
      </c>
      <c r="B83" s="17">
        <v>0</v>
      </c>
      <c r="C83" s="17">
        <v>0</v>
      </c>
      <c r="D83" s="17">
        <v>0</v>
      </c>
      <c r="E83" s="17">
        <v>11</v>
      </c>
      <c r="F83" s="17">
        <v>13</v>
      </c>
      <c r="G83" s="17">
        <v>7</v>
      </c>
      <c r="H83" s="17">
        <v>20</v>
      </c>
      <c r="I83" s="17">
        <v>3</v>
      </c>
      <c r="J83" s="17">
        <v>0</v>
      </c>
      <c r="K83" s="17">
        <v>0</v>
      </c>
      <c r="L83" s="17">
        <v>0</v>
      </c>
      <c r="M83" s="17">
        <v>3</v>
      </c>
      <c r="N83" s="17">
        <v>8</v>
      </c>
      <c r="O83" s="17">
        <v>4</v>
      </c>
      <c r="P83" s="17">
        <v>11</v>
      </c>
      <c r="Q83" s="17">
        <v>11</v>
      </c>
      <c r="R83" s="17">
        <v>19</v>
      </c>
      <c r="S83" s="17">
        <v>19</v>
      </c>
      <c r="T83" s="17">
        <v>19</v>
      </c>
      <c r="U83" s="17">
        <v>19</v>
      </c>
      <c r="V83" s="17">
        <v>19</v>
      </c>
      <c r="W83" s="17">
        <v>8897</v>
      </c>
      <c r="X83" s="17">
        <v>33259</v>
      </c>
      <c r="Y83" s="17">
        <v>92108</v>
      </c>
      <c r="Z83" s="17">
        <v>120113</v>
      </c>
      <c r="AA83" s="17">
        <v>106477</v>
      </c>
      <c r="AB83" s="17">
        <v>102960</v>
      </c>
      <c r="AC83" s="17">
        <v>87077</v>
      </c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</row>
    <row r="84" spans="1:58" s="16" customFormat="1" x14ac:dyDescent="0.25">
      <c r="A84" s="40" t="s">
        <v>49</v>
      </c>
      <c r="B84" s="17">
        <v>10451</v>
      </c>
      <c r="C84" s="17">
        <v>15154</v>
      </c>
      <c r="D84" s="17">
        <v>10141</v>
      </c>
      <c r="E84" s="17">
        <v>18917</v>
      </c>
      <c r="F84" s="17">
        <v>17533</v>
      </c>
      <c r="G84" s="17">
        <v>38567</v>
      </c>
      <c r="H84" s="17">
        <v>30613</v>
      </c>
      <c r="I84" s="17">
        <v>33886</v>
      </c>
      <c r="J84" s="17">
        <v>27920</v>
      </c>
      <c r="K84" s="17">
        <v>30824</v>
      </c>
      <c r="L84" s="17">
        <v>38970</v>
      </c>
      <c r="M84" s="17">
        <v>33876</v>
      </c>
      <c r="N84" s="17">
        <v>30619</v>
      </c>
      <c r="O84" s="17">
        <v>26951</v>
      </c>
      <c r="P84" s="17">
        <v>25315</v>
      </c>
      <c r="Q84" s="17">
        <v>23528</v>
      </c>
      <c r="R84" s="17">
        <v>27690</v>
      </c>
      <c r="S84" s="17">
        <v>22906</v>
      </c>
      <c r="T84" s="17">
        <v>21332</v>
      </c>
      <c r="U84" s="17">
        <v>13701</v>
      </c>
      <c r="V84" s="17">
        <v>10307</v>
      </c>
      <c r="W84" s="17">
        <v>9482</v>
      </c>
      <c r="X84" s="17">
        <v>12732</v>
      </c>
      <c r="Y84" s="17">
        <v>9757</v>
      </c>
      <c r="Z84" s="17">
        <v>8507</v>
      </c>
      <c r="AA84" s="17">
        <v>3449</v>
      </c>
      <c r="AB84" s="17">
        <v>1208</v>
      </c>
      <c r="AC84" s="17">
        <v>1405</v>
      </c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</row>
    <row r="85" spans="1:58" s="16" customFormat="1" x14ac:dyDescent="0.25">
      <c r="A85" s="40" t="s">
        <v>97</v>
      </c>
      <c r="B85" s="17">
        <v>0</v>
      </c>
      <c r="C85" s="17">
        <v>0</v>
      </c>
      <c r="D85" s="17">
        <v>0</v>
      </c>
      <c r="E85" s="17">
        <v>0</v>
      </c>
      <c r="F85" s="17">
        <v>0</v>
      </c>
      <c r="G85" s="17">
        <v>0</v>
      </c>
      <c r="H85" s="17">
        <v>0</v>
      </c>
      <c r="I85" s="17">
        <v>6</v>
      </c>
      <c r="J85" s="17">
        <v>105</v>
      </c>
      <c r="K85" s="17">
        <v>286</v>
      </c>
      <c r="L85" s="17">
        <v>306</v>
      </c>
      <c r="M85" s="17">
        <v>435</v>
      </c>
      <c r="N85" s="17">
        <v>189</v>
      </c>
      <c r="O85" s="17">
        <v>110</v>
      </c>
      <c r="P85" s="17">
        <v>0</v>
      </c>
      <c r="Q85" s="17">
        <v>0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v>3</v>
      </c>
      <c r="AA85" s="17">
        <v>2</v>
      </c>
      <c r="AB85" s="17">
        <v>4</v>
      </c>
      <c r="AC85" s="17">
        <v>15</v>
      </c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</row>
    <row r="86" spans="1:58" s="16" customFormat="1" x14ac:dyDescent="0.25">
      <c r="A86" s="40" t="s">
        <v>98</v>
      </c>
      <c r="B86" s="17">
        <v>19398</v>
      </c>
      <c r="C86" s="17">
        <v>50693</v>
      </c>
      <c r="D86" s="17">
        <v>38983</v>
      </c>
      <c r="E86" s="17">
        <v>68760</v>
      </c>
      <c r="F86" s="17">
        <v>92803</v>
      </c>
      <c r="G86" s="17">
        <v>124670</v>
      </c>
      <c r="H86" s="17">
        <v>167152</v>
      </c>
      <c r="I86" s="17">
        <v>225438</v>
      </c>
      <c r="J86" s="17">
        <v>240989</v>
      </c>
      <c r="K86" s="17">
        <v>242305</v>
      </c>
      <c r="L86" s="17">
        <v>265199</v>
      </c>
      <c r="M86" s="17">
        <v>233350</v>
      </c>
      <c r="N86" s="17">
        <v>215965</v>
      </c>
      <c r="O86" s="17">
        <v>208255</v>
      </c>
      <c r="P86" s="17">
        <v>178991</v>
      </c>
      <c r="Q86" s="17">
        <v>240054</v>
      </c>
      <c r="R86" s="17">
        <v>221890</v>
      </c>
      <c r="S86" s="17">
        <v>236826</v>
      </c>
      <c r="T86" s="17">
        <v>215764</v>
      </c>
      <c r="U86" s="17">
        <v>302691</v>
      </c>
      <c r="V86" s="17">
        <v>308489</v>
      </c>
      <c r="W86" s="17">
        <v>313869</v>
      </c>
      <c r="X86" s="17">
        <v>267351</v>
      </c>
      <c r="Y86" s="17">
        <v>198440</v>
      </c>
      <c r="Z86" s="17">
        <v>169339</v>
      </c>
      <c r="AA86" s="17">
        <v>218267</v>
      </c>
      <c r="AB86" s="17">
        <v>201279</v>
      </c>
      <c r="AC86" s="17">
        <v>318147</v>
      </c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</row>
    <row r="87" spans="1:58" s="16" customFormat="1" x14ac:dyDescent="0.25">
      <c r="A87" s="40" t="s">
        <v>99</v>
      </c>
      <c r="B87" s="17">
        <v>107</v>
      </c>
      <c r="C87" s="17">
        <v>100</v>
      </c>
      <c r="D87" s="17">
        <v>100</v>
      </c>
      <c r="E87" s="17">
        <v>240</v>
      </c>
      <c r="F87" s="17">
        <v>62</v>
      </c>
      <c r="G87" s="17">
        <v>4</v>
      </c>
      <c r="H87" s="17">
        <v>20</v>
      </c>
      <c r="I87" s="17">
        <v>35</v>
      </c>
      <c r="J87" s="17">
        <v>0</v>
      </c>
      <c r="K87" s="17">
        <v>0</v>
      </c>
      <c r="L87" s="17">
        <v>0</v>
      </c>
      <c r="M87" s="17">
        <v>0</v>
      </c>
      <c r="N87" s="17">
        <v>0</v>
      </c>
      <c r="O87" s="17">
        <v>0</v>
      </c>
      <c r="P87" s="17">
        <v>0</v>
      </c>
      <c r="Q87" s="17">
        <v>0</v>
      </c>
      <c r="R87" s="17">
        <v>0</v>
      </c>
      <c r="S87" s="17">
        <v>0</v>
      </c>
      <c r="T87" s="17">
        <v>0</v>
      </c>
      <c r="U87" s="17">
        <v>0</v>
      </c>
      <c r="V87" s="17">
        <v>2504</v>
      </c>
      <c r="W87" s="17">
        <v>2943</v>
      </c>
      <c r="X87" s="17">
        <v>2509</v>
      </c>
      <c r="Y87" s="17">
        <v>1</v>
      </c>
      <c r="Z87" s="17">
        <v>33</v>
      </c>
      <c r="AA87" s="17">
        <v>24</v>
      </c>
      <c r="AB87" s="17">
        <v>8</v>
      </c>
      <c r="AC87" s="17">
        <v>0</v>
      </c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</row>
    <row r="88" spans="1:58" s="16" customFormat="1" x14ac:dyDescent="0.25">
      <c r="A88" s="40" t="s">
        <v>100</v>
      </c>
      <c r="B88" s="17">
        <v>5498</v>
      </c>
      <c r="C88" s="17">
        <v>6820</v>
      </c>
      <c r="D88" s="17">
        <v>5790</v>
      </c>
      <c r="E88" s="17">
        <v>5389</v>
      </c>
      <c r="F88" s="17">
        <v>5864</v>
      </c>
      <c r="G88" s="17">
        <v>4927</v>
      </c>
      <c r="H88" s="17">
        <v>2944</v>
      </c>
      <c r="I88" s="17">
        <v>1967</v>
      </c>
      <c r="J88" s="17">
        <v>1626</v>
      </c>
      <c r="K88" s="17">
        <v>2564</v>
      </c>
      <c r="L88" s="17">
        <v>3559</v>
      </c>
      <c r="M88" s="17">
        <v>2796</v>
      </c>
      <c r="N88" s="17">
        <v>3422</v>
      </c>
      <c r="O88" s="17">
        <v>3090</v>
      </c>
      <c r="P88" s="17">
        <v>1932</v>
      </c>
      <c r="Q88" s="17">
        <v>2353</v>
      </c>
      <c r="R88" s="17">
        <v>2022</v>
      </c>
      <c r="S88" s="17">
        <v>1102</v>
      </c>
      <c r="T88" s="17">
        <v>1160</v>
      </c>
      <c r="U88" s="17">
        <v>1273</v>
      </c>
      <c r="V88" s="17">
        <v>3231</v>
      </c>
      <c r="W88" s="17">
        <v>2190</v>
      </c>
      <c r="X88" s="17">
        <v>3530</v>
      </c>
      <c r="Y88" s="17">
        <v>2335</v>
      </c>
      <c r="Z88" s="17">
        <v>1563</v>
      </c>
      <c r="AA88" s="17">
        <v>1990</v>
      </c>
      <c r="AB88" s="17">
        <v>2711</v>
      </c>
      <c r="AC88" s="17">
        <v>564</v>
      </c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</row>
    <row r="89" spans="1:58" s="16" customFormat="1" x14ac:dyDescent="0.25">
      <c r="A89" s="40" t="s">
        <v>101</v>
      </c>
      <c r="B89" s="17">
        <v>47442</v>
      </c>
      <c r="C89" s="17">
        <v>48378</v>
      </c>
      <c r="D89" s="17">
        <v>45660</v>
      </c>
      <c r="E89" s="17">
        <v>12930</v>
      </c>
      <c r="F89" s="17">
        <v>17128</v>
      </c>
      <c r="G89" s="17">
        <v>18535</v>
      </c>
      <c r="H89" s="17">
        <v>26365</v>
      </c>
      <c r="I89" s="17">
        <v>24904</v>
      </c>
      <c r="J89" s="17">
        <v>19911</v>
      </c>
      <c r="K89" s="17">
        <v>29462</v>
      </c>
      <c r="L89" s="17">
        <v>21250</v>
      </c>
      <c r="M89" s="17">
        <v>17376</v>
      </c>
      <c r="N89" s="17">
        <v>17883</v>
      </c>
      <c r="O89" s="17">
        <v>26909</v>
      </c>
      <c r="P89" s="17">
        <v>28233</v>
      </c>
      <c r="Q89" s="17">
        <v>28607</v>
      </c>
      <c r="R89" s="17">
        <v>26435</v>
      </c>
      <c r="S89" s="17">
        <v>62033</v>
      </c>
      <c r="T89" s="17">
        <v>61582</v>
      </c>
      <c r="U89" s="17">
        <v>61065</v>
      </c>
      <c r="V89" s="17">
        <v>46768</v>
      </c>
      <c r="W89" s="17">
        <v>61639</v>
      </c>
      <c r="X89" s="17">
        <v>67320</v>
      </c>
      <c r="Y89" s="17">
        <v>39834</v>
      </c>
      <c r="Z89" s="17">
        <v>49416</v>
      </c>
      <c r="AA89" s="17">
        <v>47502</v>
      </c>
      <c r="AB89" s="17">
        <v>39590</v>
      </c>
      <c r="AC89" s="17">
        <v>68835</v>
      </c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</row>
    <row r="90" spans="1:58" s="16" customFormat="1" x14ac:dyDescent="0.25">
      <c r="A90" s="40" t="s">
        <v>102</v>
      </c>
      <c r="B90" s="17">
        <v>0</v>
      </c>
      <c r="C90" s="17">
        <v>0</v>
      </c>
      <c r="D90" s="17">
        <v>0</v>
      </c>
      <c r="E90" s="17">
        <v>0</v>
      </c>
      <c r="F90" s="17">
        <v>0</v>
      </c>
      <c r="G90" s="17">
        <v>8</v>
      </c>
      <c r="H90" s="17">
        <v>3</v>
      </c>
      <c r="I90" s="17">
        <v>3</v>
      </c>
      <c r="J90" s="17">
        <v>6</v>
      </c>
      <c r="K90" s="17">
        <v>6</v>
      </c>
      <c r="L90" s="17">
        <v>8</v>
      </c>
      <c r="M90" s="17">
        <v>8</v>
      </c>
      <c r="N90" s="17">
        <v>12</v>
      </c>
      <c r="O90" s="17">
        <v>4</v>
      </c>
      <c r="P90" s="17">
        <v>4</v>
      </c>
      <c r="Q90" s="17">
        <v>229</v>
      </c>
      <c r="R90" s="17">
        <v>177</v>
      </c>
      <c r="S90" s="17">
        <v>86</v>
      </c>
      <c r="T90" s="17">
        <v>179</v>
      </c>
      <c r="U90" s="17">
        <v>179</v>
      </c>
      <c r="V90" s="17">
        <v>67</v>
      </c>
      <c r="W90" s="17">
        <v>55</v>
      </c>
      <c r="X90" s="17">
        <v>67</v>
      </c>
      <c r="Y90" s="17">
        <v>51</v>
      </c>
      <c r="Z90" s="17">
        <v>51</v>
      </c>
      <c r="AA90" s="17">
        <v>19</v>
      </c>
      <c r="AB90" s="17">
        <v>50</v>
      </c>
      <c r="AC90" s="17">
        <v>77</v>
      </c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</row>
    <row r="91" spans="1:58" s="16" customFormat="1" x14ac:dyDescent="0.25">
      <c r="A91" s="40" t="s">
        <v>103</v>
      </c>
      <c r="B91" s="17">
        <v>663</v>
      </c>
      <c r="C91" s="17">
        <v>833</v>
      </c>
      <c r="D91" s="17">
        <v>1084</v>
      </c>
      <c r="E91" s="17">
        <v>1161</v>
      </c>
      <c r="F91" s="17">
        <v>1733</v>
      </c>
      <c r="G91" s="17">
        <v>1673</v>
      </c>
      <c r="H91" s="17">
        <v>973</v>
      </c>
      <c r="I91" s="17">
        <v>388</v>
      </c>
      <c r="J91" s="17">
        <v>629</v>
      </c>
      <c r="K91" s="17">
        <v>759</v>
      </c>
      <c r="L91" s="17">
        <v>861</v>
      </c>
      <c r="M91" s="17">
        <v>592</v>
      </c>
      <c r="N91" s="17">
        <v>271</v>
      </c>
      <c r="O91" s="17">
        <v>128</v>
      </c>
      <c r="P91" s="17">
        <v>224</v>
      </c>
      <c r="Q91" s="17">
        <v>171</v>
      </c>
      <c r="R91" s="17">
        <v>147</v>
      </c>
      <c r="S91" s="17">
        <v>250</v>
      </c>
      <c r="T91" s="17">
        <v>357</v>
      </c>
      <c r="U91" s="17">
        <v>400</v>
      </c>
      <c r="V91" s="17">
        <v>435</v>
      </c>
      <c r="W91" s="17">
        <v>262</v>
      </c>
      <c r="X91" s="17">
        <v>233</v>
      </c>
      <c r="Y91" s="17">
        <v>182</v>
      </c>
      <c r="Z91" s="17">
        <v>235</v>
      </c>
      <c r="AA91" s="17">
        <v>385</v>
      </c>
      <c r="AB91" s="17">
        <v>239</v>
      </c>
      <c r="AC91" s="17">
        <v>218</v>
      </c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</row>
    <row r="92" spans="1:58" s="16" customFormat="1" x14ac:dyDescent="0.25">
      <c r="A92" s="40" t="s">
        <v>104</v>
      </c>
      <c r="B92" s="17">
        <v>0</v>
      </c>
      <c r="C92" s="17">
        <v>0</v>
      </c>
      <c r="D92" s="17">
        <v>0</v>
      </c>
      <c r="E92" s="17">
        <v>0</v>
      </c>
      <c r="F92" s="17">
        <v>0</v>
      </c>
      <c r="G92" s="17">
        <v>0</v>
      </c>
      <c r="H92" s="17">
        <v>0</v>
      </c>
      <c r="I92" s="17">
        <v>0</v>
      </c>
      <c r="J92" s="17">
        <v>19</v>
      </c>
      <c r="K92" s="17">
        <v>12</v>
      </c>
      <c r="L92" s="17">
        <v>26</v>
      </c>
      <c r="M92" s="17">
        <v>22</v>
      </c>
      <c r="N92" s="17">
        <v>4454</v>
      </c>
      <c r="O92" s="17">
        <v>10580</v>
      </c>
      <c r="P92" s="17">
        <v>10774</v>
      </c>
      <c r="Q92" s="17">
        <v>16465</v>
      </c>
      <c r="R92" s="17">
        <v>11898</v>
      </c>
      <c r="S92" s="17">
        <v>6354</v>
      </c>
      <c r="T92" s="17">
        <v>5130</v>
      </c>
      <c r="U92" s="17">
        <v>6609</v>
      </c>
      <c r="V92" s="17">
        <v>6429</v>
      </c>
      <c r="W92" s="17">
        <v>11785</v>
      </c>
      <c r="X92" s="17">
        <v>7347</v>
      </c>
      <c r="Y92" s="17">
        <v>10298</v>
      </c>
      <c r="Z92" s="17">
        <v>30080</v>
      </c>
      <c r="AA92" s="17">
        <v>41770</v>
      </c>
      <c r="AB92" s="17">
        <v>47957</v>
      </c>
      <c r="AC92" s="17">
        <v>44721</v>
      </c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</row>
    <row r="93" spans="1:58" s="41" customFormat="1" x14ac:dyDescent="0.25">
      <c r="A93" s="40" t="s">
        <v>105</v>
      </c>
      <c r="B93" s="17">
        <v>26167</v>
      </c>
      <c r="C93" s="17">
        <v>39424</v>
      </c>
      <c r="D93" s="17">
        <v>46158</v>
      </c>
      <c r="E93" s="17">
        <v>38114</v>
      </c>
      <c r="F93" s="17">
        <v>11967</v>
      </c>
      <c r="G93" s="17">
        <v>28288</v>
      </c>
      <c r="H93" s="17">
        <v>28739</v>
      </c>
      <c r="I93" s="17">
        <v>66856</v>
      </c>
      <c r="J93" s="17">
        <v>88916</v>
      </c>
      <c r="K93" s="17">
        <v>76470</v>
      </c>
      <c r="L93" s="17">
        <v>82756</v>
      </c>
      <c r="M93" s="17">
        <v>48176</v>
      </c>
      <c r="N93" s="17">
        <v>53269</v>
      </c>
      <c r="O93" s="17">
        <v>39892</v>
      </c>
      <c r="P93" s="17">
        <v>35127</v>
      </c>
      <c r="Q93" s="17">
        <v>40566</v>
      </c>
      <c r="R93" s="17">
        <v>41195</v>
      </c>
      <c r="S93" s="17">
        <v>32390</v>
      </c>
      <c r="T93" s="17">
        <v>27779</v>
      </c>
      <c r="U93" s="17">
        <v>15755</v>
      </c>
      <c r="V93" s="17">
        <v>19201</v>
      </c>
      <c r="W93" s="17">
        <v>24326</v>
      </c>
      <c r="X93" s="17">
        <v>45098</v>
      </c>
      <c r="Y93" s="17">
        <v>54882</v>
      </c>
      <c r="Z93" s="17">
        <v>55670</v>
      </c>
      <c r="AA93" s="17">
        <v>75166</v>
      </c>
      <c r="AB93" s="17">
        <v>59860</v>
      </c>
      <c r="AC93" s="17">
        <v>34684</v>
      </c>
    </row>
    <row r="94" spans="1:58" s="16" customFormat="1" x14ac:dyDescent="0.25">
      <c r="A94" s="24" t="s">
        <v>106</v>
      </c>
      <c r="B94" s="25">
        <v>136681</v>
      </c>
      <c r="C94" s="25">
        <v>194156</v>
      </c>
      <c r="D94" s="25">
        <v>180273</v>
      </c>
      <c r="E94" s="25">
        <v>206451</v>
      </c>
      <c r="F94" s="25">
        <v>222719</v>
      </c>
      <c r="G94" s="25">
        <v>303624</v>
      </c>
      <c r="H94" s="25">
        <v>351551</v>
      </c>
      <c r="I94" s="25">
        <v>460008</v>
      </c>
      <c r="J94" s="25">
        <v>495446</v>
      </c>
      <c r="K94" s="25">
        <v>465871</v>
      </c>
      <c r="L94" s="25">
        <v>523474</v>
      </c>
      <c r="M94" s="25">
        <v>428897</v>
      </c>
      <c r="N94" s="25">
        <v>453040</v>
      </c>
      <c r="O94" s="25">
        <v>456675</v>
      </c>
      <c r="P94" s="25">
        <v>482414</v>
      </c>
      <c r="Q94" s="25">
        <v>562035</v>
      </c>
      <c r="R94" s="25">
        <v>535118</v>
      </c>
      <c r="S94" s="25">
        <v>613348</v>
      </c>
      <c r="T94" s="25">
        <v>642765</v>
      </c>
      <c r="U94" s="25">
        <v>732048</v>
      </c>
      <c r="V94" s="25">
        <v>737402</v>
      </c>
      <c r="W94" s="25">
        <v>852299</v>
      </c>
      <c r="X94" s="25">
        <v>966180</v>
      </c>
      <c r="Y94" s="25">
        <v>903110</v>
      </c>
      <c r="Z94" s="25">
        <v>888258</v>
      </c>
      <c r="AA94" s="25">
        <v>969538</v>
      </c>
      <c r="AB94" s="25">
        <v>928254</v>
      </c>
      <c r="AC94" s="25">
        <v>1134539</v>
      </c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</row>
    <row r="95" spans="1:58" x14ac:dyDescent="0.25">
      <c r="A95" s="26" t="s">
        <v>107</v>
      </c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</row>
    <row r="96" spans="1:58" s="16" customFormat="1" x14ac:dyDescent="0.25">
      <c r="A96" s="40" t="s">
        <v>132</v>
      </c>
      <c r="B96" s="17">
        <v>77</v>
      </c>
      <c r="C96" s="17">
        <v>275</v>
      </c>
      <c r="D96" s="17">
        <v>210</v>
      </c>
      <c r="E96" s="17">
        <v>271</v>
      </c>
      <c r="F96" s="17">
        <v>7141</v>
      </c>
      <c r="G96" s="17">
        <v>3384</v>
      </c>
      <c r="H96" s="17">
        <v>2697</v>
      </c>
      <c r="I96" s="17">
        <v>944</v>
      </c>
      <c r="J96" s="17">
        <v>1055</v>
      </c>
      <c r="K96" s="17">
        <v>749</v>
      </c>
      <c r="L96" s="17">
        <v>594</v>
      </c>
      <c r="M96" s="17">
        <v>223</v>
      </c>
      <c r="N96" s="17">
        <v>189</v>
      </c>
      <c r="O96" s="17">
        <v>126</v>
      </c>
      <c r="P96" s="17">
        <v>218</v>
      </c>
      <c r="Q96" s="17">
        <v>194</v>
      </c>
      <c r="R96" s="17">
        <v>252</v>
      </c>
      <c r="S96" s="17">
        <v>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0</v>
      </c>
      <c r="Z96" s="17">
        <v>0</v>
      </c>
      <c r="AA96" s="17">
        <v>0</v>
      </c>
      <c r="AB96" s="17">
        <v>0</v>
      </c>
      <c r="AC96" s="17">
        <v>0</v>
      </c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</row>
    <row r="97" spans="1:58" s="16" customFormat="1" x14ac:dyDescent="0.25">
      <c r="A97" s="40" t="s">
        <v>29</v>
      </c>
      <c r="B97" s="17">
        <v>149</v>
      </c>
      <c r="C97" s="17">
        <v>167</v>
      </c>
      <c r="D97" s="17">
        <v>253</v>
      </c>
      <c r="E97" s="17">
        <v>351</v>
      </c>
      <c r="F97" s="17">
        <v>206</v>
      </c>
      <c r="G97" s="17">
        <v>144</v>
      </c>
      <c r="H97" s="17">
        <v>0</v>
      </c>
      <c r="I97" s="17">
        <v>63</v>
      </c>
      <c r="J97" s="17">
        <v>72</v>
      </c>
      <c r="K97" s="17">
        <v>135</v>
      </c>
      <c r="L97" s="17">
        <v>27</v>
      </c>
      <c r="M97" s="17">
        <v>0</v>
      </c>
      <c r="N97" s="17">
        <v>0</v>
      </c>
      <c r="O97" s="17">
        <v>0</v>
      </c>
      <c r="P97" s="17">
        <v>1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55</v>
      </c>
      <c r="W97" s="17">
        <v>0</v>
      </c>
      <c r="X97" s="17">
        <v>0</v>
      </c>
      <c r="Y97" s="17">
        <v>0</v>
      </c>
      <c r="Z97" s="17">
        <v>31</v>
      </c>
      <c r="AA97" s="17">
        <v>0</v>
      </c>
      <c r="AB97" s="17">
        <v>0</v>
      </c>
      <c r="AC97" s="17">
        <v>0</v>
      </c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</row>
    <row r="98" spans="1:58" s="16" customFormat="1" x14ac:dyDescent="0.25">
      <c r="A98" s="40" t="s">
        <v>2</v>
      </c>
      <c r="B98" s="17">
        <v>3673</v>
      </c>
      <c r="C98" s="17">
        <v>3813</v>
      </c>
      <c r="D98" s="17">
        <v>7516</v>
      </c>
      <c r="E98" s="17">
        <v>6243</v>
      </c>
      <c r="F98" s="17">
        <v>9946</v>
      </c>
      <c r="G98" s="17">
        <v>15629</v>
      </c>
      <c r="H98" s="17">
        <v>42209</v>
      </c>
      <c r="I98" s="17">
        <v>42607</v>
      </c>
      <c r="J98" s="17">
        <v>62731</v>
      </c>
      <c r="K98" s="17">
        <v>77395</v>
      </c>
      <c r="L98" s="17">
        <v>73718</v>
      </c>
      <c r="M98" s="17">
        <v>86483</v>
      </c>
      <c r="N98" s="17">
        <v>119725</v>
      </c>
      <c r="O98" s="17">
        <v>83258</v>
      </c>
      <c r="P98" s="17">
        <v>105455</v>
      </c>
      <c r="Q98" s="17">
        <v>91568</v>
      </c>
      <c r="R98" s="17">
        <v>121528</v>
      </c>
      <c r="S98" s="17">
        <v>105859</v>
      </c>
      <c r="T98" s="17">
        <v>73013</v>
      </c>
      <c r="U98" s="17">
        <v>43564</v>
      </c>
      <c r="V98" s="17">
        <v>60603</v>
      </c>
      <c r="W98" s="17">
        <v>54216</v>
      </c>
      <c r="X98" s="17">
        <v>42196</v>
      </c>
      <c r="Y98" s="17">
        <v>38577</v>
      </c>
      <c r="Z98" s="17">
        <v>31261</v>
      </c>
      <c r="AA98" s="17">
        <v>50908</v>
      </c>
      <c r="AB98" s="17">
        <v>61637</v>
      </c>
      <c r="AC98" s="17">
        <v>52331</v>
      </c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</row>
    <row r="99" spans="1:58" s="16" customFormat="1" x14ac:dyDescent="0.25">
      <c r="A99" s="40" t="s">
        <v>133</v>
      </c>
      <c r="B99" s="17">
        <v>1776</v>
      </c>
      <c r="C99" s="17">
        <v>2934</v>
      </c>
      <c r="D99" s="17">
        <v>1910</v>
      </c>
      <c r="E99" s="17">
        <v>2925</v>
      </c>
      <c r="F99" s="17">
        <v>510</v>
      </c>
      <c r="G99" s="17">
        <v>244</v>
      </c>
      <c r="H99" s="17">
        <v>2600</v>
      </c>
      <c r="I99" s="17">
        <v>2014</v>
      </c>
      <c r="J99" s="17">
        <v>709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</v>
      </c>
      <c r="V99" s="17">
        <v>0</v>
      </c>
      <c r="W99" s="17">
        <v>0</v>
      </c>
      <c r="X99" s="17">
        <v>0</v>
      </c>
      <c r="Y99" s="17">
        <v>0</v>
      </c>
      <c r="Z99" s="17">
        <v>0</v>
      </c>
      <c r="AA99" s="17">
        <v>0</v>
      </c>
      <c r="AB99" s="17">
        <v>0</v>
      </c>
      <c r="AC99" s="17">
        <v>0</v>
      </c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</row>
    <row r="100" spans="1:58" s="16" customFormat="1" x14ac:dyDescent="0.25">
      <c r="A100" s="40" t="s">
        <v>3</v>
      </c>
      <c r="B100" s="17">
        <v>0</v>
      </c>
      <c r="C100" s="17">
        <v>0</v>
      </c>
      <c r="D100" s="17">
        <v>0</v>
      </c>
      <c r="E100" s="17">
        <v>3992</v>
      </c>
      <c r="F100" s="17">
        <v>1057</v>
      </c>
      <c r="G100" s="17">
        <v>427</v>
      </c>
      <c r="H100" s="17">
        <v>1562</v>
      </c>
      <c r="I100" s="17">
        <v>3051</v>
      </c>
      <c r="J100" s="17">
        <v>5193</v>
      </c>
      <c r="K100" s="17">
        <v>9523</v>
      </c>
      <c r="L100" s="17">
        <v>9187</v>
      </c>
      <c r="M100" s="17">
        <v>25415</v>
      </c>
      <c r="N100" s="17">
        <v>8496</v>
      </c>
      <c r="O100" s="17">
        <v>11322</v>
      </c>
      <c r="P100" s="17">
        <v>29184</v>
      </c>
      <c r="Q100" s="17">
        <v>23143</v>
      </c>
      <c r="R100" s="17">
        <v>21442</v>
      </c>
      <c r="S100" s="17">
        <v>21770</v>
      </c>
      <c r="T100" s="17">
        <v>11377</v>
      </c>
      <c r="U100" s="17">
        <v>3925</v>
      </c>
      <c r="V100" s="17">
        <v>13571</v>
      </c>
      <c r="W100" s="17">
        <v>22446</v>
      </c>
      <c r="X100" s="17">
        <v>25135</v>
      </c>
      <c r="Y100" s="17">
        <v>14160</v>
      </c>
      <c r="Z100" s="17">
        <v>16231</v>
      </c>
      <c r="AA100" s="17">
        <v>21235</v>
      </c>
      <c r="AB100" s="17">
        <v>14911</v>
      </c>
      <c r="AC100" s="17">
        <v>38878</v>
      </c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</row>
    <row r="101" spans="1:58" s="16" customFormat="1" x14ac:dyDescent="0.25">
      <c r="A101" s="40" t="s">
        <v>4</v>
      </c>
      <c r="B101" s="17">
        <v>0</v>
      </c>
      <c r="C101" s="17">
        <v>0</v>
      </c>
      <c r="D101" s="17">
        <v>0</v>
      </c>
      <c r="E101" s="17">
        <v>0</v>
      </c>
      <c r="F101" s="17">
        <v>599</v>
      </c>
      <c r="G101" s="17">
        <v>1488</v>
      </c>
      <c r="H101" s="17">
        <v>73</v>
      </c>
      <c r="I101" s="17">
        <v>0</v>
      </c>
      <c r="J101" s="17">
        <v>0</v>
      </c>
      <c r="K101" s="17">
        <v>0</v>
      </c>
      <c r="L101" s="17">
        <v>6025</v>
      </c>
      <c r="M101" s="17">
        <v>10962</v>
      </c>
      <c r="N101" s="17">
        <v>8823</v>
      </c>
      <c r="O101" s="17">
        <v>7371</v>
      </c>
      <c r="P101" s="17">
        <v>12226</v>
      </c>
      <c r="Q101" s="17">
        <v>13645</v>
      </c>
      <c r="R101" s="17">
        <v>13271</v>
      </c>
      <c r="S101" s="17">
        <v>17478</v>
      </c>
      <c r="T101" s="17">
        <v>15299</v>
      </c>
      <c r="U101" s="17">
        <v>7303</v>
      </c>
      <c r="V101" s="17">
        <v>4318</v>
      </c>
      <c r="W101" s="17">
        <v>4016</v>
      </c>
      <c r="X101" s="17">
        <v>2939</v>
      </c>
      <c r="Y101" s="17">
        <v>3635</v>
      </c>
      <c r="Z101" s="17">
        <v>5041</v>
      </c>
      <c r="AA101" s="17">
        <v>3869</v>
      </c>
      <c r="AB101" s="17">
        <v>3905</v>
      </c>
      <c r="AC101" s="17">
        <v>0</v>
      </c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</row>
    <row r="102" spans="1:58" s="16" customFormat="1" x14ac:dyDescent="0.25">
      <c r="A102" s="40" t="s">
        <v>109</v>
      </c>
      <c r="B102" s="17">
        <v>4564</v>
      </c>
      <c r="C102" s="17">
        <v>5710</v>
      </c>
      <c r="D102" s="17">
        <v>5200</v>
      </c>
      <c r="E102" s="17">
        <v>6833</v>
      </c>
      <c r="F102" s="17">
        <v>7733</v>
      </c>
      <c r="G102" s="17">
        <v>7347</v>
      </c>
      <c r="H102" s="17">
        <v>6309</v>
      </c>
      <c r="I102" s="17">
        <v>5496</v>
      </c>
      <c r="J102" s="17">
        <v>5089</v>
      </c>
      <c r="K102" s="17">
        <v>5938</v>
      </c>
      <c r="L102" s="17">
        <v>6408</v>
      </c>
      <c r="M102" s="17">
        <v>5673</v>
      </c>
      <c r="N102" s="17">
        <v>6878</v>
      </c>
      <c r="O102" s="17">
        <v>6250</v>
      </c>
      <c r="P102" s="17">
        <v>6028</v>
      </c>
      <c r="Q102" s="17">
        <v>7272</v>
      </c>
      <c r="R102" s="17">
        <v>6691</v>
      </c>
      <c r="S102" s="17">
        <v>7173</v>
      </c>
      <c r="T102" s="17">
        <v>7402</v>
      </c>
      <c r="U102" s="17">
        <v>6665</v>
      </c>
      <c r="V102" s="17">
        <v>6349</v>
      </c>
      <c r="W102" s="17">
        <v>7071</v>
      </c>
      <c r="X102" s="17">
        <v>7371</v>
      </c>
      <c r="Y102" s="17">
        <v>6313</v>
      </c>
      <c r="Z102" s="17">
        <v>7744</v>
      </c>
      <c r="AA102" s="17">
        <v>8539</v>
      </c>
      <c r="AB102" s="17">
        <v>9647</v>
      </c>
      <c r="AC102" s="17">
        <v>11754</v>
      </c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</row>
    <row r="103" spans="1:58" s="16" customFormat="1" x14ac:dyDescent="0.25">
      <c r="A103" s="40" t="s">
        <v>10</v>
      </c>
      <c r="B103" s="17">
        <v>256670</v>
      </c>
      <c r="C103" s="17">
        <v>338881</v>
      </c>
      <c r="D103" s="17">
        <v>321618</v>
      </c>
      <c r="E103" s="17">
        <v>342203</v>
      </c>
      <c r="F103" s="17">
        <v>314888</v>
      </c>
      <c r="G103" s="17">
        <v>302659</v>
      </c>
      <c r="H103" s="17">
        <v>310657</v>
      </c>
      <c r="I103" s="17">
        <v>411985</v>
      </c>
      <c r="J103" s="17">
        <v>247514</v>
      </c>
      <c r="K103" s="17">
        <v>285844</v>
      </c>
      <c r="L103" s="17">
        <v>321890</v>
      </c>
      <c r="M103" s="17">
        <v>334970</v>
      </c>
      <c r="N103" s="17">
        <v>388635</v>
      </c>
      <c r="O103" s="17">
        <v>358254</v>
      </c>
      <c r="P103" s="17">
        <v>397915</v>
      </c>
      <c r="Q103" s="17">
        <v>443316</v>
      </c>
      <c r="R103" s="17">
        <v>526236</v>
      </c>
      <c r="S103" s="17">
        <v>482917</v>
      </c>
      <c r="T103" s="17">
        <v>432078</v>
      </c>
      <c r="U103" s="17">
        <v>525633</v>
      </c>
      <c r="V103" s="17">
        <v>470964</v>
      </c>
      <c r="W103" s="17">
        <v>526475</v>
      </c>
      <c r="X103" s="17">
        <v>536212</v>
      </c>
      <c r="Y103" s="17">
        <v>514558</v>
      </c>
      <c r="Z103" s="17">
        <v>546944</v>
      </c>
      <c r="AA103" s="17">
        <v>513429</v>
      </c>
      <c r="AB103" s="17">
        <v>511995</v>
      </c>
      <c r="AC103" s="17">
        <v>512006</v>
      </c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</row>
    <row r="104" spans="1:58" s="16" customFormat="1" x14ac:dyDescent="0.25">
      <c r="A104" s="40" t="s">
        <v>42</v>
      </c>
      <c r="B104" s="17">
        <v>507611</v>
      </c>
      <c r="C104" s="17">
        <v>541769</v>
      </c>
      <c r="D104" s="17">
        <v>475067</v>
      </c>
      <c r="E104" s="17">
        <v>498935</v>
      </c>
      <c r="F104" s="17">
        <v>439272</v>
      </c>
      <c r="G104" s="17">
        <v>451820</v>
      </c>
      <c r="H104" s="17">
        <v>469703</v>
      </c>
      <c r="I104" s="17">
        <v>441519</v>
      </c>
      <c r="J104" s="17">
        <v>480907</v>
      </c>
      <c r="K104" s="17">
        <v>445567</v>
      </c>
      <c r="L104" s="17">
        <v>466710</v>
      </c>
      <c r="M104" s="17">
        <v>433765</v>
      </c>
      <c r="N104" s="17">
        <v>398688</v>
      </c>
      <c r="O104" s="17">
        <v>430961</v>
      </c>
      <c r="P104" s="17">
        <v>369139</v>
      </c>
      <c r="Q104" s="17">
        <v>393227</v>
      </c>
      <c r="R104" s="17">
        <v>376688</v>
      </c>
      <c r="S104" s="17">
        <v>353669</v>
      </c>
      <c r="T104" s="17">
        <v>332958</v>
      </c>
      <c r="U104" s="17">
        <v>300952</v>
      </c>
      <c r="V104" s="17">
        <v>300717</v>
      </c>
      <c r="W104" s="17">
        <v>320652</v>
      </c>
      <c r="X104" s="17">
        <v>299654</v>
      </c>
      <c r="Y104" s="17">
        <v>282500</v>
      </c>
      <c r="Z104" s="17">
        <v>323387</v>
      </c>
      <c r="AA104" s="17">
        <v>248562</v>
      </c>
      <c r="AB104" s="17">
        <v>246444</v>
      </c>
      <c r="AC104" s="17">
        <v>272238</v>
      </c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</row>
    <row r="105" spans="1:58" s="16" customFormat="1" x14ac:dyDescent="0.25">
      <c r="A105" s="40" t="s">
        <v>110</v>
      </c>
      <c r="B105" s="17">
        <v>188664</v>
      </c>
      <c r="C105" s="17">
        <v>247928</v>
      </c>
      <c r="D105" s="17">
        <v>173495</v>
      </c>
      <c r="E105" s="17">
        <v>207494</v>
      </c>
      <c r="F105" s="17">
        <v>216692</v>
      </c>
      <c r="G105" s="17">
        <v>254590</v>
      </c>
      <c r="H105" s="17">
        <v>221082</v>
      </c>
      <c r="I105" s="17">
        <v>212655</v>
      </c>
      <c r="J105" s="17">
        <v>237355</v>
      </c>
      <c r="K105" s="17">
        <v>274861</v>
      </c>
      <c r="L105" s="17">
        <v>279586</v>
      </c>
      <c r="M105" s="17">
        <v>275131</v>
      </c>
      <c r="N105" s="17">
        <v>310141</v>
      </c>
      <c r="O105" s="17">
        <v>300211</v>
      </c>
      <c r="P105" s="17">
        <v>231569</v>
      </c>
      <c r="Q105" s="17">
        <v>290292</v>
      </c>
      <c r="R105" s="17">
        <v>245374</v>
      </c>
      <c r="S105" s="17">
        <v>292011</v>
      </c>
      <c r="T105" s="17">
        <v>289429</v>
      </c>
      <c r="U105" s="17">
        <v>299176</v>
      </c>
      <c r="V105" s="17">
        <v>265542</v>
      </c>
      <c r="W105" s="17">
        <v>289322</v>
      </c>
      <c r="X105" s="17">
        <v>344665</v>
      </c>
      <c r="Y105" s="17">
        <v>277263</v>
      </c>
      <c r="Z105" s="17">
        <v>255225</v>
      </c>
      <c r="AA105" s="17">
        <v>254019</v>
      </c>
      <c r="AB105" s="17">
        <v>266868</v>
      </c>
      <c r="AC105" s="17">
        <v>290357</v>
      </c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</row>
    <row r="106" spans="1:58" s="16" customFormat="1" x14ac:dyDescent="0.25">
      <c r="A106" s="40" t="s">
        <v>112</v>
      </c>
      <c r="B106" s="17">
        <v>976</v>
      </c>
      <c r="C106" s="17">
        <v>1543</v>
      </c>
      <c r="D106" s="17">
        <v>1615</v>
      </c>
      <c r="E106" s="17">
        <v>1662</v>
      </c>
      <c r="F106" s="17">
        <v>1718</v>
      </c>
      <c r="G106" s="17">
        <v>1926</v>
      </c>
      <c r="H106" s="17">
        <v>2005</v>
      </c>
      <c r="I106" s="17">
        <v>2189</v>
      </c>
      <c r="J106" s="17">
        <v>2114</v>
      </c>
      <c r="K106" s="17">
        <v>1807</v>
      </c>
      <c r="L106" s="17">
        <v>1770</v>
      </c>
      <c r="M106" s="17">
        <v>1993</v>
      </c>
      <c r="N106" s="17">
        <v>2187</v>
      </c>
      <c r="O106" s="17">
        <v>2488</v>
      </c>
      <c r="P106" s="17">
        <v>2362</v>
      </c>
      <c r="Q106" s="17">
        <v>2337</v>
      </c>
      <c r="R106" s="17">
        <v>2313</v>
      </c>
      <c r="S106" s="17">
        <v>2429</v>
      </c>
      <c r="T106" s="17">
        <v>2504</v>
      </c>
      <c r="U106" s="17">
        <v>2361</v>
      </c>
      <c r="V106" s="17">
        <v>2382</v>
      </c>
      <c r="W106" s="17">
        <v>2280</v>
      </c>
      <c r="X106" s="17">
        <v>2750</v>
      </c>
      <c r="Y106" s="17">
        <v>2468</v>
      </c>
      <c r="Z106" s="17">
        <v>2469</v>
      </c>
      <c r="AA106" s="17">
        <v>2905</v>
      </c>
      <c r="AB106" s="17">
        <v>2521</v>
      </c>
      <c r="AC106" s="17">
        <v>2800</v>
      </c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</row>
    <row r="107" spans="1:58" s="16" customFormat="1" x14ac:dyDescent="0.25">
      <c r="A107" s="40" t="s">
        <v>18</v>
      </c>
      <c r="B107" s="17">
        <v>208759</v>
      </c>
      <c r="C107" s="17">
        <v>235585</v>
      </c>
      <c r="D107" s="17">
        <v>226179</v>
      </c>
      <c r="E107" s="17">
        <v>234460</v>
      </c>
      <c r="F107" s="17">
        <v>210754</v>
      </c>
      <c r="G107" s="17">
        <v>234060</v>
      </c>
      <c r="H107" s="17">
        <v>291833</v>
      </c>
      <c r="I107" s="17">
        <v>302114</v>
      </c>
      <c r="J107" s="17">
        <v>306316</v>
      </c>
      <c r="K107" s="17">
        <v>334610</v>
      </c>
      <c r="L107" s="17">
        <v>381050</v>
      </c>
      <c r="M107" s="17">
        <v>420526</v>
      </c>
      <c r="N107" s="17">
        <v>327743</v>
      </c>
      <c r="O107" s="17">
        <v>285566</v>
      </c>
      <c r="P107" s="17">
        <v>193915</v>
      </c>
      <c r="Q107" s="17">
        <v>233387</v>
      </c>
      <c r="R107" s="17">
        <v>229276</v>
      </c>
      <c r="S107" s="17">
        <v>287191</v>
      </c>
      <c r="T107" s="17">
        <v>247959</v>
      </c>
      <c r="U107" s="17">
        <v>214802</v>
      </c>
      <c r="V107" s="17">
        <v>199957</v>
      </c>
      <c r="W107" s="17">
        <v>156277</v>
      </c>
      <c r="X107" s="17">
        <v>160477</v>
      </c>
      <c r="Y107" s="17">
        <v>215361</v>
      </c>
      <c r="Z107" s="17">
        <v>177193</v>
      </c>
      <c r="AA107" s="17">
        <v>147710</v>
      </c>
      <c r="AB107" s="17">
        <v>159448</v>
      </c>
      <c r="AC107" s="17">
        <v>201352</v>
      </c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</row>
    <row r="108" spans="1:58" s="16" customFormat="1" x14ac:dyDescent="0.25">
      <c r="A108" s="40" t="s">
        <v>19</v>
      </c>
      <c r="B108" s="17">
        <v>0</v>
      </c>
      <c r="C108" s="17">
        <v>0</v>
      </c>
      <c r="D108" s="17">
        <v>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0</v>
      </c>
      <c r="P108" s="17">
        <v>7</v>
      </c>
      <c r="Q108" s="17">
        <v>18</v>
      </c>
      <c r="R108" s="17">
        <v>175</v>
      </c>
      <c r="S108" s="17">
        <v>94</v>
      </c>
      <c r="T108" s="17">
        <v>21</v>
      </c>
      <c r="U108" s="17">
        <v>16</v>
      </c>
      <c r="V108" s="17">
        <v>0</v>
      </c>
      <c r="W108" s="17">
        <v>0</v>
      </c>
      <c r="X108" s="17">
        <v>0</v>
      </c>
      <c r="Y108" s="17">
        <v>0</v>
      </c>
      <c r="Z108" s="17">
        <v>0</v>
      </c>
      <c r="AA108" s="17">
        <v>0</v>
      </c>
      <c r="AB108" s="17">
        <v>0</v>
      </c>
      <c r="AC108" s="17">
        <v>0</v>
      </c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</row>
    <row r="109" spans="1:58" s="16" customFormat="1" x14ac:dyDescent="0.25">
      <c r="A109" s="40" t="s">
        <v>134</v>
      </c>
      <c r="B109" s="17">
        <v>0</v>
      </c>
      <c r="C109" s="17">
        <v>0</v>
      </c>
      <c r="D109" s="17">
        <v>0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6</v>
      </c>
      <c r="K109" s="17">
        <v>15</v>
      </c>
      <c r="L109" s="17">
        <v>6</v>
      </c>
      <c r="M109" s="17">
        <v>0</v>
      </c>
      <c r="N109" s="17">
        <v>0</v>
      </c>
      <c r="O109" s="17">
        <v>0</v>
      </c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v>0</v>
      </c>
      <c r="AA109" s="17">
        <v>0</v>
      </c>
      <c r="AB109" s="17">
        <v>0</v>
      </c>
      <c r="AC109" s="17">
        <v>0</v>
      </c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</row>
    <row r="110" spans="1:58" s="16" customFormat="1" x14ac:dyDescent="0.25">
      <c r="A110" s="40" t="s">
        <v>21</v>
      </c>
      <c r="B110" s="17">
        <v>0</v>
      </c>
      <c r="C110" s="17">
        <v>1624</v>
      </c>
      <c r="D110" s="17">
        <v>8614</v>
      </c>
      <c r="E110" s="17">
        <v>12896</v>
      </c>
      <c r="F110" s="17">
        <v>2402</v>
      </c>
      <c r="G110" s="17">
        <v>2288</v>
      </c>
      <c r="H110" s="17">
        <v>4659</v>
      </c>
      <c r="I110" s="17">
        <v>5584</v>
      </c>
      <c r="J110" s="17">
        <v>3453</v>
      </c>
      <c r="K110" s="17">
        <v>11826</v>
      </c>
      <c r="L110" s="17">
        <v>23750</v>
      </c>
      <c r="M110" s="17">
        <v>36359</v>
      </c>
      <c r="N110" s="17">
        <v>26686</v>
      </c>
      <c r="O110" s="17">
        <v>29500</v>
      </c>
      <c r="P110" s="17">
        <v>39466</v>
      </c>
      <c r="Q110" s="17">
        <v>32198</v>
      </c>
      <c r="R110" s="17">
        <v>45037</v>
      </c>
      <c r="S110" s="17">
        <v>40539</v>
      </c>
      <c r="T110" s="17">
        <v>33275</v>
      </c>
      <c r="U110" s="17">
        <v>8782</v>
      </c>
      <c r="V110" s="17">
        <v>11754</v>
      </c>
      <c r="W110" s="17">
        <v>10481</v>
      </c>
      <c r="X110" s="17">
        <v>9985</v>
      </c>
      <c r="Y110" s="17">
        <v>10832</v>
      </c>
      <c r="Z110" s="17">
        <v>13493</v>
      </c>
      <c r="AA110" s="17">
        <v>17753</v>
      </c>
      <c r="AB110" s="17">
        <v>23340</v>
      </c>
      <c r="AC110" s="17">
        <v>32836</v>
      </c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</row>
    <row r="111" spans="1:58" s="16" customFormat="1" x14ac:dyDescent="0.25">
      <c r="A111" s="40" t="s">
        <v>114</v>
      </c>
      <c r="B111" s="17">
        <v>216993</v>
      </c>
      <c r="C111" s="17">
        <v>305349</v>
      </c>
      <c r="D111" s="17">
        <v>251030</v>
      </c>
      <c r="E111" s="17">
        <v>279192</v>
      </c>
      <c r="F111" s="17">
        <v>285277</v>
      </c>
      <c r="G111" s="17">
        <v>318299</v>
      </c>
      <c r="H111" s="17">
        <v>258533</v>
      </c>
      <c r="I111" s="17">
        <v>261041</v>
      </c>
      <c r="J111" s="17">
        <v>244536</v>
      </c>
      <c r="K111" s="17">
        <v>255605</v>
      </c>
      <c r="L111" s="17">
        <v>276952</v>
      </c>
      <c r="M111" s="17">
        <v>247245</v>
      </c>
      <c r="N111" s="17">
        <v>242299</v>
      </c>
      <c r="O111" s="17">
        <v>256576</v>
      </c>
      <c r="P111" s="17">
        <v>229097</v>
      </c>
      <c r="Q111" s="17">
        <v>247231</v>
      </c>
      <c r="R111" s="17">
        <v>260446</v>
      </c>
      <c r="S111" s="17">
        <v>275358</v>
      </c>
      <c r="T111" s="17">
        <v>233755</v>
      </c>
      <c r="U111" s="17">
        <v>236113</v>
      </c>
      <c r="V111" s="17">
        <v>225365</v>
      </c>
      <c r="W111" s="17">
        <v>241990</v>
      </c>
      <c r="X111" s="17">
        <v>289442</v>
      </c>
      <c r="Y111" s="17">
        <v>216215</v>
      </c>
      <c r="Z111" s="17">
        <v>250602</v>
      </c>
      <c r="AA111" s="17">
        <v>255717</v>
      </c>
      <c r="AB111" s="17">
        <v>212839</v>
      </c>
      <c r="AC111" s="17">
        <v>276615</v>
      </c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</row>
    <row r="112" spans="1:58" s="16" customFormat="1" x14ac:dyDescent="0.25">
      <c r="A112" s="40" t="s">
        <v>135</v>
      </c>
      <c r="B112" s="17">
        <v>153997</v>
      </c>
      <c r="C112" s="17">
        <v>184050</v>
      </c>
      <c r="D112" s="17">
        <v>191508</v>
      </c>
      <c r="E112" s="17">
        <v>135318</v>
      </c>
      <c r="F112" s="17">
        <v>128500</v>
      </c>
      <c r="G112" s="17">
        <v>136189</v>
      </c>
      <c r="H112" s="17">
        <v>101006</v>
      </c>
      <c r="I112" s="17">
        <v>79391</v>
      </c>
      <c r="J112" s="17">
        <v>97739</v>
      </c>
      <c r="K112" s="17">
        <v>81134</v>
      </c>
      <c r="L112" s="17">
        <v>103499</v>
      </c>
      <c r="M112" s="17">
        <v>221185</v>
      </c>
      <c r="N112" s="17">
        <v>292701</v>
      </c>
      <c r="O112" s="17">
        <v>256950</v>
      </c>
      <c r="P112" s="17">
        <v>214837</v>
      </c>
      <c r="Q112" s="17">
        <v>272718</v>
      </c>
      <c r="R112" s="17">
        <v>265112</v>
      </c>
      <c r="S112" s="17">
        <v>323213</v>
      </c>
      <c r="T112" s="17">
        <v>249169</v>
      </c>
      <c r="U112" s="17">
        <v>212674</v>
      </c>
      <c r="V112" s="17">
        <v>177227</v>
      </c>
      <c r="W112" s="17">
        <v>208918</v>
      </c>
      <c r="X112" s="17">
        <v>177463</v>
      </c>
      <c r="Y112" s="17">
        <v>148665</v>
      </c>
      <c r="Z112" s="17">
        <v>61683</v>
      </c>
      <c r="AA112" s="17">
        <v>67427</v>
      </c>
      <c r="AB112" s="17">
        <v>84331</v>
      </c>
      <c r="AC112" s="17">
        <v>75380</v>
      </c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</row>
    <row r="113" spans="1:58" s="16" customFormat="1" x14ac:dyDescent="0.25">
      <c r="A113" s="40" t="s">
        <v>116</v>
      </c>
      <c r="B113" s="17">
        <v>0</v>
      </c>
      <c r="C113" s="17">
        <v>0</v>
      </c>
      <c r="D113" s="17">
        <v>0</v>
      </c>
      <c r="E113" s="17">
        <v>33632</v>
      </c>
      <c r="F113" s="17">
        <v>35400</v>
      </c>
      <c r="G113" s="17">
        <v>37683</v>
      </c>
      <c r="H113" s="17">
        <v>37458</v>
      </c>
      <c r="I113" s="17">
        <v>50521</v>
      </c>
      <c r="J113" s="17">
        <v>52409</v>
      </c>
      <c r="K113" s="17">
        <v>52573</v>
      </c>
      <c r="L113" s="17">
        <v>54210</v>
      </c>
      <c r="M113" s="17">
        <v>49903</v>
      </c>
      <c r="N113" s="17">
        <v>44241</v>
      </c>
      <c r="O113" s="17">
        <v>41665</v>
      </c>
      <c r="P113" s="17">
        <v>49584</v>
      </c>
      <c r="Q113" s="17">
        <v>65556</v>
      </c>
      <c r="R113" s="17">
        <v>78631</v>
      </c>
      <c r="S113" s="17">
        <v>80842</v>
      </c>
      <c r="T113" s="17">
        <v>89063</v>
      </c>
      <c r="U113" s="17">
        <v>123076</v>
      </c>
      <c r="V113" s="17">
        <v>112626</v>
      </c>
      <c r="W113" s="17">
        <v>120535</v>
      </c>
      <c r="X113" s="17">
        <v>109315</v>
      </c>
      <c r="Y113" s="17">
        <v>95540</v>
      </c>
      <c r="Z113" s="17">
        <v>89589</v>
      </c>
      <c r="AA113" s="17">
        <v>97615</v>
      </c>
      <c r="AB113" s="17">
        <v>97145</v>
      </c>
      <c r="AC113" s="17">
        <v>97613</v>
      </c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</row>
    <row r="114" spans="1:58" s="16" customFormat="1" x14ac:dyDescent="0.25">
      <c r="A114" s="40" t="s">
        <v>117</v>
      </c>
      <c r="B114" s="17">
        <v>0</v>
      </c>
      <c r="C114" s="17">
        <v>0</v>
      </c>
      <c r="D114" s="17">
        <v>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13</v>
      </c>
      <c r="Q114" s="17">
        <v>0</v>
      </c>
      <c r="R114" s="17">
        <v>9</v>
      </c>
      <c r="S114" s="17">
        <v>7</v>
      </c>
      <c r="T114" s="17">
        <v>6</v>
      </c>
      <c r="U114" s="17">
        <v>7</v>
      </c>
      <c r="V114" s="17">
        <v>5</v>
      </c>
      <c r="W114" s="17">
        <v>11</v>
      </c>
      <c r="X114" s="17">
        <v>19</v>
      </c>
      <c r="Y114" s="17">
        <v>13</v>
      </c>
      <c r="Z114" s="17">
        <v>13</v>
      </c>
      <c r="AA114" s="17">
        <v>4</v>
      </c>
      <c r="AB114" s="17">
        <v>4</v>
      </c>
      <c r="AC114" s="17">
        <v>0</v>
      </c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</row>
    <row r="115" spans="1:58" s="16" customFormat="1" x14ac:dyDescent="0.25">
      <c r="A115" s="24" t="s">
        <v>106</v>
      </c>
      <c r="B115" s="25">
        <v>1543909</v>
      </c>
      <c r="C115" s="25">
        <v>1869628</v>
      </c>
      <c r="D115" s="25">
        <v>1664215</v>
      </c>
      <c r="E115" s="25">
        <v>1766407</v>
      </c>
      <c r="F115" s="25">
        <v>1662095</v>
      </c>
      <c r="G115" s="25">
        <v>1768177</v>
      </c>
      <c r="H115" s="25">
        <v>1752386</v>
      </c>
      <c r="I115" s="25">
        <v>1821174</v>
      </c>
      <c r="J115" s="25">
        <v>1747198</v>
      </c>
      <c r="K115" s="25">
        <v>1837582</v>
      </c>
      <c r="L115" s="25">
        <v>2005382</v>
      </c>
      <c r="M115" s="25">
        <v>2149833</v>
      </c>
      <c r="N115" s="25">
        <v>2177432</v>
      </c>
      <c r="O115" s="25">
        <v>2070498</v>
      </c>
      <c r="P115" s="25">
        <v>1881016</v>
      </c>
      <c r="Q115" s="25">
        <v>2116102</v>
      </c>
      <c r="R115" s="25">
        <v>2192481</v>
      </c>
      <c r="S115" s="25">
        <v>2290550</v>
      </c>
      <c r="T115" s="25">
        <v>2017308</v>
      </c>
      <c r="U115" s="25">
        <v>1985049</v>
      </c>
      <c r="V115" s="25">
        <v>1851435</v>
      </c>
      <c r="W115" s="25">
        <v>1964690</v>
      </c>
      <c r="X115" s="25">
        <v>2007623</v>
      </c>
      <c r="Y115" s="25">
        <v>1826100</v>
      </c>
      <c r="Z115" s="25">
        <v>1780906</v>
      </c>
      <c r="AA115" s="25">
        <v>1689692</v>
      </c>
      <c r="AB115" s="25">
        <v>1695035</v>
      </c>
      <c r="AC115" s="25">
        <v>1864160</v>
      </c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</row>
    <row r="116" spans="1:58" s="16" customFormat="1" ht="14.25" thickBot="1" x14ac:dyDescent="0.3">
      <c r="A116" s="18" t="s">
        <v>83</v>
      </c>
      <c r="B116" s="19">
        <v>1680590</v>
      </c>
      <c r="C116" s="19">
        <v>2063784</v>
      </c>
      <c r="D116" s="19">
        <v>1844488</v>
      </c>
      <c r="E116" s="19">
        <v>1972858</v>
      </c>
      <c r="F116" s="19">
        <v>1884814</v>
      </c>
      <c r="G116" s="19">
        <v>2071801</v>
      </c>
      <c r="H116" s="19">
        <v>2103937</v>
      </c>
      <c r="I116" s="19">
        <v>2281182</v>
      </c>
      <c r="J116" s="19">
        <v>2242644</v>
      </c>
      <c r="K116" s="19">
        <v>2303453</v>
      </c>
      <c r="L116" s="19">
        <v>2528856</v>
      </c>
      <c r="M116" s="19">
        <v>2578730</v>
      </c>
      <c r="N116" s="19">
        <v>2630472</v>
      </c>
      <c r="O116" s="19">
        <v>2527173</v>
      </c>
      <c r="P116" s="19">
        <v>2363430</v>
      </c>
      <c r="Q116" s="19">
        <v>2678137</v>
      </c>
      <c r="R116" s="19">
        <v>2727599</v>
      </c>
      <c r="S116" s="19">
        <v>2903898</v>
      </c>
      <c r="T116" s="19">
        <v>2660073</v>
      </c>
      <c r="U116" s="19">
        <v>2717097</v>
      </c>
      <c r="V116" s="19">
        <v>2588837</v>
      </c>
      <c r="W116" s="19">
        <v>2816989</v>
      </c>
      <c r="X116" s="19">
        <v>2973803</v>
      </c>
      <c r="Y116" s="19">
        <v>2729210</v>
      </c>
      <c r="Z116" s="19">
        <v>2669164</v>
      </c>
      <c r="AA116" s="19">
        <v>2659230</v>
      </c>
      <c r="AB116" s="19">
        <v>2623289</v>
      </c>
      <c r="AC116" s="19">
        <v>2998699</v>
      </c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</row>
    <row r="117" spans="1:58" x14ac:dyDescent="0.25"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</row>
    <row r="118" spans="1:58" ht="14.25" thickBot="1" x14ac:dyDescent="0.3">
      <c r="A118" s="11" t="s">
        <v>136</v>
      </c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</row>
    <row r="119" spans="1:58" s="15" customFormat="1" x14ac:dyDescent="0.25">
      <c r="A119" s="13"/>
      <c r="B119" s="14">
        <v>1997</v>
      </c>
      <c r="C119" s="14">
        <v>1998</v>
      </c>
      <c r="D119" s="14">
        <v>1999</v>
      </c>
      <c r="E119" s="14">
        <v>2000</v>
      </c>
      <c r="F119" s="14">
        <v>2001</v>
      </c>
      <c r="G119" s="14">
        <v>2002</v>
      </c>
      <c r="H119" s="14">
        <v>2003</v>
      </c>
      <c r="I119" s="14">
        <v>2004</v>
      </c>
      <c r="J119" s="14">
        <v>2005</v>
      </c>
      <c r="K119" s="14">
        <v>2006</v>
      </c>
      <c r="L119" s="14">
        <v>2007</v>
      </c>
      <c r="M119" s="14">
        <v>2008</v>
      </c>
      <c r="N119" s="14">
        <v>2009</v>
      </c>
      <c r="O119" s="14">
        <v>2010</v>
      </c>
      <c r="P119" s="14">
        <v>2011</v>
      </c>
      <c r="Q119" s="14">
        <v>2012</v>
      </c>
      <c r="R119" s="14">
        <v>2013</v>
      </c>
      <c r="S119" s="14">
        <v>2014</v>
      </c>
      <c r="T119" s="14">
        <v>2015</v>
      </c>
      <c r="U119" s="14">
        <v>2016</v>
      </c>
      <c r="V119" s="14">
        <v>2017</v>
      </c>
      <c r="W119" s="14">
        <v>2018</v>
      </c>
      <c r="X119" s="14">
        <v>2019</v>
      </c>
      <c r="Y119" s="14">
        <v>2020</v>
      </c>
      <c r="Z119" s="14">
        <v>2021</v>
      </c>
      <c r="AA119" s="14">
        <v>2022</v>
      </c>
      <c r="AB119" s="14">
        <v>2023</v>
      </c>
      <c r="AC119" s="14">
        <v>2024</v>
      </c>
    </row>
    <row r="120" spans="1:58" x14ac:dyDescent="0.25">
      <c r="A120" s="39" t="s">
        <v>90</v>
      </c>
      <c r="W120" s="9"/>
    </row>
    <row r="121" spans="1:58" s="16" customFormat="1" x14ac:dyDescent="0.25">
      <c r="A121" s="40" t="s">
        <v>26</v>
      </c>
      <c r="B121" s="17">
        <v>7545</v>
      </c>
      <c r="C121" s="17">
        <v>5053</v>
      </c>
      <c r="D121" s="17">
        <v>7521</v>
      </c>
      <c r="E121" s="17">
        <v>6971</v>
      </c>
      <c r="F121" s="17">
        <v>5236</v>
      </c>
      <c r="G121" s="17">
        <v>5188</v>
      </c>
      <c r="H121" s="17">
        <v>5686</v>
      </c>
      <c r="I121" s="17">
        <v>4107</v>
      </c>
      <c r="J121" s="17">
        <v>3018</v>
      </c>
      <c r="K121" s="17">
        <v>4962</v>
      </c>
      <c r="L121" s="17">
        <v>4377</v>
      </c>
      <c r="M121" s="17">
        <v>3956</v>
      </c>
      <c r="N121" s="17">
        <v>3636</v>
      </c>
      <c r="O121" s="17">
        <v>2559</v>
      </c>
      <c r="P121" s="17">
        <v>2916</v>
      </c>
      <c r="Q121" s="17">
        <v>2519</v>
      </c>
      <c r="R121" s="17">
        <v>2584</v>
      </c>
      <c r="S121" s="17">
        <v>2911</v>
      </c>
      <c r="T121" s="17">
        <v>3907</v>
      </c>
      <c r="U121" s="17">
        <v>3457</v>
      </c>
      <c r="V121" s="17">
        <v>2918</v>
      </c>
      <c r="W121" s="17">
        <v>2390</v>
      </c>
      <c r="X121" s="17">
        <v>3009</v>
      </c>
      <c r="Y121" s="17">
        <v>3193</v>
      </c>
      <c r="Z121" s="17">
        <v>2888</v>
      </c>
      <c r="AA121" s="17">
        <v>2888</v>
      </c>
      <c r="AB121" s="17">
        <v>2529</v>
      </c>
      <c r="AC121" s="17">
        <v>3710</v>
      </c>
    </row>
    <row r="122" spans="1:58" s="16" customFormat="1" x14ac:dyDescent="0.25">
      <c r="A122" s="40" t="s">
        <v>92</v>
      </c>
      <c r="B122" s="17">
        <v>0</v>
      </c>
      <c r="C122" s="17">
        <v>0</v>
      </c>
      <c r="D122" s="17">
        <v>0</v>
      </c>
      <c r="E122" s="17">
        <v>0</v>
      </c>
      <c r="F122" s="17">
        <v>4</v>
      </c>
      <c r="G122" s="17">
        <v>604</v>
      </c>
      <c r="H122" s="17">
        <v>1755</v>
      </c>
      <c r="I122" s="17">
        <v>2825</v>
      </c>
      <c r="J122" s="17">
        <v>3017</v>
      </c>
      <c r="K122" s="17">
        <v>2628</v>
      </c>
      <c r="L122" s="17">
        <v>3002</v>
      </c>
      <c r="M122" s="17">
        <v>2582</v>
      </c>
      <c r="N122" s="17">
        <v>1994</v>
      </c>
      <c r="O122" s="17">
        <v>2992</v>
      </c>
      <c r="P122" s="17">
        <v>3629</v>
      </c>
      <c r="Q122" s="17">
        <v>5329</v>
      </c>
      <c r="R122" s="17">
        <v>1866</v>
      </c>
      <c r="S122" s="17">
        <v>2011</v>
      </c>
      <c r="T122" s="17">
        <v>1740</v>
      </c>
      <c r="U122" s="17">
        <v>1854</v>
      </c>
      <c r="V122" s="17">
        <v>3416</v>
      </c>
      <c r="W122" s="17">
        <v>3576</v>
      </c>
      <c r="X122" s="17">
        <v>2700</v>
      </c>
      <c r="Y122" s="17">
        <v>1353</v>
      </c>
      <c r="Z122" s="17">
        <v>937</v>
      </c>
      <c r="AA122" s="17">
        <v>1167</v>
      </c>
      <c r="AB122" s="17">
        <v>1060</v>
      </c>
      <c r="AC122" s="17">
        <v>629</v>
      </c>
    </row>
    <row r="123" spans="1:58" s="16" customFormat="1" x14ac:dyDescent="0.25">
      <c r="A123" s="40" t="s">
        <v>5</v>
      </c>
      <c r="B123" s="17">
        <v>4308</v>
      </c>
      <c r="C123" s="17">
        <v>3878</v>
      </c>
      <c r="D123" s="17">
        <v>3969</v>
      </c>
      <c r="E123" s="17">
        <v>9204</v>
      </c>
      <c r="F123" s="17">
        <v>11080</v>
      </c>
      <c r="G123" s="17">
        <v>10557</v>
      </c>
      <c r="H123" s="17">
        <v>9219</v>
      </c>
      <c r="I123" s="17">
        <v>13927</v>
      </c>
      <c r="J123" s="17">
        <v>12504</v>
      </c>
      <c r="K123" s="17">
        <v>13128</v>
      </c>
      <c r="L123" s="17">
        <v>8751</v>
      </c>
      <c r="M123" s="17">
        <v>11943</v>
      </c>
      <c r="N123" s="17">
        <v>14275</v>
      </c>
      <c r="O123" s="17">
        <v>11001</v>
      </c>
      <c r="P123" s="17">
        <v>13145</v>
      </c>
      <c r="Q123" s="17">
        <v>11180</v>
      </c>
      <c r="R123" s="17">
        <v>9781</v>
      </c>
      <c r="S123" s="17">
        <v>10304</v>
      </c>
      <c r="T123" s="17">
        <v>10910</v>
      </c>
      <c r="U123" s="17">
        <v>12404</v>
      </c>
      <c r="V123" s="17">
        <v>15056</v>
      </c>
      <c r="W123" s="17">
        <v>11661</v>
      </c>
      <c r="X123" s="17">
        <v>12819</v>
      </c>
      <c r="Y123" s="17">
        <v>10622</v>
      </c>
      <c r="Z123" s="17">
        <v>8748</v>
      </c>
      <c r="AA123" s="17">
        <v>9802</v>
      </c>
      <c r="AB123" s="17">
        <v>7676</v>
      </c>
      <c r="AC123" s="17">
        <v>12229</v>
      </c>
    </row>
    <row r="124" spans="1:58" s="16" customFormat="1" x14ac:dyDescent="0.25">
      <c r="A124" s="40" t="s">
        <v>93</v>
      </c>
      <c r="B124" s="17">
        <v>5389</v>
      </c>
      <c r="C124" s="17">
        <v>12231</v>
      </c>
      <c r="D124" s="17">
        <v>8306</v>
      </c>
      <c r="E124" s="17">
        <v>17132</v>
      </c>
      <c r="F124" s="17">
        <v>13604</v>
      </c>
      <c r="G124" s="17">
        <v>15253</v>
      </c>
      <c r="H124" s="17">
        <v>27471</v>
      </c>
      <c r="I124" s="17">
        <v>21563</v>
      </c>
      <c r="J124" s="17">
        <v>23083</v>
      </c>
      <c r="K124" s="17">
        <v>9738</v>
      </c>
      <c r="L124" s="17">
        <v>12703</v>
      </c>
      <c r="M124" s="17">
        <v>16600</v>
      </c>
      <c r="N124" s="17">
        <v>18447</v>
      </c>
      <c r="O124" s="17">
        <v>26252</v>
      </c>
      <c r="P124" s="17">
        <v>28535</v>
      </c>
      <c r="Q124" s="17">
        <v>38183</v>
      </c>
      <c r="R124" s="17">
        <v>30504</v>
      </c>
      <c r="S124" s="17">
        <v>42007</v>
      </c>
      <c r="T124" s="17">
        <v>45737</v>
      </c>
      <c r="U124" s="17">
        <v>69235</v>
      </c>
      <c r="V124" s="17">
        <v>76169</v>
      </c>
      <c r="W124" s="17">
        <v>107581</v>
      </c>
      <c r="X124" s="17">
        <v>128041</v>
      </c>
      <c r="Y124" s="17">
        <v>162480</v>
      </c>
      <c r="Z124" s="17">
        <v>131680</v>
      </c>
      <c r="AA124" s="17">
        <v>158624</v>
      </c>
      <c r="AB124" s="17">
        <v>125429</v>
      </c>
      <c r="AC124" s="17">
        <v>185829</v>
      </c>
    </row>
    <row r="125" spans="1:58" s="16" customFormat="1" x14ac:dyDescent="0.25">
      <c r="A125" s="40" t="s">
        <v>94</v>
      </c>
      <c r="B125" s="17">
        <v>6232</v>
      </c>
      <c r="C125" s="17">
        <v>7436</v>
      </c>
      <c r="D125" s="17">
        <v>9028</v>
      </c>
      <c r="E125" s="17">
        <v>13881</v>
      </c>
      <c r="F125" s="17">
        <v>4635</v>
      </c>
      <c r="G125" s="17">
        <v>8239</v>
      </c>
      <c r="H125" s="17">
        <v>5356</v>
      </c>
      <c r="I125" s="17">
        <v>6143</v>
      </c>
      <c r="J125" s="17">
        <v>7592</v>
      </c>
      <c r="K125" s="17">
        <v>5409</v>
      </c>
      <c r="L125" s="17">
        <v>17728</v>
      </c>
      <c r="M125" s="17">
        <v>18891</v>
      </c>
      <c r="N125" s="17">
        <v>27364</v>
      </c>
      <c r="O125" s="17">
        <v>33814</v>
      </c>
      <c r="P125" s="17">
        <v>47390</v>
      </c>
      <c r="Q125" s="17">
        <v>67384</v>
      </c>
      <c r="R125" s="17">
        <v>71258</v>
      </c>
      <c r="S125" s="17">
        <v>82862</v>
      </c>
      <c r="T125" s="17">
        <v>108286</v>
      </c>
      <c r="U125" s="17">
        <v>137937</v>
      </c>
      <c r="V125" s="17">
        <v>132507</v>
      </c>
      <c r="W125" s="17">
        <v>158855</v>
      </c>
      <c r="X125" s="17">
        <v>189208</v>
      </c>
      <c r="Y125" s="17">
        <v>181428</v>
      </c>
      <c r="Z125" s="17">
        <v>168921</v>
      </c>
      <c r="AA125" s="17">
        <v>186575</v>
      </c>
      <c r="AB125" s="17">
        <v>190564</v>
      </c>
      <c r="AC125" s="17">
        <v>247631</v>
      </c>
    </row>
    <row r="126" spans="1:58" s="16" customFormat="1" x14ac:dyDescent="0.25">
      <c r="A126" s="40" t="s">
        <v>95</v>
      </c>
      <c r="B126" s="17">
        <v>0</v>
      </c>
      <c r="C126" s="17">
        <v>0</v>
      </c>
      <c r="D126" s="17">
        <v>0</v>
      </c>
      <c r="E126" s="17">
        <v>5950</v>
      </c>
      <c r="F126" s="17">
        <v>30377</v>
      </c>
      <c r="G126" s="17">
        <v>33128</v>
      </c>
      <c r="H126" s="17">
        <v>26809</v>
      </c>
      <c r="I126" s="17">
        <v>33979</v>
      </c>
      <c r="J126" s="17">
        <v>38246</v>
      </c>
      <c r="K126" s="17">
        <v>36395</v>
      </c>
      <c r="L126" s="17">
        <v>49997</v>
      </c>
      <c r="M126" s="17">
        <v>23743</v>
      </c>
      <c r="N126" s="17">
        <v>36567</v>
      </c>
      <c r="O126" s="17">
        <v>54731</v>
      </c>
      <c r="P126" s="17">
        <v>90426</v>
      </c>
      <c r="Q126" s="17">
        <v>73995</v>
      </c>
      <c r="R126" s="17">
        <v>77681</v>
      </c>
      <c r="S126" s="17">
        <v>75877</v>
      </c>
      <c r="T126" s="17">
        <v>55145</v>
      </c>
      <c r="U126" s="17">
        <v>49149</v>
      </c>
      <c r="V126" s="17">
        <v>46023</v>
      </c>
      <c r="W126" s="17">
        <v>64681</v>
      </c>
      <c r="X126" s="17">
        <v>56547</v>
      </c>
      <c r="Y126" s="17">
        <v>60619</v>
      </c>
      <c r="Z126" s="17">
        <v>76199</v>
      </c>
      <c r="AA126" s="17">
        <v>81328</v>
      </c>
      <c r="AB126" s="17">
        <v>52907</v>
      </c>
      <c r="AC126" s="17">
        <v>88605</v>
      </c>
    </row>
    <row r="127" spans="1:58" s="16" customFormat="1" x14ac:dyDescent="0.25">
      <c r="A127" s="40" t="s">
        <v>96</v>
      </c>
      <c r="B127" s="17">
        <v>0</v>
      </c>
      <c r="C127" s="17">
        <v>0</v>
      </c>
      <c r="D127" s="17">
        <v>0</v>
      </c>
      <c r="E127" s="17">
        <v>11</v>
      </c>
      <c r="F127" s="17">
        <v>13</v>
      </c>
      <c r="G127" s="17">
        <v>7</v>
      </c>
      <c r="H127" s="17">
        <v>20</v>
      </c>
      <c r="I127" s="17">
        <v>3</v>
      </c>
      <c r="J127" s="17">
        <v>0</v>
      </c>
      <c r="K127" s="17">
        <v>0</v>
      </c>
      <c r="L127" s="17">
        <v>0</v>
      </c>
      <c r="M127" s="17">
        <v>3</v>
      </c>
      <c r="N127" s="17">
        <v>8</v>
      </c>
      <c r="O127" s="17">
        <v>4</v>
      </c>
      <c r="P127" s="17">
        <v>11</v>
      </c>
      <c r="Q127" s="17">
        <v>11</v>
      </c>
      <c r="R127" s="17">
        <v>19</v>
      </c>
      <c r="S127" s="17">
        <v>19</v>
      </c>
      <c r="T127" s="17">
        <v>19</v>
      </c>
      <c r="U127" s="17">
        <v>19</v>
      </c>
      <c r="V127" s="17">
        <v>19</v>
      </c>
      <c r="W127" s="17">
        <v>2903</v>
      </c>
      <c r="X127" s="17">
        <v>21757</v>
      </c>
      <c r="Y127" s="17">
        <v>76395</v>
      </c>
      <c r="Z127" s="17">
        <v>116403</v>
      </c>
      <c r="AA127" s="17">
        <v>103323</v>
      </c>
      <c r="AB127" s="17">
        <v>81582</v>
      </c>
      <c r="AC127" s="17">
        <v>76954</v>
      </c>
    </row>
    <row r="128" spans="1:58" s="16" customFormat="1" x14ac:dyDescent="0.25">
      <c r="A128" s="40" t="s">
        <v>49</v>
      </c>
      <c r="B128" s="17">
        <v>10451</v>
      </c>
      <c r="C128" s="17">
        <v>15145</v>
      </c>
      <c r="D128" s="17">
        <v>10138</v>
      </c>
      <c r="E128" s="17">
        <v>17439</v>
      </c>
      <c r="F128" s="17">
        <v>17179</v>
      </c>
      <c r="G128" s="17">
        <v>32043</v>
      </c>
      <c r="H128" s="17">
        <v>22711</v>
      </c>
      <c r="I128" s="17">
        <v>30735</v>
      </c>
      <c r="J128" s="17">
        <v>25729</v>
      </c>
      <c r="K128" s="17">
        <v>22781</v>
      </c>
      <c r="L128" s="17">
        <v>31091</v>
      </c>
      <c r="M128" s="17">
        <v>27934</v>
      </c>
      <c r="N128" s="17">
        <v>23020</v>
      </c>
      <c r="O128" s="17">
        <v>25932</v>
      </c>
      <c r="P128" s="17">
        <v>24256</v>
      </c>
      <c r="Q128" s="17">
        <v>21830</v>
      </c>
      <c r="R128" s="17">
        <v>27664</v>
      </c>
      <c r="S128" s="17">
        <v>22265</v>
      </c>
      <c r="T128" s="17">
        <v>15209</v>
      </c>
      <c r="U128" s="17">
        <v>9967</v>
      </c>
      <c r="V128" s="17">
        <v>6372</v>
      </c>
      <c r="W128" s="17">
        <v>6363</v>
      </c>
      <c r="X128" s="17">
        <v>8276</v>
      </c>
      <c r="Y128" s="17">
        <v>8661</v>
      </c>
      <c r="Z128" s="17">
        <v>8507</v>
      </c>
      <c r="AA128" s="17">
        <v>3449</v>
      </c>
      <c r="AB128" s="17">
        <v>1208</v>
      </c>
      <c r="AC128" s="17">
        <v>1404</v>
      </c>
    </row>
    <row r="129" spans="1:29" s="16" customFormat="1" x14ac:dyDescent="0.25">
      <c r="A129" s="40" t="s">
        <v>97</v>
      </c>
      <c r="B129" s="17">
        <v>0</v>
      </c>
      <c r="C129" s="17">
        <v>0</v>
      </c>
      <c r="D129" s="17">
        <v>0</v>
      </c>
      <c r="E129" s="17">
        <v>0</v>
      </c>
      <c r="F129" s="17">
        <v>0</v>
      </c>
      <c r="G129" s="17">
        <v>0</v>
      </c>
      <c r="H129" s="17">
        <v>0</v>
      </c>
      <c r="I129" s="17">
        <v>6</v>
      </c>
      <c r="J129" s="17">
        <v>105</v>
      </c>
      <c r="K129" s="17">
        <v>285</v>
      </c>
      <c r="L129" s="17">
        <v>306</v>
      </c>
      <c r="M129" s="17">
        <v>435</v>
      </c>
      <c r="N129" s="17">
        <v>189</v>
      </c>
      <c r="O129" s="17">
        <v>110</v>
      </c>
      <c r="P129" s="17">
        <v>0</v>
      </c>
      <c r="Q129" s="17">
        <v>0</v>
      </c>
      <c r="R129" s="17">
        <v>0</v>
      </c>
      <c r="S129" s="17">
        <v>0</v>
      </c>
      <c r="T129" s="17">
        <v>0</v>
      </c>
      <c r="U129" s="17">
        <v>0</v>
      </c>
      <c r="V129" s="17">
        <v>0</v>
      </c>
      <c r="W129" s="17">
        <v>0</v>
      </c>
      <c r="X129" s="17">
        <v>0</v>
      </c>
      <c r="Y129" s="17">
        <v>0</v>
      </c>
      <c r="Z129" s="17">
        <v>3</v>
      </c>
      <c r="AA129" s="17">
        <v>2</v>
      </c>
      <c r="AB129" s="17">
        <v>4</v>
      </c>
      <c r="AC129" s="17">
        <v>15</v>
      </c>
    </row>
    <row r="130" spans="1:29" s="16" customFormat="1" x14ac:dyDescent="0.25">
      <c r="A130" s="40" t="s">
        <v>98</v>
      </c>
      <c r="B130" s="17">
        <v>17909</v>
      </c>
      <c r="C130" s="17">
        <v>47078</v>
      </c>
      <c r="D130" s="17">
        <v>32968</v>
      </c>
      <c r="E130" s="17">
        <v>60469</v>
      </c>
      <c r="F130" s="17">
        <v>81795</v>
      </c>
      <c r="G130" s="17">
        <v>109281</v>
      </c>
      <c r="H130" s="17">
        <v>149413</v>
      </c>
      <c r="I130" s="17">
        <v>192794</v>
      </c>
      <c r="J130" s="17">
        <v>208185</v>
      </c>
      <c r="K130" s="17">
        <v>230621</v>
      </c>
      <c r="L130" s="17">
        <v>234146</v>
      </c>
      <c r="M130" s="17">
        <v>214414</v>
      </c>
      <c r="N130" s="17">
        <v>193792</v>
      </c>
      <c r="O130" s="17">
        <v>207512</v>
      </c>
      <c r="P130" s="17">
        <v>178760</v>
      </c>
      <c r="Q130" s="17">
        <v>239949</v>
      </c>
      <c r="R130" s="17">
        <v>221890</v>
      </c>
      <c r="S130" s="17">
        <v>235121</v>
      </c>
      <c r="T130" s="17">
        <v>175035</v>
      </c>
      <c r="U130" s="17">
        <v>300652</v>
      </c>
      <c r="V130" s="17">
        <v>308141</v>
      </c>
      <c r="W130" s="17">
        <v>313869</v>
      </c>
      <c r="X130" s="17">
        <v>266876</v>
      </c>
      <c r="Y130" s="17">
        <v>198440</v>
      </c>
      <c r="Z130" s="17">
        <v>169294</v>
      </c>
      <c r="AA130" s="17">
        <v>218267</v>
      </c>
      <c r="AB130" s="17">
        <v>200858</v>
      </c>
      <c r="AC130" s="17">
        <v>317892</v>
      </c>
    </row>
    <row r="131" spans="1:29" s="16" customFormat="1" x14ac:dyDescent="0.25">
      <c r="A131" s="40" t="s">
        <v>99</v>
      </c>
      <c r="B131" s="17">
        <v>107</v>
      </c>
      <c r="C131" s="17">
        <v>100</v>
      </c>
      <c r="D131" s="17">
        <v>100</v>
      </c>
      <c r="E131" s="17">
        <v>216</v>
      </c>
      <c r="F131" s="17">
        <v>62</v>
      </c>
      <c r="G131" s="17">
        <v>4</v>
      </c>
      <c r="H131" s="17">
        <v>20</v>
      </c>
      <c r="I131" s="17">
        <v>35</v>
      </c>
      <c r="J131" s="17">
        <v>0</v>
      </c>
      <c r="K131" s="17">
        <v>0</v>
      </c>
      <c r="L131" s="17">
        <v>0</v>
      </c>
      <c r="M131" s="17">
        <v>0</v>
      </c>
      <c r="N131" s="17">
        <v>0</v>
      </c>
      <c r="O131" s="17">
        <v>0</v>
      </c>
      <c r="P131" s="17">
        <v>0</v>
      </c>
      <c r="Q131" s="17">
        <v>0</v>
      </c>
      <c r="R131" s="17">
        <v>0</v>
      </c>
      <c r="S131" s="17">
        <v>0</v>
      </c>
      <c r="T131" s="17">
        <v>0</v>
      </c>
      <c r="U131" s="17">
        <v>0</v>
      </c>
      <c r="V131" s="17">
        <v>2294</v>
      </c>
      <c r="W131" s="17">
        <v>2684</v>
      </c>
      <c r="X131" s="17">
        <v>2336</v>
      </c>
      <c r="Y131" s="17">
        <v>1</v>
      </c>
      <c r="Z131" s="17">
        <v>33</v>
      </c>
      <c r="AA131" s="17">
        <v>24</v>
      </c>
      <c r="AB131" s="17">
        <v>8</v>
      </c>
      <c r="AC131" s="17">
        <v>0</v>
      </c>
    </row>
    <row r="132" spans="1:29" s="16" customFormat="1" x14ac:dyDescent="0.25">
      <c r="A132" s="40" t="s">
        <v>100</v>
      </c>
      <c r="B132" s="17">
        <v>5498</v>
      </c>
      <c r="C132" s="17">
        <v>6820</v>
      </c>
      <c r="D132" s="17">
        <v>5790</v>
      </c>
      <c r="E132" s="17">
        <v>5389</v>
      </c>
      <c r="F132" s="17">
        <v>5864</v>
      </c>
      <c r="G132" s="17">
        <v>4927</v>
      </c>
      <c r="H132" s="17">
        <v>2944</v>
      </c>
      <c r="I132" s="17">
        <v>1967</v>
      </c>
      <c r="J132" s="17">
        <v>1626</v>
      </c>
      <c r="K132" s="17">
        <v>2564</v>
      </c>
      <c r="L132" s="17">
        <v>3559</v>
      </c>
      <c r="M132" s="17">
        <v>2796</v>
      </c>
      <c r="N132" s="17">
        <v>3422</v>
      </c>
      <c r="O132" s="17">
        <v>3090</v>
      </c>
      <c r="P132" s="17">
        <v>1932</v>
      </c>
      <c r="Q132" s="17">
        <v>2353</v>
      </c>
      <c r="R132" s="17">
        <v>2022</v>
      </c>
      <c r="S132" s="17">
        <v>1090</v>
      </c>
      <c r="T132" s="17">
        <v>1160</v>
      </c>
      <c r="U132" s="17">
        <v>1254</v>
      </c>
      <c r="V132" s="17">
        <v>3151</v>
      </c>
      <c r="W132" s="17">
        <v>2065</v>
      </c>
      <c r="X132" s="17">
        <v>3505</v>
      </c>
      <c r="Y132" s="17">
        <v>2324</v>
      </c>
      <c r="Z132" s="17">
        <v>1563</v>
      </c>
      <c r="AA132" s="17">
        <v>1987</v>
      </c>
      <c r="AB132" s="17">
        <v>2615</v>
      </c>
      <c r="AC132" s="17">
        <v>485</v>
      </c>
    </row>
    <row r="133" spans="1:29" s="16" customFormat="1" x14ac:dyDescent="0.25">
      <c r="A133" s="40" t="s">
        <v>101</v>
      </c>
      <c r="B133" s="17">
        <v>47377</v>
      </c>
      <c r="C133" s="17">
        <v>48307</v>
      </c>
      <c r="D133" s="17">
        <v>44387</v>
      </c>
      <c r="E133" s="17">
        <v>11526</v>
      </c>
      <c r="F133" s="17">
        <v>16409</v>
      </c>
      <c r="G133" s="17">
        <v>17811</v>
      </c>
      <c r="H133" s="17">
        <v>26365</v>
      </c>
      <c r="I133" s="17">
        <v>24904</v>
      </c>
      <c r="J133" s="17">
        <v>19698</v>
      </c>
      <c r="K133" s="17">
        <v>29377</v>
      </c>
      <c r="L133" s="17">
        <v>21138</v>
      </c>
      <c r="M133" s="17">
        <v>17376</v>
      </c>
      <c r="N133" s="17">
        <v>17883</v>
      </c>
      <c r="O133" s="17">
        <v>24567</v>
      </c>
      <c r="P133" s="17">
        <v>28025</v>
      </c>
      <c r="Q133" s="17">
        <v>28607</v>
      </c>
      <c r="R133" s="17">
        <v>26435</v>
      </c>
      <c r="S133" s="17">
        <v>59585</v>
      </c>
      <c r="T133" s="17">
        <v>57977</v>
      </c>
      <c r="U133" s="17">
        <v>58922</v>
      </c>
      <c r="V133" s="17">
        <v>45064</v>
      </c>
      <c r="W133" s="17">
        <v>59177</v>
      </c>
      <c r="X133" s="17">
        <v>63783</v>
      </c>
      <c r="Y133" s="17">
        <v>38296</v>
      </c>
      <c r="Z133" s="17">
        <v>49352</v>
      </c>
      <c r="AA133" s="17">
        <v>47406</v>
      </c>
      <c r="AB133" s="17">
        <v>38751</v>
      </c>
      <c r="AC133" s="17">
        <v>66916</v>
      </c>
    </row>
    <row r="134" spans="1:29" s="16" customFormat="1" x14ac:dyDescent="0.25">
      <c r="A134" s="40" t="s">
        <v>102</v>
      </c>
      <c r="B134" s="17">
        <v>0</v>
      </c>
      <c r="C134" s="17">
        <v>0</v>
      </c>
      <c r="D134" s="17">
        <v>0</v>
      </c>
      <c r="E134" s="17">
        <v>0</v>
      </c>
      <c r="F134" s="17">
        <v>0</v>
      </c>
      <c r="G134" s="17">
        <v>8</v>
      </c>
      <c r="H134" s="17">
        <v>3</v>
      </c>
      <c r="I134" s="17">
        <v>3</v>
      </c>
      <c r="J134" s="17">
        <v>6</v>
      </c>
      <c r="K134" s="17">
        <v>6</v>
      </c>
      <c r="L134" s="17">
        <v>8</v>
      </c>
      <c r="M134" s="17">
        <v>8</v>
      </c>
      <c r="N134" s="17">
        <v>12</v>
      </c>
      <c r="O134" s="17">
        <v>4</v>
      </c>
      <c r="P134" s="17">
        <v>4</v>
      </c>
      <c r="Q134" s="17">
        <v>229</v>
      </c>
      <c r="R134" s="17">
        <v>177</v>
      </c>
      <c r="S134" s="17">
        <v>86</v>
      </c>
      <c r="T134" s="17">
        <v>179</v>
      </c>
      <c r="U134" s="17">
        <v>179</v>
      </c>
      <c r="V134" s="17">
        <v>67</v>
      </c>
      <c r="W134" s="17">
        <v>55</v>
      </c>
      <c r="X134" s="17">
        <v>67</v>
      </c>
      <c r="Y134" s="17">
        <v>51</v>
      </c>
      <c r="Z134" s="17">
        <v>51</v>
      </c>
      <c r="AA134" s="17">
        <v>19</v>
      </c>
      <c r="AB134" s="17">
        <v>50</v>
      </c>
      <c r="AC134" s="17">
        <v>77</v>
      </c>
    </row>
    <row r="135" spans="1:29" s="16" customFormat="1" x14ac:dyDescent="0.25">
      <c r="A135" s="40" t="s">
        <v>103</v>
      </c>
      <c r="B135" s="17">
        <v>663</v>
      </c>
      <c r="C135" s="17">
        <v>825</v>
      </c>
      <c r="D135" s="17">
        <v>1043</v>
      </c>
      <c r="E135" s="17">
        <v>1158</v>
      </c>
      <c r="F135" s="17">
        <v>1528</v>
      </c>
      <c r="G135" s="17">
        <v>1253</v>
      </c>
      <c r="H135" s="17">
        <v>654</v>
      </c>
      <c r="I135" s="17">
        <v>383</v>
      </c>
      <c r="J135" s="17">
        <v>598</v>
      </c>
      <c r="K135" s="17">
        <v>753</v>
      </c>
      <c r="L135" s="17">
        <v>822</v>
      </c>
      <c r="M135" s="17">
        <v>592</v>
      </c>
      <c r="N135" s="17">
        <v>271</v>
      </c>
      <c r="O135" s="17">
        <v>128</v>
      </c>
      <c r="P135" s="17">
        <v>224</v>
      </c>
      <c r="Q135" s="17">
        <v>171</v>
      </c>
      <c r="R135" s="17">
        <v>147</v>
      </c>
      <c r="S135" s="17">
        <v>244</v>
      </c>
      <c r="T135" s="17">
        <v>357</v>
      </c>
      <c r="U135" s="17">
        <v>400</v>
      </c>
      <c r="V135" s="17">
        <v>432</v>
      </c>
      <c r="W135" s="17">
        <v>259</v>
      </c>
      <c r="X135" s="17">
        <v>233</v>
      </c>
      <c r="Y135" s="17">
        <v>182</v>
      </c>
      <c r="Z135" s="17">
        <v>235</v>
      </c>
      <c r="AA135" s="17">
        <v>385</v>
      </c>
      <c r="AB135" s="17">
        <v>236</v>
      </c>
      <c r="AC135" s="17">
        <v>218</v>
      </c>
    </row>
    <row r="136" spans="1:29" s="16" customFormat="1" x14ac:dyDescent="0.25">
      <c r="A136" s="40" t="s">
        <v>104</v>
      </c>
      <c r="B136" s="17">
        <v>0</v>
      </c>
      <c r="C136" s="17">
        <v>0</v>
      </c>
      <c r="D136" s="17">
        <v>0</v>
      </c>
      <c r="E136" s="17">
        <v>0</v>
      </c>
      <c r="F136" s="17">
        <v>0</v>
      </c>
      <c r="G136" s="17">
        <v>0</v>
      </c>
      <c r="H136" s="17">
        <v>0</v>
      </c>
      <c r="I136" s="17">
        <v>0</v>
      </c>
      <c r="J136" s="17">
        <v>19</v>
      </c>
      <c r="K136" s="17">
        <v>12</v>
      </c>
      <c r="L136" s="17">
        <v>26</v>
      </c>
      <c r="M136" s="17">
        <v>22</v>
      </c>
      <c r="N136" s="17">
        <v>2633</v>
      </c>
      <c r="O136" s="17">
        <v>10450</v>
      </c>
      <c r="P136" s="17">
        <v>10690</v>
      </c>
      <c r="Q136" s="17">
        <v>15995</v>
      </c>
      <c r="R136" s="17">
        <v>11853</v>
      </c>
      <c r="S136" s="17">
        <v>6330</v>
      </c>
      <c r="T136" s="17">
        <v>2808</v>
      </c>
      <c r="U136" s="17">
        <v>2601</v>
      </c>
      <c r="V136" s="17">
        <v>3988</v>
      </c>
      <c r="W136" s="17">
        <v>8591</v>
      </c>
      <c r="X136" s="17">
        <v>4359</v>
      </c>
      <c r="Y136" s="17">
        <v>5001</v>
      </c>
      <c r="Z136" s="17">
        <v>20219</v>
      </c>
      <c r="AA136" s="17">
        <v>39970</v>
      </c>
      <c r="AB136" s="17">
        <v>32219</v>
      </c>
      <c r="AC136" s="17">
        <v>42368</v>
      </c>
    </row>
    <row r="137" spans="1:29" s="16" customFormat="1" x14ac:dyDescent="0.25">
      <c r="A137" s="40" t="s">
        <v>105</v>
      </c>
      <c r="B137" s="17">
        <v>19956</v>
      </c>
      <c r="C137" s="17">
        <v>30115</v>
      </c>
      <c r="D137" s="17">
        <v>26637</v>
      </c>
      <c r="E137" s="17">
        <v>19540</v>
      </c>
      <c r="F137" s="17">
        <v>9736</v>
      </c>
      <c r="G137" s="17">
        <v>15075</v>
      </c>
      <c r="H137" s="17">
        <v>18970</v>
      </c>
      <c r="I137" s="17">
        <v>36898</v>
      </c>
      <c r="J137" s="17">
        <v>63961</v>
      </c>
      <c r="K137" s="17">
        <v>50652</v>
      </c>
      <c r="L137" s="17">
        <v>58722</v>
      </c>
      <c r="M137" s="17">
        <v>31690</v>
      </c>
      <c r="N137" s="17">
        <v>40905</v>
      </c>
      <c r="O137" s="17">
        <v>25498</v>
      </c>
      <c r="P137" s="17">
        <v>28424</v>
      </c>
      <c r="Q137" s="17">
        <v>34801</v>
      </c>
      <c r="R137" s="17">
        <v>32254</v>
      </c>
      <c r="S137" s="17">
        <v>24136</v>
      </c>
      <c r="T137" s="17">
        <v>14056</v>
      </c>
      <c r="U137" s="17">
        <v>4159</v>
      </c>
      <c r="V137" s="17">
        <v>3102</v>
      </c>
      <c r="W137" s="17">
        <v>9293</v>
      </c>
      <c r="X137" s="17">
        <v>26248</v>
      </c>
      <c r="Y137" s="17">
        <v>41480</v>
      </c>
      <c r="Z137" s="17">
        <v>39544</v>
      </c>
      <c r="AA137" s="17">
        <v>62711</v>
      </c>
      <c r="AB137" s="17">
        <v>36149</v>
      </c>
      <c r="AC137" s="17">
        <v>25211</v>
      </c>
    </row>
    <row r="138" spans="1:29" s="16" customFormat="1" x14ac:dyDescent="0.25">
      <c r="A138" s="24" t="s">
        <v>106</v>
      </c>
      <c r="B138" s="25">
        <v>125435</v>
      </c>
      <c r="C138" s="25">
        <v>176988</v>
      </c>
      <c r="D138" s="25">
        <v>149887</v>
      </c>
      <c r="E138" s="25">
        <v>168886</v>
      </c>
      <c r="F138" s="25">
        <v>197522</v>
      </c>
      <c r="G138" s="25">
        <v>253378</v>
      </c>
      <c r="H138" s="25">
        <v>297396</v>
      </c>
      <c r="I138" s="25">
        <v>370272</v>
      </c>
      <c r="J138" s="25">
        <v>407387</v>
      </c>
      <c r="K138" s="25">
        <v>409311</v>
      </c>
      <c r="L138" s="25">
        <v>446376</v>
      </c>
      <c r="M138" s="25">
        <v>372985</v>
      </c>
      <c r="N138" s="25">
        <v>384418</v>
      </c>
      <c r="O138" s="25">
        <v>428644</v>
      </c>
      <c r="P138" s="25">
        <v>458367</v>
      </c>
      <c r="Q138" s="25">
        <v>542536</v>
      </c>
      <c r="R138" s="25">
        <v>516135</v>
      </c>
      <c r="S138" s="25">
        <v>564848</v>
      </c>
      <c r="T138" s="25">
        <v>492525</v>
      </c>
      <c r="U138" s="25">
        <v>652189</v>
      </c>
      <c r="V138" s="25">
        <v>648719</v>
      </c>
      <c r="W138" s="25">
        <v>754003</v>
      </c>
      <c r="X138" s="25">
        <v>789764</v>
      </c>
      <c r="Y138" s="25">
        <v>790526</v>
      </c>
      <c r="Z138" s="25">
        <v>794577</v>
      </c>
      <c r="AA138" s="25">
        <v>917927</v>
      </c>
      <c r="AB138" s="25">
        <v>773845</v>
      </c>
      <c r="AC138" s="25">
        <v>1070173</v>
      </c>
    </row>
    <row r="139" spans="1:29" s="41" customFormat="1" x14ac:dyDescent="0.25">
      <c r="A139" s="26" t="s">
        <v>107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</row>
    <row r="140" spans="1:29" s="41" customFormat="1" x14ac:dyDescent="0.25">
      <c r="A140" s="40" t="s">
        <v>132</v>
      </c>
      <c r="B140" s="17">
        <v>68</v>
      </c>
      <c r="C140" s="17">
        <v>100</v>
      </c>
      <c r="D140" s="17">
        <v>79</v>
      </c>
      <c r="E140" s="17">
        <v>170</v>
      </c>
      <c r="F140" s="17">
        <v>167</v>
      </c>
      <c r="G140" s="17">
        <v>49</v>
      </c>
      <c r="H140" s="17">
        <v>49</v>
      </c>
      <c r="I140" s="17">
        <v>262</v>
      </c>
      <c r="J140" s="17">
        <v>425</v>
      </c>
      <c r="K140" s="17">
        <v>332</v>
      </c>
      <c r="L140" s="17">
        <v>97</v>
      </c>
      <c r="M140" s="17">
        <v>70</v>
      </c>
      <c r="N140" s="17">
        <v>69</v>
      </c>
      <c r="O140" s="17">
        <v>0</v>
      </c>
      <c r="P140" s="17">
        <v>0</v>
      </c>
      <c r="Q140" s="17">
        <v>60</v>
      </c>
      <c r="R140" s="17">
        <v>6</v>
      </c>
      <c r="S140" s="17">
        <v>0</v>
      </c>
      <c r="T140" s="17">
        <v>0</v>
      </c>
      <c r="U140" s="17">
        <v>0</v>
      </c>
      <c r="V140" s="17">
        <v>0</v>
      </c>
      <c r="W140" s="17">
        <v>0</v>
      </c>
      <c r="X140" s="17">
        <v>0</v>
      </c>
      <c r="Y140" s="17">
        <v>0</v>
      </c>
      <c r="Z140" s="17">
        <v>0</v>
      </c>
      <c r="AA140" s="17">
        <v>0</v>
      </c>
      <c r="AB140" s="17">
        <v>0</v>
      </c>
      <c r="AC140" s="17">
        <v>0</v>
      </c>
    </row>
    <row r="141" spans="1:29" s="41" customFormat="1" x14ac:dyDescent="0.25">
      <c r="A141" s="40" t="s">
        <v>29</v>
      </c>
      <c r="B141" s="17">
        <v>0</v>
      </c>
      <c r="C141" s="17">
        <v>0</v>
      </c>
      <c r="D141" s="17">
        <v>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Q141" s="17">
        <v>0</v>
      </c>
      <c r="R141" s="17">
        <v>0</v>
      </c>
      <c r="S141" s="17">
        <v>0</v>
      </c>
      <c r="T141" s="17">
        <v>0</v>
      </c>
      <c r="U141" s="17">
        <v>0</v>
      </c>
      <c r="V141" s="17">
        <v>0</v>
      </c>
      <c r="W141" s="17">
        <v>0</v>
      </c>
      <c r="X141" s="17">
        <v>0</v>
      </c>
      <c r="Y141" s="17">
        <v>0</v>
      </c>
      <c r="Z141" s="17">
        <v>0</v>
      </c>
      <c r="AA141" s="17">
        <v>0</v>
      </c>
      <c r="AB141" s="17">
        <v>0</v>
      </c>
      <c r="AC141" s="17">
        <v>0</v>
      </c>
    </row>
    <row r="142" spans="1:29" s="41" customFormat="1" x14ac:dyDescent="0.25">
      <c r="A142" s="40" t="s">
        <v>2</v>
      </c>
      <c r="B142" s="17">
        <v>2662</v>
      </c>
      <c r="C142" s="17">
        <v>1798</v>
      </c>
      <c r="D142" s="17">
        <v>1892</v>
      </c>
      <c r="E142" s="17">
        <v>2176</v>
      </c>
      <c r="F142" s="17">
        <v>3452</v>
      </c>
      <c r="G142" s="17">
        <v>8435</v>
      </c>
      <c r="H142" s="17">
        <v>23158</v>
      </c>
      <c r="I142" s="17">
        <v>16189</v>
      </c>
      <c r="J142" s="17">
        <v>39585</v>
      </c>
      <c r="K142" s="17">
        <v>54967</v>
      </c>
      <c r="L142" s="17">
        <v>55776</v>
      </c>
      <c r="M142" s="17">
        <v>58632</v>
      </c>
      <c r="N142" s="17">
        <v>63026</v>
      </c>
      <c r="O142" s="17">
        <v>61066</v>
      </c>
      <c r="P142" s="17">
        <v>89227</v>
      </c>
      <c r="Q142" s="17">
        <v>68003</v>
      </c>
      <c r="R142" s="17">
        <v>101914</v>
      </c>
      <c r="S142" s="17">
        <v>95895</v>
      </c>
      <c r="T142" s="17">
        <v>60052</v>
      </c>
      <c r="U142" s="17">
        <v>32872</v>
      </c>
      <c r="V142" s="17">
        <v>33293</v>
      </c>
      <c r="W142" s="17">
        <v>30237</v>
      </c>
      <c r="X142" s="17">
        <v>22717</v>
      </c>
      <c r="Y142" s="17">
        <v>18074</v>
      </c>
      <c r="Z142" s="17">
        <v>7138</v>
      </c>
      <c r="AA142" s="17">
        <v>29847</v>
      </c>
      <c r="AB142" s="17">
        <v>30618</v>
      </c>
      <c r="AC142" s="17">
        <v>27390</v>
      </c>
    </row>
    <row r="143" spans="1:29" s="41" customFormat="1" x14ac:dyDescent="0.25">
      <c r="A143" s="40" t="s">
        <v>133</v>
      </c>
      <c r="B143" s="17">
        <v>0</v>
      </c>
      <c r="C143" s="17">
        <v>0</v>
      </c>
      <c r="D143" s="17">
        <v>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Q143" s="17">
        <v>0</v>
      </c>
      <c r="R143" s="17">
        <v>0</v>
      </c>
      <c r="S143" s="17">
        <v>0</v>
      </c>
      <c r="T143" s="17">
        <v>0</v>
      </c>
      <c r="U143" s="17">
        <v>0</v>
      </c>
      <c r="V143" s="17">
        <v>0</v>
      </c>
      <c r="W143" s="17">
        <v>0</v>
      </c>
      <c r="X143" s="17">
        <v>0</v>
      </c>
      <c r="Y143" s="17">
        <v>0</v>
      </c>
      <c r="Z143" s="17">
        <v>0</v>
      </c>
      <c r="AA143" s="17">
        <v>0</v>
      </c>
      <c r="AB143" s="17">
        <v>0</v>
      </c>
      <c r="AC143" s="17">
        <v>0</v>
      </c>
    </row>
    <row r="144" spans="1:29" s="41" customFormat="1" x14ac:dyDescent="0.25">
      <c r="A144" s="40" t="s">
        <v>3</v>
      </c>
      <c r="B144" s="17">
        <v>0</v>
      </c>
      <c r="C144" s="17">
        <v>0</v>
      </c>
      <c r="D144" s="17">
        <v>0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7642</v>
      </c>
      <c r="M144" s="17">
        <v>21463</v>
      </c>
      <c r="N144" s="17">
        <v>6912</v>
      </c>
      <c r="O144" s="17">
        <v>9831</v>
      </c>
      <c r="P144" s="17">
        <v>27908</v>
      </c>
      <c r="Q144" s="17">
        <v>19635</v>
      </c>
      <c r="R144" s="17">
        <v>17730</v>
      </c>
      <c r="S144" s="17">
        <v>18698</v>
      </c>
      <c r="T144" s="17">
        <v>7543</v>
      </c>
      <c r="U144" s="17">
        <v>3790</v>
      </c>
      <c r="V144" s="17">
        <v>8480</v>
      </c>
      <c r="W144" s="17">
        <v>12861</v>
      </c>
      <c r="X144" s="17">
        <v>20821</v>
      </c>
      <c r="Y144" s="17">
        <v>9555</v>
      </c>
      <c r="Z144" s="17">
        <v>10760</v>
      </c>
      <c r="AA144" s="17">
        <v>14363</v>
      </c>
      <c r="AB144" s="17">
        <v>10029</v>
      </c>
      <c r="AC144" s="17">
        <v>19615</v>
      </c>
    </row>
    <row r="145" spans="1:29" s="41" customFormat="1" x14ac:dyDescent="0.25">
      <c r="A145" s="40" t="s">
        <v>4</v>
      </c>
      <c r="B145" s="17">
        <v>0</v>
      </c>
      <c r="C145" s="17">
        <v>0</v>
      </c>
      <c r="D145" s="17">
        <v>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5987</v>
      </c>
      <c r="O145" s="17">
        <v>5384</v>
      </c>
      <c r="P145" s="17">
        <v>10217</v>
      </c>
      <c r="Q145" s="17">
        <v>11839</v>
      </c>
      <c r="R145" s="17">
        <v>10160</v>
      </c>
      <c r="S145" s="17">
        <v>13216</v>
      </c>
      <c r="T145" s="17">
        <v>5954</v>
      </c>
      <c r="U145" s="17">
        <v>1058</v>
      </c>
      <c r="V145" s="17">
        <v>2671</v>
      </c>
      <c r="W145" s="17">
        <v>1419</v>
      </c>
      <c r="X145" s="17">
        <v>1066</v>
      </c>
      <c r="Y145" s="17">
        <v>581</v>
      </c>
      <c r="Z145" s="17">
        <v>2221</v>
      </c>
      <c r="AA145" s="17">
        <v>1338</v>
      </c>
      <c r="AB145" s="17">
        <v>1615</v>
      </c>
      <c r="AC145" s="17">
        <v>0</v>
      </c>
    </row>
    <row r="146" spans="1:29" s="41" customFormat="1" x14ac:dyDescent="0.25">
      <c r="A146" s="40" t="s">
        <v>109</v>
      </c>
      <c r="B146" s="17">
        <v>0</v>
      </c>
      <c r="C146" s="17">
        <v>0</v>
      </c>
      <c r="D146" s="17">
        <v>0</v>
      </c>
      <c r="E146" s="17">
        <v>0</v>
      </c>
      <c r="F146" s="17">
        <v>0</v>
      </c>
      <c r="G146" s="17">
        <v>0</v>
      </c>
      <c r="H146" s="17">
        <v>16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17">
        <v>0</v>
      </c>
      <c r="S146" s="17">
        <v>0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>
        <v>0</v>
      </c>
      <c r="AA146" s="17">
        <v>0</v>
      </c>
      <c r="AB146" s="17">
        <v>0</v>
      </c>
      <c r="AC146" s="17">
        <v>0</v>
      </c>
    </row>
    <row r="147" spans="1:29" s="41" customFormat="1" x14ac:dyDescent="0.25">
      <c r="A147" s="40" t="s">
        <v>10</v>
      </c>
      <c r="B147" s="17">
        <v>0</v>
      </c>
      <c r="C147" s="17">
        <v>0</v>
      </c>
      <c r="D147" s="17">
        <v>0</v>
      </c>
      <c r="E147" s="17">
        <v>0</v>
      </c>
      <c r="F147" s="17">
        <v>0</v>
      </c>
      <c r="G147" s="17">
        <v>0</v>
      </c>
      <c r="H147" s="17">
        <v>0</v>
      </c>
      <c r="I147" s="17">
        <v>0</v>
      </c>
      <c r="J147" s="17">
        <v>0</v>
      </c>
      <c r="K147" s="17">
        <v>0</v>
      </c>
      <c r="L147" s="17">
        <v>0</v>
      </c>
      <c r="M147" s="17">
        <v>0</v>
      </c>
      <c r="N147" s="17">
        <v>0</v>
      </c>
      <c r="O147" s="17">
        <v>0</v>
      </c>
      <c r="P147" s="17">
        <v>0</v>
      </c>
      <c r="Q147" s="17">
        <v>0</v>
      </c>
      <c r="R147" s="17">
        <v>0</v>
      </c>
      <c r="S147" s="17">
        <v>0</v>
      </c>
      <c r="T147" s="17">
        <v>0</v>
      </c>
      <c r="U147" s="17">
        <v>0</v>
      </c>
      <c r="V147" s="17">
        <v>0</v>
      </c>
      <c r="W147" s="17">
        <v>0</v>
      </c>
      <c r="X147" s="17">
        <v>0</v>
      </c>
      <c r="Y147" s="17">
        <v>0</v>
      </c>
      <c r="Z147" s="17">
        <v>0</v>
      </c>
      <c r="AA147" s="17">
        <v>0</v>
      </c>
      <c r="AB147" s="17">
        <v>0</v>
      </c>
      <c r="AC147" s="17">
        <v>0</v>
      </c>
    </row>
    <row r="148" spans="1:29" s="41" customFormat="1" x14ac:dyDescent="0.25">
      <c r="A148" s="40" t="s">
        <v>42</v>
      </c>
      <c r="B148" s="17">
        <v>110197</v>
      </c>
      <c r="C148" s="17">
        <v>124283</v>
      </c>
      <c r="D148" s="17">
        <v>113832</v>
      </c>
      <c r="E148" s="17">
        <v>116276</v>
      </c>
      <c r="F148" s="17">
        <v>135827</v>
      </c>
      <c r="G148" s="17">
        <v>135557</v>
      </c>
      <c r="H148" s="17">
        <v>134057</v>
      </c>
      <c r="I148" s="17">
        <v>106534</v>
      </c>
      <c r="J148" s="17">
        <v>126574</v>
      </c>
      <c r="K148" s="17">
        <v>143424</v>
      </c>
      <c r="L148" s="17">
        <v>136254</v>
      </c>
      <c r="M148" s="17">
        <v>168098</v>
      </c>
      <c r="N148" s="17">
        <v>148399</v>
      </c>
      <c r="O148" s="17">
        <v>221373</v>
      </c>
      <c r="P148" s="17">
        <v>184262</v>
      </c>
      <c r="Q148" s="17">
        <v>209987</v>
      </c>
      <c r="R148" s="17">
        <v>187086</v>
      </c>
      <c r="S148" s="17">
        <v>179431</v>
      </c>
      <c r="T148" s="17">
        <v>158591</v>
      </c>
      <c r="U148" s="17">
        <v>161155</v>
      </c>
      <c r="V148" s="17">
        <v>150331</v>
      </c>
      <c r="W148" s="17">
        <v>173522</v>
      </c>
      <c r="X148" s="17">
        <v>174963</v>
      </c>
      <c r="Y148" s="17">
        <v>155031</v>
      </c>
      <c r="Z148" s="17">
        <v>140953</v>
      </c>
      <c r="AA148" s="17">
        <v>150482</v>
      </c>
      <c r="AB148" s="17">
        <v>137671</v>
      </c>
      <c r="AC148" s="17">
        <v>148745</v>
      </c>
    </row>
    <row r="149" spans="1:29" s="41" customFormat="1" x14ac:dyDescent="0.25">
      <c r="A149" s="40" t="s">
        <v>110</v>
      </c>
      <c r="B149" s="17">
        <v>124564</v>
      </c>
      <c r="C149" s="17">
        <v>159777</v>
      </c>
      <c r="D149" s="17">
        <v>99539</v>
      </c>
      <c r="E149" s="17">
        <v>159209</v>
      </c>
      <c r="F149" s="17">
        <v>150780</v>
      </c>
      <c r="G149" s="17">
        <v>179302</v>
      </c>
      <c r="H149" s="17">
        <v>162167</v>
      </c>
      <c r="I149" s="17">
        <v>165827</v>
      </c>
      <c r="J149" s="17">
        <v>174067</v>
      </c>
      <c r="K149" s="17">
        <v>239693</v>
      </c>
      <c r="L149" s="17">
        <v>223335</v>
      </c>
      <c r="M149" s="17">
        <v>209997</v>
      </c>
      <c r="N149" s="17">
        <v>219608</v>
      </c>
      <c r="O149" s="17">
        <v>278143</v>
      </c>
      <c r="P149" s="17">
        <v>213557</v>
      </c>
      <c r="Q149" s="17">
        <v>269639</v>
      </c>
      <c r="R149" s="17">
        <v>230617</v>
      </c>
      <c r="S149" s="17">
        <v>273292</v>
      </c>
      <c r="T149" s="17">
        <v>269217</v>
      </c>
      <c r="U149" s="17">
        <v>272449</v>
      </c>
      <c r="V149" s="17">
        <v>243158</v>
      </c>
      <c r="W149" s="17">
        <v>260588</v>
      </c>
      <c r="X149" s="17">
        <v>305109</v>
      </c>
      <c r="Y149" s="17">
        <v>243554</v>
      </c>
      <c r="Z149" s="17">
        <v>225312</v>
      </c>
      <c r="AA149" s="17">
        <v>227377</v>
      </c>
      <c r="AB149" s="17">
        <v>227119</v>
      </c>
      <c r="AC149" s="17">
        <v>255884</v>
      </c>
    </row>
    <row r="150" spans="1:29" s="41" customFormat="1" x14ac:dyDescent="0.25">
      <c r="A150" s="40" t="s">
        <v>112</v>
      </c>
      <c r="B150" s="17">
        <v>0</v>
      </c>
      <c r="C150" s="17">
        <v>0</v>
      </c>
      <c r="D150" s="17">
        <v>0</v>
      </c>
      <c r="E150" s="17">
        <v>0</v>
      </c>
      <c r="F150" s="17">
        <v>0</v>
      </c>
      <c r="G150" s="17">
        <v>0</v>
      </c>
      <c r="H150" s="17">
        <v>0</v>
      </c>
      <c r="I150" s="17">
        <v>0</v>
      </c>
      <c r="J150" s="17">
        <v>0</v>
      </c>
      <c r="K150" s="17">
        <v>0</v>
      </c>
      <c r="L150" s="17">
        <v>0</v>
      </c>
      <c r="M150" s="17">
        <v>0</v>
      </c>
      <c r="N150" s="17">
        <v>0</v>
      </c>
      <c r="O150" s="17">
        <v>0</v>
      </c>
      <c r="P150" s="17">
        <v>0</v>
      </c>
      <c r="Q150" s="17">
        <v>0</v>
      </c>
      <c r="R150" s="17">
        <v>0</v>
      </c>
      <c r="S150" s="17">
        <v>0</v>
      </c>
      <c r="T150" s="17">
        <v>0</v>
      </c>
      <c r="U150" s="17">
        <v>0</v>
      </c>
      <c r="V150" s="17">
        <v>0</v>
      </c>
      <c r="W150" s="17">
        <v>0</v>
      </c>
      <c r="X150" s="17">
        <v>0</v>
      </c>
      <c r="Y150" s="17">
        <v>0</v>
      </c>
      <c r="Z150" s="17">
        <v>0</v>
      </c>
      <c r="AA150" s="17">
        <v>0</v>
      </c>
      <c r="AB150" s="17">
        <v>0</v>
      </c>
      <c r="AC150" s="17">
        <v>0</v>
      </c>
    </row>
    <row r="151" spans="1:29" s="41" customFormat="1" x14ac:dyDescent="0.25">
      <c r="A151" s="40" t="s">
        <v>18</v>
      </c>
      <c r="B151" s="17">
        <v>32957</v>
      </c>
      <c r="C151" s="17">
        <v>43011</v>
      </c>
      <c r="D151" s="17">
        <v>31226</v>
      </c>
      <c r="E151" s="17">
        <v>35457</v>
      </c>
      <c r="F151" s="17">
        <v>25651</v>
      </c>
      <c r="G151" s="17">
        <v>28185</v>
      </c>
      <c r="H151" s="17">
        <v>27611</v>
      </c>
      <c r="I151" s="17">
        <v>28799</v>
      </c>
      <c r="J151" s="17">
        <v>30061</v>
      </c>
      <c r="K151" s="17">
        <v>31625</v>
      </c>
      <c r="L151" s="17">
        <v>34060</v>
      </c>
      <c r="M151" s="17">
        <v>49203</v>
      </c>
      <c r="N151" s="17">
        <v>61022</v>
      </c>
      <c r="O151" s="17">
        <v>73300</v>
      </c>
      <c r="P151" s="17">
        <v>80724</v>
      </c>
      <c r="Q151" s="17">
        <v>110139</v>
      </c>
      <c r="R151" s="17">
        <v>84719</v>
      </c>
      <c r="S151" s="17">
        <v>106981</v>
      </c>
      <c r="T151" s="17">
        <v>75213</v>
      </c>
      <c r="U151" s="17">
        <v>71393</v>
      </c>
      <c r="V151" s="17">
        <v>30011</v>
      </c>
      <c r="W151" s="17">
        <v>11390</v>
      </c>
      <c r="X151" s="17">
        <v>6449</v>
      </c>
      <c r="Y151" s="17">
        <v>28162</v>
      </c>
      <c r="Z151" s="17">
        <v>0</v>
      </c>
      <c r="AA151" s="17">
        <v>0</v>
      </c>
      <c r="AB151" s="17">
        <v>0</v>
      </c>
      <c r="AC151" s="17">
        <v>317</v>
      </c>
    </row>
    <row r="152" spans="1:29" s="41" customFormat="1" x14ac:dyDescent="0.25">
      <c r="A152" s="40" t="s">
        <v>19</v>
      </c>
      <c r="B152" s="17">
        <v>0</v>
      </c>
      <c r="C152" s="17">
        <v>0</v>
      </c>
      <c r="D152" s="17">
        <v>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Q152" s="17">
        <v>0</v>
      </c>
      <c r="R152" s="17">
        <v>0</v>
      </c>
      <c r="S152" s="17">
        <v>0</v>
      </c>
      <c r="T152" s="17">
        <v>0</v>
      </c>
      <c r="U152" s="17">
        <v>0</v>
      </c>
      <c r="V152" s="17">
        <v>0</v>
      </c>
      <c r="W152" s="17">
        <v>0</v>
      </c>
      <c r="X152" s="17">
        <v>0</v>
      </c>
      <c r="Y152" s="17">
        <v>0</v>
      </c>
      <c r="Z152" s="17">
        <v>0</v>
      </c>
      <c r="AA152" s="17">
        <v>0</v>
      </c>
      <c r="AB152" s="17">
        <v>0</v>
      </c>
      <c r="AC152" s="17">
        <v>0</v>
      </c>
    </row>
    <row r="153" spans="1:29" s="41" customFormat="1" x14ac:dyDescent="0.25">
      <c r="A153" s="40" t="s">
        <v>134</v>
      </c>
      <c r="B153" s="17">
        <v>0</v>
      </c>
      <c r="C153" s="17">
        <v>0</v>
      </c>
      <c r="D153" s="17">
        <v>0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Q153" s="17">
        <v>0</v>
      </c>
      <c r="R153" s="17">
        <v>0</v>
      </c>
      <c r="S153" s="17">
        <v>0</v>
      </c>
      <c r="T153" s="17">
        <v>0</v>
      </c>
      <c r="U153" s="17">
        <v>0</v>
      </c>
      <c r="V153" s="17">
        <v>0</v>
      </c>
      <c r="W153" s="17">
        <v>0</v>
      </c>
      <c r="X153" s="17">
        <v>0</v>
      </c>
      <c r="Y153" s="17">
        <v>0</v>
      </c>
      <c r="Z153" s="17">
        <v>0</v>
      </c>
      <c r="AA153" s="17">
        <v>0</v>
      </c>
      <c r="AB153" s="17">
        <v>0</v>
      </c>
      <c r="AC153" s="17">
        <v>0</v>
      </c>
    </row>
    <row r="154" spans="1:29" s="41" customFormat="1" x14ac:dyDescent="0.25">
      <c r="A154" s="40" t="s">
        <v>21</v>
      </c>
      <c r="B154" s="17">
        <v>0</v>
      </c>
      <c r="C154" s="17">
        <v>0</v>
      </c>
      <c r="D154" s="17">
        <v>0</v>
      </c>
      <c r="E154" s="17">
        <v>2091</v>
      </c>
      <c r="F154" s="17">
        <v>0</v>
      </c>
      <c r="G154" s="17">
        <v>0</v>
      </c>
      <c r="H154" s="17">
        <v>0</v>
      </c>
      <c r="I154" s="17">
        <v>1476</v>
      </c>
      <c r="J154" s="17">
        <v>0</v>
      </c>
      <c r="K154" s="17">
        <v>0</v>
      </c>
      <c r="L154" s="17">
        <v>10120</v>
      </c>
      <c r="M154" s="17">
        <v>12970</v>
      </c>
      <c r="N154" s="17">
        <v>12235</v>
      </c>
      <c r="O154" s="17">
        <v>17234</v>
      </c>
      <c r="P154" s="17">
        <v>23074</v>
      </c>
      <c r="Q154" s="17">
        <v>14281</v>
      </c>
      <c r="R154" s="17">
        <v>23549</v>
      </c>
      <c r="S154" s="17">
        <v>19319</v>
      </c>
      <c r="T154" s="17">
        <v>13912</v>
      </c>
      <c r="U154" s="17">
        <v>0</v>
      </c>
      <c r="V154" s="17">
        <v>836</v>
      </c>
      <c r="W154" s="17">
        <v>2441</v>
      </c>
      <c r="X154" s="17">
        <v>2651</v>
      </c>
      <c r="Y154" s="17">
        <v>1349</v>
      </c>
      <c r="Z154" s="17">
        <v>453</v>
      </c>
      <c r="AA154" s="17">
        <v>526</v>
      </c>
      <c r="AB154" s="17">
        <v>1399</v>
      </c>
      <c r="AC154" s="17">
        <v>10571</v>
      </c>
    </row>
    <row r="155" spans="1:29" s="41" customFormat="1" x14ac:dyDescent="0.25">
      <c r="A155" s="40" t="s">
        <v>114</v>
      </c>
      <c r="B155" s="17">
        <v>133400</v>
      </c>
      <c r="C155" s="17">
        <v>181252</v>
      </c>
      <c r="D155" s="17">
        <v>138813</v>
      </c>
      <c r="E155" s="17">
        <v>198261</v>
      </c>
      <c r="F155" s="17">
        <v>174950</v>
      </c>
      <c r="G155" s="17">
        <v>206866</v>
      </c>
      <c r="H155" s="17">
        <v>168296</v>
      </c>
      <c r="I155" s="17">
        <v>158351</v>
      </c>
      <c r="J155" s="17">
        <v>173584</v>
      </c>
      <c r="K155" s="17">
        <v>190192</v>
      </c>
      <c r="L155" s="17">
        <v>200217</v>
      </c>
      <c r="M155" s="17">
        <v>178041</v>
      </c>
      <c r="N155" s="17">
        <v>167392</v>
      </c>
      <c r="O155" s="17">
        <v>203051</v>
      </c>
      <c r="P155" s="17">
        <v>188218</v>
      </c>
      <c r="Q155" s="17">
        <v>216102</v>
      </c>
      <c r="R155" s="17">
        <v>223086</v>
      </c>
      <c r="S155" s="17">
        <v>242864</v>
      </c>
      <c r="T155" s="17">
        <v>193587</v>
      </c>
      <c r="U155" s="17">
        <v>195305</v>
      </c>
      <c r="V155" s="17">
        <v>176457</v>
      </c>
      <c r="W155" s="17">
        <v>200466</v>
      </c>
      <c r="X155" s="17">
        <v>236549</v>
      </c>
      <c r="Y155" s="17">
        <v>175788</v>
      </c>
      <c r="Z155" s="17">
        <v>215005</v>
      </c>
      <c r="AA155" s="17">
        <v>211341</v>
      </c>
      <c r="AB155" s="17">
        <v>170260</v>
      </c>
      <c r="AC155" s="17">
        <v>225639</v>
      </c>
    </row>
    <row r="156" spans="1:29" s="41" customFormat="1" x14ac:dyDescent="0.25">
      <c r="A156" s="40" t="s">
        <v>135</v>
      </c>
      <c r="B156" s="17">
        <v>80772</v>
      </c>
      <c r="C156" s="17">
        <v>101089</v>
      </c>
      <c r="D156" s="17">
        <v>122836</v>
      </c>
      <c r="E156" s="17">
        <v>99801</v>
      </c>
      <c r="F156" s="17">
        <v>88459</v>
      </c>
      <c r="G156" s="17">
        <v>88433</v>
      </c>
      <c r="H156" s="17">
        <v>69613</v>
      </c>
      <c r="I156" s="17">
        <v>48661</v>
      </c>
      <c r="J156" s="17">
        <v>62310</v>
      </c>
      <c r="K156" s="17">
        <v>48146</v>
      </c>
      <c r="L156" s="17">
        <v>61110</v>
      </c>
      <c r="M156" s="17">
        <v>168157</v>
      </c>
      <c r="N156" s="17">
        <v>224214</v>
      </c>
      <c r="O156" s="17">
        <v>235986</v>
      </c>
      <c r="P156" s="17">
        <v>190334</v>
      </c>
      <c r="Q156" s="17">
        <v>219465</v>
      </c>
      <c r="R156" s="17">
        <v>217255</v>
      </c>
      <c r="S156" s="17">
        <v>264766</v>
      </c>
      <c r="T156" s="17">
        <v>159716</v>
      </c>
      <c r="U156" s="17">
        <v>142515</v>
      </c>
      <c r="V156" s="17">
        <v>141424</v>
      </c>
      <c r="W156" s="17">
        <v>138170</v>
      </c>
      <c r="X156" s="17">
        <v>89775</v>
      </c>
      <c r="Y156" s="17">
        <v>70271</v>
      </c>
      <c r="Z156" s="17">
        <v>18398</v>
      </c>
      <c r="AA156" s="17">
        <v>23200</v>
      </c>
      <c r="AB156" s="17">
        <v>29131</v>
      </c>
      <c r="AC156" s="17">
        <v>15925</v>
      </c>
    </row>
    <row r="157" spans="1:29" s="41" customFormat="1" x14ac:dyDescent="0.25">
      <c r="A157" s="40" t="s">
        <v>116</v>
      </c>
      <c r="B157" s="17">
        <v>0</v>
      </c>
      <c r="C157" s="17">
        <v>0</v>
      </c>
      <c r="D157" s="17">
        <v>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Q157" s="17">
        <v>0</v>
      </c>
      <c r="R157" s="17">
        <v>0</v>
      </c>
      <c r="S157" s="17">
        <v>0</v>
      </c>
      <c r="T157" s="17">
        <v>0</v>
      </c>
      <c r="U157" s="17">
        <v>0</v>
      </c>
      <c r="V157" s="17">
        <v>0</v>
      </c>
      <c r="W157" s="17">
        <v>0</v>
      </c>
      <c r="X157" s="17">
        <v>0</v>
      </c>
      <c r="Y157" s="17">
        <v>0</v>
      </c>
      <c r="Z157" s="17">
        <v>0</v>
      </c>
      <c r="AA157" s="17">
        <v>0</v>
      </c>
      <c r="AB157" s="17">
        <v>0</v>
      </c>
      <c r="AC157" s="17">
        <v>0</v>
      </c>
    </row>
    <row r="158" spans="1:29" s="41" customFormat="1" x14ac:dyDescent="0.25">
      <c r="A158" s="40" t="s">
        <v>117</v>
      </c>
      <c r="B158" s="17">
        <v>0</v>
      </c>
      <c r="C158" s="17">
        <v>0</v>
      </c>
      <c r="D158" s="17">
        <v>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Q158" s="17">
        <v>0</v>
      </c>
      <c r="R158" s="17">
        <v>0</v>
      </c>
      <c r="S158" s="17">
        <v>0</v>
      </c>
      <c r="T158" s="17">
        <v>0</v>
      </c>
      <c r="U158" s="17">
        <v>0</v>
      </c>
      <c r="V158" s="17">
        <v>0</v>
      </c>
      <c r="W158" s="17">
        <v>0</v>
      </c>
      <c r="X158" s="17">
        <v>0</v>
      </c>
      <c r="Y158" s="17">
        <v>0</v>
      </c>
      <c r="Z158" s="17">
        <v>0</v>
      </c>
      <c r="AA158" s="17">
        <v>0</v>
      </c>
      <c r="AB158" s="17">
        <v>0</v>
      </c>
      <c r="AC158" s="17">
        <v>0</v>
      </c>
    </row>
    <row r="159" spans="1:29" s="41" customFormat="1" x14ac:dyDescent="0.25">
      <c r="A159" s="24" t="s">
        <v>106</v>
      </c>
      <c r="B159" s="25">
        <v>484620</v>
      </c>
      <c r="C159" s="25">
        <v>611310</v>
      </c>
      <c r="D159" s="25">
        <v>508217</v>
      </c>
      <c r="E159" s="25">
        <v>613441</v>
      </c>
      <c r="F159" s="25">
        <v>579286</v>
      </c>
      <c r="G159" s="25">
        <v>646827</v>
      </c>
      <c r="H159" s="25">
        <v>584967</v>
      </c>
      <c r="I159" s="25">
        <v>526099</v>
      </c>
      <c r="J159" s="25">
        <v>606606</v>
      </c>
      <c r="K159" s="25">
        <v>708379</v>
      </c>
      <c r="L159" s="25">
        <v>728611</v>
      </c>
      <c r="M159" s="25">
        <v>866631</v>
      </c>
      <c r="N159" s="25">
        <v>908864</v>
      </c>
      <c r="O159" s="25">
        <v>1105368</v>
      </c>
      <c r="P159" s="25">
        <v>1007521</v>
      </c>
      <c r="Q159" s="25">
        <v>1139150</v>
      </c>
      <c r="R159" s="25">
        <v>1096122</v>
      </c>
      <c r="S159" s="25">
        <v>1214462</v>
      </c>
      <c r="T159" s="25">
        <v>943785</v>
      </c>
      <c r="U159" s="25">
        <v>880537</v>
      </c>
      <c r="V159" s="25">
        <v>786661</v>
      </c>
      <c r="W159" s="25">
        <v>831094</v>
      </c>
      <c r="X159" s="25">
        <v>860100</v>
      </c>
      <c r="Y159" s="25">
        <v>702365</v>
      </c>
      <c r="Z159" s="25">
        <v>620240</v>
      </c>
      <c r="AA159" s="25">
        <v>658474</v>
      </c>
      <c r="AB159" s="25">
        <v>607842</v>
      </c>
      <c r="AC159" s="25">
        <v>704086</v>
      </c>
    </row>
    <row r="160" spans="1:29" s="41" customFormat="1" ht="14.25" thickBot="1" x14ac:dyDescent="0.3">
      <c r="A160" s="18" t="s">
        <v>83</v>
      </c>
      <c r="B160" s="19">
        <v>610055</v>
      </c>
      <c r="C160" s="19">
        <v>788298</v>
      </c>
      <c r="D160" s="19">
        <v>658104</v>
      </c>
      <c r="E160" s="19">
        <v>782327</v>
      </c>
      <c r="F160" s="19">
        <v>776808</v>
      </c>
      <c r="G160" s="19">
        <v>900205</v>
      </c>
      <c r="H160" s="19">
        <v>882363</v>
      </c>
      <c r="I160" s="19">
        <v>896371</v>
      </c>
      <c r="J160" s="19">
        <v>1013993</v>
      </c>
      <c r="K160" s="19">
        <v>1117690</v>
      </c>
      <c r="L160" s="19">
        <v>1174987</v>
      </c>
      <c r="M160" s="19">
        <v>1239616</v>
      </c>
      <c r="N160" s="19">
        <v>1293282</v>
      </c>
      <c r="O160" s="19">
        <v>1534012</v>
      </c>
      <c r="P160" s="19">
        <v>1465888</v>
      </c>
      <c r="Q160" s="19">
        <v>1681686</v>
      </c>
      <c r="R160" s="19">
        <v>1612257</v>
      </c>
      <c r="S160" s="19">
        <v>1779310</v>
      </c>
      <c r="T160" s="19">
        <v>1436310</v>
      </c>
      <c r="U160" s="19">
        <v>1532726</v>
      </c>
      <c r="V160" s="19">
        <v>1435380</v>
      </c>
      <c r="W160" s="19">
        <v>1585097</v>
      </c>
      <c r="X160" s="19">
        <v>1649864</v>
      </c>
      <c r="Y160" s="19">
        <v>1492891</v>
      </c>
      <c r="Z160" s="19">
        <v>1414817</v>
      </c>
      <c r="AA160" s="19">
        <v>1576401</v>
      </c>
      <c r="AB160" s="19">
        <v>1381687</v>
      </c>
      <c r="AC160" s="19">
        <v>1774259</v>
      </c>
    </row>
    <row r="161" spans="1:29" x14ac:dyDescent="0.25">
      <c r="A161" s="43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</row>
    <row r="162" spans="1:29" ht="14.25" thickBot="1" x14ac:dyDescent="0.3">
      <c r="A162" s="11" t="s">
        <v>137</v>
      </c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</row>
    <row r="163" spans="1:29" s="15" customFormat="1" x14ac:dyDescent="0.25">
      <c r="A163" s="13"/>
      <c r="B163" s="14">
        <v>1997</v>
      </c>
      <c r="C163" s="14">
        <v>1998</v>
      </c>
      <c r="D163" s="14">
        <v>1999</v>
      </c>
      <c r="E163" s="14">
        <v>2000</v>
      </c>
      <c r="F163" s="14">
        <v>2001</v>
      </c>
      <c r="G163" s="14">
        <v>2002</v>
      </c>
      <c r="H163" s="14">
        <v>2003</v>
      </c>
      <c r="I163" s="14">
        <v>2004</v>
      </c>
      <c r="J163" s="14">
        <v>2005</v>
      </c>
      <c r="K163" s="14">
        <v>2006</v>
      </c>
      <c r="L163" s="14">
        <v>2007</v>
      </c>
      <c r="M163" s="14">
        <v>2008</v>
      </c>
      <c r="N163" s="14">
        <v>2009</v>
      </c>
      <c r="O163" s="14">
        <v>2010</v>
      </c>
      <c r="P163" s="14">
        <v>2011</v>
      </c>
      <c r="Q163" s="14">
        <v>2012</v>
      </c>
      <c r="R163" s="14">
        <v>2013</v>
      </c>
      <c r="S163" s="14">
        <v>2014</v>
      </c>
      <c r="T163" s="14">
        <v>2015</v>
      </c>
      <c r="U163" s="14">
        <v>2016</v>
      </c>
      <c r="V163" s="14">
        <v>2017</v>
      </c>
      <c r="W163" s="14">
        <v>2018</v>
      </c>
      <c r="X163" s="14">
        <v>2019</v>
      </c>
      <c r="Y163" s="14">
        <v>2020</v>
      </c>
      <c r="Z163" s="14">
        <v>2021</v>
      </c>
      <c r="AA163" s="14">
        <v>2022</v>
      </c>
      <c r="AB163" s="14">
        <v>2023</v>
      </c>
      <c r="AC163" s="14">
        <v>2024</v>
      </c>
    </row>
    <row r="164" spans="1:29" x14ac:dyDescent="0.25">
      <c r="A164" s="39" t="s">
        <v>90</v>
      </c>
      <c r="W164" s="9"/>
    </row>
    <row r="165" spans="1:29" s="16" customFormat="1" x14ac:dyDescent="0.25">
      <c r="A165" s="40" t="s">
        <v>26</v>
      </c>
      <c r="B165" s="17">
        <v>7545</v>
      </c>
      <c r="C165" s="17">
        <v>5053</v>
      </c>
      <c r="D165" s="17">
        <v>7521</v>
      </c>
      <c r="E165" s="17">
        <v>6971</v>
      </c>
      <c r="F165" s="17">
        <v>5236</v>
      </c>
      <c r="G165" s="17">
        <v>5188</v>
      </c>
      <c r="H165" s="17">
        <v>5686</v>
      </c>
      <c r="I165" s="17">
        <v>4107</v>
      </c>
      <c r="J165" s="17">
        <v>3018</v>
      </c>
      <c r="K165" s="17">
        <v>4962</v>
      </c>
      <c r="L165" s="17">
        <v>4377</v>
      </c>
      <c r="M165" s="17">
        <v>3956</v>
      </c>
      <c r="N165" s="17">
        <v>3636</v>
      </c>
      <c r="O165" s="17">
        <v>2559</v>
      </c>
      <c r="P165" s="17">
        <v>2916</v>
      </c>
      <c r="Q165" s="17">
        <v>2519</v>
      </c>
      <c r="R165" s="17">
        <v>2584</v>
      </c>
      <c r="S165" s="17">
        <v>2911</v>
      </c>
      <c r="T165" s="17">
        <v>3907</v>
      </c>
      <c r="U165" s="17">
        <v>3457</v>
      </c>
      <c r="V165" s="17">
        <v>2918</v>
      </c>
      <c r="W165" s="17">
        <v>2390</v>
      </c>
      <c r="X165" s="17">
        <v>3009</v>
      </c>
      <c r="Y165" s="17">
        <v>3193</v>
      </c>
      <c r="Z165" s="17">
        <v>2888</v>
      </c>
      <c r="AA165" s="17">
        <v>2888</v>
      </c>
      <c r="AB165" s="17">
        <v>2529</v>
      </c>
      <c r="AC165" s="17">
        <v>3710</v>
      </c>
    </row>
    <row r="166" spans="1:29" s="16" customFormat="1" x14ac:dyDescent="0.25">
      <c r="A166" s="40" t="s">
        <v>92</v>
      </c>
      <c r="B166" s="17">
        <v>0</v>
      </c>
      <c r="C166" s="17">
        <v>0</v>
      </c>
      <c r="D166" s="17">
        <v>0</v>
      </c>
      <c r="E166" s="17">
        <v>0</v>
      </c>
      <c r="F166" s="17">
        <v>4</v>
      </c>
      <c r="G166" s="17">
        <v>604</v>
      </c>
      <c r="H166" s="17">
        <v>1755</v>
      </c>
      <c r="I166" s="17">
        <v>2825</v>
      </c>
      <c r="J166" s="17">
        <v>2909</v>
      </c>
      <c r="K166" s="17">
        <v>2417</v>
      </c>
      <c r="L166" s="17">
        <v>2799</v>
      </c>
      <c r="M166" s="17">
        <v>2338</v>
      </c>
      <c r="N166" s="17">
        <v>1740</v>
      </c>
      <c r="O166" s="17">
        <v>2763</v>
      </c>
      <c r="P166" s="17">
        <v>3629</v>
      </c>
      <c r="Q166" s="17">
        <v>5267</v>
      </c>
      <c r="R166" s="17">
        <v>1716</v>
      </c>
      <c r="S166" s="17">
        <v>1955</v>
      </c>
      <c r="T166" s="17">
        <v>1533</v>
      </c>
      <c r="U166" s="17">
        <v>1708</v>
      </c>
      <c r="V166" s="17">
        <v>3184</v>
      </c>
      <c r="W166" s="17">
        <v>2900</v>
      </c>
      <c r="X166" s="17">
        <v>1465</v>
      </c>
      <c r="Y166" s="17">
        <v>546</v>
      </c>
      <c r="Z166" s="17">
        <v>407</v>
      </c>
      <c r="AA166" s="17">
        <v>342</v>
      </c>
      <c r="AB166" s="17">
        <v>1060</v>
      </c>
      <c r="AC166" s="17">
        <v>301</v>
      </c>
    </row>
    <row r="167" spans="1:29" s="16" customFormat="1" x14ac:dyDescent="0.25">
      <c r="A167" s="40" t="s">
        <v>5</v>
      </c>
      <c r="B167" s="17">
        <v>4308</v>
      </c>
      <c r="C167" s="17">
        <v>3835</v>
      </c>
      <c r="D167" s="17">
        <v>3801</v>
      </c>
      <c r="E167" s="17">
        <v>8059</v>
      </c>
      <c r="F167" s="17">
        <v>10410</v>
      </c>
      <c r="G167" s="17">
        <v>9033</v>
      </c>
      <c r="H167" s="17">
        <v>7157</v>
      </c>
      <c r="I167" s="17">
        <v>9808</v>
      </c>
      <c r="J167" s="17">
        <v>8123</v>
      </c>
      <c r="K167" s="17">
        <v>7856</v>
      </c>
      <c r="L167" s="17">
        <v>5525</v>
      </c>
      <c r="M167" s="17">
        <v>6901</v>
      </c>
      <c r="N167" s="17">
        <v>7550</v>
      </c>
      <c r="O167" s="17">
        <v>8543</v>
      </c>
      <c r="P167" s="17">
        <v>6374</v>
      </c>
      <c r="Q167" s="17">
        <v>5817</v>
      </c>
      <c r="R167" s="17">
        <v>4761</v>
      </c>
      <c r="S167" s="17">
        <v>6696</v>
      </c>
      <c r="T167" s="17">
        <v>9158</v>
      </c>
      <c r="U167" s="17">
        <v>7916</v>
      </c>
      <c r="V167" s="17">
        <v>10636</v>
      </c>
      <c r="W167" s="17">
        <v>8827</v>
      </c>
      <c r="X167" s="17">
        <v>8782</v>
      </c>
      <c r="Y167" s="17">
        <v>8102</v>
      </c>
      <c r="Z167" s="17">
        <v>6915</v>
      </c>
      <c r="AA167" s="17">
        <v>7832</v>
      </c>
      <c r="AB167" s="17">
        <v>6039</v>
      </c>
      <c r="AC167" s="17">
        <v>10421</v>
      </c>
    </row>
    <row r="168" spans="1:29" s="16" customFormat="1" x14ac:dyDescent="0.25">
      <c r="A168" s="40" t="s">
        <v>93</v>
      </c>
      <c r="B168" s="17">
        <v>2528</v>
      </c>
      <c r="C168" s="17">
        <v>3767</v>
      </c>
      <c r="D168" s="17">
        <v>3048</v>
      </c>
      <c r="E168" s="17">
        <v>3072</v>
      </c>
      <c r="F168" s="17">
        <v>2664</v>
      </c>
      <c r="G168" s="17">
        <v>2838</v>
      </c>
      <c r="H168" s="17">
        <v>4711</v>
      </c>
      <c r="I168" s="17">
        <v>1539</v>
      </c>
      <c r="J168" s="17">
        <v>7012</v>
      </c>
      <c r="K168" s="17">
        <v>3957</v>
      </c>
      <c r="L168" s="17">
        <v>3936</v>
      </c>
      <c r="M168" s="17">
        <v>4744</v>
      </c>
      <c r="N168" s="17">
        <v>5720</v>
      </c>
      <c r="O168" s="17">
        <v>7055</v>
      </c>
      <c r="P168" s="17">
        <v>9507</v>
      </c>
      <c r="Q168" s="17">
        <v>11805</v>
      </c>
      <c r="R168" s="17">
        <v>10019</v>
      </c>
      <c r="S168" s="17">
        <v>16891</v>
      </c>
      <c r="T168" s="17">
        <v>8772</v>
      </c>
      <c r="U168" s="17">
        <v>35497</v>
      </c>
      <c r="V168" s="17">
        <v>30866</v>
      </c>
      <c r="W168" s="17">
        <v>50164</v>
      </c>
      <c r="X168" s="17">
        <v>34248</v>
      </c>
      <c r="Y168" s="17">
        <v>69977</v>
      </c>
      <c r="Z168" s="17">
        <v>29793</v>
      </c>
      <c r="AA168" s="17">
        <v>61634</v>
      </c>
      <c r="AB168" s="17">
        <v>26377</v>
      </c>
      <c r="AC168" s="17">
        <v>69625</v>
      </c>
    </row>
    <row r="169" spans="1:29" s="16" customFormat="1" x14ac:dyDescent="0.25">
      <c r="A169" s="40" t="s">
        <v>94</v>
      </c>
      <c r="B169" s="17">
        <v>3482</v>
      </c>
      <c r="C169" s="17">
        <v>3088</v>
      </c>
      <c r="D169" s="17">
        <v>3720</v>
      </c>
      <c r="E169" s="17">
        <v>9753</v>
      </c>
      <c r="F169" s="17">
        <v>1686</v>
      </c>
      <c r="G169" s="17">
        <v>5286</v>
      </c>
      <c r="H169" s="17">
        <v>2132</v>
      </c>
      <c r="I169" s="17">
        <v>2316</v>
      </c>
      <c r="J169" s="17">
        <v>2060</v>
      </c>
      <c r="K169" s="17">
        <v>2280</v>
      </c>
      <c r="L169" s="17">
        <v>13732</v>
      </c>
      <c r="M169" s="17">
        <v>12681</v>
      </c>
      <c r="N169" s="17">
        <v>18797</v>
      </c>
      <c r="O169" s="17">
        <v>20101</v>
      </c>
      <c r="P169" s="17">
        <v>24839</v>
      </c>
      <c r="Q169" s="17">
        <v>42144</v>
      </c>
      <c r="R169" s="17">
        <v>25300</v>
      </c>
      <c r="S169" s="17">
        <v>58511</v>
      </c>
      <c r="T169" s="17">
        <v>93029</v>
      </c>
      <c r="U169" s="17">
        <v>83001</v>
      </c>
      <c r="V169" s="17">
        <v>91262</v>
      </c>
      <c r="W169" s="17">
        <v>108236</v>
      </c>
      <c r="X169" s="17">
        <v>157802</v>
      </c>
      <c r="Y169" s="17">
        <v>133885</v>
      </c>
      <c r="Z169" s="17">
        <v>118508</v>
      </c>
      <c r="AA169" s="17">
        <v>112654</v>
      </c>
      <c r="AB169" s="17">
        <v>149833</v>
      </c>
      <c r="AC169" s="17">
        <v>97477</v>
      </c>
    </row>
    <row r="170" spans="1:29" s="16" customFormat="1" x14ac:dyDescent="0.25">
      <c r="A170" s="40" t="s">
        <v>95</v>
      </c>
      <c r="B170" s="17">
        <v>0</v>
      </c>
      <c r="C170" s="17">
        <v>0</v>
      </c>
      <c r="D170" s="17">
        <v>0</v>
      </c>
      <c r="E170" s="17">
        <v>309</v>
      </c>
      <c r="F170" s="17">
        <v>5293</v>
      </c>
      <c r="G170" s="17">
        <v>2510</v>
      </c>
      <c r="H170" s="17">
        <v>1839</v>
      </c>
      <c r="I170" s="17">
        <v>5298</v>
      </c>
      <c r="J170" s="17">
        <v>4174</v>
      </c>
      <c r="K170" s="17">
        <v>1564</v>
      </c>
      <c r="L170" s="17">
        <v>5095</v>
      </c>
      <c r="M170" s="17">
        <v>3810</v>
      </c>
      <c r="N170" s="17">
        <v>4447</v>
      </c>
      <c r="O170" s="17">
        <v>4477</v>
      </c>
      <c r="P170" s="17">
        <v>6686</v>
      </c>
      <c r="Q170" s="17">
        <v>13178</v>
      </c>
      <c r="R170" s="17">
        <v>13347</v>
      </c>
      <c r="S170" s="17">
        <v>14051</v>
      </c>
      <c r="T170" s="17">
        <v>4230</v>
      </c>
      <c r="U170" s="17">
        <v>9523</v>
      </c>
      <c r="V170" s="17">
        <v>10574</v>
      </c>
      <c r="W170" s="17">
        <v>8405</v>
      </c>
      <c r="X170" s="17">
        <v>4202</v>
      </c>
      <c r="Y170" s="17">
        <v>10856</v>
      </c>
      <c r="Z170" s="17">
        <v>17935</v>
      </c>
      <c r="AA170" s="17">
        <v>19452</v>
      </c>
      <c r="AB170" s="17">
        <v>11654</v>
      </c>
      <c r="AC170" s="17">
        <v>10737</v>
      </c>
    </row>
    <row r="171" spans="1:29" s="16" customFormat="1" x14ac:dyDescent="0.25">
      <c r="A171" s="40" t="s">
        <v>96</v>
      </c>
      <c r="B171" s="17">
        <v>0</v>
      </c>
      <c r="C171" s="17">
        <v>0</v>
      </c>
      <c r="D171" s="17">
        <v>0</v>
      </c>
      <c r="E171" s="17">
        <v>11</v>
      </c>
      <c r="F171" s="17">
        <v>13</v>
      </c>
      <c r="G171" s="17">
        <v>7</v>
      </c>
      <c r="H171" s="17">
        <v>20</v>
      </c>
      <c r="I171" s="17">
        <v>3</v>
      </c>
      <c r="J171" s="17">
        <v>0</v>
      </c>
      <c r="K171" s="17">
        <v>0</v>
      </c>
      <c r="L171" s="17">
        <v>0</v>
      </c>
      <c r="M171" s="17">
        <v>3</v>
      </c>
      <c r="N171" s="17">
        <v>8</v>
      </c>
      <c r="O171" s="17">
        <v>4</v>
      </c>
      <c r="P171" s="17">
        <v>11</v>
      </c>
      <c r="Q171" s="17">
        <v>11</v>
      </c>
      <c r="R171" s="17">
        <v>19</v>
      </c>
      <c r="S171" s="17">
        <v>19</v>
      </c>
      <c r="T171" s="17">
        <v>19</v>
      </c>
      <c r="U171" s="17">
        <v>19</v>
      </c>
      <c r="V171" s="17">
        <v>19</v>
      </c>
      <c r="W171" s="17">
        <v>36</v>
      </c>
      <c r="X171" s="17">
        <v>2659</v>
      </c>
      <c r="Y171" s="17">
        <v>21953</v>
      </c>
      <c r="Z171" s="17">
        <v>36583</v>
      </c>
      <c r="AA171" s="17">
        <v>23493</v>
      </c>
      <c r="AB171" s="17">
        <v>24329</v>
      </c>
      <c r="AC171" s="17">
        <v>6341</v>
      </c>
    </row>
    <row r="172" spans="1:29" s="16" customFormat="1" x14ac:dyDescent="0.25">
      <c r="A172" s="40" t="s">
        <v>49</v>
      </c>
      <c r="B172" s="17">
        <v>10451</v>
      </c>
      <c r="C172" s="17">
        <v>15145</v>
      </c>
      <c r="D172" s="17">
        <v>10138</v>
      </c>
      <c r="E172" s="17">
        <v>14176</v>
      </c>
      <c r="F172" s="17">
        <v>10075</v>
      </c>
      <c r="G172" s="17">
        <v>10564</v>
      </c>
      <c r="H172" s="17">
        <v>10182</v>
      </c>
      <c r="I172" s="17">
        <v>15572</v>
      </c>
      <c r="J172" s="17">
        <v>14229</v>
      </c>
      <c r="K172" s="17">
        <v>8317</v>
      </c>
      <c r="L172" s="17">
        <v>11568</v>
      </c>
      <c r="M172" s="17">
        <v>11619</v>
      </c>
      <c r="N172" s="17">
        <v>6348</v>
      </c>
      <c r="O172" s="17">
        <v>9388</v>
      </c>
      <c r="P172" s="17">
        <v>12807</v>
      </c>
      <c r="Q172" s="17">
        <v>12366</v>
      </c>
      <c r="R172" s="17">
        <v>15590</v>
      </c>
      <c r="S172" s="17">
        <v>11928</v>
      </c>
      <c r="T172" s="17">
        <v>13452</v>
      </c>
      <c r="U172" s="17">
        <v>7840</v>
      </c>
      <c r="V172" s="17">
        <v>6372</v>
      </c>
      <c r="W172" s="17">
        <v>6363</v>
      </c>
      <c r="X172" s="17">
        <v>8276</v>
      </c>
      <c r="Y172" s="17">
        <v>8661</v>
      </c>
      <c r="Z172" s="17">
        <v>8507</v>
      </c>
      <c r="AA172" s="17">
        <v>3449</v>
      </c>
      <c r="AB172" s="17">
        <v>1208</v>
      </c>
      <c r="AC172" s="17">
        <v>1327</v>
      </c>
    </row>
    <row r="173" spans="1:29" s="16" customFormat="1" x14ac:dyDescent="0.25">
      <c r="A173" s="40" t="s">
        <v>97</v>
      </c>
      <c r="B173" s="17">
        <v>0</v>
      </c>
      <c r="C173" s="17">
        <v>0</v>
      </c>
      <c r="D173" s="17">
        <v>0</v>
      </c>
      <c r="E173" s="17">
        <v>0</v>
      </c>
      <c r="F173" s="17">
        <v>0</v>
      </c>
      <c r="G173" s="17">
        <v>0</v>
      </c>
      <c r="H173" s="17">
        <v>0</v>
      </c>
      <c r="I173" s="17">
        <v>6</v>
      </c>
      <c r="J173" s="17">
        <v>105</v>
      </c>
      <c r="K173" s="17">
        <v>285</v>
      </c>
      <c r="L173" s="17">
        <v>306</v>
      </c>
      <c r="M173" s="17">
        <v>435</v>
      </c>
      <c r="N173" s="17">
        <v>189</v>
      </c>
      <c r="O173" s="17">
        <v>110</v>
      </c>
      <c r="P173" s="17">
        <v>0</v>
      </c>
      <c r="Q173" s="17">
        <v>0</v>
      </c>
      <c r="R173" s="17"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0</v>
      </c>
      <c r="X173" s="17">
        <v>0</v>
      </c>
      <c r="Y173" s="17">
        <v>0</v>
      </c>
      <c r="Z173" s="17">
        <v>3</v>
      </c>
      <c r="AA173" s="17">
        <v>2</v>
      </c>
      <c r="AB173" s="17">
        <v>4</v>
      </c>
      <c r="AC173" s="17">
        <v>15</v>
      </c>
    </row>
    <row r="174" spans="1:29" s="16" customFormat="1" x14ac:dyDescent="0.25">
      <c r="A174" s="40" t="s">
        <v>98</v>
      </c>
      <c r="B174" s="17">
        <v>17067</v>
      </c>
      <c r="C174" s="17">
        <v>37643</v>
      </c>
      <c r="D174" s="17">
        <v>28712</v>
      </c>
      <c r="E174" s="17">
        <v>45269</v>
      </c>
      <c r="F174" s="17">
        <v>56696</v>
      </c>
      <c r="G174" s="17">
        <v>72856</v>
      </c>
      <c r="H174" s="17">
        <v>124081</v>
      </c>
      <c r="I174" s="17">
        <v>132519</v>
      </c>
      <c r="J174" s="17">
        <v>130261</v>
      </c>
      <c r="K174" s="17">
        <v>153400</v>
      </c>
      <c r="L174" s="17">
        <v>167550</v>
      </c>
      <c r="M174" s="17">
        <v>153990</v>
      </c>
      <c r="N174" s="17">
        <v>140643</v>
      </c>
      <c r="O174" s="17">
        <v>131119</v>
      </c>
      <c r="P174" s="17">
        <v>136278</v>
      </c>
      <c r="Q174" s="17">
        <v>164587</v>
      </c>
      <c r="R174" s="17">
        <v>148245</v>
      </c>
      <c r="S174" s="17">
        <v>112712</v>
      </c>
      <c r="T174" s="17">
        <v>61010</v>
      </c>
      <c r="U174" s="17">
        <v>126481</v>
      </c>
      <c r="V174" s="17">
        <v>203747</v>
      </c>
      <c r="W174" s="17">
        <v>192772</v>
      </c>
      <c r="X174" s="17">
        <v>152862</v>
      </c>
      <c r="Y174" s="17">
        <v>189745</v>
      </c>
      <c r="Z174" s="17">
        <v>155583</v>
      </c>
      <c r="AA174" s="17">
        <v>213486</v>
      </c>
      <c r="AB174" s="17">
        <v>197402</v>
      </c>
      <c r="AC174" s="17">
        <v>299180</v>
      </c>
    </row>
    <row r="175" spans="1:29" s="16" customFormat="1" x14ac:dyDescent="0.25">
      <c r="A175" s="40" t="s">
        <v>99</v>
      </c>
      <c r="B175" s="17">
        <v>107</v>
      </c>
      <c r="C175" s="17">
        <v>100</v>
      </c>
      <c r="D175" s="17">
        <v>100</v>
      </c>
      <c r="E175" s="17">
        <v>169</v>
      </c>
      <c r="F175" s="17">
        <v>62</v>
      </c>
      <c r="G175" s="17">
        <v>4</v>
      </c>
      <c r="H175" s="17">
        <v>20</v>
      </c>
      <c r="I175" s="17">
        <v>35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Q175" s="17">
        <v>0</v>
      </c>
      <c r="R175" s="17">
        <v>0</v>
      </c>
      <c r="S175" s="17">
        <v>0</v>
      </c>
      <c r="T175" s="17">
        <v>0</v>
      </c>
      <c r="U175" s="17">
        <v>0</v>
      </c>
      <c r="V175" s="17">
        <v>2294</v>
      </c>
      <c r="W175" s="17">
        <v>2683</v>
      </c>
      <c r="X175" s="17">
        <v>2331</v>
      </c>
      <c r="Y175" s="17">
        <v>1</v>
      </c>
      <c r="Z175" s="17">
        <v>33</v>
      </c>
      <c r="AA175" s="17">
        <v>24</v>
      </c>
      <c r="AB175" s="17">
        <v>8</v>
      </c>
      <c r="AC175" s="17">
        <v>0</v>
      </c>
    </row>
    <row r="176" spans="1:29" s="16" customFormat="1" x14ac:dyDescent="0.25">
      <c r="A176" s="40" t="s">
        <v>100</v>
      </c>
      <c r="B176" s="17">
        <v>5498</v>
      </c>
      <c r="C176" s="17">
        <v>6820</v>
      </c>
      <c r="D176" s="17">
        <v>5790</v>
      </c>
      <c r="E176" s="17">
        <v>5389</v>
      </c>
      <c r="F176" s="17">
        <v>5864</v>
      </c>
      <c r="G176" s="17">
        <v>4908</v>
      </c>
      <c r="H176" s="17">
        <v>2944</v>
      </c>
      <c r="I176" s="17">
        <v>1967</v>
      </c>
      <c r="J176" s="17">
        <v>1626</v>
      </c>
      <c r="K176" s="17">
        <v>2564</v>
      </c>
      <c r="L176" s="17">
        <v>3559</v>
      </c>
      <c r="M176" s="17">
        <v>2796</v>
      </c>
      <c r="N176" s="17">
        <v>3422</v>
      </c>
      <c r="O176" s="17">
        <v>3090</v>
      </c>
      <c r="P176" s="17">
        <v>1932</v>
      </c>
      <c r="Q176" s="17">
        <v>2353</v>
      </c>
      <c r="R176" s="17">
        <v>2022</v>
      </c>
      <c r="S176" s="17">
        <v>1090</v>
      </c>
      <c r="T176" s="17">
        <v>1160</v>
      </c>
      <c r="U176" s="17">
        <v>1086</v>
      </c>
      <c r="V176" s="17">
        <v>2219</v>
      </c>
      <c r="W176" s="17">
        <v>1771</v>
      </c>
      <c r="X176" s="17">
        <v>1877</v>
      </c>
      <c r="Y176" s="17">
        <v>1381</v>
      </c>
      <c r="Z176" s="17">
        <v>1093</v>
      </c>
      <c r="AA176" s="17">
        <v>854</v>
      </c>
      <c r="AB176" s="17">
        <v>1463</v>
      </c>
      <c r="AC176" s="17">
        <v>454</v>
      </c>
    </row>
    <row r="177" spans="1:29" s="16" customFormat="1" x14ac:dyDescent="0.25">
      <c r="A177" s="40" t="s">
        <v>101</v>
      </c>
      <c r="B177" s="17">
        <v>46961</v>
      </c>
      <c r="C177" s="17">
        <v>48218</v>
      </c>
      <c r="D177" s="17">
        <v>43549</v>
      </c>
      <c r="E177" s="17">
        <v>8256</v>
      </c>
      <c r="F177" s="17">
        <v>15070</v>
      </c>
      <c r="G177" s="17">
        <v>17360</v>
      </c>
      <c r="H177" s="17">
        <v>26365</v>
      </c>
      <c r="I177" s="17">
        <v>24904</v>
      </c>
      <c r="J177" s="17">
        <v>17670</v>
      </c>
      <c r="K177" s="17">
        <v>27237</v>
      </c>
      <c r="L177" s="17">
        <v>21112</v>
      </c>
      <c r="M177" s="17">
        <v>16348</v>
      </c>
      <c r="N177" s="17">
        <v>17805</v>
      </c>
      <c r="O177" s="17">
        <v>21824</v>
      </c>
      <c r="P177" s="17">
        <v>27983</v>
      </c>
      <c r="Q177" s="17">
        <v>28607</v>
      </c>
      <c r="R177" s="17">
        <v>26419</v>
      </c>
      <c r="S177" s="17">
        <v>58456</v>
      </c>
      <c r="T177" s="17">
        <v>53679</v>
      </c>
      <c r="U177" s="17">
        <v>44415</v>
      </c>
      <c r="V177" s="17">
        <v>33922</v>
      </c>
      <c r="W177" s="17">
        <v>41278</v>
      </c>
      <c r="X177" s="17">
        <v>39246</v>
      </c>
      <c r="Y177" s="17">
        <v>28798</v>
      </c>
      <c r="Z177" s="17">
        <v>34175</v>
      </c>
      <c r="AA177" s="17">
        <v>37742</v>
      </c>
      <c r="AB177" s="17">
        <v>31751</v>
      </c>
      <c r="AC177" s="17">
        <v>47498</v>
      </c>
    </row>
    <row r="178" spans="1:29" s="16" customFormat="1" x14ac:dyDescent="0.25">
      <c r="A178" s="40" t="s">
        <v>102</v>
      </c>
      <c r="B178" s="17">
        <v>0</v>
      </c>
      <c r="C178" s="17">
        <v>0</v>
      </c>
      <c r="D178" s="17">
        <v>0</v>
      </c>
      <c r="E178" s="17">
        <v>0</v>
      </c>
      <c r="F178" s="17">
        <v>0</v>
      </c>
      <c r="G178" s="17">
        <v>8</v>
      </c>
      <c r="H178" s="17">
        <v>3</v>
      </c>
      <c r="I178" s="17">
        <v>3</v>
      </c>
      <c r="J178" s="17">
        <v>6</v>
      </c>
      <c r="K178" s="17">
        <v>6</v>
      </c>
      <c r="L178" s="17">
        <v>8</v>
      </c>
      <c r="M178" s="17">
        <v>8</v>
      </c>
      <c r="N178" s="17">
        <v>12</v>
      </c>
      <c r="O178" s="17">
        <v>4</v>
      </c>
      <c r="P178" s="17">
        <v>4</v>
      </c>
      <c r="Q178" s="17">
        <v>229</v>
      </c>
      <c r="R178" s="17">
        <v>177</v>
      </c>
      <c r="S178" s="17">
        <v>86</v>
      </c>
      <c r="T178" s="17">
        <v>179</v>
      </c>
      <c r="U178" s="17">
        <v>179</v>
      </c>
      <c r="V178" s="17">
        <v>67</v>
      </c>
      <c r="W178" s="17">
        <v>55</v>
      </c>
      <c r="X178" s="17">
        <v>67</v>
      </c>
      <c r="Y178" s="17">
        <v>51</v>
      </c>
      <c r="Z178" s="17">
        <v>51</v>
      </c>
      <c r="AA178" s="17">
        <v>19</v>
      </c>
      <c r="AB178" s="17">
        <v>50</v>
      </c>
      <c r="AC178" s="17">
        <v>77</v>
      </c>
    </row>
    <row r="179" spans="1:29" s="16" customFormat="1" x14ac:dyDescent="0.25">
      <c r="A179" s="40" t="s">
        <v>103</v>
      </c>
      <c r="B179" s="17">
        <v>663</v>
      </c>
      <c r="C179" s="17">
        <v>825</v>
      </c>
      <c r="D179" s="17">
        <v>1043</v>
      </c>
      <c r="E179" s="17">
        <v>1158</v>
      </c>
      <c r="F179" s="17">
        <v>1528</v>
      </c>
      <c r="G179" s="17">
        <v>1253</v>
      </c>
      <c r="H179" s="17">
        <v>654</v>
      </c>
      <c r="I179" s="17">
        <v>383</v>
      </c>
      <c r="J179" s="17">
        <v>598</v>
      </c>
      <c r="K179" s="17">
        <v>753</v>
      </c>
      <c r="L179" s="17">
        <v>822</v>
      </c>
      <c r="M179" s="17">
        <v>592</v>
      </c>
      <c r="N179" s="17">
        <v>271</v>
      </c>
      <c r="O179" s="17">
        <v>128</v>
      </c>
      <c r="P179" s="17">
        <v>224</v>
      </c>
      <c r="Q179" s="17">
        <v>171</v>
      </c>
      <c r="R179" s="17">
        <v>147</v>
      </c>
      <c r="S179" s="17">
        <v>244</v>
      </c>
      <c r="T179" s="17">
        <v>357</v>
      </c>
      <c r="U179" s="17">
        <v>400</v>
      </c>
      <c r="V179" s="17">
        <v>432</v>
      </c>
      <c r="W179" s="17">
        <v>259</v>
      </c>
      <c r="X179" s="17">
        <v>233</v>
      </c>
      <c r="Y179" s="17">
        <v>182</v>
      </c>
      <c r="Z179" s="17">
        <v>235</v>
      </c>
      <c r="AA179" s="17">
        <v>385</v>
      </c>
      <c r="AB179" s="17">
        <v>236</v>
      </c>
      <c r="AC179" s="17">
        <v>218</v>
      </c>
    </row>
    <row r="180" spans="1:29" s="16" customFormat="1" x14ac:dyDescent="0.25">
      <c r="A180" s="40" t="s">
        <v>104</v>
      </c>
      <c r="B180" s="17">
        <v>0</v>
      </c>
      <c r="C180" s="17">
        <v>0</v>
      </c>
      <c r="D180" s="17">
        <v>0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19</v>
      </c>
      <c r="K180" s="17">
        <v>12</v>
      </c>
      <c r="L180" s="17">
        <v>26</v>
      </c>
      <c r="M180" s="17">
        <v>22</v>
      </c>
      <c r="N180" s="17">
        <v>446</v>
      </c>
      <c r="O180" s="17">
        <v>239</v>
      </c>
      <c r="P180" s="17">
        <v>3174</v>
      </c>
      <c r="Q180" s="17">
        <v>3795</v>
      </c>
      <c r="R180" s="17">
        <v>435</v>
      </c>
      <c r="S180" s="17">
        <v>1462</v>
      </c>
      <c r="T180" s="17">
        <v>904</v>
      </c>
      <c r="U180" s="17">
        <v>2600</v>
      </c>
      <c r="V180" s="17">
        <v>987</v>
      </c>
      <c r="W180" s="17">
        <v>1915</v>
      </c>
      <c r="X180" s="17">
        <v>1705</v>
      </c>
      <c r="Y180" s="17">
        <v>1569</v>
      </c>
      <c r="Z180" s="17">
        <v>6941</v>
      </c>
      <c r="AA180" s="17">
        <v>4415</v>
      </c>
      <c r="AB180" s="17">
        <v>1640</v>
      </c>
      <c r="AC180" s="17">
        <v>3173</v>
      </c>
    </row>
    <row r="181" spans="1:29" s="16" customFormat="1" x14ac:dyDescent="0.25">
      <c r="A181" s="40" t="s">
        <v>105</v>
      </c>
      <c r="B181" s="17">
        <v>2</v>
      </c>
      <c r="C181" s="17">
        <v>0</v>
      </c>
      <c r="D181" s="17">
        <v>0</v>
      </c>
      <c r="E181" s="17">
        <v>329</v>
      </c>
      <c r="F181" s="17">
        <v>204</v>
      </c>
      <c r="G181" s="17">
        <v>918</v>
      </c>
      <c r="H181" s="17">
        <v>1732</v>
      </c>
      <c r="I181" s="17">
        <v>801</v>
      </c>
      <c r="J181" s="17">
        <v>1630</v>
      </c>
      <c r="K181" s="17">
        <v>2098</v>
      </c>
      <c r="L181" s="17">
        <v>1313</v>
      </c>
      <c r="M181" s="17">
        <v>1346</v>
      </c>
      <c r="N181" s="17">
        <v>353</v>
      </c>
      <c r="O181" s="17">
        <v>501</v>
      </c>
      <c r="P181" s="17">
        <v>885</v>
      </c>
      <c r="Q181" s="17">
        <v>640</v>
      </c>
      <c r="R181" s="17">
        <v>347</v>
      </c>
      <c r="S181" s="17">
        <v>103</v>
      </c>
      <c r="T181" s="17">
        <v>0</v>
      </c>
      <c r="U181" s="17">
        <v>0</v>
      </c>
      <c r="V181" s="17">
        <v>275</v>
      </c>
      <c r="W181" s="17">
        <v>175</v>
      </c>
      <c r="X181" s="17">
        <v>8</v>
      </c>
      <c r="Y181" s="17">
        <v>262</v>
      </c>
      <c r="Z181" s="17">
        <v>115</v>
      </c>
      <c r="AA181" s="17">
        <v>403</v>
      </c>
      <c r="AB181" s="17">
        <v>217</v>
      </c>
      <c r="AC181" s="17">
        <v>154</v>
      </c>
    </row>
    <row r="182" spans="1:29" s="16" customFormat="1" x14ac:dyDescent="0.25">
      <c r="A182" s="24" t="s">
        <v>106</v>
      </c>
      <c r="B182" s="25">
        <v>98612</v>
      </c>
      <c r="C182" s="25">
        <v>124494</v>
      </c>
      <c r="D182" s="25">
        <v>107422</v>
      </c>
      <c r="E182" s="25">
        <v>102921</v>
      </c>
      <c r="F182" s="25">
        <v>114805</v>
      </c>
      <c r="G182" s="25">
        <v>133337</v>
      </c>
      <c r="H182" s="25">
        <v>189281</v>
      </c>
      <c r="I182" s="25">
        <v>202086</v>
      </c>
      <c r="J182" s="25">
        <v>193440</v>
      </c>
      <c r="K182" s="25">
        <v>217708</v>
      </c>
      <c r="L182" s="25">
        <v>241728</v>
      </c>
      <c r="M182" s="25">
        <v>221589</v>
      </c>
      <c r="N182" s="25">
        <v>211387</v>
      </c>
      <c r="O182" s="25">
        <v>211905</v>
      </c>
      <c r="P182" s="25">
        <v>237249</v>
      </c>
      <c r="Q182" s="25">
        <v>293489</v>
      </c>
      <c r="R182" s="25">
        <v>251128</v>
      </c>
      <c r="S182" s="25">
        <v>287115</v>
      </c>
      <c r="T182" s="25">
        <v>251389</v>
      </c>
      <c r="U182" s="25">
        <v>324122</v>
      </c>
      <c r="V182" s="25">
        <v>399774</v>
      </c>
      <c r="W182" s="25">
        <v>428229</v>
      </c>
      <c r="X182" s="25">
        <v>418772</v>
      </c>
      <c r="Y182" s="25">
        <v>479162</v>
      </c>
      <c r="Z182" s="25">
        <v>419765</v>
      </c>
      <c r="AA182" s="25">
        <v>489074</v>
      </c>
      <c r="AB182" s="25">
        <v>455800</v>
      </c>
      <c r="AC182" s="25">
        <v>550708</v>
      </c>
    </row>
    <row r="183" spans="1:29" s="41" customFormat="1" x14ac:dyDescent="0.25">
      <c r="A183" s="26" t="s">
        <v>107</v>
      </c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5"/>
      <c r="Y183" s="45"/>
      <c r="Z183" s="45"/>
      <c r="AA183" s="45"/>
      <c r="AB183" s="45"/>
      <c r="AC183" s="45"/>
    </row>
    <row r="184" spans="1:29" s="41" customFormat="1" x14ac:dyDescent="0.25">
      <c r="A184" s="40" t="s">
        <v>132</v>
      </c>
      <c r="B184" s="17">
        <v>0</v>
      </c>
      <c r="C184" s="17">
        <v>0</v>
      </c>
      <c r="D184" s="17">
        <v>0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Q184" s="17">
        <v>0</v>
      </c>
      <c r="R184" s="17">
        <v>0</v>
      </c>
      <c r="S184" s="17">
        <v>0</v>
      </c>
      <c r="T184" s="17">
        <v>0</v>
      </c>
      <c r="U184" s="17">
        <v>0</v>
      </c>
      <c r="V184" s="17">
        <v>0</v>
      </c>
      <c r="W184" s="17">
        <v>0</v>
      </c>
      <c r="X184" s="17">
        <v>0</v>
      </c>
      <c r="Y184" s="17">
        <v>0</v>
      </c>
      <c r="Z184" s="17">
        <v>0</v>
      </c>
      <c r="AA184" s="17">
        <v>0</v>
      </c>
      <c r="AB184" s="17">
        <v>0</v>
      </c>
      <c r="AC184" s="17">
        <v>0</v>
      </c>
    </row>
    <row r="185" spans="1:29" s="41" customFormat="1" x14ac:dyDescent="0.25">
      <c r="A185" s="40" t="s">
        <v>29</v>
      </c>
      <c r="B185" s="17">
        <v>0</v>
      </c>
      <c r="C185" s="17">
        <v>0</v>
      </c>
      <c r="D185" s="17">
        <v>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Q185" s="17">
        <v>0</v>
      </c>
      <c r="R185" s="17"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0</v>
      </c>
      <c r="X185" s="17">
        <v>0</v>
      </c>
      <c r="Y185" s="17">
        <v>0</v>
      </c>
      <c r="Z185" s="17">
        <v>0</v>
      </c>
      <c r="AA185" s="17">
        <v>0</v>
      </c>
      <c r="AB185" s="17">
        <v>0</v>
      </c>
      <c r="AC185" s="17">
        <v>0</v>
      </c>
    </row>
    <row r="186" spans="1:29" s="41" customFormat="1" x14ac:dyDescent="0.25">
      <c r="A186" s="40" t="s">
        <v>2</v>
      </c>
      <c r="B186" s="17">
        <v>0</v>
      </c>
      <c r="C186" s="17">
        <v>0</v>
      </c>
      <c r="D186" s="17">
        <v>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Q186" s="17">
        <v>0</v>
      </c>
      <c r="R186" s="17">
        <v>0</v>
      </c>
      <c r="S186" s="17">
        <v>0</v>
      </c>
      <c r="T186" s="17">
        <v>0</v>
      </c>
      <c r="U186" s="17">
        <v>0</v>
      </c>
      <c r="V186" s="17">
        <v>2</v>
      </c>
      <c r="W186" s="17">
        <v>0</v>
      </c>
      <c r="X186" s="17">
        <v>0</v>
      </c>
      <c r="Y186" s="17">
        <v>0</v>
      </c>
      <c r="Z186" s="17">
        <v>0</v>
      </c>
      <c r="AA186" s="17">
        <v>0</v>
      </c>
      <c r="AB186" s="17">
        <v>0</v>
      </c>
      <c r="AC186" s="17">
        <v>0</v>
      </c>
    </row>
    <row r="187" spans="1:29" s="41" customFormat="1" x14ac:dyDescent="0.25">
      <c r="A187" s="40" t="s">
        <v>133</v>
      </c>
      <c r="B187" s="17">
        <v>0</v>
      </c>
      <c r="C187" s="17">
        <v>0</v>
      </c>
      <c r="D187" s="17">
        <v>0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Q187" s="17">
        <v>0</v>
      </c>
      <c r="R187" s="17"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0</v>
      </c>
      <c r="X187" s="17">
        <v>0</v>
      </c>
      <c r="Y187" s="17">
        <v>0</v>
      </c>
      <c r="Z187" s="17">
        <v>0</v>
      </c>
      <c r="AA187" s="17">
        <v>0</v>
      </c>
      <c r="AB187" s="17">
        <v>0</v>
      </c>
      <c r="AC187" s="17">
        <v>0</v>
      </c>
    </row>
    <row r="188" spans="1:29" s="41" customFormat="1" x14ac:dyDescent="0.25">
      <c r="A188" s="40" t="s">
        <v>3</v>
      </c>
      <c r="B188" s="17">
        <v>0</v>
      </c>
      <c r="C188" s="17">
        <v>0</v>
      </c>
      <c r="D188" s="17">
        <v>0</v>
      </c>
      <c r="E188" s="17">
        <v>0</v>
      </c>
      <c r="F188" s="17">
        <v>0</v>
      </c>
      <c r="G188" s="17">
        <v>0</v>
      </c>
      <c r="H188" s="17">
        <v>0</v>
      </c>
      <c r="I188" s="17">
        <v>0</v>
      </c>
      <c r="J188" s="17">
        <v>0</v>
      </c>
      <c r="K188" s="17">
        <v>0</v>
      </c>
      <c r="L188" s="17">
        <v>0</v>
      </c>
      <c r="M188" s="17">
        <v>0</v>
      </c>
      <c r="N188" s="17">
        <v>0</v>
      </c>
      <c r="O188" s="17">
        <v>0</v>
      </c>
      <c r="P188" s="17">
        <v>0</v>
      </c>
      <c r="Q188" s="17">
        <v>0</v>
      </c>
      <c r="R188" s="17"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0</v>
      </c>
      <c r="X188" s="17">
        <v>0</v>
      </c>
      <c r="Y188" s="17">
        <v>0</v>
      </c>
      <c r="Z188" s="17">
        <v>0</v>
      </c>
      <c r="AA188" s="17">
        <v>0</v>
      </c>
      <c r="AB188" s="17">
        <v>0</v>
      </c>
      <c r="AC188" s="17">
        <v>0</v>
      </c>
    </row>
    <row r="189" spans="1:29" s="41" customFormat="1" x14ac:dyDescent="0.25">
      <c r="A189" s="40" t="s">
        <v>4</v>
      </c>
      <c r="B189" s="17">
        <v>0</v>
      </c>
      <c r="C189" s="17">
        <v>0</v>
      </c>
      <c r="D189" s="17">
        <v>0</v>
      </c>
      <c r="E189" s="17">
        <v>0</v>
      </c>
      <c r="F189" s="17">
        <v>0</v>
      </c>
      <c r="G189" s="17">
        <v>0</v>
      </c>
      <c r="H189" s="17">
        <v>0</v>
      </c>
      <c r="I189" s="17">
        <v>0</v>
      </c>
      <c r="J189" s="17">
        <v>0</v>
      </c>
      <c r="K189" s="17">
        <v>0</v>
      </c>
      <c r="L189" s="17">
        <v>0</v>
      </c>
      <c r="M189" s="17">
        <v>0</v>
      </c>
      <c r="N189" s="17">
        <v>0</v>
      </c>
      <c r="O189" s="17">
        <v>0</v>
      </c>
      <c r="P189" s="17">
        <v>0</v>
      </c>
      <c r="Q189" s="17">
        <v>0</v>
      </c>
      <c r="R189" s="17">
        <v>0</v>
      </c>
      <c r="S189" s="17">
        <v>0</v>
      </c>
      <c r="T189" s="17">
        <v>0</v>
      </c>
      <c r="U189" s="17">
        <v>0</v>
      </c>
      <c r="V189" s="17">
        <v>0</v>
      </c>
      <c r="W189" s="17">
        <v>0</v>
      </c>
      <c r="X189" s="17">
        <v>0</v>
      </c>
      <c r="Y189" s="17">
        <v>0</v>
      </c>
      <c r="Z189" s="17">
        <v>0</v>
      </c>
      <c r="AA189" s="17">
        <v>0</v>
      </c>
      <c r="AB189" s="17">
        <v>0</v>
      </c>
      <c r="AC189" s="17">
        <v>0</v>
      </c>
    </row>
    <row r="190" spans="1:29" s="41" customFormat="1" x14ac:dyDescent="0.25">
      <c r="A190" s="40" t="s">
        <v>109</v>
      </c>
      <c r="B190" s="17">
        <v>4563</v>
      </c>
      <c r="C190" s="17">
        <v>5710</v>
      </c>
      <c r="D190" s="17">
        <v>5200</v>
      </c>
      <c r="E190" s="17">
        <v>6777</v>
      </c>
      <c r="F190" s="17">
        <v>7732</v>
      </c>
      <c r="G190" s="17">
        <v>7346</v>
      </c>
      <c r="H190" s="17">
        <v>6264</v>
      </c>
      <c r="I190" s="17">
        <v>5484</v>
      </c>
      <c r="J190" s="17">
        <v>4818</v>
      </c>
      <c r="K190" s="17">
        <v>5822</v>
      </c>
      <c r="L190" s="17">
        <v>6365</v>
      </c>
      <c r="M190" s="17">
        <v>5657</v>
      </c>
      <c r="N190" s="17">
        <v>6873</v>
      </c>
      <c r="O190" s="17">
        <v>6249</v>
      </c>
      <c r="P190" s="17">
        <v>6027</v>
      </c>
      <c r="Q190" s="17">
        <v>7266</v>
      </c>
      <c r="R190" s="17">
        <v>6671</v>
      </c>
      <c r="S190" s="17">
        <v>7173</v>
      </c>
      <c r="T190" s="17">
        <v>7402</v>
      </c>
      <c r="U190" s="17">
        <v>6663</v>
      </c>
      <c r="V190" s="17">
        <v>6349</v>
      </c>
      <c r="W190" s="17">
        <v>7071</v>
      </c>
      <c r="X190" s="17">
        <v>7371</v>
      </c>
      <c r="Y190" s="17">
        <v>6313</v>
      </c>
      <c r="Z190" s="17">
        <v>7744</v>
      </c>
      <c r="AA190" s="17">
        <v>8539</v>
      </c>
      <c r="AB190" s="17">
        <v>9647</v>
      </c>
      <c r="AC190" s="17">
        <v>11754</v>
      </c>
    </row>
    <row r="191" spans="1:29" s="41" customFormat="1" x14ac:dyDescent="0.25">
      <c r="A191" s="40" t="s">
        <v>10</v>
      </c>
      <c r="B191" s="17">
        <v>256670</v>
      </c>
      <c r="C191" s="17">
        <v>338881</v>
      </c>
      <c r="D191" s="17">
        <v>321618</v>
      </c>
      <c r="E191" s="17">
        <v>342203</v>
      </c>
      <c r="F191" s="17">
        <v>314888</v>
      </c>
      <c r="G191" s="17">
        <v>302659</v>
      </c>
      <c r="H191" s="17">
        <v>310657</v>
      </c>
      <c r="I191" s="17">
        <v>411985</v>
      </c>
      <c r="J191" s="17">
        <v>247514</v>
      </c>
      <c r="K191" s="17">
        <v>285844</v>
      </c>
      <c r="L191" s="17">
        <v>321890</v>
      </c>
      <c r="M191" s="17">
        <v>334970</v>
      </c>
      <c r="N191" s="17">
        <v>388635</v>
      </c>
      <c r="O191" s="17">
        <v>358254</v>
      </c>
      <c r="P191" s="17">
        <v>397915</v>
      </c>
      <c r="Q191" s="17">
        <v>443316</v>
      </c>
      <c r="R191" s="17">
        <v>526236</v>
      </c>
      <c r="S191" s="17">
        <v>482917</v>
      </c>
      <c r="T191" s="17">
        <v>432078</v>
      </c>
      <c r="U191" s="17">
        <v>525633</v>
      </c>
      <c r="V191" s="17">
        <v>470964</v>
      </c>
      <c r="W191" s="17">
        <v>526475</v>
      </c>
      <c r="X191" s="17">
        <v>536212</v>
      </c>
      <c r="Y191" s="17">
        <v>514558</v>
      </c>
      <c r="Z191" s="17">
        <v>546944</v>
      </c>
      <c r="AA191" s="17">
        <v>513429</v>
      </c>
      <c r="AB191" s="17">
        <v>511995</v>
      </c>
      <c r="AC191" s="17">
        <v>512006</v>
      </c>
    </row>
    <row r="192" spans="1:29" s="41" customFormat="1" x14ac:dyDescent="0.25">
      <c r="A192" s="40" t="s">
        <v>42</v>
      </c>
      <c r="B192" s="17">
        <v>146158</v>
      </c>
      <c r="C192" s="17">
        <v>146410</v>
      </c>
      <c r="D192" s="17">
        <v>141765</v>
      </c>
      <c r="E192" s="17">
        <v>148627</v>
      </c>
      <c r="F192" s="17">
        <v>82219</v>
      </c>
      <c r="G192" s="17">
        <v>75636</v>
      </c>
      <c r="H192" s="17">
        <v>90356</v>
      </c>
      <c r="I192" s="17">
        <v>104502</v>
      </c>
      <c r="J192" s="17">
        <v>109913</v>
      </c>
      <c r="K192" s="17">
        <v>101396</v>
      </c>
      <c r="L192" s="17">
        <v>121352</v>
      </c>
      <c r="M192" s="17">
        <v>102221</v>
      </c>
      <c r="N192" s="17">
        <v>101990</v>
      </c>
      <c r="O192" s="17">
        <v>87773</v>
      </c>
      <c r="P192" s="17">
        <v>77423</v>
      </c>
      <c r="Q192" s="17">
        <v>71141</v>
      </c>
      <c r="R192" s="17">
        <v>94076</v>
      </c>
      <c r="S192" s="17">
        <v>74284</v>
      </c>
      <c r="T192" s="17">
        <v>89571</v>
      </c>
      <c r="U192" s="17">
        <v>71709</v>
      </c>
      <c r="V192" s="17">
        <v>76829</v>
      </c>
      <c r="W192" s="17">
        <v>86713</v>
      </c>
      <c r="X192" s="17">
        <v>65942</v>
      </c>
      <c r="Y192" s="17">
        <v>68617</v>
      </c>
      <c r="Z192" s="17">
        <v>79243</v>
      </c>
      <c r="AA192" s="17">
        <v>68249</v>
      </c>
      <c r="AB192" s="17">
        <v>84557</v>
      </c>
      <c r="AC192" s="17">
        <v>74349</v>
      </c>
    </row>
    <row r="193" spans="1:29" s="41" customFormat="1" x14ac:dyDescent="0.25">
      <c r="A193" s="40" t="s">
        <v>110</v>
      </c>
      <c r="B193" s="17">
        <v>0</v>
      </c>
      <c r="C193" s="17">
        <v>0</v>
      </c>
      <c r="D193" s="17">
        <v>0</v>
      </c>
      <c r="E193" s="17">
        <v>0</v>
      </c>
      <c r="F193" s="17">
        <v>0</v>
      </c>
      <c r="G193" s="17">
        <v>0</v>
      </c>
      <c r="H193" s="17">
        <v>0</v>
      </c>
      <c r="I193" s="17">
        <v>0</v>
      </c>
      <c r="J193" s="17">
        <v>0</v>
      </c>
      <c r="K193" s="17">
        <v>0</v>
      </c>
      <c r="L193" s="17">
        <v>0</v>
      </c>
      <c r="M193" s="17">
        <v>0</v>
      </c>
      <c r="N193" s="17">
        <v>0</v>
      </c>
      <c r="O193" s="17">
        <v>0</v>
      </c>
      <c r="P193" s="17">
        <v>0</v>
      </c>
      <c r="Q193" s="17">
        <v>0</v>
      </c>
      <c r="R193" s="17"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0</v>
      </c>
      <c r="X193" s="17">
        <v>0</v>
      </c>
      <c r="Y193" s="17">
        <v>0</v>
      </c>
      <c r="Z193" s="17">
        <v>0</v>
      </c>
      <c r="AA193" s="17">
        <v>0</v>
      </c>
      <c r="AB193" s="17">
        <v>0</v>
      </c>
      <c r="AC193" s="17">
        <v>0</v>
      </c>
    </row>
    <row r="194" spans="1:29" s="41" customFormat="1" x14ac:dyDescent="0.25">
      <c r="A194" s="40" t="s">
        <v>112</v>
      </c>
      <c r="B194" s="17">
        <v>875</v>
      </c>
      <c r="C194" s="17">
        <v>1497</v>
      </c>
      <c r="D194" s="17">
        <v>1567</v>
      </c>
      <c r="E194" s="17">
        <v>1653</v>
      </c>
      <c r="F194" s="17">
        <v>1713</v>
      </c>
      <c r="G194" s="17">
        <v>1925</v>
      </c>
      <c r="H194" s="17">
        <v>2000</v>
      </c>
      <c r="I194" s="17">
        <v>2161</v>
      </c>
      <c r="J194" s="17">
        <v>2109</v>
      </c>
      <c r="K194" s="17">
        <v>1802</v>
      </c>
      <c r="L194" s="17">
        <v>1764</v>
      </c>
      <c r="M194" s="17">
        <v>1982</v>
      </c>
      <c r="N194" s="17">
        <v>2178</v>
      </c>
      <c r="O194" s="17">
        <v>2481</v>
      </c>
      <c r="P194" s="17">
        <v>2360</v>
      </c>
      <c r="Q194" s="17">
        <v>2332</v>
      </c>
      <c r="R194" s="17">
        <v>2290</v>
      </c>
      <c r="S194" s="17">
        <v>2426</v>
      </c>
      <c r="T194" s="17">
        <v>2497</v>
      </c>
      <c r="U194" s="17">
        <v>2359</v>
      </c>
      <c r="V194" s="17">
        <v>2363</v>
      </c>
      <c r="W194" s="17">
        <v>2270</v>
      </c>
      <c r="X194" s="17">
        <v>2747</v>
      </c>
      <c r="Y194" s="17">
        <v>2467</v>
      </c>
      <c r="Z194" s="17">
        <v>2434</v>
      </c>
      <c r="AA194" s="17">
        <v>2879</v>
      </c>
      <c r="AB194" s="17">
        <v>2515</v>
      </c>
      <c r="AC194" s="17">
        <v>2798</v>
      </c>
    </row>
    <row r="195" spans="1:29" s="41" customFormat="1" x14ac:dyDescent="0.25">
      <c r="A195" s="40" t="s">
        <v>18</v>
      </c>
      <c r="B195" s="17">
        <v>173749</v>
      </c>
      <c r="C195" s="17">
        <v>191743</v>
      </c>
      <c r="D195" s="17">
        <v>194894</v>
      </c>
      <c r="E195" s="17">
        <v>199003</v>
      </c>
      <c r="F195" s="17">
        <v>185049</v>
      </c>
      <c r="G195" s="17">
        <v>205309</v>
      </c>
      <c r="H195" s="17">
        <v>259729</v>
      </c>
      <c r="I195" s="17">
        <v>266693</v>
      </c>
      <c r="J195" s="17">
        <v>273273</v>
      </c>
      <c r="K195" s="17">
        <v>300392</v>
      </c>
      <c r="L195" s="17">
        <v>346832</v>
      </c>
      <c r="M195" s="17">
        <v>370650</v>
      </c>
      <c r="N195" s="17">
        <v>266721</v>
      </c>
      <c r="O195" s="17">
        <v>212163</v>
      </c>
      <c r="P195" s="17">
        <v>113102</v>
      </c>
      <c r="Q195" s="17">
        <v>121095</v>
      </c>
      <c r="R195" s="17">
        <v>132278</v>
      </c>
      <c r="S195" s="17">
        <v>154819</v>
      </c>
      <c r="T195" s="17">
        <v>148196</v>
      </c>
      <c r="U195" s="17">
        <v>120891</v>
      </c>
      <c r="V195" s="17">
        <v>145744</v>
      </c>
      <c r="W195" s="17">
        <v>123276</v>
      </c>
      <c r="X195" s="17">
        <v>131323</v>
      </c>
      <c r="Y195" s="17">
        <v>155055</v>
      </c>
      <c r="Z195" s="17">
        <v>156103</v>
      </c>
      <c r="AA195" s="17">
        <v>126400</v>
      </c>
      <c r="AB195" s="17">
        <v>138203</v>
      </c>
      <c r="AC195" s="17">
        <v>169001</v>
      </c>
    </row>
    <row r="196" spans="1:29" s="41" customFormat="1" x14ac:dyDescent="0.25">
      <c r="A196" s="40" t="s">
        <v>19</v>
      </c>
      <c r="B196" s="17">
        <v>0</v>
      </c>
      <c r="C196" s="17">
        <v>0</v>
      </c>
      <c r="D196" s="17">
        <v>0</v>
      </c>
      <c r="E196" s="17">
        <v>0</v>
      </c>
      <c r="F196" s="17">
        <v>0</v>
      </c>
      <c r="G196" s="17">
        <v>0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</v>
      </c>
      <c r="Q196" s="17">
        <v>0</v>
      </c>
      <c r="R196" s="17">
        <v>0</v>
      </c>
      <c r="S196" s="17">
        <v>0</v>
      </c>
      <c r="T196" s="17">
        <v>0</v>
      </c>
      <c r="U196" s="17">
        <v>0</v>
      </c>
      <c r="V196" s="17">
        <v>0</v>
      </c>
      <c r="W196" s="17">
        <v>0</v>
      </c>
      <c r="X196" s="17">
        <v>0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</row>
    <row r="197" spans="1:29" s="41" customFormat="1" x14ac:dyDescent="0.25">
      <c r="A197" s="40" t="s">
        <v>134</v>
      </c>
      <c r="B197" s="17">
        <v>0</v>
      </c>
      <c r="C197" s="17">
        <v>0</v>
      </c>
      <c r="D197" s="17">
        <v>0</v>
      </c>
      <c r="E197" s="17">
        <v>0</v>
      </c>
      <c r="F197" s="17">
        <v>0</v>
      </c>
      <c r="G197" s="17">
        <v>0</v>
      </c>
      <c r="H197" s="17">
        <v>0</v>
      </c>
      <c r="I197" s="17">
        <v>0</v>
      </c>
      <c r="J197" s="17">
        <v>0</v>
      </c>
      <c r="K197" s="17">
        <v>0</v>
      </c>
      <c r="L197" s="17">
        <v>0</v>
      </c>
      <c r="M197" s="17">
        <v>0</v>
      </c>
      <c r="N197" s="17">
        <v>0</v>
      </c>
      <c r="O197" s="17">
        <v>0</v>
      </c>
      <c r="P197" s="17">
        <v>0</v>
      </c>
      <c r="Q197" s="17">
        <v>0</v>
      </c>
      <c r="R197" s="17">
        <v>0</v>
      </c>
      <c r="S197" s="17">
        <v>0</v>
      </c>
      <c r="T197" s="17">
        <v>0</v>
      </c>
      <c r="U197" s="17">
        <v>0</v>
      </c>
      <c r="V197" s="17">
        <v>0</v>
      </c>
      <c r="W197" s="17">
        <v>0</v>
      </c>
      <c r="X197" s="17">
        <v>0</v>
      </c>
      <c r="Y197" s="17">
        <v>0</v>
      </c>
      <c r="Z197" s="17">
        <v>0</v>
      </c>
      <c r="AA197" s="17">
        <v>0</v>
      </c>
      <c r="AB197" s="17">
        <v>0</v>
      </c>
      <c r="AC197" s="17">
        <v>0</v>
      </c>
    </row>
    <row r="198" spans="1:29" s="41" customFormat="1" x14ac:dyDescent="0.25">
      <c r="A198" s="40" t="s">
        <v>21</v>
      </c>
      <c r="B198" s="17">
        <v>0</v>
      </c>
      <c r="C198" s="17">
        <v>0</v>
      </c>
      <c r="D198" s="17">
        <v>0</v>
      </c>
      <c r="E198" s="17">
        <v>0</v>
      </c>
      <c r="F198" s="17">
        <v>0</v>
      </c>
      <c r="G198" s="17">
        <v>0</v>
      </c>
      <c r="H198" s="17">
        <v>0</v>
      </c>
      <c r="I198" s="17">
        <v>0</v>
      </c>
      <c r="J198" s="17">
        <v>0</v>
      </c>
      <c r="K198" s="17">
        <v>0</v>
      </c>
      <c r="L198" s="17">
        <v>0</v>
      </c>
      <c r="M198" s="17">
        <v>0</v>
      </c>
      <c r="N198" s="17">
        <v>0</v>
      </c>
      <c r="O198" s="17">
        <v>0</v>
      </c>
      <c r="P198" s="17">
        <v>0</v>
      </c>
      <c r="Q198" s="17">
        <v>0</v>
      </c>
      <c r="R198" s="17">
        <v>0</v>
      </c>
      <c r="S198" s="17">
        <v>0</v>
      </c>
      <c r="T198" s="17">
        <v>0</v>
      </c>
      <c r="U198" s="17">
        <v>0</v>
      </c>
      <c r="V198" s="17">
        <v>0</v>
      </c>
      <c r="W198" s="17">
        <v>0</v>
      </c>
      <c r="X198" s="17">
        <v>0</v>
      </c>
      <c r="Y198" s="17">
        <v>0</v>
      </c>
      <c r="Z198" s="17">
        <v>0</v>
      </c>
      <c r="AA198" s="17">
        <v>0</v>
      </c>
      <c r="AB198" s="17">
        <v>0</v>
      </c>
      <c r="AC198" s="17">
        <v>0</v>
      </c>
    </row>
    <row r="199" spans="1:29" s="41" customFormat="1" x14ac:dyDescent="0.25">
      <c r="A199" s="40" t="s">
        <v>114</v>
      </c>
      <c r="B199" s="17">
        <v>1495</v>
      </c>
      <c r="C199" s="17">
        <v>0</v>
      </c>
      <c r="D199" s="17">
        <v>0</v>
      </c>
      <c r="E199" s="17">
        <v>0</v>
      </c>
      <c r="F199" s="17">
        <v>848</v>
      </c>
      <c r="G199" s="17">
        <v>987</v>
      </c>
      <c r="H199" s="17">
        <v>1980</v>
      </c>
      <c r="I199" s="17">
        <v>2473</v>
      </c>
      <c r="J199" s="17">
        <v>607</v>
      </c>
      <c r="K199" s="17">
        <v>1231</v>
      </c>
      <c r="L199" s="17">
        <v>1994</v>
      </c>
      <c r="M199" s="17">
        <v>2528</v>
      </c>
      <c r="N199" s="17">
        <v>2790</v>
      </c>
      <c r="O199" s="17">
        <v>2939</v>
      </c>
      <c r="P199" s="17">
        <v>3961</v>
      </c>
      <c r="Q199" s="17">
        <v>4054</v>
      </c>
      <c r="R199" s="17">
        <v>4510</v>
      </c>
      <c r="S199" s="17">
        <v>4510</v>
      </c>
      <c r="T199" s="17">
        <v>4510</v>
      </c>
      <c r="U199" s="17">
        <v>4510</v>
      </c>
      <c r="V199" s="17">
        <v>4566</v>
      </c>
      <c r="W199" s="17">
        <v>4532</v>
      </c>
      <c r="X199" s="17">
        <v>4522</v>
      </c>
      <c r="Y199" s="17">
        <v>4527</v>
      </c>
      <c r="Z199" s="17">
        <v>4530</v>
      </c>
      <c r="AA199" s="17">
        <v>4516</v>
      </c>
      <c r="AB199" s="17">
        <v>4517</v>
      </c>
      <c r="AC199" s="17">
        <v>4510</v>
      </c>
    </row>
    <row r="200" spans="1:29" s="41" customFormat="1" x14ac:dyDescent="0.25">
      <c r="A200" s="40" t="s">
        <v>135</v>
      </c>
      <c r="B200" s="17">
        <v>42849</v>
      </c>
      <c r="C200" s="17">
        <v>26917</v>
      </c>
      <c r="D200" s="17">
        <v>16965</v>
      </c>
      <c r="E200" s="17">
        <v>7876</v>
      </c>
      <c r="F200" s="17">
        <v>14823</v>
      </c>
      <c r="G200" s="17">
        <v>19246</v>
      </c>
      <c r="H200" s="17">
        <v>12345</v>
      </c>
      <c r="I200" s="17">
        <v>12255</v>
      </c>
      <c r="J200" s="17">
        <v>11565</v>
      </c>
      <c r="K200" s="17">
        <v>15738</v>
      </c>
      <c r="L200" s="17">
        <v>11576</v>
      </c>
      <c r="M200" s="17">
        <v>8056</v>
      </c>
      <c r="N200" s="17">
        <v>10017</v>
      </c>
      <c r="O200" s="17">
        <v>6886</v>
      </c>
      <c r="P200" s="17">
        <v>7254</v>
      </c>
      <c r="Q200" s="17">
        <v>13394</v>
      </c>
      <c r="R200" s="17">
        <v>11397</v>
      </c>
      <c r="S200" s="17">
        <v>13736</v>
      </c>
      <c r="T200" s="17">
        <v>8820</v>
      </c>
      <c r="U200" s="17">
        <v>11661</v>
      </c>
      <c r="V200" s="17">
        <v>13336</v>
      </c>
      <c r="W200" s="17">
        <v>10472</v>
      </c>
      <c r="X200" s="17">
        <v>9684</v>
      </c>
      <c r="Y200" s="17">
        <v>13152</v>
      </c>
      <c r="Z200" s="17">
        <v>12986</v>
      </c>
      <c r="AA200" s="17">
        <v>14045</v>
      </c>
      <c r="AB200" s="17">
        <v>7995</v>
      </c>
      <c r="AC200" s="17">
        <v>11252</v>
      </c>
    </row>
    <row r="201" spans="1:29" s="41" customFormat="1" x14ac:dyDescent="0.25">
      <c r="A201" s="40" t="s">
        <v>116</v>
      </c>
      <c r="B201" s="17">
        <v>0</v>
      </c>
      <c r="C201" s="17">
        <v>0</v>
      </c>
      <c r="D201" s="17">
        <v>0</v>
      </c>
      <c r="E201" s="17">
        <v>33632</v>
      </c>
      <c r="F201" s="17">
        <v>35400</v>
      </c>
      <c r="G201" s="17">
        <v>37683</v>
      </c>
      <c r="H201" s="17">
        <v>37458</v>
      </c>
      <c r="I201" s="17">
        <v>50521</v>
      </c>
      <c r="J201" s="17">
        <v>52409</v>
      </c>
      <c r="K201" s="17">
        <v>52573</v>
      </c>
      <c r="L201" s="17">
        <v>54210</v>
      </c>
      <c r="M201" s="17">
        <v>49903</v>
      </c>
      <c r="N201" s="17">
        <v>44241</v>
      </c>
      <c r="O201" s="17">
        <v>41665</v>
      </c>
      <c r="P201" s="17">
        <v>49584</v>
      </c>
      <c r="Q201" s="17">
        <v>65556</v>
      </c>
      <c r="R201" s="17">
        <v>78631</v>
      </c>
      <c r="S201" s="17">
        <v>80842</v>
      </c>
      <c r="T201" s="17">
        <v>89063</v>
      </c>
      <c r="U201" s="17">
        <v>123076</v>
      </c>
      <c r="V201" s="17">
        <v>112626</v>
      </c>
      <c r="W201" s="17">
        <v>120535</v>
      </c>
      <c r="X201" s="17">
        <v>109315</v>
      </c>
      <c r="Y201" s="17">
        <v>95540</v>
      </c>
      <c r="Z201" s="17">
        <v>89589</v>
      </c>
      <c r="AA201" s="17">
        <v>97615</v>
      </c>
      <c r="AB201" s="17">
        <v>97145</v>
      </c>
      <c r="AC201" s="17">
        <v>97613</v>
      </c>
    </row>
    <row r="202" spans="1:29" s="41" customFormat="1" x14ac:dyDescent="0.25">
      <c r="A202" s="40" t="s">
        <v>117</v>
      </c>
      <c r="B202" s="17">
        <v>0</v>
      </c>
      <c r="C202" s="17">
        <v>0</v>
      </c>
      <c r="D202" s="17">
        <v>0</v>
      </c>
      <c r="E202" s="17">
        <v>0</v>
      </c>
      <c r="F202" s="17">
        <v>0</v>
      </c>
      <c r="G202" s="17">
        <v>0</v>
      </c>
      <c r="H202" s="17">
        <v>0</v>
      </c>
      <c r="I202" s="17">
        <v>0</v>
      </c>
      <c r="J202" s="17">
        <v>0</v>
      </c>
      <c r="K202" s="17">
        <v>0</v>
      </c>
      <c r="L202" s="17">
        <v>0</v>
      </c>
      <c r="M202" s="17">
        <v>0</v>
      </c>
      <c r="N202" s="17">
        <v>0</v>
      </c>
      <c r="O202" s="17">
        <v>0</v>
      </c>
      <c r="P202" s="17">
        <v>13</v>
      </c>
      <c r="Q202" s="17">
        <v>0</v>
      </c>
      <c r="R202" s="17">
        <v>9</v>
      </c>
      <c r="S202" s="17">
        <v>7</v>
      </c>
      <c r="T202" s="17">
        <v>6</v>
      </c>
      <c r="U202" s="17">
        <v>7</v>
      </c>
      <c r="V202" s="17">
        <v>5</v>
      </c>
      <c r="W202" s="17">
        <v>11</v>
      </c>
      <c r="X202" s="17">
        <v>19</v>
      </c>
      <c r="Y202" s="17">
        <v>13</v>
      </c>
      <c r="Z202" s="17">
        <v>13</v>
      </c>
      <c r="AA202" s="17">
        <v>4</v>
      </c>
      <c r="AB202" s="17">
        <v>4</v>
      </c>
      <c r="AC202" s="17">
        <v>0</v>
      </c>
    </row>
    <row r="203" spans="1:29" s="41" customFormat="1" x14ac:dyDescent="0.25">
      <c r="A203" s="24" t="s">
        <v>106</v>
      </c>
      <c r="B203" s="25">
        <v>626359</v>
      </c>
      <c r="C203" s="25">
        <v>711158</v>
      </c>
      <c r="D203" s="25">
        <v>682009</v>
      </c>
      <c r="E203" s="25">
        <v>739771</v>
      </c>
      <c r="F203" s="25">
        <v>642672</v>
      </c>
      <c r="G203" s="25">
        <v>650791</v>
      </c>
      <c r="H203" s="25">
        <v>720789</v>
      </c>
      <c r="I203" s="25">
        <v>856074</v>
      </c>
      <c r="J203" s="25">
        <v>702208</v>
      </c>
      <c r="K203" s="25">
        <v>764798</v>
      </c>
      <c r="L203" s="25">
        <v>865983</v>
      </c>
      <c r="M203" s="25">
        <v>875967</v>
      </c>
      <c r="N203" s="25">
        <v>823445</v>
      </c>
      <c r="O203" s="25">
        <v>718410</v>
      </c>
      <c r="P203" s="25">
        <v>657639</v>
      </c>
      <c r="Q203" s="25">
        <v>728154</v>
      </c>
      <c r="R203" s="25">
        <v>856098</v>
      </c>
      <c r="S203" s="25">
        <v>820714</v>
      </c>
      <c r="T203" s="25">
        <v>782143</v>
      </c>
      <c r="U203" s="25">
        <v>866509</v>
      </c>
      <c r="V203" s="25">
        <v>832784</v>
      </c>
      <c r="W203" s="25">
        <v>881355</v>
      </c>
      <c r="X203" s="25">
        <v>867135</v>
      </c>
      <c r="Y203" s="25">
        <v>860242</v>
      </c>
      <c r="Z203" s="25">
        <v>899586</v>
      </c>
      <c r="AA203" s="25">
        <v>835676</v>
      </c>
      <c r="AB203" s="25">
        <v>856578</v>
      </c>
      <c r="AC203" s="25">
        <v>883283</v>
      </c>
    </row>
    <row r="204" spans="1:29" s="41" customFormat="1" ht="14.25" thickBot="1" x14ac:dyDescent="0.3">
      <c r="A204" s="18" t="s">
        <v>83</v>
      </c>
      <c r="B204" s="19">
        <v>724971</v>
      </c>
      <c r="C204" s="19">
        <v>835652</v>
      </c>
      <c r="D204" s="19">
        <v>789431</v>
      </c>
      <c r="E204" s="19">
        <v>842692</v>
      </c>
      <c r="F204" s="19">
        <v>757477</v>
      </c>
      <c r="G204" s="19">
        <v>784128</v>
      </c>
      <c r="H204" s="19">
        <v>910070</v>
      </c>
      <c r="I204" s="19">
        <v>1058160</v>
      </c>
      <c r="J204" s="19">
        <v>895648</v>
      </c>
      <c r="K204" s="19">
        <v>982506</v>
      </c>
      <c r="L204" s="19">
        <v>1107711</v>
      </c>
      <c r="M204" s="19">
        <v>1097556</v>
      </c>
      <c r="N204" s="19">
        <v>1034832</v>
      </c>
      <c r="O204" s="19">
        <v>930315</v>
      </c>
      <c r="P204" s="19">
        <v>894888</v>
      </c>
      <c r="Q204" s="19">
        <v>1021643</v>
      </c>
      <c r="R204" s="19">
        <v>1107226</v>
      </c>
      <c r="S204" s="19">
        <v>1107829</v>
      </c>
      <c r="T204" s="19">
        <v>1033532</v>
      </c>
      <c r="U204" s="19">
        <v>1190631</v>
      </c>
      <c r="V204" s="19">
        <v>1232558</v>
      </c>
      <c r="W204" s="19">
        <v>1309584</v>
      </c>
      <c r="X204" s="19">
        <v>1285907</v>
      </c>
      <c r="Y204" s="19">
        <v>1339404</v>
      </c>
      <c r="Z204" s="19">
        <v>1319351</v>
      </c>
      <c r="AA204" s="19">
        <v>1324750</v>
      </c>
      <c r="AB204" s="19">
        <v>1312378</v>
      </c>
      <c r="AC204" s="19">
        <v>1433991</v>
      </c>
    </row>
    <row r="206" spans="1:29" x14ac:dyDescent="0.25">
      <c r="A206" s="8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</row>
    <row r="207" spans="1:29" x14ac:dyDescent="0.25">
      <c r="W207" s="9"/>
      <c r="X207" s="9"/>
      <c r="Y207" s="9"/>
      <c r="Z207" s="9"/>
    </row>
    <row r="208" spans="1:29" x14ac:dyDescent="0.25">
      <c r="W208" s="9"/>
      <c r="X208" s="9"/>
      <c r="Y208" s="9"/>
      <c r="Z208" s="9"/>
    </row>
  </sheetData>
  <pageMargins left="0.81" right="1.03" top="1" bottom="1" header="0.5" footer="0.5"/>
  <pageSetup paperSize="9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Tinned</vt:lpstr>
      <vt:lpstr>4. Summary of catch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Hogan</dc:creator>
  <cp:lastModifiedBy>James Hogan</cp:lastModifiedBy>
  <dcterms:created xsi:type="dcterms:W3CDTF">2026-01-21T23:40:32Z</dcterms:created>
  <dcterms:modified xsi:type="dcterms:W3CDTF">2026-01-22T04:44:12Z</dcterms:modified>
</cp:coreProperties>
</file>