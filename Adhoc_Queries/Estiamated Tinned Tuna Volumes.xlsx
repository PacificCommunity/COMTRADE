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FAME\NC_NOU\FAME COMMON\FAME Economics\Oceanic_Fisheries\COMTRADE\Adhoc_Queries\"/>
    </mc:Choice>
  </mc:AlternateContent>
  <xr:revisionPtr revIDLastSave="0" documentId="13_ncr:1_{4BA361DE-5DAF-4439-AECD-58CA01EBD053}" xr6:coauthVersionLast="47" xr6:coauthVersionMax="47" xr10:uidLastSave="{00000000-0000-0000-0000-000000000000}"/>
  <bookViews>
    <workbookView xWindow="-28920" yWindow="-120" windowWidth="29040" windowHeight="15720" activeTab="1" xr2:uid="{A2700544-B03A-43BA-9CAB-9294D937798F}"/>
  </bookViews>
  <sheets>
    <sheet name="4. Summary of catch" sheetId="4" r:id="rId1"/>
    <sheet name="Sheet2" sheetId="2" r:id="rId2"/>
    <sheet name="Sheet1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2" l="1"/>
  <c r="L7" i="2"/>
  <c r="M7" i="2"/>
  <c r="N7" i="2"/>
  <c r="K8" i="2"/>
  <c r="L8" i="2"/>
  <c r="M8" i="2"/>
  <c r="N8" i="2"/>
  <c r="K9" i="2"/>
  <c r="L9" i="2"/>
  <c r="M9" i="2"/>
  <c r="N9" i="2"/>
  <c r="K10" i="2"/>
  <c r="L10" i="2"/>
  <c r="M10" i="2"/>
  <c r="N10" i="2"/>
  <c r="K11" i="2"/>
  <c r="L11" i="2"/>
  <c r="M11" i="2"/>
  <c r="N11" i="2"/>
  <c r="K12" i="2"/>
  <c r="L12" i="2"/>
  <c r="M12" i="2"/>
  <c r="N12" i="2"/>
  <c r="K13" i="2"/>
  <c r="L13" i="2"/>
  <c r="M13" i="2"/>
  <c r="N13" i="2"/>
  <c r="K14" i="2"/>
  <c r="L14" i="2"/>
  <c r="M14" i="2"/>
  <c r="N14" i="2"/>
  <c r="K15" i="2"/>
  <c r="L15" i="2"/>
  <c r="M15" i="2"/>
  <c r="N15" i="2"/>
  <c r="K16" i="2"/>
  <c r="L16" i="2"/>
  <c r="M16" i="2"/>
  <c r="N16" i="2"/>
  <c r="K17" i="2"/>
  <c r="L17" i="2"/>
  <c r="M17" i="2"/>
  <c r="N17" i="2"/>
  <c r="K18" i="2"/>
  <c r="L18" i="2"/>
  <c r="M18" i="2"/>
  <c r="N18" i="2"/>
  <c r="K19" i="2"/>
  <c r="L19" i="2"/>
  <c r="M19" i="2"/>
  <c r="N19" i="2"/>
  <c r="K20" i="2"/>
  <c r="L20" i="2"/>
  <c r="M20" i="2"/>
  <c r="N20" i="2"/>
  <c r="K21" i="2"/>
  <c r="L21" i="2"/>
  <c r="M21" i="2"/>
  <c r="N21" i="2"/>
  <c r="K22" i="2"/>
  <c r="L22" i="2"/>
  <c r="M22" i="2"/>
  <c r="N22" i="2"/>
  <c r="K23" i="2"/>
  <c r="L23" i="2"/>
  <c r="M23" i="2"/>
  <c r="N23" i="2"/>
  <c r="K24" i="2"/>
  <c r="L24" i="2"/>
  <c r="M24" i="2"/>
  <c r="N24" i="2"/>
  <c r="K25" i="2"/>
  <c r="L25" i="2"/>
  <c r="M25" i="2"/>
  <c r="N25" i="2"/>
  <c r="K26" i="2"/>
  <c r="L26" i="2"/>
  <c r="M26" i="2"/>
  <c r="N26" i="2"/>
  <c r="K27" i="2"/>
  <c r="L27" i="2"/>
  <c r="M27" i="2"/>
  <c r="N27" i="2"/>
  <c r="K28" i="2"/>
  <c r="L28" i="2"/>
  <c r="M28" i="2"/>
  <c r="N28" i="2"/>
  <c r="K29" i="2"/>
  <c r="L29" i="2"/>
  <c r="M29" i="2"/>
  <c r="N29" i="2"/>
  <c r="K30" i="2"/>
  <c r="L30" i="2"/>
  <c r="M30" i="2"/>
  <c r="N30" i="2"/>
  <c r="K31" i="2"/>
  <c r="L31" i="2"/>
  <c r="M31" i="2"/>
  <c r="N31" i="2"/>
  <c r="K32" i="2"/>
  <c r="L32" i="2"/>
  <c r="M32" i="2"/>
  <c r="N32" i="2"/>
  <c r="K33" i="2"/>
  <c r="L33" i="2"/>
  <c r="M33" i="2"/>
  <c r="N33" i="2"/>
  <c r="K34" i="2"/>
  <c r="L34" i="2"/>
  <c r="M34" i="2"/>
  <c r="N34" i="2"/>
  <c r="K35" i="2"/>
  <c r="L35" i="2"/>
  <c r="M35" i="2"/>
  <c r="N35" i="2"/>
  <c r="K36" i="2"/>
  <c r="L36" i="2"/>
  <c r="M36" i="2"/>
  <c r="N36" i="2"/>
  <c r="K37" i="2"/>
  <c r="L37" i="2"/>
  <c r="M37" i="2"/>
  <c r="N37" i="2"/>
  <c r="K38" i="2"/>
  <c r="L38" i="2"/>
  <c r="M38" i="2"/>
  <c r="N38" i="2"/>
  <c r="K39" i="2"/>
  <c r="L39" i="2"/>
  <c r="M39" i="2"/>
  <c r="N39" i="2"/>
  <c r="K40" i="2"/>
  <c r="L40" i="2"/>
  <c r="M40" i="2"/>
  <c r="N40" i="2"/>
  <c r="K41" i="2"/>
  <c r="L41" i="2"/>
  <c r="M41" i="2"/>
  <c r="N41" i="2"/>
  <c r="K42" i="2"/>
  <c r="L42" i="2"/>
  <c r="M42" i="2"/>
  <c r="N42" i="2"/>
  <c r="K43" i="2"/>
  <c r="L43" i="2"/>
  <c r="M43" i="2"/>
  <c r="N43" i="2"/>
  <c r="K44" i="2"/>
  <c r="L44" i="2"/>
  <c r="M44" i="2"/>
  <c r="N44" i="2"/>
  <c r="K45" i="2"/>
  <c r="L45" i="2"/>
  <c r="M45" i="2"/>
  <c r="N45" i="2"/>
  <c r="K46" i="2"/>
  <c r="L46" i="2"/>
  <c r="M46" i="2"/>
  <c r="N46" i="2"/>
  <c r="K47" i="2"/>
  <c r="L47" i="2"/>
  <c r="M47" i="2"/>
  <c r="N47" i="2"/>
  <c r="K48" i="2"/>
  <c r="L48" i="2"/>
  <c r="M48" i="2"/>
  <c r="N48" i="2"/>
  <c r="K49" i="2"/>
  <c r="L49" i="2"/>
  <c r="M49" i="2"/>
  <c r="N49" i="2"/>
  <c r="K50" i="2"/>
  <c r="L50" i="2"/>
  <c r="M50" i="2"/>
  <c r="N50" i="2"/>
  <c r="K51" i="2"/>
  <c r="L51" i="2"/>
  <c r="M51" i="2"/>
  <c r="N51" i="2"/>
  <c r="K52" i="2"/>
  <c r="L52" i="2"/>
  <c r="M52" i="2"/>
  <c r="N52" i="2"/>
  <c r="K53" i="2"/>
  <c r="L53" i="2"/>
  <c r="M53" i="2"/>
  <c r="N53" i="2"/>
  <c r="K54" i="2"/>
  <c r="L54" i="2"/>
  <c r="M54" i="2"/>
  <c r="N54" i="2"/>
  <c r="K55" i="2"/>
  <c r="L55" i="2"/>
  <c r="M55" i="2"/>
  <c r="N55" i="2"/>
  <c r="K56" i="2"/>
  <c r="L56" i="2"/>
  <c r="M56" i="2"/>
  <c r="N56" i="2"/>
  <c r="K57" i="2"/>
  <c r="L57" i="2"/>
  <c r="M57" i="2"/>
  <c r="N57" i="2"/>
  <c r="K58" i="2"/>
  <c r="L58" i="2"/>
  <c r="M58" i="2"/>
  <c r="N58" i="2"/>
  <c r="K59" i="2"/>
  <c r="L59" i="2"/>
  <c r="M59" i="2"/>
  <c r="N59" i="2"/>
  <c r="K60" i="2"/>
  <c r="L60" i="2"/>
  <c r="M60" i="2"/>
  <c r="N60" i="2"/>
  <c r="K61" i="2"/>
  <c r="L61" i="2"/>
  <c r="M61" i="2"/>
  <c r="N61" i="2"/>
  <c r="K62" i="2"/>
  <c r="L62" i="2"/>
  <c r="M62" i="2"/>
  <c r="N62" i="2"/>
  <c r="K63" i="2"/>
  <c r="L63" i="2"/>
  <c r="M63" i="2"/>
  <c r="N63" i="2"/>
  <c r="K64" i="2"/>
  <c r="L64" i="2"/>
  <c r="M64" i="2"/>
  <c r="N64" i="2"/>
  <c r="K65" i="2"/>
  <c r="L65" i="2"/>
  <c r="M65" i="2"/>
  <c r="N65" i="2"/>
  <c r="K66" i="2"/>
  <c r="L66" i="2"/>
  <c r="M66" i="2"/>
  <c r="N66" i="2"/>
  <c r="K67" i="2"/>
  <c r="L67" i="2"/>
  <c r="M67" i="2"/>
  <c r="N67" i="2"/>
  <c r="K68" i="2"/>
  <c r="L68" i="2"/>
  <c r="M68" i="2"/>
  <c r="N68" i="2"/>
  <c r="K69" i="2"/>
  <c r="L69" i="2"/>
  <c r="M69" i="2"/>
  <c r="N69" i="2"/>
  <c r="K70" i="2"/>
  <c r="L70" i="2"/>
  <c r="M70" i="2"/>
  <c r="N70" i="2"/>
  <c r="K71" i="2"/>
  <c r="L71" i="2"/>
  <c r="M71" i="2"/>
  <c r="N71" i="2"/>
  <c r="K72" i="2"/>
  <c r="L72" i="2"/>
  <c r="M72" i="2"/>
  <c r="N72" i="2"/>
  <c r="K73" i="2"/>
  <c r="L73" i="2"/>
  <c r="M73" i="2"/>
  <c r="N73" i="2"/>
  <c r="K74" i="2"/>
  <c r="L74" i="2"/>
  <c r="M74" i="2"/>
  <c r="N74" i="2"/>
  <c r="K75" i="2"/>
  <c r="L75" i="2"/>
  <c r="M75" i="2"/>
  <c r="N75" i="2"/>
  <c r="K76" i="2"/>
  <c r="L76" i="2"/>
  <c r="M76" i="2"/>
  <c r="N76" i="2"/>
  <c r="K77" i="2"/>
  <c r="L77" i="2"/>
  <c r="M77" i="2"/>
  <c r="N77" i="2"/>
  <c r="K78" i="2"/>
  <c r="L78" i="2"/>
  <c r="M78" i="2"/>
  <c r="N78" i="2"/>
  <c r="K79" i="2"/>
  <c r="L79" i="2"/>
  <c r="M79" i="2"/>
  <c r="N79" i="2"/>
  <c r="K80" i="2"/>
  <c r="L80" i="2"/>
  <c r="M80" i="2"/>
  <c r="N80" i="2"/>
  <c r="K81" i="2"/>
  <c r="L81" i="2"/>
  <c r="M81" i="2"/>
  <c r="N81" i="2"/>
  <c r="K82" i="2"/>
  <c r="L82" i="2"/>
  <c r="M82" i="2"/>
  <c r="N82" i="2"/>
  <c r="K83" i="2"/>
  <c r="L83" i="2"/>
  <c r="M83" i="2"/>
  <c r="N83" i="2"/>
  <c r="K84" i="2"/>
  <c r="L84" i="2"/>
  <c r="M84" i="2"/>
  <c r="N84" i="2"/>
  <c r="K85" i="2"/>
  <c r="L85" i="2"/>
  <c r="M85" i="2"/>
  <c r="N85" i="2"/>
  <c r="K86" i="2"/>
  <c r="L86" i="2"/>
  <c r="M86" i="2"/>
  <c r="N86" i="2"/>
  <c r="K87" i="2"/>
  <c r="L87" i="2"/>
  <c r="M87" i="2"/>
  <c r="N87" i="2"/>
  <c r="K88" i="2"/>
  <c r="L88" i="2"/>
  <c r="M88" i="2"/>
  <c r="N88" i="2"/>
  <c r="K89" i="2"/>
  <c r="L89" i="2"/>
  <c r="M89" i="2"/>
  <c r="N89" i="2"/>
  <c r="K90" i="2"/>
  <c r="L90" i="2"/>
  <c r="M90" i="2"/>
  <c r="N90" i="2"/>
  <c r="K91" i="2"/>
  <c r="L91" i="2"/>
  <c r="M91" i="2"/>
  <c r="N91" i="2"/>
  <c r="K92" i="2"/>
  <c r="L92" i="2"/>
  <c r="M92" i="2"/>
  <c r="N92" i="2"/>
  <c r="K93" i="2"/>
  <c r="L93" i="2"/>
  <c r="M93" i="2"/>
  <c r="N93" i="2"/>
  <c r="K94" i="2"/>
  <c r="L94" i="2"/>
  <c r="M94" i="2"/>
  <c r="N94" i="2"/>
  <c r="K95" i="2"/>
  <c r="L95" i="2"/>
  <c r="M95" i="2"/>
  <c r="N95" i="2"/>
  <c r="K96" i="2"/>
  <c r="L96" i="2"/>
  <c r="M96" i="2"/>
  <c r="N96" i="2"/>
  <c r="K97" i="2"/>
  <c r="L97" i="2"/>
  <c r="M97" i="2"/>
  <c r="N97" i="2"/>
  <c r="K98" i="2"/>
  <c r="L98" i="2"/>
  <c r="M98" i="2"/>
  <c r="N98" i="2"/>
  <c r="K99" i="2"/>
  <c r="L99" i="2"/>
  <c r="M99" i="2"/>
  <c r="N99" i="2"/>
  <c r="K100" i="2"/>
  <c r="L100" i="2"/>
  <c r="M100" i="2"/>
  <c r="N100" i="2"/>
  <c r="K101" i="2"/>
  <c r="L101" i="2"/>
  <c r="M101" i="2"/>
  <c r="N101" i="2"/>
  <c r="K102" i="2"/>
  <c r="L102" i="2"/>
  <c r="M102" i="2"/>
  <c r="N102" i="2"/>
  <c r="K103" i="2"/>
  <c r="L103" i="2"/>
  <c r="M103" i="2"/>
  <c r="N103" i="2"/>
  <c r="K104" i="2"/>
  <c r="L104" i="2"/>
  <c r="M104" i="2"/>
  <c r="N104" i="2"/>
  <c r="K105" i="2"/>
  <c r="L105" i="2"/>
  <c r="M105" i="2"/>
  <c r="N105" i="2"/>
  <c r="K106" i="2"/>
  <c r="L106" i="2"/>
  <c r="M106" i="2"/>
  <c r="N106" i="2"/>
  <c r="K107" i="2"/>
  <c r="L107" i="2"/>
  <c r="M107" i="2"/>
  <c r="N107" i="2"/>
  <c r="K108" i="2"/>
  <c r="L108" i="2"/>
  <c r="M108" i="2"/>
  <c r="N108" i="2"/>
  <c r="K109" i="2"/>
  <c r="L109" i="2"/>
  <c r="M109" i="2"/>
  <c r="N109" i="2"/>
  <c r="K110" i="2"/>
  <c r="L110" i="2"/>
  <c r="M110" i="2"/>
  <c r="N110" i="2"/>
  <c r="K111" i="2"/>
  <c r="L111" i="2"/>
  <c r="M111" i="2"/>
  <c r="N111" i="2"/>
  <c r="K112" i="2"/>
  <c r="L112" i="2"/>
  <c r="M112" i="2"/>
  <c r="N112" i="2"/>
  <c r="K113" i="2"/>
  <c r="L113" i="2"/>
  <c r="M113" i="2"/>
  <c r="N113" i="2"/>
  <c r="K114" i="2"/>
  <c r="L114" i="2"/>
  <c r="M114" i="2"/>
  <c r="N114" i="2"/>
  <c r="K115" i="2"/>
  <c r="L115" i="2"/>
  <c r="M115" i="2"/>
  <c r="N115" i="2"/>
  <c r="K116" i="2"/>
  <c r="L116" i="2"/>
  <c r="M116" i="2"/>
  <c r="N116" i="2"/>
  <c r="K117" i="2"/>
  <c r="L117" i="2"/>
  <c r="M117" i="2"/>
  <c r="N117" i="2"/>
  <c r="K118" i="2"/>
  <c r="L118" i="2"/>
  <c r="M118" i="2"/>
  <c r="N118" i="2"/>
  <c r="K119" i="2"/>
  <c r="L119" i="2"/>
  <c r="M119" i="2"/>
  <c r="N119" i="2"/>
  <c r="K120" i="2"/>
  <c r="L120" i="2"/>
  <c r="M120" i="2"/>
  <c r="N120" i="2"/>
  <c r="K121" i="2"/>
  <c r="L121" i="2"/>
  <c r="M121" i="2"/>
  <c r="N121" i="2"/>
  <c r="K122" i="2"/>
  <c r="L122" i="2"/>
  <c r="M122" i="2"/>
  <c r="N122" i="2"/>
  <c r="K123" i="2"/>
  <c r="L123" i="2"/>
  <c r="M123" i="2"/>
  <c r="N123" i="2"/>
  <c r="K124" i="2"/>
  <c r="L124" i="2"/>
  <c r="M124" i="2"/>
  <c r="N124" i="2"/>
  <c r="K125" i="2"/>
  <c r="L125" i="2"/>
  <c r="M125" i="2"/>
  <c r="N125" i="2"/>
  <c r="K126" i="2"/>
  <c r="L126" i="2"/>
  <c r="M126" i="2"/>
  <c r="N126" i="2"/>
  <c r="K127" i="2"/>
  <c r="L127" i="2"/>
  <c r="M127" i="2"/>
  <c r="N127" i="2"/>
  <c r="K128" i="2"/>
  <c r="L128" i="2"/>
  <c r="M128" i="2"/>
  <c r="N128" i="2"/>
  <c r="K129" i="2"/>
  <c r="L129" i="2"/>
  <c r="M129" i="2"/>
  <c r="N129" i="2"/>
  <c r="K130" i="2"/>
  <c r="L130" i="2"/>
  <c r="M130" i="2"/>
  <c r="N130" i="2"/>
  <c r="K131" i="2"/>
  <c r="L131" i="2"/>
  <c r="M131" i="2"/>
  <c r="N131" i="2"/>
  <c r="K132" i="2"/>
  <c r="L132" i="2"/>
  <c r="M132" i="2"/>
  <c r="N132" i="2"/>
  <c r="K133" i="2"/>
  <c r="L133" i="2"/>
  <c r="M133" i="2"/>
  <c r="N133" i="2"/>
  <c r="K134" i="2"/>
  <c r="L134" i="2"/>
  <c r="M134" i="2"/>
  <c r="N134" i="2"/>
  <c r="K135" i="2"/>
  <c r="L135" i="2"/>
  <c r="M135" i="2"/>
  <c r="N135" i="2"/>
  <c r="K136" i="2"/>
  <c r="L136" i="2"/>
  <c r="M136" i="2"/>
  <c r="N136" i="2"/>
  <c r="K137" i="2"/>
  <c r="L137" i="2"/>
  <c r="M137" i="2"/>
  <c r="N137" i="2"/>
  <c r="K138" i="2"/>
  <c r="L138" i="2"/>
  <c r="M138" i="2"/>
  <c r="N138" i="2"/>
  <c r="K139" i="2"/>
  <c r="L139" i="2"/>
  <c r="M139" i="2"/>
  <c r="N139" i="2"/>
  <c r="K140" i="2"/>
  <c r="L140" i="2"/>
  <c r="M140" i="2"/>
  <c r="N140" i="2"/>
  <c r="K141" i="2"/>
  <c r="L141" i="2"/>
  <c r="M141" i="2"/>
  <c r="N141" i="2"/>
  <c r="K142" i="2"/>
  <c r="L142" i="2"/>
  <c r="M142" i="2"/>
  <c r="N142" i="2"/>
  <c r="K143" i="2"/>
  <c r="L143" i="2"/>
  <c r="M143" i="2"/>
  <c r="N143" i="2"/>
  <c r="K144" i="2"/>
  <c r="L144" i="2"/>
  <c r="M144" i="2"/>
  <c r="N144" i="2"/>
  <c r="K145" i="2"/>
  <c r="L145" i="2"/>
  <c r="M145" i="2"/>
  <c r="N145" i="2"/>
  <c r="K146" i="2"/>
  <c r="L146" i="2"/>
  <c r="M146" i="2"/>
  <c r="N146" i="2"/>
  <c r="K147" i="2"/>
  <c r="L147" i="2"/>
  <c r="M147" i="2"/>
  <c r="N147" i="2"/>
  <c r="K148" i="2"/>
  <c r="L148" i="2"/>
  <c r="M148" i="2"/>
  <c r="N148" i="2"/>
  <c r="K149" i="2"/>
  <c r="L149" i="2"/>
  <c r="M149" i="2"/>
  <c r="N149" i="2"/>
  <c r="K150" i="2"/>
  <c r="L150" i="2"/>
  <c r="M150" i="2"/>
  <c r="N150" i="2"/>
  <c r="K151" i="2"/>
  <c r="L151" i="2"/>
  <c r="M151" i="2"/>
  <c r="N151" i="2"/>
  <c r="K152" i="2"/>
  <c r="L152" i="2"/>
  <c r="M152" i="2"/>
  <c r="N152" i="2"/>
  <c r="K153" i="2"/>
  <c r="L153" i="2"/>
  <c r="M153" i="2"/>
  <c r="N153" i="2"/>
  <c r="K154" i="2"/>
  <c r="L154" i="2"/>
  <c r="M154" i="2"/>
  <c r="N154" i="2"/>
  <c r="K155" i="2"/>
  <c r="L155" i="2"/>
  <c r="M155" i="2"/>
  <c r="N155" i="2"/>
  <c r="K156" i="2"/>
  <c r="L156" i="2"/>
  <c r="M156" i="2"/>
  <c r="N156" i="2"/>
  <c r="K157" i="2"/>
  <c r="L157" i="2"/>
  <c r="M157" i="2"/>
  <c r="N157" i="2"/>
  <c r="K158" i="2"/>
  <c r="L158" i="2"/>
  <c r="M158" i="2"/>
  <c r="N158" i="2"/>
  <c r="K159" i="2"/>
  <c r="L159" i="2"/>
  <c r="M159" i="2"/>
  <c r="N159" i="2"/>
  <c r="K160" i="2"/>
  <c r="L160" i="2"/>
  <c r="M160" i="2"/>
  <c r="N160" i="2"/>
  <c r="K161" i="2"/>
  <c r="L161" i="2"/>
  <c r="M161" i="2"/>
  <c r="N161" i="2"/>
  <c r="K162" i="2"/>
  <c r="L162" i="2"/>
  <c r="M162" i="2"/>
  <c r="N162" i="2"/>
  <c r="K163" i="2"/>
  <c r="L163" i="2"/>
  <c r="M163" i="2"/>
  <c r="N163" i="2"/>
  <c r="K164" i="2"/>
  <c r="L164" i="2"/>
  <c r="M164" i="2"/>
  <c r="N164" i="2"/>
  <c r="K165" i="2"/>
  <c r="L165" i="2"/>
  <c r="M165" i="2"/>
  <c r="N165" i="2"/>
  <c r="K166" i="2"/>
  <c r="L166" i="2"/>
  <c r="M166" i="2"/>
  <c r="N166" i="2"/>
  <c r="K167" i="2"/>
  <c r="L167" i="2"/>
  <c r="M167" i="2"/>
  <c r="N167" i="2"/>
  <c r="K168" i="2"/>
  <c r="L168" i="2"/>
  <c r="M168" i="2"/>
  <c r="N168" i="2"/>
  <c r="K169" i="2"/>
  <c r="L169" i="2"/>
  <c r="M169" i="2"/>
  <c r="N169" i="2"/>
  <c r="K170" i="2"/>
  <c r="L170" i="2"/>
  <c r="M170" i="2"/>
  <c r="N170" i="2"/>
  <c r="K171" i="2"/>
  <c r="L171" i="2"/>
  <c r="M171" i="2"/>
  <c r="N171" i="2"/>
  <c r="K172" i="2"/>
  <c r="L172" i="2"/>
  <c r="M172" i="2"/>
  <c r="N172" i="2"/>
  <c r="K173" i="2"/>
  <c r="L173" i="2"/>
  <c r="M173" i="2"/>
  <c r="N173" i="2"/>
  <c r="K174" i="2"/>
  <c r="L174" i="2"/>
  <c r="M174" i="2"/>
  <c r="N174" i="2"/>
  <c r="K175" i="2"/>
  <c r="L175" i="2"/>
  <c r="M175" i="2"/>
  <c r="N175" i="2"/>
  <c r="K176" i="2"/>
  <c r="L176" i="2"/>
  <c r="M176" i="2"/>
  <c r="N176" i="2"/>
  <c r="K177" i="2"/>
  <c r="L177" i="2"/>
  <c r="M177" i="2"/>
  <c r="N177" i="2"/>
  <c r="K178" i="2"/>
  <c r="L178" i="2"/>
  <c r="M178" i="2"/>
  <c r="N178" i="2"/>
  <c r="K179" i="2"/>
  <c r="L179" i="2"/>
  <c r="M179" i="2"/>
  <c r="N179" i="2"/>
  <c r="K180" i="2"/>
  <c r="L180" i="2"/>
  <c r="M180" i="2"/>
  <c r="N180" i="2"/>
  <c r="K181" i="2"/>
  <c r="L181" i="2"/>
  <c r="M181" i="2"/>
  <c r="N181" i="2"/>
  <c r="K182" i="2"/>
  <c r="L182" i="2"/>
  <c r="M182" i="2"/>
  <c r="N182" i="2"/>
  <c r="K183" i="2"/>
  <c r="L183" i="2"/>
  <c r="M183" i="2"/>
  <c r="N183" i="2"/>
  <c r="K184" i="2"/>
  <c r="L184" i="2"/>
  <c r="M184" i="2"/>
  <c r="N184" i="2"/>
  <c r="K185" i="2"/>
  <c r="L185" i="2"/>
  <c r="M185" i="2"/>
  <c r="N185" i="2"/>
  <c r="K186" i="2"/>
  <c r="L186" i="2"/>
  <c r="M186" i="2"/>
  <c r="N186" i="2"/>
  <c r="K187" i="2"/>
  <c r="L187" i="2"/>
  <c r="M187" i="2"/>
  <c r="N187" i="2"/>
  <c r="K188" i="2"/>
  <c r="L188" i="2"/>
  <c r="M188" i="2"/>
  <c r="N188" i="2"/>
  <c r="K189" i="2"/>
  <c r="L189" i="2"/>
  <c r="M189" i="2"/>
  <c r="N189" i="2"/>
  <c r="K190" i="2"/>
  <c r="L190" i="2"/>
  <c r="M190" i="2"/>
  <c r="N190" i="2"/>
  <c r="K191" i="2"/>
  <c r="L191" i="2"/>
  <c r="M191" i="2"/>
  <c r="N191" i="2"/>
  <c r="K192" i="2"/>
  <c r="L192" i="2"/>
  <c r="M192" i="2"/>
  <c r="N192" i="2"/>
  <c r="K193" i="2"/>
  <c r="L193" i="2"/>
  <c r="M193" i="2"/>
  <c r="N193" i="2"/>
  <c r="K194" i="2"/>
  <c r="L194" i="2"/>
  <c r="M194" i="2"/>
  <c r="N194" i="2"/>
  <c r="K195" i="2"/>
  <c r="L195" i="2"/>
  <c r="M195" i="2"/>
  <c r="N195" i="2"/>
  <c r="K196" i="2"/>
  <c r="L196" i="2"/>
  <c r="M196" i="2"/>
  <c r="N196" i="2"/>
  <c r="K197" i="2"/>
  <c r="L197" i="2"/>
  <c r="M197" i="2"/>
  <c r="N197" i="2"/>
  <c r="K198" i="2"/>
  <c r="L198" i="2"/>
  <c r="M198" i="2"/>
  <c r="N198" i="2"/>
  <c r="K199" i="2"/>
  <c r="L199" i="2"/>
  <c r="M199" i="2"/>
  <c r="N199" i="2"/>
  <c r="K200" i="2"/>
  <c r="L200" i="2"/>
  <c r="M200" i="2"/>
  <c r="N200" i="2"/>
  <c r="K201" i="2"/>
  <c r="L201" i="2"/>
  <c r="M201" i="2"/>
  <c r="N201" i="2"/>
  <c r="K202" i="2"/>
  <c r="L202" i="2"/>
  <c r="M202" i="2"/>
  <c r="N202" i="2"/>
  <c r="K203" i="2"/>
  <c r="L203" i="2"/>
  <c r="M203" i="2"/>
  <c r="N203" i="2"/>
  <c r="K204" i="2"/>
  <c r="L204" i="2"/>
  <c r="M204" i="2"/>
  <c r="N204" i="2"/>
  <c r="K205" i="2"/>
  <c r="L205" i="2"/>
  <c r="M205" i="2"/>
  <c r="N205" i="2"/>
  <c r="K206" i="2"/>
  <c r="L206" i="2"/>
  <c r="M206" i="2"/>
  <c r="N206" i="2"/>
  <c r="K207" i="2"/>
  <c r="L207" i="2"/>
  <c r="M207" i="2"/>
  <c r="N207" i="2"/>
  <c r="K208" i="2"/>
  <c r="L208" i="2"/>
  <c r="M208" i="2"/>
  <c r="N208" i="2"/>
  <c r="K209" i="2"/>
  <c r="L209" i="2"/>
  <c r="M209" i="2"/>
  <c r="N209" i="2"/>
  <c r="K210" i="2"/>
  <c r="L210" i="2"/>
  <c r="M210" i="2"/>
  <c r="N210" i="2"/>
  <c r="K211" i="2"/>
  <c r="L211" i="2"/>
  <c r="M211" i="2"/>
  <c r="N211" i="2"/>
  <c r="K212" i="2"/>
  <c r="L212" i="2"/>
  <c r="M212" i="2"/>
  <c r="N212" i="2"/>
  <c r="K213" i="2"/>
  <c r="L213" i="2"/>
  <c r="M213" i="2"/>
  <c r="N213" i="2"/>
  <c r="K214" i="2"/>
  <c r="L214" i="2"/>
  <c r="M214" i="2"/>
  <c r="N214" i="2"/>
  <c r="K215" i="2"/>
  <c r="L215" i="2"/>
  <c r="M215" i="2"/>
  <c r="N215" i="2"/>
  <c r="K216" i="2"/>
  <c r="L216" i="2"/>
  <c r="M216" i="2"/>
  <c r="N216" i="2"/>
  <c r="K217" i="2"/>
  <c r="L217" i="2"/>
  <c r="M217" i="2"/>
  <c r="N217" i="2"/>
  <c r="K218" i="2"/>
  <c r="L218" i="2"/>
  <c r="M218" i="2"/>
  <c r="N218" i="2"/>
  <c r="K219" i="2"/>
  <c r="L219" i="2"/>
  <c r="M219" i="2"/>
  <c r="N219" i="2"/>
  <c r="K220" i="2"/>
  <c r="L220" i="2"/>
  <c r="M220" i="2"/>
  <c r="N220" i="2"/>
  <c r="K221" i="2"/>
  <c r="L221" i="2"/>
  <c r="M221" i="2"/>
  <c r="N221" i="2"/>
  <c r="K222" i="2"/>
  <c r="L222" i="2"/>
  <c r="M222" i="2"/>
  <c r="N222" i="2"/>
  <c r="K223" i="2"/>
  <c r="L223" i="2"/>
  <c r="M223" i="2"/>
  <c r="N223" i="2"/>
  <c r="K224" i="2"/>
  <c r="L224" i="2"/>
  <c r="M224" i="2"/>
  <c r="N224" i="2"/>
  <c r="K225" i="2"/>
  <c r="L225" i="2"/>
  <c r="M225" i="2"/>
  <c r="N225" i="2"/>
  <c r="K226" i="2"/>
  <c r="L226" i="2"/>
  <c r="M226" i="2"/>
  <c r="N226" i="2"/>
  <c r="K227" i="2"/>
  <c r="L227" i="2"/>
  <c r="M227" i="2"/>
  <c r="N227" i="2"/>
  <c r="K228" i="2"/>
  <c r="L228" i="2"/>
  <c r="M228" i="2"/>
  <c r="N228" i="2"/>
  <c r="K229" i="2"/>
  <c r="L229" i="2"/>
  <c r="M229" i="2"/>
  <c r="N229" i="2"/>
  <c r="K230" i="2"/>
  <c r="L230" i="2"/>
  <c r="M230" i="2"/>
  <c r="N230" i="2"/>
  <c r="K231" i="2"/>
  <c r="L231" i="2"/>
  <c r="M231" i="2"/>
  <c r="N231" i="2"/>
  <c r="K232" i="2"/>
  <c r="L232" i="2"/>
  <c r="M232" i="2"/>
  <c r="N232" i="2"/>
  <c r="K233" i="2"/>
  <c r="L233" i="2"/>
  <c r="M233" i="2"/>
  <c r="N233" i="2"/>
  <c r="K234" i="2"/>
  <c r="L234" i="2"/>
  <c r="M234" i="2"/>
  <c r="N234" i="2"/>
  <c r="K235" i="2"/>
  <c r="L235" i="2"/>
  <c r="M235" i="2"/>
  <c r="N235" i="2"/>
  <c r="K236" i="2"/>
  <c r="L236" i="2"/>
  <c r="M236" i="2"/>
  <c r="N236" i="2"/>
  <c r="K237" i="2"/>
  <c r="L237" i="2"/>
  <c r="M237" i="2"/>
  <c r="N237" i="2"/>
  <c r="K238" i="2"/>
  <c r="L238" i="2"/>
  <c r="M238" i="2"/>
  <c r="N238" i="2"/>
  <c r="K239" i="2"/>
  <c r="L239" i="2"/>
  <c r="M239" i="2"/>
  <c r="N239" i="2"/>
  <c r="K240" i="2"/>
  <c r="L240" i="2"/>
  <c r="M240" i="2"/>
  <c r="N240" i="2"/>
  <c r="K241" i="2"/>
  <c r="L241" i="2"/>
  <c r="M241" i="2"/>
  <c r="N241" i="2"/>
  <c r="K242" i="2"/>
  <c r="L242" i="2"/>
  <c r="M242" i="2"/>
  <c r="N242" i="2"/>
  <c r="K243" i="2"/>
  <c r="L243" i="2"/>
  <c r="M243" i="2"/>
  <c r="N243" i="2"/>
  <c r="K244" i="2"/>
  <c r="L244" i="2"/>
  <c r="M244" i="2"/>
  <c r="N244" i="2"/>
  <c r="K245" i="2"/>
  <c r="L245" i="2"/>
  <c r="M245" i="2"/>
  <c r="N245" i="2"/>
  <c r="K246" i="2"/>
  <c r="L246" i="2"/>
  <c r="M246" i="2"/>
  <c r="N246" i="2"/>
  <c r="K247" i="2"/>
  <c r="L247" i="2"/>
  <c r="M247" i="2"/>
  <c r="N247" i="2"/>
  <c r="K248" i="2"/>
  <c r="L248" i="2"/>
  <c r="M248" i="2"/>
  <c r="N248" i="2"/>
  <c r="K249" i="2"/>
  <c r="L249" i="2"/>
  <c r="M249" i="2"/>
  <c r="N249" i="2"/>
  <c r="K250" i="2"/>
  <c r="L250" i="2"/>
  <c r="M250" i="2"/>
  <c r="N250" i="2"/>
  <c r="K251" i="2"/>
  <c r="L251" i="2"/>
  <c r="M251" i="2"/>
  <c r="N251" i="2"/>
  <c r="K252" i="2"/>
  <c r="L252" i="2"/>
  <c r="M252" i="2"/>
  <c r="N252" i="2"/>
  <c r="K253" i="2"/>
  <c r="L253" i="2"/>
  <c r="M253" i="2"/>
  <c r="N253" i="2"/>
  <c r="K254" i="2"/>
  <c r="L254" i="2"/>
  <c r="M254" i="2"/>
  <c r="N254" i="2"/>
  <c r="K255" i="2"/>
  <c r="L255" i="2"/>
  <c r="M255" i="2"/>
  <c r="N255" i="2"/>
  <c r="K256" i="2"/>
  <c r="L256" i="2"/>
  <c r="M256" i="2"/>
  <c r="N256" i="2"/>
  <c r="K257" i="2"/>
  <c r="L257" i="2"/>
  <c r="M257" i="2"/>
  <c r="N257" i="2"/>
  <c r="K258" i="2"/>
  <c r="L258" i="2"/>
  <c r="M258" i="2"/>
  <c r="N258" i="2"/>
  <c r="K259" i="2"/>
  <c r="L259" i="2"/>
  <c r="M259" i="2"/>
  <c r="N259" i="2"/>
  <c r="K260" i="2"/>
  <c r="L260" i="2"/>
  <c r="M260" i="2"/>
  <c r="N260" i="2"/>
  <c r="K261" i="2"/>
  <c r="L261" i="2"/>
  <c r="M261" i="2"/>
  <c r="N261" i="2"/>
  <c r="K262" i="2"/>
  <c r="L262" i="2"/>
  <c r="M262" i="2"/>
  <c r="N262" i="2"/>
  <c r="K263" i="2"/>
  <c r="L263" i="2"/>
  <c r="M263" i="2"/>
  <c r="N263" i="2"/>
  <c r="K264" i="2"/>
  <c r="L264" i="2"/>
  <c r="M264" i="2"/>
  <c r="N264" i="2"/>
  <c r="K265" i="2"/>
  <c r="L265" i="2"/>
  <c r="M265" i="2"/>
  <c r="N265" i="2"/>
  <c r="K266" i="2"/>
  <c r="L266" i="2"/>
  <c r="M266" i="2"/>
  <c r="N266" i="2"/>
  <c r="K267" i="2"/>
  <c r="L267" i="2"/>
  <c r="M267" i="2"/>
  <c r="N267" i="2"/>
  <c r="K268" i="2"/>
  <c r="L268" i="2"/>
  <c r="M268" i="2"/>
  <c r="N268" i="2"/>
  <c r="K269" i="2"/>
  <c r="L269" i="2"/>
  <c r="M269" i="2"/>
  <c r="N269" i="2"/>
  <c r="K270" i="2"/>
  <c r="L270" i="2"/>
  <c r="M270" i="2"/>
  <c r="N270" i="2"/>
  <c r="K271" i="2"/>
  <c r="L271" i="2"/>
  <c r="M271" i="2"/>
  <c r="N271" i="2"/>
  <c r="K272" i="2"/>
  <c r="L272" i="2"/>
  <c r="M272" i="2"/>
  <c r="N272" i="2"/>
  <c r="K273" i="2"/>
  <c r="L273" i="2"/>
  <c r="M273" i="2"/>
  <c r="N273" i="2"/>
  <c r="K274" i="2"/>
  <c r="L274" i="2"/>
  <c r="M274" i="2"/>
  <c r="N274" i="2"/>
  <c r="K275" i="2"/>
  <c r="L275" i="2"/>
  <c r="M275" i="2"/>
  <c r="N275" i="2"/>
  <c r="K276" i="2"/>
  <c r="L276" i="2"/>
  <c r="M276" i="2"/>
  <c r="N276" i="2"/>
  <c r="K277" i="2"/>
  <c r="L277" i="2"/>
  <c r="M277" i="2"/>
  <c r="N277" i="2"/>
  <c r="K278" i="2"/>
  <c r="L278" i="2"/>
  <c r="M278" i="2"/>
  <c r="N278" i="2"/>
  <c r="K279" i="2"/>
  <c r="L279" i="2"/>
  <c r="M279" i="2"/>
  <c r="N279" i="2"/>
  <c r="K280" i="2"/>
  <c r="L280" i="2"/>
  <c r="M280" i="2"/>
  <c r="N280" i="2"/>
  <c r="K281" i="2"/>
  <c r="L281" i="2"/>
  <c r="M281" i="2"/>
  <c r="N281" i="2"/>
  <c r="K282" i="2"/>
  <c r="L282" i="2"/>
  <c r="M282" i="2"/>
  <c r="N282" i="2"/>
  <c r="K283" i="2"/>
  <c r="L283" i="2"/>
  <c r="M283" i="2"/>
  <c r="N283" i="2"/>
  <c r="K284" i="2"/>
  <c r="L284" i="2"/>
  <c r="M284" i="2"/>
  <c r="N284" i="2"/>
  <c r="K285" i="2"/>
  <c r="L285" i="2"/>
  <c r="M285" i="2"/>
  <c r="N285" i="2"/>
  <c r="K286" i="2"/>
  <c r="L286" i="2"/>
  <c r="M286" i="2"/>
  <c r="N286" i="2"/>
  <c r="K287" i="2"/>
  <c r="L287" i="2"/>
  <c r="M287" i="2"/>
  <c r="N287" i="2"/>
  <c r="K288" i="2"/>
  <c r="L288" i="2"/>
  <c r="M288" i="2"/>
  <c r="N288" i="2"/>
  <c r="K289" i="2"/>
  <c r="L289" i="2"/>
  <c r="M289" i="2"/>
  <c r="N289" i="2"/>
  <c r="K290" i="2"/>
  <c r="L290" i="2"/>
  <c r="M290" i="2"/>
  <c r="N290" i="2"/>
  <c r="K291" i="2"/>
  <c r="L291" i="2"/>
  <c r="M291" i="2"/>
  <c r="N291" i="2"/>
  <c r="K292" i="2"/>
  <c r="L292" i="2"/>
  <c r="M292" i="2"/>
  <c r="N292" i="2"/>
  <c r="K293" i="2"/>
  <c r="L293" i="2"/>
  <c r="M293" i="2"/>
  <c r="N293" i="2"/>
  <c r="K294" i="2"/>
  <c r="L294" i="2"/>
  <c r="M294" i="2"/>
  <c r="N294" i="2"/>
  <c r="K295" i="2"/>
  <c r="L295" i="2"/>
  <c r="M295" i="2"/>
  <c r="N295" i="2"/>
  <c r="K296" i="2"/>
  <c r="L296" i="2"/>
  <c r="M296" i="2"/>
  <c r="N296" i="2"/>
  <c r="K297" i="2"/>
  <c r="L297" i="2"/>
  <c r="M297" i="2"/>
  <c r="N297" i="2"/>
  <c r="K298" i="2"/>
  <c r="L298" i="2"/>
  <c r="M298" i="2"/>
  <c r="N298" i="2"/>
  <c r="K299" i="2"/>
  <c r="L299" i="2"/>
  <c r="M299" i="2"/>
  <c r="N299" i="2"/>
  <c r="K300" i="2"/>
  <c r="L300" i="2"/>
  <c r="M300" i="2"/>
  <c r="N300" i="2"/>
  <c r="K301" i="2"/>
  <c r="L301" i="2"/>
  <c r="M301" i="2"/>
  <c r="N301" i="2"/>
  <c r="K302" i="2"/>
  <c r="L302" i="2"/>
  <c r="M302" i="2"/>
  <c r="N302" i="2"/>
  <c r="K303" i="2"/>
  <c r="L303" i="2"/>
  <c r="M303" i="2"/>
  <c r="N303" i="2"/>
  <c r="K304" i="2"/>
  <c r="L304" i="2"/>
  <c r="M304" i="2"/>
  <c r="N304" i="2"/>
  <c r="K305" i="2"/>
  <c r="L305" i="2"/>
  <c r="M305" i="2"/>
  <c r="N305" i="2"/>
  <c r="K306" i="2"/>
  <c r="L306" i="2"/>
  <c r="M306" i="2"/>
  <c r="N306" i="2"/>
  <c r="K307" i="2"/>
  <c r="L307" i="2"/>
  <c r="M307" i="2"/>
  <c r="N307" i="2"/>
  <c r="K308" i="2"/>
  <c r="L308" i="2"/>
  <c r="M308" i="2"/>
  <c r="N308" i="2"/>
  <c r="K309" i="2"/>
  <c r="L309" i="2"/>
  <c r="M309" i="2"/>
  <c r="N309" i="2"/>
  <c r="K310" i="2"/>
  <c r="L310" i="2"/>
  <c r="M310" i="2"/>
  <c r="N310" i="2"/>
  <c r="K311" i="2"/>
  <c r="L311" i="2"/>
  <c r="M311" i="2"/>
  <c r="N311" i="2"/>
  <c r="K312" i="2"/>
  <c r="L312" i="2"/>
  <c r="M312" i="2"/>
  <c r="N312" i="2"/>
  <c r="K313" i="2"/>
  <c r="L313" i="2"/>
  <c r="M313" i="2"/>
  <c r="N313" i="2"/>
  <c r="K314" i="2"/>
  <c r="L314" i="2"/>
  <c r="M314" i="2"/>
  <c r="N314" i="2"/>
  <c r="K315" i="2"/>
  <c r="L315" i="2"/>
  <c r="M315" i="2"/>
  <c r="N315" i="2"/>
  <c r="K316" i="2"/>
  <c r="L316" i="2"/>
  <c r="M316" i="2"/>
  <c r="N316" i="2"/>
  <c r="K317" i="2"/>
  <c r="L317" i="2"/>
  <c r="M317" i="2"/>
  <c r="N317" i="2"/>
  <c r="K318" i="2"/>
  <c r="L318" i="2"/>
  <c r="M318" i="2"/>
  <c r="N318" i="2"/>
  <c r="K319" i="2"/>
  <c r="L319" i="2"/>
  <c r="M319" i="2"/>
  <c r="N319" i="2"/>
  <c r="K320" i="2"/>
  <c r="L320" i="2"/>
  <c r="M320" i="2"/>
  <c r="N320" i="2"/>
  <c r="K321" i="2"/>
  <c r="L321" i="2"/>
  <c r="M321" i="2"/>
  <c r="N321" i="2"/>
  <c r="K322" i="2"/>
  <c r="L322" i="2"/>
  <c r="M322" i="2"/>
  <c r="N322" i="2"/>
  <c r="K323" i="2"/>
  <c r="L323" i="2"/>
  <c r="M323" i="2"/>
  <c r="N323" i="2"/>
  <c r="K324" i="2"/>
  <c r="L324" i="2"/>
  <c r="M324" i="2"/>
  <c r="N324" i="2"/>
  <c r="K325" i="2"/>
  <c r="L325" i="2"/>
  <c r="M325" i="2"/>
  <c r="N325" i="2"/>
  <c r="K326" i="2"/>
  <c r="L326" i="2"/>
  <c r="M326" i="2"/>
  <c r="N326" i="2"/>
  <c r="K327" i="2"/>
  <c r="L327" i="2"/>
  <c r="M327" i="2"/>
  <c r="N327" i="2"/>
  <c r="K328" i="2"/>
  <c r="L328" i="2"/>
  <c r="M328" i="2"/>
  <c r="N328" i="2"/>
  <c r="K329" i="2"/>
  <c r="L329" i="2"/>
  <c r="M329" i="2"/>
  <c r="N329" i="2"/>
  <c r="K330" i="2"/>
  <c r="L330" i="2"/>
  <c r="M330" i="2"/>
  <c r="N330" i="2"/>
  <c r="K331" i="2"/>
  <c r="L331" i="2"/>
  <c r="M331" i="2"/>
  <c r="N331" i="2"/>
  <c r="K332" i="2"/>
  <c r="L332" i="2"/>
  <c r="M332" i="2"/>
  <c r="N332" i="2"/>
  <c r="K333" i="2"/>
  <c r="L333" i="2"/>
  <c r="M333" i="2"/>
  <c r="N333" i="2"/>
  <c r="K334" i="2"/>
  <c r="L334" i="2"/>
  <c r="M334" i="2"/>
  <c r="N334" i="2"/>
  <c r="K335" i="2"/>
  <c r="L335" i="2"/>
  <c r="M335" i="2"/>
  <c r="N335" i="2"/>
  <c r="K336" i="2"/>
  <c r="L336" i="2"/>
  <c r="M336" i="2"/>
  <c r="N336" i="2"/>
  <c r="K337" i="2"/>
  <c r="L337" i="2"/>
  <c r="M337" i="2"/>
  <c r="N337" i="2"/>
  <c r="K338" i="2"/>
  <c r="L338" i="2"/>
  <c r="M338" i="2"/>
  <c r="N338" i="2"/>
  <c r="K339" i="2"/>
  <c r="L339" i="2"/>
  <c r="M339" i="2"/>
  <c r="N339" i="2"/>
  <c r="K340" i="2"/>
  <c r="L340" i="2"/>
  <c r="M340" i="2"/>
  <c r="N340" i="2"/>
  <c r="K341" i="2"/>
  <c r="L341" i="2"/>
  <c r="M341" i="2"/>
  <c r="N341" i="2"/>
  <c r="K342" i="2"/>
  <c r="L342" i="2"/>
  <c r="M342" i="2"/>
  <c r="N342" i="2"/>
  <c r="K343" i="2"/>
  <c r="L343" i="2"/>
  <c r="M343" i="2"/>
  <c r="N343" i="2"/>
  <c r="K344" i="2"/>
  <c r="L344" i="2"/>
  <c r="M344" i="2"/>
  <c r="N344" i="2"/>
  <c r="K345" i="2"/>
  <c r="L345" i="2"/>
  <c r="M345" i="2"/>
  <c r="N345" i="2"/>
  <c r="K346" i="2"/>
  <c r="L346" i="2"/>
  <c r="M346" i="2"/>
  <c r="N346" i="2"/>
  <c r="K347" i="2"/>
  <c r="L347" i="2"/>
  <c r="M347" i="2"/>
  <c r="N347" i="2"/>
  <c r="K348" i="2"/>
  <c r="L348" i="2"/>
  <c r="M348" i="2"/>
  <c r="N348" i="2"/>
  <c r="K349" i="2"/>
  <c r="L349" i="2"/>
  <c r="M349" i="2"/>
  <c r="N349" i="2"/>
  <c r="K350" i="2"/>
  <c r="L350" i="2"/>
  <c r="M350" i="2"/>
  <c r="N350" i="2"/>
  <c r="K351" i="2"/>
  <c r="L351" i="2"/>
  <c r="M351" i="2"/>
  <c r="N351" i="2"/>
  <c r="K352" i="2"/>
  <c r="L352" i="2"/>
  <c r="M352" i="2"/>
  <c r="N352" i="2"/>
  <c r="K353" i="2"/>
  <c r="L353" i="2"/>
  <c r="M353" i="2"/>
  <c r="N353" i="2"/>
  <c r="K354" i="2"/>
  <c r="L354" i="2"/>
  <c r="M354" i="2"/>
  <c r="N354" i="2"/>
  <c r="K355" i="2"/>
  <c r="L355" i="2"/>
  <c r="M355" i="2"/>
  <c r="N355" i="2"/>
  <c r="K356" i="2"/>
  <c r="L356" i="2"/>
  <c r="M356" i="2"/>
  <c r="N356" i="2"/>
  <c r="K357" i="2"/>
  <c r="L357" i="2"/>
  <c r="M357" i="2"/>
  <c r="N357" i="2"/>
  <c r="K358" i="2"/>
  <c r="L358" i="2"/>
  <c r="M358" i="2"/>
  <c r="N358" i="2"/>
  <c r="K359" i="2"/>
  <c r="L359" i="2"/>
  <c r="M359" i="2"/>
  <c r="N359" i="2"/>
  <c r="K360" i="2"/>
  <c r="L360" i="2"/>
  <c r="M360" i="2"/>
  <c r="N360" i="2"/>
  <c r="K361" i="2"/>
  <c r="L361" i="2"/>
  <c r="M361" i="2"/>
  <c r="N361" i="2"/>
  <c r="K362" i="2"/>
  <c r="L362" i="2"/>
  <c r="M362" i="2"/>
  <c r="N362" i="2"/>
  <c r="K363" i="2"/>
  <c r="L363" i="2"/>
  <c r="M363" i="2"/>
  <c r="N363" i="2"/>
  <c r="K364" i="2"/>
  <c r="L364" i="2"/>
  <c r="M364" i="2"/>
  <c r="N364" i="2"/>
  <c r="K365" i="2"/>
  <c r="L365" i="2"/>
  <c r="M365" i="2"/>
  <c r="N365" i="2"/>
  <c r="K366" i="2"/>
  <c r="L366" i="2"/>
  <c r="M366" i="2"/>
  <c r="N366" i="2"/>
  <c r="K367" i="2"/>
  <c r="L367" i="2"/>
  <c r="M367" i="2"/>
  <c r="N367" i="2"/>
  <c r="K368" i="2"/>
  <c r="L368" i="2"/>
  <c r="M368" i="2"/>
  <c r="N368" i="2"/>
  <c r="K369" i="2"/>
  <c r="L369" i="2"/>
  <c r="M369" i="2"/>
  <c r="N369" i="2"/>
  <c r="K370" i="2"/>
  <c r="L370" i="2"/>
  <c r="M370" i="2"/>
  <c r="N370" i="2"/>
  <c r="K371" i="2"/>
  <c r="L371" i="2"/>
  <c r="M371" i="2"/>
  <c r="N371" i="2"/>
  <c r="K372" i="2"/>
  <c r="L372" i="2"/>
  <c r="M372" i="2"/>
  <c r="N372" i="2"/>
  <c r="K373" i="2"/>
  <c r="L373" i="2"/>
  <c r="M373" i="2"/>
  <c r="N373" i="2"/>
  <c r="K374" i="2"/>
  <c r="L374" i="2"/>
  <c r="M374" i="2"/>
  <c r="N374" i="2"/>
  <c r="K375" i="2"/>
  <c r="L375" i="2"/>
  <c r="M375" i="2"/>
  <c r="N375" i="2"/>
  <c r="K376" i="2"/>
  <c r="L376" i="2"/>
  <c r="M376" i="2"/>
  <c r="N376" i="2"/>
  <c r="K377" i="2"/>
  <c r="L377" i="2"/>
  <c r="M377" i="2"/>
  <c r="N377" i="2"/>
  <c r="K378" i="2"/>
  <c r="L378" i="2"/>
  <c r="M378" i="2"/>
  <c r="N378" i="2"/>
  <c r="K379" i="2"/>
  <c r="L379" i="2"/>
  <c r="M379" i="2"/>
  <c r="N379" i="2"/>
  <c r="K380" i="2"/>
  <c r="L380" i="2"/>
  <c r="M380" i="2"/>
  <c r="N380" i="2"/>
  <c r="K381" i="2"/>
  <c r="L381" i="2"/>
  <c r="M381" i="2"/>
  <c r="N381" i="2"/>
  <c r="K382" i="2"/>
  <c r="L382" i="2"/>
  <c r="M382" i="2"/>
  <c r="N382" i="2"/>
  <c r="K383" i="2"/>
  <c r="L383" i="2"/>
  <c r="M383" i="2"/>
  <c r="N383" i="2"/>
  <c r="K384" i="2"/>
  <c r="L384" i="2"/>
  <c r="M384" i="2"/>
  <c r="N384" i="2"/>
  <c r="K385" i="2"/>
  <c r="L385" i="2"/>
  <c r="M385" i="2"/>
  <c r="N385" i="2"/>
  <c r="K386" i="2"/>
  <c r="L386" i="2"/>
  <c r="M386" i="2"/>
  <c r="N386" i="2"/>
  <c r="K387" i="2"/>
  <c r="L387" i="2"/>
  <c r="M387" i="2"/>
  <c r="N387" i="2"/>
  <c r="K388" i="2"/>
  <c r="L388" i="2"/>
  <c r="M388" i="2"/>
  <c r="N388" i="2"/>
  <c r="K389" i="2"/>
  <c r="L389" i="2"/>
  <c r="M389" i="2"/>
  <c r="N389" i="2"/>
  <c r="K390" i="2"/>
  <c r="L390" i="2"/>
  <c r="M390" i="2"/>
  <c r="N390" i="2"/>
  <c r="K391" i="2"/>
  <c r="L391" i="2"/>
  <c r="M391" i="2"/>
  <c r="N391" i="2"/>
  <c r="K392" i="2"/>
  <c r="L392" i="2"/>
  <c r="M392" i="2"/>
  <c r="N392" i="2"/>
  <c r="K393" i="2"/>
  <c r="L393" i="2"/>
  <c r="M393" i="2"/>
  <c r="N393" i="2"/>
  <c r="K394" i="2"/>
  <c r="L394" i="2"/>
  <c r="M394" i="2"/>
  <c r="N394" i="2"/>
  <c r="K395" i="2"/>
  <c r="L395" i="2"/>
  <c r="M395" i="2"/>
  <c r="N395" i="2"/>
  <c r="K396" i="2"/>
  <c r="L396" i="2"/>
  <c r="M396" i="2"/>
  <c r="N396" i="2"/>
  <c r="K397" i="2"/>
  <c r="L397" i="2"/>
  <c r="M397" i="2"/>
  <c r="N397" i="2"/>
  <c r="K398" i="2"/>
  <c r="L398" i="2"/>
  <c r="M398" i="2"/>
  <c r="N398" i="2"/>
  <c r="K399" i="2"/>
  <c r="L399" i="2"/>
  <c r="M399" i="2"/>
  <c r="N399" i="2"/>
  <c r="K400" i="2"/>
  <c r="L400" i="2"/>
  <c r="M400" i="2"/>
  <c r="N400" i="2"/>
  <c r="K401" i="2"/>
  <c r="L401" i="2"/>
  <c r="M401" i="2"/>
  <c r="N401" i="2"/>
  <c r="K402" i="2"/>
  <c r="L402" i="2"/>
  <c r="M402" i="2"/>
  <c r="N402" i="2"/>
  <c r="K403" i="2"/>
  <c r="L403" i="2"/>
  <c r="M403" i="2"/>
  <c r="N403" i="2"/>
  <c r="K404" i="2"/>
  <c r="L404" i="2"/>
  <c r="M404" i="2"/>
  <c r="N404" i="2"/>
  <c r="K405" i="2"/>
  <c r="L405" i="2"/>
  <c r="M405" i="2"/>
  <c r="N405" i="2"/>
  <c r="K406" i="2"/>
  <c r="L406" i="2"/>
  <c r="M406" i="2"/>
  <c r="N406" i="2"/>
  <c r="K407" i="2"/>
  <c r="L407" i="2"/>
  <c r="M407" i="2"/>
  <c r="N407" i="2"/>
  <c r="K408" i="2"/>
  <c r="L408" i="2"/>
  <c r="M408" i="2"/>
  <c r="N408" i="2"/>
  <c r="K409" i="2"/>
  <c r="L409" i="2"/>
  <c r="M409" i="2"/>
  <c r="N409" i="2"/>
  <c r="K410" i="2"/>
  <c r="L410" i="2"/>
  <c r="M410" i="2"/>
  <c r="N410" i="2"/>
  <c r="K411" i="2"/>
  <c r="L411" i="2"/>
  <c r="M411" i="2"/>
  <c r="N411" i="2"/>
  <c r="K412" i="2"/>
  <c r="L412" i="2"/>
  <c r="M412" i="2"/>
  <c r="N412" i="2"/>
  <c r="K413" i="2"/>
  <c r="L413" i="2"/>
  <c r="M413" i="2"/>
  <c r="N413" i="2"/>
  <c r="K414" i="2"/>
  <c r="L414" i="2"/>
  <c r="M414" i="2"/>
  <c r="N414" i="2"/>
  <c r="K415" i="2"/>
  <c r="L415" i="2"/>
  <c r="M415" i="2"/>
  <c r="N415" i="2"/>
  <c r="K416" i="2"/>
  <c r="L416" i="2"/>
  <c r="M416" i="2"/>
  <c r="N416" i="2"/>
  <c r="K417" i="2"/>
  <c r="L417" i="2"/>
  <c r="M417" i="2"/>
  <c r="N417" i="2"/>
  <c r="K418" i="2"/>
  <c r="L418" i="2"/>
  <c r="M418" i="2"/>
  <c r="N418" i="2"/>
  <c r="K419" i="2"/>
  <c r="L419" i="2"/>
  <c r="M419" i="2"/>
  <c r="N419" i="2"/>
  <c r="K420" i="2"/>
  <c r="L420" i="2"/>
  <c r="M420" i="2"/>
  <c r="N420" i="2"/>
  <c r="K421" i="2"/>
  <c r="L421" i="2"/>
  <c r="M421" i="2"/>
  <c r="N421" i="2"/>
  <c r="K422" i="2"/>
  <c r="L422" i="2"/>
  <c r="M422" i="2"/>
  <c r="N422" i="2"/>
  <c r="K423" i="2"/>
  <c r="L423" i="2"/>
  <c r="M423" i="2"/>
  <c r="N423" i="2"/>
  <c r="K424" i="2"/>
  <c r="L424" i="2"/>
  <c r="M424" i="2"/>
  <c r="N424" i="2"/>
  <c r="K425" i="2"/>
  <c r="L425" i="2"/>
  <c r="M425" i="2"/>
  <c r="N425" i="2"/>
  <c r="K426" i="2"/>
  <c r="L426" i="2"/>
  <c r="M426" i="2"/>
  <c r="N426" i="2"/>
  <c r="K427" i="2"/>
  <c r="L427" i="2"/>
  <c r="M427" i="2"/>
  <c r="N427" i="2"/>
  <c r="K428" i="2"/>
  <c r="L428" i="2"/>
  <c r="M428" i="2"/>
  <c r="N428" i="2"/>
  <c r="K429" i="2"/>
  <c r="L429" i="2"/>
  <c r="M429" i="2"/>
  <c r="N429" i="2"/>
  <c r="K430" i="2"/>
  <c r="L430" i="2"/>
  <c r="M430" i="2"/>
  <c r="N430" i="2"/>
  <c r="K431" i="2"/>
  <c r="L431" i="2"/>
  <c r="M431" i="2"/>
  <c r="N431" i="2"/>
  <c r="K432" i="2"/>
  <c r="L432" i="2"/>
  <c r="M432" i="2"/>
  <c r="N432" i="2"/>
  <c r="K433" i="2"/>
  <c r="L433" i="2"/>
  <c r="M433" i="2"/>
  <c r="N433" i="2"/>
  <c r="K434" i="2"/>
  <c r="L434" i="2"/>
  <c r="M434" i="2"/>
  <c r="N434" i="2"/>
  <c r="K435" i="2"/>
  <c r="L435" i="2"/>
  <c r="M435" i="2"/>
  <c r="N435" i="2"/>
  <c r="K436" i="2"/>
  <c r="L436" i="2"/>
  <c r="M436" i="2"/>
  <c r="N436" i="2"/>
  <c r="K437" i="2"/>
  <c r="L437" i="2"/>
  <c r="M437" i="2"/>
  <c r="N437" i="2"/>
  <c r="K438" i="2"/>
  <c r="L438" i="2"/>
  <c r="M438" i="2"/>
  <c r="N438" i="2"/>
  <c r="K439" i="2"/>
  <c r="L439" i="2"/>
  <c r="M439" i="2"/>
  <c r="N439" i="2"/>
  <c r="K440" i="2"/>
  <c r="L440" i="2"/>
  <c r="M440" i="2"/>
  <c r="N440" i="2"/>
  <c r="K441" i="2"/>
  <c r="L441" i="2"/>
  <c r="M441" i="2"/>
  <c r="N441" i="2"/>
  <c r="K442" i="2"/>
  <c r="L442" i="2"/>
  <c r="M442" i="2"/>
  <c r="N442" i="2"/>
  <c r="K443" i="2"/>
  <c r="L443" i="2"/>
  <c r="M443" i="2"/>
  <c r="N443" i="2"/>
  <c r="K444" i="2"/>
  <c r="L444" i="2"/>
  <c r="M444" i="2"/>
  <c r="N444" i="2"/>
  <c r="K445" i="2"/>
  <c r="L445" i="2"/>
  <c r="M445" i="2"/>
  <c r="N445" i="2"/>
  <c r="K446" i="2"/>
  <c r="L446" i="2"/>
  <c r="M446" i="2"/>
  <c r="N446" i="2"/>
  <c r="K447" i="2"/>
  <c r="L447" i="2"/>
  <c r="M447" i="2"/>
  <c r="N447" i="2"/>
  <c r="K448" i="2"/>
  <c r="L448" i="2"/>
  <c r="M448" i="2"/>
  <c r="N448" i="2"/>
  <c r="K449" i="2"/>
  <c r="L449" i="2"/>
  <c r="M449" i="2"/>
  <c r="N449" i="2"/>
  <c r="K450" i="2"/>
  <c r="L450" i="2"/>
  <c r="M450" i="2"/>
  <c r="N450" i="2"/>
  <c r="K451" i="2"/>
  <c r="L451" i="2"/>
  <c r="M451" i="2"/>
  <c r="N451" i="2"/>
  <c r="K452" i="2"/>
  <c r="L452" i="2"/>
  <c r="M452" i="2"/>
  <c r="N452" i="2"/>
  <c r="K453" i="2"/>
  <c r="L453" i="2"/>
  <c r="M453" i="2"/>
  <c r="N453" i="2"/>
  <c r="K454" i="2"/>
  <c r="L454" i="2"/>
  <c r="M454" i="2"/>
  <c r="N454" i="2"/>
  <c r="K455" i="2"/>
  <c r="L455" i="2"/>
  <c r="M455" i="2"/>
  <c r="N455" i="2"/>
  <c r="K456" i="2"/>
  <c r="L456" i="2"/>
  <c r="M456" i="2"/>
  <c r="N456" i="2"/>
  <c r="K457" i="2"/>
  <c r="L457" i="2"/>
  <c r="M457" i="2"/>
  <c r="N457" i="2"/>
  <c r="K458" i="2"/>
  <c r="L458" i="2"/>
  <c r="M458" i="2"/>
  <c r="N458" i="2"/>
  <c r="K459" i="2"/>
  <c r="L459" i="2"/>
  <c r="M459" i="2"/>
  <c r="N459" i="2"/>
  <c r="K460" i="2"/>
  <c r="L460" i="2"/>
  <c r="M460" i="2"/>
  <c r="N460" i="2"/>
  <c r="K461" i="2"/>
  <c r="L461" i="2"/>
  <c r="M461" i="2"/>
  <c r="N461" i="2"/>
  <c r="K462" i="2"/>
  <c r="L462" i="2"/>
  <c r="M462" i="2"/>
  <c r="N462" i="2"/>
  <c r="K463" i="2"/>
  <c r="L463" i="2"/>
  <c r="M463" i="2"/>
  <c r="N463" i="2"/>
  <c r="K464" i="2"/>
  <c r="L464" i="2"/>
  <c r="M464" i="2"/>
  <c r="N464" i="2"/>
  <c r="K465" i="2"/>
  <c r="L465" i="2"/>
  <c r="M465" i="2"/>
  <c r="N465" i="2"/>
  <c r="K466" i="2"/>
  <c r="L466" i="2"/>
  <c r="M466" i="2"/>
  <c r="N466" i="2"/>
  <c r="K467" i="2"/>
  <c r="L467" i="2"/>
  <c r="M467" i="2"/>
  <c r="N467" i="2"/>
  <c r="K468" i="2"/>
  <c r="L468" i="2"/>
  <c r="M468" i="2"/>
  <c r="N468" i="2"/>
  <c r="K469" i="2"/>
  <c r="L469" i="2"/>
  <c r="M469" i="2"/>
  <c r="N469" i="2"/>
  <c r="K470" i="2"/>
  <c r="L470" i="2"/>
  <c r="M470" i="2"/>
  <c r="N470" i="2"/>
  <c r="K471" i="2"/>
  <c r="L471" i="2"/>
  <c r="M471" i="2"/>
  <c r="N471" i="2"/>
  <c r="K472" i="2"/>
  <c r="L472" i="2"/>
  <c r="M472" i="2"/>
  <c r="N472" i="2"/>
  <c r="K473" i="2"/>
  <c r="L473" i="2"/>
  <c r="M473" i="2"/>
  <c r="N473" i="2"/>
  <c r="K474" i="2"/>
  <c r="L474" i="2"/>
  <c r="M474" i="2"/>
  <c r="N474" i="2"/>
  <c r="K475" i="2"/>
  <c r="L475" i="2"/>
  <c r="M475" i="2"/>
  <c r="N475" i="2"/>
  <c r="K476" i="2"/>
  <c r="L476" i="2"/>
  <c r="M476" i="2"/>
  <c r="N476" i="2"/>
  <c r="K477" i="2"/>
  <c r="L477" i="2"/>
  <c r="M477" i="2"/>
  <c r="N477" i="2"/>
  <c r="K478" i="2"/>
  <c r="L478" i="2"/>
  <c r="M478" i="2"/>
  <c r="N478" i="2"/>
  <c r="K479" i="2"/>
  <c r="L479" i="2"/>
  <c r="M479" i="2"/>
  <c r="N479" i="2"/>
  <c r="K480" i="2"/>
  <c r="L480" i="2"/>
  <c r="M480" i="2"/>
  <c r="N480" i="2"/>
  <c r="K481" i="2"/>
  <c r="L481" i="2"/>
  <c r="M481" i="2"/>
  <c r="N481" i="2"/>
  <c r="K482" i="2"/>
  <c r="L482" i="2"/>
  <c r="M482" i="2"/>
  <c r="N482" i="2"/>
  <c r="K483" i="2"/>
  <c r="L483" i="2"/>
  <c r="M483" i="2"/>
  <c r="N483" i="2"/>
  <c r="K484" i="2"/>
  <c r="L484" i="2"/>
  <c r="M484" i="2"/>
  <c r="N484" i="2"/>
  <c r="K485" i="2"/>
  <c r="L485" i="2"/>
  <c r="M485" i="2"/>
  <c r="N485" i="2"/>
  <c r="K486" i="2"/>
  <c r="L486" i="2"/>
  <c r="M486" i="2"/>
  <c r="N486" i="2"/>
  <c r="K487" i="2"/>
  <c r="L487" i="2"/>
  <c r="M487" i="2"/>
  <c r="N487" i="2"/>
  <c r="K488" i="2"/>
  <c r="L488" i="2"/>
  <c r="M488" i="2"/>
  <c r="N488" i="2"/>
  <c r="K489" i="2"/>
  <c r="L489" i="2"/>
  <c r="M489" i="2"/>
  <c r="N489" i="2"/>
  <c r="K490" i="2"/>
  <c r="L490" i="2"/>
  <c r="M490" i="2"/>
  <c r="N490" i="2"/>
  <c r="K491" i="2"/>
  <c r="L491" i="2"/>
  <c r="M491" i="2"/>
  <c r="N491" i="2"/>
  <c r="K492" i="2"/>
  <c r="L492" i="2"/>
  <c r="M492" i="2"/>
  <c r="N492" i="2"/>
  <c r="K493" i="2"/>
  <c r="L493" i="2"/>
  <c r="M493" i="2"/>
  <c r="N493" i="2"/>
  <c r="K494" i="2"/>
  <c r="L494" i="2"/>
  <c r="M494" i="2"/>
  <c r="N494" i="2"/>
  <c r="K495" i="2"/>
  <c r="L495" i="2"/>
  <c r="M495" i="2"/>
  <c r="N495" i="2"/>
  <c r="K496" i="2"/>
  <c r="L496" i="2"/>
  <c r="M496" i="2"/>
  <c r="N496" i="2"/>
  <c r="K497" i="2"/>
  <c r="L497" i="2"/>
  <c r="M497" i="2"/>
  <c r="N497" i="2"/>
  <c r="K498" i="2"/>
  <c r="L498" i="2"/>
  <c r="M498" i="2"/>
  <c r="N498" i="2"/>
  <c r="K499" i="2"/>
  <c r="L499" i="2"/>
  <c r="M499" i="2"/>
  <c r="N499" i="2"/>
  <c r="K500" i="2"/>
  <c r="L500" i="2"/>
  <c r="M500" i="2"/>
  <c r="N500" i="2"/>
  <c r="K501" i="2"/>
  <c r="L501" i="2"/>
  <c r="M501" i="2"/>
  <c r="N501" i="2"/>
  <c r="K502" i="2"/>
  <c r="L502" i="2"/>
  <c r="M502" i="2"/>
  <c r="N502" i="2"/>
  <c r="K503" i="2"/>
  <c r="L503" i="2"/>
  <c r="M503" i="2"/>
  <c r="N503" i="2"/>
  <c r="K504" i="2"/>
  <c r="L504" i="2"/>
  <c r="M504" i="2"/>
  <c r="N504" i="2"/>
  <c r="K505" i="2"/>
  <c r="L505" i="2"/>
  <c r="M505" i="2"/>
  <c r="N505" i="2"/>
  <c r="K506" i="2"/>
  <c r="L506" i="2"/>
  <c r="M506" i="2"/>
  <c r="N506" i="2"/>
  <c r="K507" i="2"/>
  <c r="L507" i="2"/>
  <c r="M507" i="2"/>
  <c r="N507" i="2"/>
  <c r="K508" i="2"/>
  <c r="L508" i="2"/>
  <c r="M508" i="2"/>
  <c r="N508" i="2"/>
  <c r="K509" i="2"/>
  <c r="L509" i="2"/>
  <c r="M509" i="2"/>
  <c r="N509" i="2"/>
  <c r="K510" i="2"/>
  <c r="L510" i="2"/>
  <c r="M510" i="2"/>
  <c r="N510" i="2"/>
  <c r="K511" i="2"/>
  <c r="L511" i="2"/>
  <c r="M511" i="2"/>
  <c r="N511" i="2"/>
  <c r="K512" i="2"/>
  <c r="L512" i="2"/>
  <c r="M512" i="2"/>
  <c r="N512" i="2"/>
  <c r="K513" i="2"/>
  <c r="L513" i="2"/>
  <c r="M513" i="2"/>
  <c r="N513" i="2"/>
  <c r="K514" i="2"/>
  <c r="L514" i="2"/>
  <c r="M514" i="2"/>
  <c r="N514" i="2"/>
  <c r="K515" i="2"/>
  <c r="L515" i="2"/>
  <c r="M515" i="2"/>
  <c r="N515" i="2"/>
  <c r="K516" i="2"/>
  <c r="L516" i="2"/>
  <c r="M516" i="2"/>
  <c r="N516" i="2"/>
  <c r="K517" i="2"/>
  <c r="L517" i="2"/>
  <c r="M517" i="2"/>
  <c r="N517" i="2"/>
  <c r="K518" i="2"/>
  <c r="L518" i="2"/>
  <c r="M518" i="2"/>
  <c r="N518" i="2"/>
  <c r="K519" i="2"/>
  <c r="L519" i="2"/>
  <c r="M519" i="2"/>
  <c r="N519" i="2"/>
  <c r="K520" i="2"/>
  <c r="L520" i="2"/>
  <c r="M520" i="2"/>
  <c r="N520" i="2"/>
  <c r="K521" i="2"/>
  <c r="L521" i="2"/>
  <c r="M521" i="2"/>
  <c r="N521" i="2"/>
  <c r="K522" i="2"/>
  <c r="L522" i="2"/>
  <c r="M522" i="2"/>
  <c r="N522" i="2"/>
  <c r="K523" i="2"/>
  <c r="L523" i="2"/>
  <c r="M523" i="2"/>
  <c r="N523" i="2"/>
  <c r="K524" i="2"/>
  <c r="L524" i="2"/>
  <c r="M524" i="2"/>
  <c r="N524" i="2"/>
  <c r="K525" i="2"/>
  <c r="L525" i="2"/>
  <c r="M525" i="2"/>
  <c r="N525" i="2"/>
  <c r="K526" i="2"/>
  <c r="L526" i="2"/>
  <c r="M526" i="2"/>
  <c r="N526" i="2"/>
  <c r="K527" i="2"/>
  <c r="L527" i="2"/>
  <c r="M527" i="2"/>
  <c r="N527" i="2"/>
  <c r="K528" i="2"/>
  <c r="L528" i="2"/>
  <c r="M528" i="2"/>
  <c r="N528" i="2"/>
  <c r="K529" i="2"/>
  <c r="L529" i="2"/>
  <c r="M529" i="2"/>
  <c r="N529" i="2"/>
  <c r="K530" i="2"/>
  <c r="L530" i="2"/>
  <c r="M530" i="2"/>
  <c r="N530" i="2"/>
  <c r="K531" i="2"/>
  <c r="L531" i="2"/>
  <c r="M531" i="2"/>
  <c r="N531" i="2"/>
  <c r="K532" i="2"/>
  <c r="L532" i="2"/>
  <c r="M532" i="2"/>
  <c r="N532" i="2"/>
  <c r="K533" i="2"/>
  <c r="L533" i="2"/>
  <c r="M533" i="2"/>
  <c r="N533" i="2"/>
  <c r="K534" i="2"/>
  <c r="L534" i="2"/>
  <c r="M534" i="2"/>
  <c r="N534" i="2"/>
  <c r="K535" i="2"/>
  <c r="L535" i="2"/>
  <c r="M535" i="2"/>
  <c r="N535" i="2"/>
  <c r="K536" i="2"/>
  <c r="L536" i="2"/>
  <c r="M536" i="2"/>
  <c r="N536" i="2"/>
  <c r="K537" i="2"/>
  <c r="L537" i="2"/>
  <c r="M537" i="2"/>
  <c r="N537" i="2"/>
  <c r="K538" i="2"/>
  <c r="L538" i="2"/>
  <c r="M538" i="2"/>
  <c r="N538" i="2"/>
  <c r="K539" i="2"/>
  <c r="L539" i="2"/>
  <c r="M539" i="2"/>
  <c r="N539" i="2"/>
  <c r="K540" i="2"/>
  <c r="L540" i="2"/>
  <c r="M540" i="2"/>
  <c r="N540" i="2"/>
  <c r="K541" i="2"/>
  <c r="L541" i="2"/>
  <c r="M541" i="2"/>
  <c r="N541" i="2"/>
  <c r="K542" i="2"/>
  <c r="L542" i="2"/>
  <c r="M542" i="2"/>
  <c r="N542" i="2"/>
  <c r="K543" i="2"/>
  <c r="L543" i="2"/>
  <c r="M543" i="2"/>
  <c r="N543" i="2"/>
  <c r="K544" i="2"/>
  <c r="L544" i="2"/>
  <c r="M544" i="2"/>
  <c r="N544" i="2"/>
  <c r="K545" i="2"/>
  <c r="L545" i="2"/>
  <c r="M545" i="2"/>
  <c r="N545" i="2"/>
  <c r="K546" i="2"/>
  <c r="L546" i="2"/>
  <c r="M546" i="2"/>
  <c r="N546" i="2"/>
  <c r="K547" i="2"/>
  <c r="L547" i="2"/>
  <c r="M547" i="2"/>
  <c r="N547" i="2"/>
  <c r="K548" i="2"/>
  <c r="L548" i="2"/>
  <c r="M548" i="2"/>
  <c r="N548" i="2"/>
  <c r="K549" i="2"/>
  <c r="L549" i="2"/>
  <c r="M549" i="2"/>
  <c r="N549" i="2"/>
  <c r="K550" i="2"/>
  <c r="L550" i="2"/>
  <c r="M550" i="2"/>
  <c r="N550" i="2"/>
  <c r="K551" i="2"/>
  <c r="L551" i="2"/>
  <c r="M551" i="2"/>
  <c r="N551" i="2"/>
  <c r="K552" i="2"/>
  <c r="L552" i="2"/>
  <c r="M552" i="2"/>
  <c r="N552" i="2"/>
  <c r="K553" i="2"/>
  <c r="L553" i="2"/>
  <c r="M553" i="2"/>
  <c r="N553" i="2"/>
  <c r="K554" i="2"/>
  <c r="L554" i="2"/>
  <c r="M554" i="2"/>
  <c r="N554" i="2"/>
  <c r="K555" i="2"/>
  <c r="L555" i="2"/>
  <c r="M555" i="2"/>
  <c r="N555" i="2"/>
  <c r="K556" i="2"/>
  <c r="L556" i="2"/>
  <c r="M556" i="2"/>
  <c r="N556" i="2"/>
  <c r="K557" i="2"/>
  <c r="L557" i="2"/>
  <c r="M557" i="2"/>
  <c r="N557" i="2"/>
  <c r="K558" i="2"/>
  <c r="L558" i="2"/>
  <c r="M558" i="2"/>
  <c r="N558" i="2"/>
  <c r="K559" i="2"/>
  <c r="L559" i="2"/>
  <c r="M559" i="2"/>
  <c r="N559" i="2"/>
  <c r="K560" i="2"/>
  <c r="L560" i="2"/>
  <c r="M560" i="2"/>
  <c r="N560" i="2"/>
  <c r="K561" i="2"/>
  <c r="L561" i="2"/>
  <c r="M561" i="2"/>
  <c r="N561" i="2"/>
  <c r="K562" i="2"/>
  <c r="L562" i="2"/>
  <c r="M562" i="2"/>
  <c r="N562" i="2"/>
  <c r="K563" i="2"/>
  <c r="L563" i="2"/>
  <c r="M563" i="2"/>
  <c r="N563" i="2"/>
  <c r="K564" i="2"/>
  <c r="L564" i="2"/>
  <c r="M564" i="2"/>
  <c r="N564" i="2"/>
  <c r="K565" i="2"/>
  <c r="L565" i="2"/>
  <c r="M565" i="2"/>
  <c r="N565" i="2"/>
  <c r="K566" i="2"/>
  <c r="L566" i="2"/>
  <c r="M566" i="2"/>
  <c r="N566" i="2"/>
  <c r="K567" i="2"/>
  <c r="L567" i="2"/>
  <c r="M567" i="2"/>
  <c r="N567" i="2"/>
  <c r="K568" i="2"/>
  <c r="L568" i="2"/>
  <c r="M568" i="2"/>
  <c r="N568" i="2"/>
  <c r="K569" i="2"/>
  <c r="L569" i="2"/>
  <c r="M569" i="2"/>
  <c r="N569" i="2"/>
  <c r="K570" i="2"/>
  <c r="L570" i="2"/>
  <c r="M570" i="2"/>
  <c r="N570" i="2"/>
  <c r="K571" i="2"/>
  <c r="L571" i="2"/>
  <c r="M571" i="2"/>
  <c r="N571" i="2"/>
  <c r="K572" i="2"/>
  <c r="L572" i="2"/>
  <c r="M572" i="2"/>
  <c r="N572" i="2"/>
  <c r="K573" i="2"/>
  <c r="L573" i="2"/>
  <c r="M573" i="2"/>
  <c r="N573" i="2"/>
  <c r="K574" i="2"/>
  <c r="L574" i="2"/>
  <c r="M574" i="2"/>
  <c r="N574" i="2"/>
  <c r="K575" i="2"/>
  <c r="L575" i="2"/>
  <c r="M575" i="2"/>
  <c r="N575" i="2"/>
  <c r="K576" i="2"/>
  <c r="L576" i="2"/>
  <c r="M576" i="2"/>
  <c r="N576" i="2"/>
  <c r="K577" i="2"/>
  <c r="L577" i="2"/>
  <c r="M577" i="2"/>
  <c r="N577" i="2"/>
  <c r="K578" i="2"/>
  <c r="L578" i="2"/>
  <c r="M578" i="2"/>
  <c r="N578" i="2"/>
  <c r="K579" i="2"/>
  <c r="L579" i="2"/>
  <c r="M579" i="2"/>
  <c r="N579" i="2"/>
  <c r="K580" i="2"/>
  <c r="L580" i="2"/>
  <c r="M580" i="2"/>
  <c r="N580" i="2"/>
  <c r="K581" i="2"/>
  <c r="L581" i="2"/>
  <c r="M581" i="2"/>
  <c r="N581" i="2"/>
  <c r="K582" i="2"/>
  <c r="L582" i="2"/>
  <c r="M582" i="2"/>
  <c r="N582" i="2"/>
  <c r="K583" i="2"/>
  <c r="L583" i="2"/>
  <c r="M583" i="2"/>
  <c r="N583" i="2"/>
  <c r="K584" i="2"/>
  <c r="L584" i="2"/>
  <c r="M584" i="2"/>
  <c r="N584" i="2"/>
  <c r="K585" i="2"/>
  <c r="L585" i="2"/>
  <c r="M585" i="2"/>
  <c r="N585" i="2"/>
  <c r="K586" i="2"/>
  <c r="L586" i="2"/>
  <c r="M586" i="2"/>
  <c r="N586" i="2"/>
  <c r="K587" i="2"/>
  <c r="L587" i="2"/>
  <c r="M587" i="2"/>
  <c r="N587" i="2"/>
  <c r="K588" i="2"/>
  <c r="L588" i="2"/>
  <c r="M588" i="2"/>
  <c r="N588" i="2"/>
  <c r="K589" i="2"/>
  <c r="L589" i="2"/>
  <c r="M589" i="2"/>
  <c r="N589" i="2"/>
  <c r="K590" i="2"/>
  <c r="L590" i="2"/>
  <c r="M590" i="2"/>
  <c r="N590" i="2"/>
  <c r="K591" i="2"/>
  <c r="L591" i="2"/>
  <c r="M591" i="2"/>
  <c r="N591" i="2"/>
  <c r="K592" i="2"/>
  <c r="L592" i="2"/>
  <c r="M592" i="2"/>
  <c r="N592" i="2"/>
  <c r="K593" i="2"/>
  <c r="L593" i="2"/>
  <c r="M593" i="2"/>
  <c r="N593" i="2"/>
  <c r="K594" i="2"/>
  <c r="L594" i="2"/>
  <c r="M594" i="2"/>
  <c r="N594" i="2"/>
  <c r="K595" i="2"/>
  <c r="L595" i="2"/>
  <c r="M595" i="2"/>
  <c r="N595" i="2"/>
  <c r="K596" i="2"/>
  <c r="L596" i="2"/>
  <c r="M596" i="2"/>
  <c r="N596" i="2"/>
  <c r="K597" i="2"/>
  <c r="L597" i="2"/>
  <c r="M597" i="2"/>
  <c r="N597" i="2"/>
  <c r="K598" i="2"/>
  <c r="L598" i="2"/>
  <c r="M598" i="2"/>
  <c r="N598" i="2"/>
  <c r="K599" i="2"/>
  <c r="L599" i="2"/>
  <c r="M599" i="2"/>
  <c r="N599" i="2"/>
  <c r="K600" i="2"/>
  <c r="L600" i="2"/>
  <c r="M600" i="2"/>
  <c r="N600" i="2"/>
  <c r="K601" i="2"/>
  <c r="L601" i="2"/>
  <c r="M601" i="2"/>
  <c r="N601" i="2"/>
  <c r="K602" i="2"/>
  <c r="L602" i="2"/>
  <c r="M602" i="2"/>
  <c r="N602" i="2"/>
  <c r="K603" i="2"/>
  <c r="L603" i="2"/>
  <c r="M603" i="2"/>
  <c r="N603" i="2"/>
  <c r="K604" i="2"/>
  <c r="L604" i="2"/>
  <c r="M604" i="2"/>
  <c r="N604" i="2"/>
  <c r="K605" i="2"/>
  <c r="L605" i="2"/>
  <c r="M605" i="2"/>
  <c r="N605" i="2"/>
  <c r="K606" i="2"/>
  <c r="L606" i="2"/>
  <c r="M606" i="2"/>
  <c r="N606" i="2"/>
  <c r="K607" i="2"/>
  <c r="L607" i="2"/>
  <c r="M607" i="2"/>
  <c r="N607" i="2"/>
  <c r="K608" i="2"/>
  <c r="L608" i="2"/>
  <c r="M608" i="2"/>
  <c r="N608" i="2"/>
  <c r="K609" i="2"/>
  <c r="L609" i="2"/>
  <c r="M609" i="2"/>
  <c r="N609" i="2"/>
  <c r="K610" i="2"/>
  <c r="L610" i="2"/>
  <c r="M610" i="2"/>
  <c r="N610" i="2"/>
  <c r="K611" i="2"/>
  <c r="L611" i="2"/>
  <c r="M611" i="2"/>
  <c r="N611" i="2"/>
  <c r="K612" i="2"/>
  <c r="L612" i="2"/>
  <c r="M612" i="2"/>
  <c r="N612" i="2"/>
  <c r="K613" i="2"/>
  <c r="L613" i="2"/>
  <c r="M613" i="2"/>
  <c r="N613" i="2"/>
  <c r="K614" i="2"/>
  <c r="L614" i="2"/>
  <c r="M614" i="2"/>
  <c r="N614" i="2"/>
  <c r="K615" i="2"/>
  <c r="L615" i="2"/>
  <c r="M615" i="2"/>
  <c r="N615" i="2"/>
  <c r="K616" i="2"/>
  <c r="L616" i="2"/>
  <c r="M616" i="2"/>
  <c r="N616" i="2"/>
  <c r="K617" i="2"/>
  <c r="L617" i="2"/>
  <c r="M617" i="2"/>
  <c r="N617" i="2"/>
  <c r="K618" i="2"/>
  <c r="L618" i="2"/>
  <c r="M618" i="2"/>
  <c r="N618" i="2"/>
  <c r="K619" i="2"/>
  <c r="L619" i="2"/>
  <c r="M619" i="2"/>
  <c r="N619" i="2"/>
  <c r="K620" i="2"/>
  <c r="L620" i="2"/>
  <c r="M620" i="2"/>
  <c r="N620" i="2"/>
  <c r="K621" i="2"/>
  <c r="L621" i="2"/>
  <c r="M621" i="2"/>
  <c r="N621" i="2"/>
  <c r="K622" i="2"/>
  <c r="L622" i="2"/>
  <c r="M622" i="2"/>
  <c r="N622" i="2"/>
  <c r="K623" i="2"/>
  <c r="L623" i="2"/>
  <c r="M623" i="2"/>
  <c r="N623" i="2"/>
  <c r="K624" i="2"/>
  <c r="L624" i="2"/>
  <c r="M624" i="2"/>
  <c r="N624" i="2"/>
  <c r="K625" i="2"/>
  <c r="L625" i="2"/>
  <c r="M625" i="2"/>
  <c r="N625" i="2"/>
  <c r="K626" i="2"/>
  <c r="L626" i="2"/>
  <c r="M626" i="2"/>
  <c r="N626" i="2"/>
  <c r="K627" i="2"/>
  <c r="L627" i="2"/>
  <c r="M627" i="2"/>
  <c r="N627" i="2"/>
  <c r="K628" i="2"/>
  <c r="L628" i="2"/>
  <c r="M628" i="2"/>
  <c r="N628" i="2"/>
  <c r="K629" i="2"/>
  <c r="L629" i="2"/>
  <c r="M629" i="2"/>
  <c r="N629" i="2"/>
  <c r="K630" i="2"/>
  <c r="L630" i="2"/>
  <c r="M630" i="2"/>
  <c r="N630" i="2"/>
  <c r="K631" i="2"/>
  <c r="L631" i="2"/>
  <c r="M631" i="2"/>
  <c r="N631" i="2"/>
  <c r="K632" i="2"/>
  <c r="L632" i="2"/>
  <c r="M632" i="2"/>
  <c r="N632" i="2"/>
  <c r="K633" i="2"/>
  <c r="L633" i="2"/>
  <c r="M633" i="2"/>
  <c r="N633" i="2"/>
  <c r="K634" i="2"/>
  <c r="L634" i="2"/>
  <c r="M634" i="2"/>
  <c r="N634" i="2"/>
  <c r="K635" i="2"/>
  <c r="L635" i="2"/>
  <c r="M635" i="2"/>
  <c r="N635" i="2"/>
  <c r="K636" i="2"/>
  <c r="L636" i="2"/>
  <c r="M636" i="2"/>
  <c r="N636" i="2"/>
  <c r="K637" i="2"/>
  <c r="L637" i="2"/>
  <c r="M637" i="2"/>
  <c r="N637" i="2"/>
  <c r="K638" i="2"/>
  <c r="L638" i="2"/>
  <c r="M638" i="2"/>
  <c r="N638" i="2"/>
  <c r="K639" i="2"/>
  <c r="L639" i="2"/>
  <c r="M639" i="2"/>
  <c r="N639" i="2"/>
  <c r="K640" i="2"/>
  <c r="L640" i="2"/>
  <c r="M640" i="2"/>
  <c r="N640" i="2"/>
  <c r="K641" i="2"/>
  <c r="L641" i="2"/>
  <c r="M641" i="2"/>
  <c r="N641" i="2"/>
  <c r="K642" i="2"/>
  <c r="L642" i="2"/>
  <c r="M642" i="2"/>
  <c r="N642" i="2"/>
  <c r="K643" i="2"/>
  <c r="L643" i="2"/>
  <c r="M643" i="2"/>
  <c r="N643" i="2"/>
  <c r="K644" i="2"/>
  <c r="L644" i="2"/>
  <c r="M644" i="2"/>
  <c r="N644" i="2"/>
  <c r="K645" i="2"/>
  <c r="L645" i="2"/>
  <c r="M645" i="2"/>
  <c r="N645" i="2"/>
  <c r="K646" i="2"/>
  <c r="L646" i="2"/>
  <c r="M646" i="2"/>
  <c r="N646" i="2"/>
  <c r="K647" i="2"/>
  <c r="L647" i="2"/>
  <c r="M647" i="2"/>
  <c r="N647" i="2"/>
  <c r="K648" i="2"/>
  <c r="L648" i="2"/>
  <c r="M648" i="2"/>
  <c r="N648" i="2"/>
  <c r="K649" i="2"/>
  <c r="L649" i="2"/>
  <c r="M649" i="2"/>
  <c r="N649" i="2"/>
  <c r="K650" i="2"/>
  <c r="L650" i="2"/>
  <c r="M650" i="2"/>
  <c r="N650" i="2"/>
  <c r="K651" i="2"/>
  <c r="L651" i="2"/>
  <c r="M651" i="2"/>
  <c r="N651" i="2"/>
  <c r="K652" i="2"/>
  <c r="L652" i="2"/>
  <c r="M652" i="2"/>
  <c r="N652" i="2"/>
  <c r="K653" i="2"/>
  <c r="L653" i="2"/>
  <c r="M653" i="2"/>
  <c r="N653" i="2"/>
  <c r="K654" i="2"/>
  <c r="L654" i="2"/>
  <c r="M654" i="2"/>
  <c r="N654" i="2"/>
  <c r="K655" i="2"/>
  <c r="L655" i="2"/>
  <c r="M655" i="2"/>
  <c r="N655" i="2"/>
  <c r="K656" i="2"/>
  <c r="L656" i="2"/>
  <c r="M656" i="2"/>
  <c r="N656" i="2"/>
  <c r="K657" i="2"/>
  <c r="L657" i="2"/>
  <c r="M657" i="2"/>
  <c r="N657" i="2"/>
  <c r="K658" i="2"/>
  <c r="L658" i="2"/>
  <c r="M658" i="2"/>
  <c r="N658" i="2"/>
  <c r="K659" i="2"/>
  <c r="L659" i="2"/>
  <c r="M659" i="2"/>
  <c r="N659" i="2"/>
  <c r="K660" i="2"/>
  <c r="L660" i="2"/>
  <c r="M660" i="2"/>
  <c r="N660" i="2"/>
  <c r="K661" i="2"/>
  <c r="L661" i="2"/>
  <c r="M661" i="2"/>
  <c r="N661" i="2"/>
  <c r="K662" i="2"/>
  <c r="L662" i="2"/>
  <c r="M662" i="2"/>
  <c r="N662" i="2"/>
  <c r="K663" i="2"/>
  <c r="L663" i="2"/>
  <c r="M663" i="2"/>
  <c r="N663" i="2"/>
  <c r="K664" i="2"/>
  <c r="L664" i="2"/>
  <c r="M664" i="2"/>
  <c r="N664" i="2"/>
  <c r="K665" i="2"/>
  <c r="L665" i="2"/>
  <c r="M665" i="2"/>
  <c r="N665" i="2"/>
  <c r="K666" i="2"/>
  <c r="L666" i="2"/>
  <c r="M666" i="2"/>
  <c r="N666" i="2"/>
  <c r="K667" i="2"/>
  <c r="L667" i="2"/>
  <c r="M667" i="2"/>
  <c r="N667" i="2"/>
  <c r="K668" i="2"/>
  <c r="L668" i="2"/>
  <c r="M668" i="2"/>
  <c r="N668" i="2"/>
  <c r="K669" i="2"/>
  <c r="L669" i="2"/>
  <c r="M669" i="2"/>
  <c r="N669" i="2"/>
  <c r="K670" i="2"/>
  <c r="L670" i="2"/>
  <c r="M670" i="2"/>
  <c r="N670" i="2"/>
  <c r="K671" i="2"/>
  <c r="L671" i="2"/>
  <c r="M671" i="2"/>
  <c r="N671" i="2"/>
  <c r="K672" i="2"/>
  <c r="L672" i="2"/>
  <c r="M672" i="2"/>
  <c r="N672" i="2"/>
  <c r="K673" i="2"/>
  <c r="L673" i="2"/>
  <c r="M673" i="2"/>
  <c r="N673" i="2"/>
  <c r="K674" i="2"/>
  <c r="L674" i="2"/>
  <c r="M674" i="2"/>
  <c r="N674" i="2"/>
  <c r="K675" i="2"/>
  <c r="L675" i="2"/>
  <c r="M675" i="2"/>
  <c r="N675" i="2"/>
  <c r="K676" i="2"/>
  <c r="L676" i="2"/>
  <c r="M676" i="2"/>
  <c r="N676" i="2"/>
  <c r="K677" i="2"/>
  <c r="L677" i="2"/>
  <c r="M677" i="2"/>
  <c r="N677" i="2"/>
  <c r="K678" i="2"/>
  <c r="L678" i="2"/>
  <c r="M678" i="2"/>
  <c r="N678" i="2"/>
  <c r="K679" i="2"/>
  <c r="L679" i="2"/>
  <c r="M679" i="2"/>
  <c r="N679" i="2"/>
  <c r="K680" i="2"/>
  <c r="L680" i="2"/>
  <c r="M680" i="2"/>
  <c r="N680" i="2"/>
  <c r="K681" i="2"/>
  <c r="L681" i="2"/>
  <c r="M681" i="2"/>
  <c r="N681" i="2"/>
  <c r="K682" i="2"/>
  <c r="L682" i="2"/>
  <c r="M682" i="2"/>
  <c r="N682" i="2"/>
  <c r="K683" i="2"/>
  <c r="L683" i="2"/>
  <c r="M683" i="2"/>
  <c r="N683" i="2"/>
  <c r="K684" i="2"/>
  <c r="L684" i="2"/>
  <c r="M684" i="2"/>
  <c r="N684" i="2"/>
  <c r="K685" i="2"/>
  <c r="L685" i="2"/>
  <c r="M685" i="2"/>
  <c r="N685" i="2"/>
  <c r="K686" i="2"/>
  <c r="L686" i="2"/>
  <c r="M686" i="2"/>
  <c r="N686" i="2"/>
  <c r="K687" i="2"/>
  <c r="L687" i="2"/>
  <c r="M687" i="2"/>
  <c r="N687" i="2"/>
  <c r="K688" i="2"/>
  <c r="L688" i="2"/>
  <c r="M688" i="2"/>
  <c r="N688" i="2"/>
  <c r="K689" i="2"/>
  <c r="L689" i="2"/>
  <c r="M689" i="2"/>
  <c r="N689" i="2"/>
  <c r="K690" i="2"/>
  <c r="L690" i="2"/>
  <c r="M690" i="2"/>
  <c r="N690" i="2"/>
  <c r="K691" i="2"/>
  <c r="L691" i="2"/>
  <c r="M691" i="2"/>
  <c r="N691" i="2"/>
  <c r="K692" i="2"/>
  <c r="L692" i="2"/>
  <c r="M692" i="2"/>
  <c r="N692" i="2"/>
  <c r="K693" i="2"/>
  <c r="L693" i="2"/>
  <c r="M693" i="2"/>
  <c r="N693" i="2"/>
  <c r="K694" i="2"/>
  <c r="L694" i="2"/>
  <c r="M694" i="2"/>
  <c r="N694" i="2"/>
  <c r="K695" i="2"/>
  <c r="L695" i="2"/>
  <c r="M695" i="2"/>
  <c r="N695" i="2"/>
  <c r="K696" i="2"/>
  <c r="L696" i="2"/>
  <c r="M696" i="2"/>
  <c r="N696" i="2"/>
  <c r="K697" i="2"/>
  <c r="L697" i="2"/>
  <c r="M697" i="2"/>
  <c r="N697" i="2"/>
  <c r="K698" i="2"/>
  <c r="L698" i="2"/>
  <c r="M698" i="2"/>
  <c r="N698" i="2"/>
  <c r="K699" i="2"/>
  <c r="L699" i="2"/>
  <c r="M699" i="2"/>
  <c r="N699" i="2"/>
  <c r="K700" i="2"/>
  <c r="L700" i="2"/>
  <c r="M700" i="2"/>
  <c r="N700" i="2"/>
  <c r="K701" i="2"/>
  <c r="L701" i="2"/>
  <c r="M701" i="2"/>
  <c r="N701" i="2"/>
  <c r="K702" i="2"/>
  <c r="L702" i="2"/>
  <c r="M702" i="2"/>
  <c r="N702" i="2"/>
  <c r="K703" i="2"/>
  <c r="L703" i="2"/>
  <c r="M703" i="2"/>
  <c r="N703" i="2"/>
  <c r="K704" i="2"/>
  <c r="L704" i="2"/>
  <c r="M704" i="2"/>
  <c r="N704" i="2"/>
  <c r="K705" i="2"/>
  <c r="L705" i="2"/>
  <c r="M705" i="2"/>
  <c r="N705" i="2"/>
  <c r="K706" i="2"/>
  <c r="L706" i="2"/>
  <c r="M706" i="2"/>
  <c r="N706" i="2"/>
  <c r="K707" i="2"/>
  <c r="L707" i="2"/>
  <c r="M707" i="2"/>
  <c r="N707" i="2"/>
  <c r="K708" i="2"/>
  <c r="L708" i="2"/>
  <c r="M708" i="2"/>
  <c r="N708" i="2"/>
  <c r="K709" i="2"/>
  <c r="L709" i="2"/>
  <c r="M709" i="2"/>
  <c r="N709" i="2"/>
  <c r="K710" i="2"/>
  <c r="L710" i="2"/>
  <c r="M710" i="2"/>
  <c r="N710" i="2"/>
  <c r="K711" i="2"/>
  <c r="L711" i="2"/>
  <c r="M711" i="2"/>
  <c r="N711" i="2"/>
  <c r="K712" i="2"/>
  <c r="L712" i="2"/>
  <c r="M712" i="2"/>
  <c r="N712" i="2"/>
  <c r="K713" i="2"/>
  <c r="L713" i="2"/>
  <c r="M713" i="2"/>
  <c r="N713" i="2"/>
  <c r="K714" i="2"/>
  <c r="L714" i="2"/>
  <c r="M714" i="2"/>
  <c r="N714" i="2"/>
  <c r="K715" i="2"/>
  <c r="L715" i="2"/>
  <c r="M715" i="2"/>
  <c r="N715" i="2"/>
  <c r="K716" i="2"/>
  <c r="L716" i="2"/>
  <c r="M716" i="2"/>
  <c r="N716" i="2"/>
  <c r="K717" i="2"/>
  <c r="L717" i="2"/>
  <c r="M717" i="2"/>
  <c r="N717" i="2"/>
  <c r="K718" i="2"/>
  <c r="L718" i="2"/>
  <c r="M718" i="2"/>
  <c r="N718" i="2"/>
  <c r="K719" i="2"/>
  <c r="L719" i="2"/>
  <c r="M719" i="2"/>
  <c r="N719" i="2"/>
  <c r="K720" i="2"/>
  <c r="L720" i="2"/>
  <c r="M720" i="2"/>
  <c r="N720" i="2"/>
  <c r="K721" i="2"/>
  <c r="L721" i="2"/>
  <c r="M721" i="2"/>
  <c r="N721" i="2"/>
  <c r="K722" i="2"/>
  <c r="L722" i="2"/>
  <c r="M722" i="2"/>
  <c r="N722" i="2"/>
  <c r="K723" i="2"/>
  <c r="L723" i="2"/>
  <c r="M723" i="2"/>
  <c r="N723" i="2"/>
  <c r="K724" i="2"/>
  <c r="L724" i="2"/>
  <c r="M724" i="2"/>
  <c r="N724" i="2"/>
  <c r="K725" i="2"/>
  <c r="L725" i="2"/>
  <c r="M725" i="2"/>
  <c r="N725" i="2"/>
  <c r="K726" i="2"/>
  <c r="L726" i="2"/>
  <c r="M726" i="2"/>
  <c r="N726" i="2"/>
  <c r="K727" i="2"/>
  <c r="L727" i="2"/>
  <c r="M727" i="2"/>
  <c r="N727" i="2"/>
  <c r="K728" i="2"/>
  <c r="L728" i="2"/>
  <c r="M728" i="2"/>
  <c r="N728" i="2"/>
  <c r="K729" i="2"/>
  <c r="L729" i="2"/>
  <c r="M729" i="2"/>
  <c r="N729" i="2"/>
  <c r="K730" i="2"/>
  <c r="L730" i="2"/>
  <c r="M730" i="2"/>
  <c r="N730" i="2"/>
  <c r="K731" i="2"/>
  <c r="L731" i="2"/>
  <c r="M731" i="2"/>
  <c r="N731" i="2"/>
  <c r="K732" i="2"/>
  <c r="L732" i="2"/>
  <c r="M732" i="2"/>
  <c r="N732" i="2"/>
  <c r="K733" i="2"/>
  <c r="L733" i="2"/>
  <c r="M733" i="2"/>
  <c r="N733" i="2"/>
  <c r="K734" i="2"/>
  <c r="L734" i="2"/>
  <c r="M734" i="2"/>
  <c r="N734" i="2"/>
  <c r="K735" i="2"/>
  <c r="L735" i="2"/>
  <c r="M735" i="2"/>
  <c r="N735" i="2"/>
  <c r="K736" i="2"/>
  <c r="L736" i="2"/>
  <c r="M736" i="2"/>
  <c r="N736" i="2"/>
  <c r="K737" i="2"/>
  <c r="L737" i="2"/>
  <c r="M737" i="2"/>
  <c r="N737" i="2"/>
  <c r="K738" i="2"/>
  <c r="L738" i="2"/>
  <c r="M738" i="2"/>
  <c r="N738" i="2"/>
  <c r="K739" i="2"/>
  <c r="L739" i="2"/>
  <c r="M739" i="2"/>
  <c r="N739" i="2"/>
  <c r="K740" i="2"/>
  <c r="L740" i="2"/>
  <c r="M740" i="2"/>
  <c r="N740" i="2"/>
  <c r="K741" i="2"/>
  <c r="L741" i="2"/>
  <c r="M741" i="2"/>
  <c r="N741" i="2"/>
  <c r="K742" i="2"/>
  <c r="L742" i="2"/>
  <c r="M742" i="2"/>
  <c r="N742" i="2"/>
  <c r="K743" i="2"/>
  <c r="L743" i="2"/>
  <c r="M743" i="2"/>
  <c r="N743" i="2"/>
  <c r="K744" i="2"/>
  <c r="L744" i="2"/>
  <c r="M744" i="2"/>
  <c r="N744" i="2"/>
  <c r="K745" i="2"/>
  <c r="L745" i="2"/>
  <c r="M745" i="2"/>
  <c r="N745" i="2"/>
  <c r="K746" i="2"/>
  <c r="L746" i="2"/>
  <c r="M746" i="2"/>
  <c r="N746" i="2"/>
  <c r="K747" i="2"/>
  <c r="L747" i="2"/>
  <c r="M747" i="2"/>
  <c r="N747" i="2"/>
  <c r="K748" i="2"/>
  <c r="L748" i="2"/>
  <c r="M748" i="2"/>
  <c r="N748" i="2"/>
  <c r="K749" i="2"/>
  <c r="L749" i="2"/>
  <c r="M749" i="2"/>
  <c r="N749" i="2"/>
  <c r="K750" i="2"/>
  <c r="L750" i="2"/>
  <c r="M750" i="2"/>
  <c r="N750" i="2"/>
  <c r="K751" i="2"/>
  <c r="L751" i="2"/>
  <c r="M751" i="2"/>
  <c r="N751" i="2"/>
  <c r="K752" i="2"/>
  <c r="L752" i="2"/>
  <c r="M752" i="2"/>
  <c r="N752" i="2"/>
  <c r="K753" i="2"/>
  <c r="L753" i="2"/>
  <c r="M753" i="2"/>
  <c r="N753" i="2"/>
  <c r="K754" i="2"/>
  <c r="L754" i="2"/>
  <c r="M754" i="2"/>
  <c r="N754" i="2"/>
  <c r="K755" i="2"/>
  <c r="L755" i="2"/>
  <c r="M755" i="2"/>
  <c r="N755" i="2"/>
  <c r="K756" i="2"/>
  <c r="L756" i="2"/>
  <c r="M756" i="2"/>
  <c r="N756" i="2"/>
  <c r="K757" i="2"/>
  <c r="L757" i="2"/>
  <c r="M757" i="2"/>
  <c r="N757" i="2"/>
  <c r="K758" i="2"/>
  <c r="L758" i="2"/>
  <c r="M758" i="2"/>
  <c r="N758" i="2"/>
  <c r="K759" i="2"/>
  <c r="L759" i="2"/>
  <c r="M759" i="2"/>
  <c r="N759" i="2"/>
  <c r="K760" i="2"/>
  <c r="L760" i="2"/>
  <c r="M760" i="2"/>
  <c r="N760" i="2"/>
  <c r="K761" i="2"/>
  <c r="L761" i="2"/>
  <c r="M761" i="2"/>
  <c r="N761" i="2"/>
  <c r="K762" i="2"/>
  <c r="L762" i="2"/>
  <c r="M762" i="2"/>
  <c r="N762" i="2"/>
  <c r="K763" i="2"/>
  <c r="L763" i="2"/>
  <c r="M763" i="2"/>
  <c r="N763" i="2"/>
  <c r="K764" i="2"/>
  <c r="L764" i="2"/>
  <c r="M764" i="2"/>
  <c r="N764" i="2"/>
  <c r="K765" i="2"/>
  <c r="L765" i="2"/>
  <c r="M765" i="2"/>
  <c r="N765" i="2"/>
  <c r="K766" i="2"/>
  <c r="L766" i="2"/>
  <c r="M766" i="2"/>
  <c r="N766" i="2"/>
  <c r="K767" i="2"/>
  <c r="L767" i="2"/>
  <c r="M767" i="2"/>
  <c r="N767" i="2"/>
  <c r="K768" i="2"/>
  <c r="L768" i="2"/>
  <c r="M768" i="2"/>
  <c r="N768" i="2"/>
  <c r="K769" i="2"/>
  <c r="L769" i="2"/>
  <c r="M769" i="2"/>
  <c r="N769" i="2"/>
  <c r="K770" i="2"/>
  <c r="L770" i="2"/>
  <c r="M770" i="2"/>
  <c r="N770" i="2"/>
  <c r="K771" i="2"/>
  <c r="L771" i="2"/>
  <c r="M771" i="2"/>
  <c r="N771" i="2"/>
  <c r="K772" i="2"/>
  <c r="L772" i="2"/>
  <c r="M772" i="2"/>
  <c r="N772" i="2"/>
  <c r="K773" i="2"/>
  <c r="L773" i="2"/>
  <c r="M773" i="2"/>
  <c r="N773" i="2"/>
  <c r="K774" i="2"/>
  <c r="L774" i="2"/>
  <c r="M774" i="2"/>
  <c r="N774" i="2"/>
  <c r="K775" i="2"/>
  <c r="L775" i="2"/>
  <c r="M775" i="2"/>
  <c r="N775" i="2"/>
  <c r="K776" i="2"/>
  <c r="L776" i="2"/>
  <c r="M776" i="2"/>
  <c r="N776" i="2"/>
  <c r="K777" i="2"/>
  <c r="L777" i="2"/>
  <c r="M777" i="2"/>
  <c r="N777" i="2"/>
  <c r="K778" i="2"/>
  <c r="L778" i="2"/>
  <c r="M778" i="2"/>
  <c r="N778" i="2"/>
  <c r="K779" i="2"/>
  <c r="L779" i="2"/>
  <c r="M779" i="2"/>
  <c r="N779" i="2"/>
  <c r="K780" i="2"/>
  <c r="L780" i="2"/>
  <c r="M780" i="2"/>
  <c r="N780" i="2"/>
  <c r="K781" i="2"/>
  <c r="L781" i="2"/>
  <c r="M781" i="2"/>
  <c r="N781" i="2"/>
  <c r="K782" i="2"/>
  <c r="L782" i="2"/>
  <c r="M782" i="2"/>
  <c r="N782" i="2"/>
  <c r="K783" i="2"/>
  <c r="L783" i="2"/>
  <c r="M783" i="2"/>
  <c r="N783" i="2"/>
  <c r="K784" i="2"/>
  <c r="L784" i="2"/>
  <c r="M784" i="2"/>
  <c r="N784" i="2"/>
  <c r="K785" i="2"/>
  <c r="L785" i="2"/>
  <c r="M785" i="2"/>
  <c r="N785" i="2"/>
  <c r="K786" i="2"/>
  <c r="L786" i="2"/>
  <c r="M786" i="2"/>
  <c r="N786" i="2"/>
  <c r="K787" i="2"/>
  <c r="L787" i="2"/>
  <c r="M787" i="2"/>
  <c r="N787" i="2"/>
  <c r="K788" i="2"/>
  <c r="L788" i="2"/>
  <c r="M788" i="2"/>
  <c r="N788" i="2"/>
  <c r="K789" i="2"/>
  <c r="L789" i="2"/>
  <c r="M789" i="2"/>
  <c r="N789" i="2"/>
  <c r="K790" i="2"/>
  <c r="L790" i="2"/>
  <c r="M790" i="2"/>
  <c r="N790" i="2"/>
  <c r="K791" i="2"/>
  <c r="L791" i="2"/>
  <c r="M791" i="2"/>
  <c r="N791" i="2"/>
  <c r="K792" i="2"/>
  <c r="L792" i="2"/>
  <c r="M792" i="2"/>
  <c r="N792" i="2"/>
  <c r="K793" i="2"/>
  <c r="L793" i="2"/>
  <c r="M793" i="2"/>
  <c r="N793" i="2"/>
  <c r="K794" i="2"/>
  <c r="L794" i="2"/>
  <c r="M794" i="2"/>
  <c r="N794" i="2"/>
  <c r="K795" i="2"/>
  <c r="L795" i="2"/>
  <c r="M795" i="2"/>
  <c r="N795" i="2"/>
  <c r="K796" i="2"/>
  <c r="L796" i="2"/>
  <c r="M796" i="2"/>
  <c r="N796" i="2"/>
  <c r="K797" i="2"/>
  <c r="L797" i="2"/>
  <c r="M797" i="2"/>
  <c r="N797" i="2"/>
  <c r="K798" i="2"/>
  <c r="L798" i="2"/>
  <c r="M798" i="2"/>
  <c r="N798" i="2"/>
  <c r="K799" i="2"/>
  <c r="L799" i="2"/>
  <c r="M799" i="2"/>
  <c r="N799" i="2"/>
  <c r="K800" i="2"/>
  <c r="L800" i="2"/>
  <c r="M800" i="2"/>
  <c r="N800" i="2"/>
  <c r="K801" i="2"/>
  <c r="L801" i="2"/>
  <c r="M801" i="2"/>
  <c r="N801" i="2"/>
  <c r="K802" i="2"/>
  <c r="L802" i="2"/>
  <c r="M802" i="2"/>
  <c r="N802" i="2"/>
  <c r="K803" i="2"/>
  <c r="L803" i="2"/>
  <c r="M803" i="2"/>
  <c r="N803" i="2"/>
  <c r="K804" i="2"/>
  <c r="L804" i="2"/>
  <c r="M804" i="2"/>
  <c r="N804" i="2"/>
  <c r="K805" i="2"/>
  <c r="L805" i="2"/>
  <c r="M805" i="2"/>
  <c r="N805" i="2"/>
  <c r="K806" i="2"/>
  <c r="L806" i="2"/>
  <c r="M806" i="2"/>
  <c r="N806" i="2"/>
  <c r="K807" i="2"/>
  <c r="L807" i="2"/>
  <c r="M807" i="2"/>
  <c r="N807" i="2"/>
  <c r="K808" i="2"/>
  <c r="L808" i="2"/>
  <c r="M808" i="2"/>
  <c r="N808" i="2"/>
  <c r="K809" i="2"/>
  <c r="L809" i="2"/>
  <c r="M809" i="2"/>
  <c r="N809" i="2"/>
  <c r="K810" i="2"/>
  <c r="L810" i="2"/>
  <c r="M810" i="2"/>
  <c r="N810" i="2"/>
  <c r="K811" i="2"/>
  <c r="L811" i="2"/>
  <c r="M811" i="2"/>
  <c r="N811" i="2"/>
  <c r="K812" i="2"/>
  <c r="L812" i="2"/>
  <c r="M812" i="2"/>
  <c r="N812" i="2"/>
  <c r="K813" i="2"/>
  <c r="L813" i="2"/>
  <c r="M813" i="2"/>
  <c r="N813" i="2"/>
  <c r="K814" i="2"/>
  <c r="L814" i="2"/>
  <c r="M814" i="2"/>
  <c r="N814" i="2"/>
  <c r="K815" i="2"/>
  <c r="L815" i="2"/>
  <c r="M815" i="2"/>
  <c r="N815" i="2"/>
  <c r="K816" i="2"/>
  <c r="L816" i="2"/>
  <c r="M816" i="2"/>
  <c r="N816" i="2"/>
  <c r="K817" i="2"/>
  <c r="L817" i="2"/>
  <c r="M817" i="2"/>
  <c r="N817" i="2"/>
  <c r="K818" i="2"/>
  <c r="L818" i="2"/>
  <c r="M818" i="2"/>
  <c r="N818" i="2"/>
  <c r="K819" i="2"/>
  <c r="L819" i="2"/>
  <c r="M819" i="2"/>
  <c r="N819" i="2"/>
  <c r="K820" i="2"/>
  <c r="L820" i="2"/>
  <c r="M820" i="2"/>
  <c r="N820" i="2"/>
  <c r="K821" i="2"/>
  <c r="L821" i="2"/>
  <c r="M821" i="2"/>
  <c r="N821" i="2"/>
  <c r="K822" i="2"/>
  <c r="L822" i="2"/>
  <c r="M822" i="2"/>
  <c r="N822" i="2"/>
  <c r="K823" i="2"/>
  <c r="L823" i="2"/>
  <c r="M823" i="2"/>
  <c r="N823" i="2"/>
  <c r="K824" i="2"/>
  <c r="L824" i="2"/>
  <c r="M824" i="2"/>
  <c r="N824" i="2"/>
  <c r="K825" i="2"/>
  <c r="L825" i="2"/>
  <c r="M825" i="2"/>
  <c r="N825" i="2"/>
  <c r="K826" i="2"/>
  <c r="L826" i="2"/>
  <c r="M826" i="2"/>
  <c r="N826" i="2"/>
  <c r="K827" i="2"/>
  <c r="L827" i="2"/>
  <c r="M827" i="2"/>
  <c r="N827" i="2"/>
  <c r="K828" i="2"/>
  <c r="L828" i="2"/>
  <c r="M828" i="2"/>
  <c r="N828" i="2"/>
  <c r="K829" i="2"/>
  <c r="L829" i="2"/>
  <c r="M829" i="2"/>
  <c r="N829" i="2"/>
  <c r="K830" i="2"/>
  <c r="L830" i="2"/>
  <c r="M830" i="2"/>
  <c r="N830" i="2"/>
  <c r="K831" i="2"/>
  <c r="L831" i="2"/>
  <c r="M831" i="2"/>
  <c r="N831" i="2"/>
  <c r="K832" i="2"/>
  <c r="L832" i="2"/>
  <c r="M832" i="2"/>
  <c r="N832" i="2"/>
  <c r="K833" i="2"/>
  <c r="L833" i="2"/>
  <c r="M833" i="2"/>
  <c r="N833" i="2"/>
  <c r="K834" i="2"/>
  <c r="L834" i="2"/>
  <c r="M834" i="2"/>
  <c r="N834" i="2"/>
  <c r="K835" i="2"/>
  <c r="L835" i="2"/>
  <c r="M835" i="2"/>
  <c r="N835" i="2"/>
  <c r="K836" i="2"/>
  <c r="L836" i="2"/>
  <c r="M836" i="2"/>
  <c r="N836" i="2"/>
  <c r="K837" i="2"/>
  <c r="L837" i="2"/>
  <c r="M837" i="2"/>
  <c r="N837" i="2"/>
  <c r="K838" i="2"/>
  <c r="L838" i="2"/>
  <c r="M838" i="2"/>
  <c r="N838" i="2"/>
  <c r="K839" i="2"/>
  <c r="L839" i="2"/>
  <c r="M839" i="2"/>
  <c r="N839" i="2"/>
  <c r="K840" i="2"/>
  <c r="L840" i="2"/>
  <c r="M840" i="2"/>
  <c r="N840" i="2"/>
  <c r="K841" i="2"/>
  <c r="L841" i="2"/>
  <c r="M841" i="2"/>
  <c r="N841" i="2"/>
  <c r="K842" i="2"/>
  <c r="L842" i="2"/>
  <c r="M842" i="2"/>
  <c r="N842" i="2"/>
  <c r="K843" i="2"/>
  <c r="L843" i="2"/>
  <c r="M843" i="2"/>
  <c r="N843" i="2"/>
  <c r="K844" i="2"/>
  <c r="L844" i="2"/>
  <c r="M844" i="2"/>
  <c r="N844" i="2"/>
  <c r="K845" i="2"/>
  <c r="L845" i="2"/>
  <c r="M845" i="2"/>
  <c r="N845" i="2"/>
  <c r="K846" i="2"/>
  <c r="L846" i="2"/>
  <c r="M846" i="2"/>
  <c r="N846" i="2"/>
  <c r="K847" i="2"/>
  <c r="L847" i="2"/>
  <c r="M847" i="2"/>
  <c r="N847" i="2"/>
  <c r="K848" i="2"/>
  <c r="L848" i="2"/>
  <c r="M848" i="2"/>
  <c r="N848" i="2"/>
  <c r="K849" i="2"/>
  <c r="L849" i="2"/>
  <c r="M849" i="2"/>
  <c r="N849" i="2"/>
  <c r="K850" i="2"/>
  <c r="L850" i="2"/>
  <c r="M850" i="2"/>
  <c r="N850" i="2"/>
  <c r="K851" i="2"/>
  <c r="L851" i="2"/>
  <c r="M851" i="2"/>
  <c r="N851" i="2"/>
  <c r="K852" i="2"/>
  <c r="L852" i="2"/>
  <c r="M852" i="2"/>
  <c r="N852" i="2"/>
  <c r="K853" i="2"/>
  <c r="L853" i="2"/>
  <c r="M853" i="2"/>
  <c r="N853" i="2"/>
  <c r="K854" i="2"/>
  <c r="L854" i="2"/>
  <c r="M854" i="2"/>
  <c r="N854" i="2"/>
  <c r="K855" i="2"/>
  <c r="L855" i="2"/>
  <c r="M855" i="2"/>
  <c r="N855" i="2"/>
  <c r="K856" i="2"/>
  <c r="L856" i="2"/>
  <c r="M856" i="2"/>
  <c r="N856" i="2"/>
  <c r="K857" i="2"/>
  <c r="L857" i="2"/>
  <c r="M857" i="2"/>
  <c r="N857" i="2"/>
  <c r="K858" i="2"/>
  <c r="L858" i="2"/>
  <c r="M858" i="2"/>
  <c r="N858" i="2"/>
  <c r="K859" i="2"/>
  <c r="L859" i="2"/>
  <c r="M859" i="2"/>
  <c r="N859" i="2"/>
  <c r="K860" i="2"/>
  <c r="L860" i="2"/>
  <c r="M860" i="2"/>
  <c r="N860" i="2"/>
  <c r="K861" i="2"/>
  <c r="L861" i="2"/>
  <c r="M861" i="2"/>
  <c r="N861" i="2"/>
  <c r="K862" i="2"/>
  <c r="L862" i="2"/>
  <c r="M862" i="2"/>
  <c r="N862" i="2"/>
  <c r="K863" i="2"/>
  <c r="L863" i="2"/>
  <c r="M863" i="2"/>
  <c r="N863" i="2"/>
  <c r="K864" i="2"/>
  <c r="L864" i="2"/>
  <c r="M864" i="2"/>
  <c r="N864" i="2"/>
  <c r="K865" i="2"/>
  <c r="L865" i="2"/>
  <c r="M865" i="2"/>
  <c r="N865" i="2"/>
  <c r="K866" i="2"/>
  <c r="L866" i="2"/>
  <c r="M866" i="2"/>
  <c r="N866" i="2"/>
  <c r="K867" i="2"/>
  <c r="L867" i="2"/>
  <c r="M867" i="2"/>
  <c r="N867" i="2"/>
  <c r="K868" i="2"/>
  <c r="L868" i="2"/>
  <c r="M868" i="2"/>
  <c r="N868" i="2"/>
  <c r="K869" i="2"/>
  <c r="L869" i="2"/>
  <c r="M869" i="2"/>
  <c r="N869" i="2"/>
  <c r="K870" i="2"/>
  <c r="L870" i="2"/>
  <c r="M870" i="2"/>
  <c r="N870" i="2"/>
  <c r="K871" i="2"/>
  <c r="L871" i="2"/>
  <c r="M871" i="2"/>
  <c r="N871" i="2"/>
  <c r="K872" i="2"/>
  <c r="L872" i="2"/>
  <c r="M872" i="2"/>
  <c r="N872" i="2"/>
  <c r="K873" i="2"/>
  <c r="L873" i="2"/>
  <c r="M873" i="2"/>
  <c r="N873" i="2"/>
  <c r="K874" i="2"/>
  <c r="L874" i="2"/>
  <c r="M874" i="2"/>
  <c r="N874" i="2"/>
  <c r="K875" i="2"/>
  <c r="L875" i="2"/>
  <c r="M875" i="2"/>
  <c r="N875" i="2"/>
  <c r="K876" i="2"/>
  <c r="L876" i="2"/>
  <c r="M876" i="2"/>
  <c r="N876" i="2"/>
  <c r="K877" i="2"/>
  <c r="L877" i="2"/>
  <c r="M877" i="2"/>
  <c r="N877" i="2"/>
  <c r="K878" i="2"/>
  <c r="L878" i="2"/>
  <c r="M878" i="2"/>
  <c r="N878" i="2"/>
  <c r="K879" i="2"/>
  <c r="L879" i="2"/>
  <c r="M879" i="2"/>
  <c r="N879" i="2"/>
  <c r="K880" i="2"/>
  <c r="L880" i="2"/>
  <c r="M880" i="2"/>
  <c r="N880" i="2"/>
  <c r="K881" i="2"/>
  <c r="L881" i="2"/>
  <c r="M881" i="2"/>
  <c r="N881" i="2"/>
  <c r="K882" i="2"/>
  <c r="L882" i="2"/>
  <c r="M882" i="2"/>
  <c r="N882" i="2"/>
  <c r="K883" i="2"/>
  <c r="L883" i="2"/>
  <c r="M883" i="2"/>
  <c r="N883" i="2"/>
  <c r="K884" i="2"/>
  <c r="L884" i="2"/>
  <c r="M884" i="2"/>
  <c r="N884" i="2"/>
  <c r="K885" i="2"/>
  <c r="L885" i="2"/>
  <c r="M885" i="2"/>
  <c r="N885" i="2"/>
  <c r="K886" i="2"/>
  <c r="L886" i="2"/>
  <c r="M886" i="2"/>
  <c r="N886" i="2"/>
  <c r="K887" i="2"/>
  <c r="L887" i="2"/>
  <c r="M887" i="2"/>
  <c r="N887" i="2"/>
  <c r="K888" i="2"/>
  <c r="L888" i="2"/>
  <c r="M888" i="2"/>
  <c r="N888" i="2"/>
  <c r="K889" i="2"/>
  <c r="L889" i="2"/>
  <c r="M889" i="2"/>
  <c r="N889" i="2"/>
  <c r="K890" i="2"/>
  <c r="L890" i="2"/>
  <c r="M890" i="2"/>
  <c r="N890" i="2"/>
  <c r="K891" i="2"/>
  <c r="L891" i="2"/>
  <c r="M891" i="2"/>
  <c r="N891" i="2"/>
  <c r="K892" i="2"/>
  <c r="L892" i="2"/>
  <c r="M892" i="2"/>
  <c r="N892" i="2"/>
  <c r="K893" i="2"/>
  <c r="L893" i="2"/>
  <c r="M893" i="2"/>
  <c r="N893" i="2"/>
  <c r="K894" i="2"/>
  <c r="L894" i="2"/>
  <c r="M894" i="2"/>
  <c r="N894" i="2"/>
  <c r="K895" i="2"/>
  <c r="L895" i="2"/>
  <c r="M895" i="2"/>
  <c r="N895" i="2"/>
  <c r="K896" i="2"/>
  <c r="L896" i="2"/>
  <c r="M896" i="2"/>
  <c r="N896" i="2"/>
  <c r="K897" i="2"/>
  <c r="L897" i="2"/>
  <c r="M897" i="2"/>
  <c r="N897" i="2"/>
  <c r="K898" i="2"/>
  <c r="L898" i="2"/>
  <c r="M898" i="2"/>
  <c r="N898" i="2"/>
  <c r="K899" i="2"/>
  <c r="L899" i="2"/>
  <c r="M899" i="2"/>
  <c r="N899" i="2"/>
  <c r="K900" i="2"/>
  <c r="L900" i="2"/>
  <c r="M900" i="2"/>
  <c r="N900" i="2"/>
  <c r="K901" i="2"/>
  <c r="L901" i="2"/>
  <c r="M901" i="2"/>
  <c r="N901" i="2"/>
  <c r="K902" i="2"/>
  <c r="L902" i="2"/>
  <c r="M902" i="2"/>
  <c r="N902" i="2"/>
  <c r="K903" i="2"/>
  <c r="L903" i="2"/>
  <c r="M903" i="2"/>
  <c r="N903" i="2"/>
  <c r="K904" i="2"/>
  <c r="L904" i="2"/>
  <c r="M904" i="2"/>
  <c r="N904" i="2"/>
  <c r="K905" i="2"/>
  <c r="L905" i="2"/>
  <c r="M905" i="2"/>
  <c r="N905" i="2"/>
  <c r="K906" i="2"/>
  <c r="L906" i="2"/>
  <c r="M906" i="2"/>
  <c r="N906" i="2"/>
  <c r="K907" i="2"/>
  <c r="L907" i="2"/>
  <c r="M907" i="2"/>
  <c r="N907" i="2"/>
  <c r="K908" i="2"/>
  <c r="L908" i="2"/>
  <c r="M908" i="2"/>
  <c r="N908" i="2"/>
  <c r="K909" i="2"/>
  <c r="L909" i="2"/>
  <c r="M909" i="2"/>
  <c r="N909" i="2"/>
  <c r="K910" i="2"/>
  <c r="L910" i="2"/>
  <c r="M910" i="2"/>
  <c r="N910" i="2"/>
  <c r="K911" i="2"/>
  <c r="L911" i="2"/>
  <c r="M911" i="2"/>
  <c r="N911" i="2"/>
  <c r="K912" i="2"/>
  <c r="L912" i="2"/>
  <c r="M912" i="2"/>
  <c r="N912" i="2"/>
  <c r="K913" i="2"/>
  <c r="L913" i="2"/>
  <c r="M913" i="2"/>
  <c r="N913" i="2"/>
  <c r="K914" i="2"/>
  <c r="L914" i="2"/>
  <c r="M914" i="2"/>
  <c r="N914" i="2"/>
  <c r="K915" i="2"/>
  <c r="L915" i="2"/>
  <c r="M915" i="2"/>
  <c r="N915" i="2"/>
  <c r="K916" i="2"/>
  <c r="L916" i="2"/>
  <c r="M916" i="2"/>
  <c r="N916" i="2"/>
  <c r="K917" i="2"/>
  <c r="L917" i="2"/>
  <c r="M917" i="2"/>
  <c r="N917" i="2"/>
  <c r="K918" i="2"/>
  <c r="L918" i="2"/>
  <c r="M918" i="2"/>
  <c r="N918" i="2"/>
  <c r="K919" i="2"/>
  <c r="L919" i="2"/>
  <c r="M919" i="2"/>
  <c r="N919" i="2"/>
  <c r="K920" i="2"/>
  <c r="L920" i="2"/>
  <c r="M920" i="2"/>
  <c r="N920" i="2"/>
  <c r="K921" i="2"/>
  <c r="L921" i="2"/>
  <c r="M921" i="2"/>
  <c r="N921" i="2"/>
  <c r="K922" i="2"/>
  <c r="L922" i="2"/>
  <c r="M922" i="2"/>
  <c r="N922" i="2"/>
  <c r="K923" i="2"/>
  <c r="L923" i="2"/>
  <c r="M923" i="2"/>
  <c r="N923" i="2"/>
  <c r="K924" i="2"/>
  <c r="L924" i="2"/>
  <c r="M924" i="2"/>
  <c r="N924" i="2"/>
  <c r="K925" i="2"/>
  <c r="L925" i="2"/>
  <c r="M925" i="2"/>
  <c r="N925" i="2"/>
  <c r="K926" i="2"/>
  <c r="L926" i="2"/>
  <c r="M926" i="2"/>
  <c r="N926" i="2"/>
  <c r="K927" i="2"/>
  <c r="L927" i="2"/>
  <c r="M927" i="2"/>
  <c r="N927" i="2"/>
  <c r="K928" i="2"/>
  <c r="L928" i="2"/>
  <c r="M928" i="2"/>
  <c r="N928" i="2"/>
  <c r="K929" i="2"/>
  <c r="L929" i="2"/>
  <c r="M929" i="2"/>
  <c r="N929" i="2"/>
  <c r="K930" i="2"/>
  <c r="L930" i="2"/>
  <c r="M930" i="2"/>
  <c r="N930" i="2"/>
  <c r="K931" i="2"/>
  <c r="L931" i="2"/>
  <c r="M931" i="2"/>
  <c r="N931" i="2"/>
  <c r="K932" i="2"/>
  <c r="L932" i="2"/>
  <c r="M932" i="2"/>
  <c r="N932" i="2"/>
  <c r="K933" i="2"/>
  <c r="L933" i="2"/>
  <c r="M933" i="2"/>
  <c r="N933" i="2"/>
  <c r="K934" i="2"/>
  <c r="L934" i="2"/>
  <c r="M934" i="2"/>
  <c r="N934" i="2"/>
  <c r="K935" i="2"/>
  <c r="L935" i="2"/>
  <c r="M935" i="2"/>
  <c r="N935" i="2"/>
  <c r="K936" i="2"/>
  <c r="L936" i="2"/>
  <c r="M936" i="2"/>
  <c r="N936" i="2"/>
  <c r="K937" i="2"/>
  <c r="L937" i="2"/>
  <c r="M937" i="2"/>
  <c r="N937" i="2"/>
  <c r="K938" i="2"/>
  <c r="L938" i="2"/>
  <c r="M938" i="2"/>
  <c r="N938" i="2"/>
  <c r="K939" i="2"/>
  <c r="L939" i="2"/>
  <c r="M939" i="2"/>
  <c r="N939" i="2"/>
  <c r="K940" i="2"/>
  <c r="L940" i="2"/>
  <c r="M940" i="2"/>
  <c r="N940" i="2"/>
  <c r="K941" i="2"/>
  <c r="L941" i="2"/>
  <c r="M941" i="2"/>
  <c r="N941" i="2"/>
  <c r="K942" i="2"/>
  <c r="L942" i="2"/>
  <c r="M942" i="2"/>
  <c r="N942" i="2"/>
  <c r="K943" i="2"/>
  <c r="L943" i="2"/>
  <c r="M943" i="2"/>
  <c r="N943" i="2"/>
  <c r="K944" i="2"/>
  <c r="L944" i="2"/>
  <c r="M944" i="2"/>
  <c r="N944" i="2"/>
  <c r="K945" i="2"/>
  <c r="L945" i="2"/>
  <c r="M945" i="2"/>
  <c r="N945" i="2"/>
  <c r="K946" i="2"/>
  <c r="L946" i="2"/>
  <c r="M946" i="2"/>
  <c r="N946" i="2"/>
  <c r="K947" i="2"/>
  <c r="L947" i="2"/>
  <c r="M947" i="2"/>
  <c r="N947" i="2"/>
  <c r="K948" i="2"/>
  <c r="L948" i="2"/>
  <c r="M948" i="2"/>
  <c r="N948" i="2"/>
  <c r="K949" i="2"/>
  <c r="L949" i="2"/>
  <c r="M949" i="2"/>
  <c r="N949" i="2"/>
  <c r="K950" i="2"/>
  <c r="L950" i="2"/>
  <c r="M950" i="2"/>
  <c r="N950" i="2"/>
  <c r="K951" i="2"/>
  <c r="L951" i="2"/>
  <c r="M951" i="2"/>
  <c r="N951" i="2"/>
  <c r="K952" i="2"/>
  <c r="L952" i="2"/>
  <c r="M952" i="2"/>
  <c r="N952" i="2"/>
  <c r="K953" i="2"/>
  <c r="L953" i="2"/>
  <c r="M953" i="2"/>
  <c r="N953" i="2"/>
  <c r="K954" i="2"/>
  <c r="L954" i="2"/>
  <c r="M954" i="2"/>
  <c r="N954" i="2"/>
  <c r="K955" i="2"/>
  <c r="L955" i="2"/>
  <c r="M955" i="2"/>
  <c r="N955" i="2"/>
  <c r="K956" i="2"/>
  <c r="L956" i="2"/>
  <c r="M956" i="2"/>
  <c r="N956" i="2"/>
  <c r="K957" i="2"/>
  <c r="L957" i="2"/>
  <c r="M957" i="2"/>
  <c r="N957" i="2"/>
  <c r="K958" i="2"/>
  <c r="L958" i="2"/>
  <c r="M958" i="2"/>
  <c r="N958" i="2"/>
  <c r="K959" i="2"/>
  <c r="L959" i="2"/>
  <c r="M959" i="2"/>
  <c r="N959" i="2"/>
  <c r="K960" i="2"/>
  <c r="L960" i="2"/>
  <c r="M960" i="2"/>
  <c r="N960" i="2"/>
  <c r="K961" i="2"/>
  <c r="L961" i="2"/>
  <c r="M961" i="2"/>
  <c r="N961" i="2"/>
  <c r="K962" i="2"/>
  <c r="L962" i="2"/>
  <c r="M962" i="2"/>
  <c r="N962" i="2"/>
  <c r="K963" i="2"/>
  <c r="L963" i="2"/>
  <c r="M963" i="2"/>
  <c r="N963" i="2"/>
  <c r="K964" i="2"/>
  <c r="L964" i="2"/>
  <c r="M964" i="2"/>
  <c r="N964" i="2"/>
  <c r="K965" i="2"/>
  <c r="L965" i="2"/>
  <c r="M965" i="2"/>
  <c r="N965" i="2"/>
  <c r="K966" i="2"/>
  <c r="L966" i="2"/>
  <c r="M966" i="2"/>
  <c r="N966" i="2"/>
  <c r="K967" i="2"/>
  <c r="L967" i="2"/>
  <c r="M967" i="2"/>
  <c r="N967" i="2"/>
  <c r="K968" i="2"/>
  <c r="L968" i="2"/>
  <c r="M968" i="2"/>
  <c r="N968" i="2"/>
  <c r="K969" i="2"/>
  <c r="L969" i="2"/>
  <c r="M969" i="2"/>
  <c r="N969" i="2"/>
  <c r="K970" i="2"/>
  <c r="L970" i="2"/>
  <c r="M970" i="2"/>
  <c r="N970" i="2"/>
  <c r="K971" i="2"/>
  <c r="L971" i="2"/>
  <c r="M971" i="2"/>
  <c r="N971" i="2"/>
  <c r="K972" i="2"/>
  <c r="L972" i="2"/>
  <c r="M972" i="2"/>
  <c r="N972" i="2"/>
  <c r="K973" i="2"/>
  <c r="L973" i="2"/>
  <c r="M973" i="2"/>
  <c r="N973" i="2"/>
  <c r="K974" i="2"/>
  <c r="L974" i="2"/>
  <c r="M974" i="2"/>
  <c r="N974" i="2"/>
  <c r="K975" i="2"/>
  <c r="L975" i="2"/>
  <c r="M975" i="2"/>
  <c r="N975" i="2"/>
  <c r="K976" i="2"/>
  <c r="L976" i="2"/>
  <c r="M976" i="2"/>
  <c r="N976" i="2"/>
  <c r="K977" i="2"/>
  <c r="L977" i="2"/>
  <c r="M977" i="2"/>
  <c r="N977" i="2"/>
  <c r="K978" i="2"/>
  <c r="L978" i="2"/>
  <c r="M978" i="2"/>
  <c r="N978" i="2"/>
  <c r="K979" i="2"/>
  <c r="L979" i="2"/>
  <c r="M979" i="2"/>
  <c r="N979" i="2"/>
  <c r="K980" i="2"/>
  <c r="L980" i="2"/>
  <c r="M980" i="2"/>
  <c r="N980" i="2"/>
  <c r="K981" i="2"/>
  <c r="L981" i="2"/>
  <c r="M981" i="2"/>
  <c r="N981" i="2"/>
  <c r="K982" i="2"/>
  <c r="L982" i="2"/>
  <c r="M982" i="2"/>
  <c r="N982" i="2"/>
  <c r="K983" i="2"/>
  <c r="L983" i="2"/>
  <c r="M983" i="2"/>
  <c r="N983" i="2"/>
  <c r="K984" i="2"/>
  <c r="L984" i="2"/>
  <c r="M984" i="2"/>
  <c r="N984" i="2"/>
  <c r="K985" i="2"/>
  <c r="L985" i="2"/>
  <c r="M985" i="2"/>
  <c r="N985" i="2"/>
  <c r="K986" i="2"/>
  <c r="L986" i="2"/>
  <c r="M986" i="2"/>
  <c r="N986" i="2"/>
  <c r="K987" i="2"/>
  <c r="L987" i="2"/>
  <c r="M987" i="2"/>
  <c r="N987" i="2"/>
  <c r="K988" i="2"/>
  <c r="L988" i="2"/>
  <c r="M988" i="2"/>
  <c r="N988" i="2"/>
  <c r="K989" i="2"/>
  <c r="L989" i="2"/>
  <c r="M989" i="2"/>
  <c r="N989" i="2"/>
  <c r="K990" i="2"/>
  <c r="L990" i="2"/>
  <c r="M990" i="2"/>
  <c r="N990" i="2"/>
  <c r="K991" i="2"/>
  <c r="L991" i="2"/>
  <c r="M991" i="2"/>
  <c r="N991" i="2"/>
  <c r="K992" i="2"/>
  <c r="L992" i="2"/>
  <c r="M992" i="2"/>
  <c r="N992" i="2"/>
  <c r="K993" i="2"/>
  <c r="L993" i="2"/>
  <c r="M993" i="2"/>
  <c r="N993" i="2"/>
  <c r="K994" i="2"/>
  <c r="L994" i="2"/>
  <c r="M994" i="2"/>
  <c r="N994" i="2"/>
  <c r="K995" i="2"/>
  <c r="L995" i="2"/>
  <c r="M995" i="2"/>
  <c r="N995" i="2"/>
  <c r="K996" i="2"/>
  <c r="L996" i="2"/>
  <c r="M996" i="2"/>
  <c r="N996" i="2"/>
  <c r="K997" i="2"/>
  <c r="L997" i="2"/>
  <c r="M997" i="2"/>
  <c r="N997" i="2"/>
  <c r="K998" i="2"/>
  <c r="L998" i="2"/>
  <c r="M998" i="2"/>
  <c r="N998" i="2"/>
  <c r="K999" i="2"/>
  <c r="L999" i="2"/>
  <c r="M999" i="2"/>
  <c r="N999" i="2"/>
  <c r="K1000" i="2"/>
  <c r="L1000" i="2"/>
  <c r="M1000" i="2"/>
  <c r="N1000" i="2"/>
  <c r="K1001" i="2"/>
  <c r="L1001" i="2"/>
  <c r="M1001" i="2"/>
  <c r="N1001" i="2"/>
  <c r="K1002" i="2"/>
  <c r="L1002" i="2"/>
  <c r="M1002" i="2"/>
  <c r="N1002" i="2"/>
  <c r="K1003" i="2"/>
  <c r="L1003" i="2"/>
  <c r="M1003" i="2"/>
  <c r="N1003" i="2"/>
  <c r="K1004" i="2"/>
  <c r="L1004" i="2"/>
  <c r="M1004" i="2"/>
  <c r="N1004" i="2"/>
  <c r="K1005" i="2"/>
  <c r="L1005" i="2"/>
  <c r="M1005" i="2"/>
  <c r="N1005" i="2"/>
  <c r="K1006" i="2"/>
  <c r="L1006" i="2"/>
  <c r="M1006" i="2"/>
  <c r="N1006" i="2"/>
  <c r="K1007" i="2"/>
  <c r="L1007" i="2"/>
  <c r="M1007" i="2"/>
  <c r="N1007" i="2"/>
  <c r="K1008" i="2"/>
  <c r="L1008" i="2"/>
  <c r="M1008" i="2"/>
  <c r="N1008" i="2"/>
  <c r="K1009" i="2"/>
  <c r="L1009" i="2"/>
  <c r="M1009" i="2"/>
  <c r="N1009" i="2"/>
  <c r="K1010" i="2"/>
  <c r="L1010" i="2"/>
  <c r="M1010" i="2"/>
  <c r="N1010" i="2"/>
  <c r="K1011" i="2"/>
  <c r="L1011" i="2"/>
  <c r="M1011" i="2"/>
  <c r="N1011" i="2"/>
  <c r="K1012" i="2"/>
  <c r="L1012" i="2"/>
  <c r="M1012" i="2"/>
  <c r="N1012" i="2"/>
  <c r="K1013" i="2"/>
  <c r="L1013" i="2"/>
  <c r="M1013" i="2"/>
  <c r="N1013" i="2"/>
  <c r="K1014" i="2"/>
  <c r="L1014" i="2"/>
  <c r="M1014" i="2"/>
  <c r="N1014" i="2"/>
  <c r="K1015" i="2"/>
  <c r="L1015" i="2"/>
  <c r="M1015" i="2"/>
  <c r="N1015" i="2"/>
  <c r="K1016" i="2"/>
  <c r="L1016" i="2"/>
  <c r="M1016" i="2"/>
  <c r="N1016" i="2"/>
  <c r="K1017" i="2"/>
  <c r="L1017" i="2"/>
  <c r="M1017" i="2"/>
  <c r="N1017" i="2"/>
  <c r="K1018" i="2"/>
  <c r="L1018" i="2"/>
  <c r="M1018" i="2"/>
  <c r="N1018" i="2"/>
  <c r="K1019" i="2"/>
  <c r="L1019" i="2"/>
  <c r="M1019" i="2"/>
  <c r="N1019" i="2"/>
  <c r="K1020" i="2"/>
  <c r="L1020" i="2"/>
  <c r="M1020" i="2"/>
  <c r="N1020" i="2"/>
  <c r="K1021" i="2"/>
  <c r="L1021" i="2"/>
  <c r="M1021" i="2"/>
  <c r="N1021" i="2"/>
  <c r="K1022" i="2"/>
  <c r="L1022" i="2"/>
  <c r="M1022" i="2"/>
  <c r="N1022" i="2"/>
  <c r="K1023" i="2"/>
  <c r="L1023" i="2"/>
  <c r="M1023" i="2"/>
  <c r="N1023" i="2"/>
  <c r="K1024" i="2"/>
  <c r="L1024" i="2"/>
  <c r="M1024" i="2"/>
  <c r="N1024" i="2"/>
  <c r="K1025" i="2"/>
  <c r="L1025" i="2"/>
  <c r="M1025" i="2"/>
  <c r="N1025" i="2"/>
  <c r="K1026" i="2"/>
  <c r="L1026" i="2"/>
  <c r="M1026" i="2"/>
  <c r="N1026" i="2"/>
  <c r="K1027" i="2"/>
  <c r="L1027" i="2"/>
  <c r="M1027" i="2"/>
  <c r="N1027" i="2"/>
  <c r="K1028" i="2"/>
  <c r="L1028" i="2"/>
  <c r="M1028" i="2"/>
  <c r="N1028" i="2"/>
  <c r="K1029" i="2"/>
  <c r="L1029" i="2"/>
  <c r="M1029" i="2"/>
  <c r="N1029" i="2"/>
  <c r="K1030" i="2"/>
  <c r="L1030" i="2"/>
  <c r="M1030" i="2"/>
  <c r="N1030" i="2"/>
  <c r="K1031" i="2"/>
  <c r="L1031" i="2"/>
  <c r="M1031" i="2"/>
  <c r="N1031" i="2"/>
  <c r="K1032" i="2"/>
  <c r="L1032" i="2"/>
  <c r="M1032" i="2"/>
  <c r="N1032" i="2"/>
  <c r="K1033" i="2"/>
  <c r="L1033" i="2"/>
  <c r="M1033" i="2"/>
  <c r="N1033" i="2"/>
  <c r="K1034" i="2"/>
  <c r="L1034" i="2"/>
  <c r="M1034" i="2"/>
  <c r="N1034" i="2"/>
  <c r="K1035" i="2"/>
  <c r="L1035" i="2"/>
  <c r="M1035" i="2"/>
  <c r="N1035" i="2"/>
  <c r="K1036" i="2"/>
  <c r="L1036" i="2"/>
  <c r="M1036" i="2"/>
  <c r="N1036" i="2"/>
  <c r="K1037" i="2"/>
  <c r="L1037" i="2"/>
  <c r="M1037" i="2"/>
  <c r="N1037" i="2"/>
  <c r="K1038" i="2"/>
  <c r="L1038" i="2"/>
  <c r="M1038" i="2"/>
  <c r="N1038" i="2"/>
  <c r="K1039" i="2"/>
  <c r="L1039" i="2"/>
  <c r="M1039" i="2"/>
  <c r="N1039" i="2"/>
  <c r="K1040" i="2"/>
  <c r="L1040" i="2"/>
  <c r="M1040" i="2"/>
  <c r="N1040" i="2"/>
  <c r="K1041" i="2"/>
  <c r="L1041" i="2"/>
  <c r="M1041" i="2"/>
  <c r="N1041" i="2"/>
  <c r="K1042" i="2"/>
  <c r="L1042" i="2"/>
  <c r="M1042" i="2"/>
  <c r="N1042" i="2"/>
  <c r="K1043" i="2"/>
  <c r="L1043" i="2"/>
  <c r="M1043" i="2"/>
  <c r="N1043" i="2"/>
  <c r="K1044" i="2"/>
  <c r="L1044" i="2"/>
  <c r="M1044" i="2"/>
  <c r="N1044" i="2"/>
  <c r="K1045" i="2"/>
  <c r="L1045" i="2"/>
  <c r="M1045" i="2"/>
  <c r="N1045" i="2"/>
  <c r="K1046" i="2"/>
  <c r="L1046" i="2"/>
  <c r="M1046" i="2"/>
  <c r="N1046" i="2"/>
  <c r="K1047" i="2"/>
  <c r="L1047" i="2"/>
  <c r="M1047" i="2"/>
  <c r="N1047" i="2"/>
  <c r="K1048" i="2"/>
  <c r="L1048" i="2"/>
  <c r="M1048" i="2"/>
  <c r="N1048" i="2"/>
  <c r="K1049" i="2"/>
  <c r="L1049" i="2"/>
  <c r="M1049" i="2"/>
  <c r="N1049" i="2"/>
  <c r="K1050" i="2"/>
  <c r="L1050" i="2"/>
  <c r="M1050" i="2"/>
  <c r="N1050" i="2"/>
  <c r="K1051" i="2"/>
  <c r="L1051" i="2"/>
  <c r="M1051" i="2"/>
  <c r="N1051" i="2"/>
  <c r="K1052" i="2"/>
  <c r="L1052" i="2"/>
  <c r="M1052" i="2"/>
  <c r="N1052" i="2"/>
  <c r="K1053" i="2"/>
  <c r="L1053" i="2"/>
  <c r="M1053" i="2"/>
  <c r="N1053" i="2"/>
  <c r="K1054" i="2"/>
  <c r="L1054" i="2"/>
  <c r="M1054" i="2"/>
  <c r="N1054" i="2"/>
  <c r="K1055" i="2"/>
  <c r="L1055" i="2"/>
  <c r="M1055" i="2"/>
  <c r="N1055" i="2"/>
  <c r="K1056" i="2"/>
  <c r="L1056" i="2"/>
  <c r="M1056" i="2"/>
  <c r="N1056" i="2"/>
  <c r="K1057" i="2"/>
  <c r="L1057" i="2"/>
  <c r="M1057" i="2"/>
  <c r="N1057" i="2"/>
  <c r="K1058" i="2"/>
  <c r="L1058" i="2"/>
  <c r="M1058" i="2"/>
  <c r="N1058" i="2"/>
  <c r="K1059" i="2"/>
  <c r="L1059" i="2"/>
  <c r="M1059" i="2"/>
  <c r="N1059" i="2"/>
  <c r="K1060" i="2"/>
  <c r="L1060" i="2"/>
  <c r="M1060" i="2"/>
  <c r="N1060" i="2"/>
  <c r="K1061" i="2"/>
  <c r="L1061" i="2"/>
  <c r="M1061" i="2"/>
  <c r="N1061" i="2"/>
  <c r="K1062" i="2"/>
  <c r="L1062" i="2"/>
  <c r="M1062" i="2"/>
  <c r="N1062" i="2"/>
  <c r="K1063" i="2"/>
  <c r="L1063" i="2"/>
  <c r="M1063" i="2"/>
  <c r="N1063" i="2"/>
  <c r="K1064" i="2"/>
  <c r="L1064" i="2"/>
  <c r="M1064" i="2"/>
  <c r="N1064" i="2"/>
  <c r="K1065" i="2"/>
  <c r="L1065" i="2"/>
  <c r="M1065" i="2"/>
  <c r="N1065" i="2"/>
  <c r="K1066" i="2"/>
  <c r="L1066" i="2"/>
  <c r="M1066" i="2"/>
  <c r="N1066" i="2"/>
  <c r="K1067" i="2"/>
  <c r="L1067" i="2"/>
  <c r="M1067" i="2"/>
  <c r="N1067" i="2"/>
  <c r="K1068" i="2"/>
  <c r="L1068" i="2"/>
  <c r="M1068" i="2"/>
  <c r="N1068" i="2"/>
  <c r="K1069" i="2"/>
  <c r="L1069" i="2"/>
  <c r="M1069" i="2"/>
  <c r="N1069" i="2"/>
  <c r="K1070" i="2"/>
  <c r="L1070" i="2"/>
  <c r="M1070" i="2"/>
  <c r="N1070" i="2"/>
  <c r="K1071" i="2"/>
  <c r="L1071" i="2"/>
  <c r="M1071" i="2"/>
  <c r="N1071" i="2"/>
  <c r="K1072" i="2"/>
  <c r="L1072" i="2"/>
  <c r="M1072" i="2"/>
  <c r="N1072" i="2"/>
  <c r="K1073" i="2"/>
  <c r="L1073" i="2"/>
  <c r="M1073" i="2"/>
  <c r="N1073" i="2"/>
  <c r="K1074" i="2"/>
  <c r="L1074" i="2"/>
  <c r="M1074" i="2"/>
  <c r="N1074" i="2"/>
  <c r="K1075" i="2"/>
  <c r="L1075" i="2"/>
  <c r="M1075" i="2"/>
  <c r="N1075" i="2"/>
  <c r="K1076" i="2"/>
  <c r="L1076" i="2"/>
  <c r="M1076" i="2"/>
  <c r="N1076" i="2"/>
  <c r="K1077" i="2"/>
  <c r="L1077" i="2"/>
  <c r="M1077" i="2"/>
  <c r="N1077" i="2"/>
  <c r="K1078" i="2"/>
  <c r="L1078" i="2"/>
  <c r="M1078" i="2"/>
  <c r="N1078" i="2"/>
  <c r="K1079" i="2"/>
  <c r="L1079" i="2"/>
  <c r="M1079" i="2"/>
  <c r="N1079" i="2"/>
  <c r="K1080" i="2"/>
  <c r="L1080" i="2"/>
  <c r="M1080" i="2"/>
  <c r="N1080" i="2"/>
  <c r="K1081" i="2"/>
  <c r="L1081" i="2"/>
  <c r="M1081" i="2"/>
  <c r="N1081" i="2"/>
  <c r="K1082" i="2"/>
  <c r="L1082" i="2"/>
  <c r="M1082" i="2"/>
  <c r="N1082" i="2"/>
  <c r="K1083" i="2"/>
  <c r="L1083" i="2"/>
  <c r="M1083" i="2"/>
  <c r="N1083" i="2"/>
  <c r="K1084" i="2"/>
  <c r="L1084" i="2"/>
  <c r="M1084" i="2"/>
  <c r="N1084" i="2"/>
  <c r="K1085" i="2"/>
  <c r="L1085" i="2"/>
  <c r="M1085" i="2"/>
  <c r="N1085" i="2"/>
  <c r="K1086" i="2"/>
  <c r="L1086" i="2"/>
  <c r="M1086" i="2"/>
  <c r="N1086" i="2"/>
  <c r="K1087" i="2"/>
  <c r="L1087" i="2"/>
  <c r="M1087" i="2"/>
  <c r="N1087" i="2"/>
  <c r="K1088" i="2"/>
  <c r="L1088" i="2"/>
  <c r="M1088" i="2"/>
  <c r="N1088" i="2"/>
  <c r="K1089" i="2"/>
  <c r="L1089" i="2"/>
  <c r="M1089" i="2"/>
  <c r="N1089" i="2"/>
  <c r="K1090" i="2"/>
  <c r="L1090" i="2"/>
  <c r="M1090" i="2"/>
  <c r="N1090" i="2"/>
  <c r="K1091" i="2"/>
  <c r="L1091" i="2"/>
  <c r="M1091" i="2"/>
  <c r="N1091" i="2"/>
  <c r="K1092" i="2"/>
  <c r="L1092" i="2"/>
  <c r="M1092" i="2"/>
  <c r="N1092" i="2"/>
  <c r="K1093" i="2"/>
  <c r="L1093" i="2"/>
  <c r="M1093" i="2"/>
  <c r="N1093" i="2"/>
  <c r="K1094" i="2"/>
  <c r="L1094" i="2"/>
  <c r="M1094" i="2"/>
  <c r="N1094" i="2"/>
  <c r="K1095" i="2"/>
  <c r="L1095" i="2"/>
  <c r="M1095" i="2"/>
  <c r="N1095" i="2"/>
  <c r="K1096" i="2"/>
  <c r="L1096" i="2"/>
  <c r="M1096" i="2"/>
  <c r="N1096" i="2"/>
  <c r="K1097" i="2"/>
  <c r="L1097" i="2"/>
  <c r="M1097" i="2"/>
  <c r="N1097" i="2"/>
  <c r="K1098" i="2"/>
  <c r="L1098" i="2"/>
  <c r="M1098" i="2"/>
  <c r="N1098" i="2"/>
  <c r="K1099" i="2"/>
  <c r="L1099" i="2"/>
  <c r="M1099" i="2"/>
  <c r="N1099" i="2"/>
  <c r="K1100" i="2"/>
  <c r="L1100" i="2"/>
  <c r="M1100" i="2"/>
  <c r="N1100" i="2"/>
  <c r="K1101" i="2"/>
  <c r="L1101" i="2"/>
  <c r="M1101" i="2"/>
  <c r="N1101" i="2"/>
  <c r="K1102" i="2"/>
  <c r="L1102" i="2"/>
  <c r="M1102" i="2"/>
  <c r="N1102" i="2"/>
  <c r="K1103" i="2"/>
  <c r="L1103" i="2"/>
  <c r="M1103" i="2"/>
  <c r="N1103" i="2"/>
  <c r="K1104" i="2"/>
  <c r="L1104" i="2"/>
  <c r="M1104" i="2"/>
  <c r="N1104" i="2"/>
  <c r="K1105" i="2"/>
  <c r="L1105" i="2"/>
  <c r="M1105" i="2"/>
  <c r="N1105" i="2"/>
  <c r="K1106" i="2"/>
  <c r="L1106" i="2"/>
  <c r="M1106" i="2"/>
  <c r="N1106" i="2"/>
  <c r="K1107" i="2"/>
  <c r="L1107" i="2"/>
  <c r="M1107" i="2"/>
  <c r="N1107" i="2"/>
  <c r="K1108" i="2"/>
  <c r="L1108" i="2"/>
  <c r="M1108" i="2"/>
  <c r="N1108" i="2"/>
  <c r="K1109" i="2"/>
  <c r="L1109" i="2"/>
  <c r="M1109" i="2"/>
  <c r="N1109" i="2"/>
  <c r="K1110" i="2"/>
  <c r="L1110" i="2"/>
  <c r="M1110" i="2"/>
  <c r="N1110" i="2"/>
  <c r="K1111" i="2"/>
  <c r="L1111" i="2"/>
  <c r="M1111" i="2"/>
  <c r="N1111" i="2"/>
  <c r="K1112" i="2"/>
  <c r="L1112" i="2"/>
  <c r="M1112" i="2"/>
  <c r="N1112" i="2"/>
  <c r="K1113" i="2"/>
  <c r="L1113" i="2"/>
  <c r="M1113" i="2"/>
  <c r="N1113" i="2"/>
  <c r="K1114" i="2"/>
  <c r="L1114" i="2"/>
  <c r="M1114" i="2"/>
  <c r="N1114" i="2"/>
  <c r="K1115" i="2"/>
  <c r="L1115" i="2"/>
  <c r="M1115" i="2"/>
  <c r="N1115" i="2"/>
  <c r="K1116" i="2"/>
  <c r="L1116" i="2"/>
  <c r="M1116" i="2"/>
  <c r="N1116" i="2"/>
  <c r="K1117" i="2"/>
  <c r="L1117" i="2"/>
  <c r="M1117" i="2"/>
  <c r="N1117" i="2"/>
  <c r="K1118" i="2"/>
  <c r="L1118" i="2"/>
  <c r="M1118" i="2"/>
  <c r="N1118" i="2"/>
  <c r="K1119" i="2"/>
  <c r="L1119" i="2"/>
  <c r="M1119" i="2"/>
  <c r="N1119" i="2"/>
  <c r="K1120" i="2"/>
  <c r="L1120" i="2"/>
  <c r="M1120" i="2"/>
  <c r="N1120" i="2"/>
  <c r="K1121" i="2"/>
  <c r="L1121" i="2"/>
  <c r="M1121" i="2"/>
  <c r="N1121" i="2"/>
  <c r="K1122" i="2"/>
  <c r="L1122" i="2"/>
  <c r="M1122" i="2"/>
  <c r="N1122" i="2"/>
  <c r="K1123" i="2"/>
  <c r="L1123" i="2"/>
  <c r="M1123" i="2"/>
  <c r="N1123" i="2"/>
  <c r="K1124" i="2"/>
  <c r="L1124" i="2"/>
  <c r="M1124" i="2"/>
  <c r="N1124" i="2"/>
  <c r="K1125" i="2"/>
  <c r="L1125" i="2"/>
  <c r="M1125" i="2"/>
  <c r="N1125" i="2"/>
  <c r="K1126" i="2"/>
  <c r="L1126" i="2"/>
  <c r="M1126" i="2"/>
  <c r="N1126" i="2"/>
  <c r="K1127" i="2"/>
  <c r="L1127" i="2"/>
  <c r="M1127" i="2"/>
  <c r="N1127" i="2"/>
  <c r="K1128" i="2"/>
  <c r="L1128" i="2"/>
  <c r="M1128" i="2"/>
  <c r="N1128" i="2"/>
  <c r="K1129" i="2"/>
  <c r="L1129" i="2"/>
  <c r="M1129" i="2"/>
  <c r="N1129" i="2"/>
  <c r="K1130" i="2"/>
  <c r="L1130" i="2"/>
  <c r="M1130" i="2"/>
  <c r="N1130" i="2"/>
  <c r="K1131" i="2"/>
  <c r="L1131" i="2"/>
  <c r="M1131" i="2"/>
  <c r="N1131" i="2"/>
  <c r="K1132" i="2"/>
  <c r="L1132" i="2"/>
  <c r="M1132" i="2"/>
  <c r="N1132" i="2"/>
  <c r="K1133" i="2"/>
  <c r="L1133" i="2"/>
  <c r="M1133" i="2"/>
  <c r="N1133" i="2"/>
  <c r="K1134" i="2"/>
  <c r="L1134" i="2"/>
  <c r="M1134" i="2"/>
  <c r="N1134" i="2"/>
  <c r="K1135" i="2"/>
  <c r="L1135" i="2"/>
  <c r="M1135" i="2"/>
  <c r="N1135" i="2"/>
  <c r="K1136" i="2"/>
  <c r="L1136" i="2"/>
  <c r="M1136" i="2"/>
  <c r="N1136" i="2"/>
  <c r="K1137" i="2"/>
  <c r="L1137" i="2"/>
  <c r="M1137" i="2"/>
  <c r="N1137" i="2"/>
  <c r="K1138" i="2"/>
  <c r="L1138" i="2"/>
  <c r="M1138" i="2"/>
  <c r="N1138" i="2"/>
  <c r="K1139" i="2"/>
  <c r="L1139" i="2"/>
  <c r="M1139" i="2"/>
  <c r="N1139" i="2"/>
  <c r="K1140" i="2"/>
  <c r="L1140" i="2"/>
  <c r="M1140" i="2"/>
  <c r="N1140" i="2"/>
  <c r="K1141" i="2"/>
  <c r="L1141" i="2"/>
  <c r="M1141" i="2"/>
  <c r="N1141" i="2"/>
  <c r="K1142" i="2"/>
  <c r="L1142" i="2"/>
  <c r="M1142" i="2"/>
  <c r="N1142" i="2"/>
  <c r="K1143" i="2"/>
  <c r="L1143" i="2"/>
  <c r="M1143" i="2"/>
  <c r="N1143" i="2"/>
  <c r="K1144" i="2"/>
  <c r="L1144" i="2"/>
  <c r="M1144" i="2"/>
  <c r="N1144" i="2"/>
  <c r="K1145" i="2"/>
  <c r="L1145" i="2"/>
  <c r="M1145" i="2"/>
  <c r="N1145" i="2"/>
  <c r="K1146" i="2"/>
  <c r="L1146" i="2"/>
  <c r="M1146" i="2"/>
  <c r="N1146" i="2"/>
  <c r="K1147" i="2"/>
  <c r="L1147" i="2"/>
  <c r="M1147" i="2"/>
  <c r="N1147" i="2"/>
  <c r="K1148" i="2"/>
  <c r="L1148" i="2"/>
  <c r="M1148" i="2"/>
  <c r="N1148" i="2"/>
  <c r="K1149" i="2"/>
  <c r="L1149" i="2"/>
  <c r="M1149" i="2"/>
  <c r="N1149" i="2"/>
  <c r="K1150" i="2"/>
  <c r="L1150" i="2"/>
  <c r="M1150" i="2"/>
  <c r="N1150" i="2"/>
  <c r="K1151" i="2"/>
  <c r="L1151" i="2"/>
  <c r="M1151" i="2"/>
  <c r="N1151" i="2"/>
  <c r="K1152" i="2"/>
  <c r="L1152" i="2"/>
  <c r="M1152" i="2"/>
  <c r="N1152" i="2"/>
  <c r="K1153" i="2"/>
  <c r="L1153" i="2"/>
  <c r="M1153" i="2"/>
  <c r="N1153" i="2"/>
  <c r="K1154" i="2"/>
  <c r="L1154" i="2"/>
  <c r="M1154" i="2"/>
  <c r="N1154" i="2"/>
  <c r="K1155" i="2"/>
  <c r="L1155" i="2"/>
  <c r="M1155" i="2"/>
  <c r="N1155" i="2"/>
  <c r="K1156" i="2"/>
  <c r="L1156" i="2"/>
  <c r="M1156" i="2"/>
  <c r="N1156" i="2"/>
  <c r="K1157" i="2"/>
  <c r="L1157" i="2"/>
  <c r="M1157" i="2"/>
  <c r="N1157" i="2"/>
  <c r="K1158" i="2"/>
  <c r="L1158" i="2"/>
  <c r="M1158" i="2"/>
  <c r="N1158" i="2"/>
  <c r="K1159" i="2"/>
  <c r="L1159" i="2"/>
  <c r="M1159" i="2"/>
  <c r="N1159" i="2"/>
  <c r="K1160" i="2"/>
  <c r="L1160" i="2"/>
  <c r="M1160" i="2"/>
  <c r="N1160" i="2"/>
  <c r="K1161" i="2"/>
  <c r="L1161" i="2"/>
  <c r="M1161" i="2"/>
  <c r="N1161" i="2"/>
  <c r="K1162" i="2"/>
  <c r="L1162" i="2"/>
  <c r="M1162" i="2"/>
  <c r="N1162" i="2"/>
  <c r="K1163" i="2"/>
  <c r="L1163" i="2"/>
  <c r="M1163" i="2"/>
  <c r="N1163" i="2"/>
  <c r="K1164" i="2"/>
  <c r="L1164" i="2"/>
  <c r="M1164" i="2"/>
  <c r="N1164" i="2"/>
  <c r="K1165" i="2"/>
  <c r="L1165" i="2"/>
  <c r="M1165" i="2"/>
  <c r="N1165" i="2"/>
  <c r="K1166" i="2"/>
  <c r="L1166" i="2"/>
  <c r="M1166" i="2"/>
  <c r="N1166" i="2"/>
  <c r="K1167" i="2"/>
  <c r="L1167" i="2"/>
  <c r="M1167" i="2"/>
  <c r="N1167" i="2"/>
  <c r="K1168" i="2"/>
  <c r="L1168" i="2"/>
  <c r="M1168" i="2"/>
  <c r="N1168" i="2"/>
  <c r="K1169" i="2"/>
  <c r="L1169" i="2"/>
  <c r="M1169" i="2"/>
  <c r="N1169" i="2"/>
  <c r="K1170" i="2"/>
  <c r="L1170" i="2"/>
  <c r="M1170" i="2"/>
  <c r="N1170" i="2"/>
  <c r="K1171" i="2"/>
  <c r="L1171" i="2"/>
  <c r="M1171" i="2"/>
  <c r="N1171" i="2"/>
  <c r="K1172" i="2"/>
  <c r="L1172" i="2"/>
  <c r="M1172" i="2"/>
  <c r="N1172" i="2"/>
  <c r="K1173" i="2"/>
  <c r="L1173" i="2"/>
  <c r="M1173" i="2"/>
  <c r="N1173" i="2"/>
  <c r="K1174" i="2"/>
  <c r="L1174" i="2"/>
  <c r="M1174" i="2"/>
  <c r="N1174" i="2"/>
  <c r="K1175" i="2"/>
  <c r="L1175" i="2"/>
  <c r="M1175" i="2"/>
  <c r="N1175" i="2"/>
  <c r="K1176" i="2"/>
  <c r="L1176" i="2"/>
  <c r="M1176" i="2"/>
  <c r="N1176" i="2"/>
  <c r="K1177" i="2"/>
  <c r="L1177" i="2"/>
  <c r="M1177" i="2"/>
  <c r="N1177" i="2"/>
  <c r="K1178" i="2"/>
  <c r="L1178" i="2"/>
  <c r="M1178" i="2"/>
  <c r="N1178" i="2"/>
  <c r="K1179" i="2"/>
  <c r="L1179" i="2"/>
  <c r="M1179" i="2"/>
  <c r="N1179" i="2"/>
  <c r="K1180" i="2"/>
  <c r="L1180" i="2"/>
  <c r="M1180" i="2"/>
  <c r="N1180" i="2"/>
  <c r="K1181" i="2"/>
  <c r="L1181" i="2"/>
  <c r="M1181" i="2"/>
  <c r="N1181" i="2"/>
  <c r="K1182" i="2"/>
  <c r="L1182" i="2"/>
  <c r="M1182" i="2"/>
  <c r="N1182" i="2"/>
  <c r="K1183" i="2"/>
  <c r="L1183" i="2"/>
  <c r="M1183" i="2"/>
  <c r="N1183" i="2"/>
  <c r="K1184" i="2"/>
  <c r="L1184" i="2"/>
  <c r="M1184" i="2"/>
  <c r="N1184" i="2"/>
  <c r="K1185" i="2"/>
  <c r="L1185" i="2"/>
  <c r="M1185" i="2"/>
  <c r="N1185" i="2"/>
  <c r="K1186" i="2"/>
  <c r="L1186" i="2"/>
  <c r="M1186" i="2"/>
  <c r="N1186" i="2"/>
  <c r="K1187" i="2"/>
  <c r="L1187" i="2"/>
  <c r="M1187" i="2"/>
  <c r="N1187" i="2"/>
  <c r="K1188" i="2"/>
  <c r="L1188" i="2"/>
  <c r="M1188" i="2"/>
  <c r="N1188" i="2"/>
  <c r="K1189" i="2"/>
  <c r="L1189" i="2"/>
  <c r="M1189" i="2"/>
  <c r="N1189" i="2"/>
  <c r="K1190" i="2"/>
  <c r="L1190" i="2"/>
  <c r="M1190" i="2"/>
  <c r="N1190" i="2"/>
  <c r="K1191" i="2"/>
  <c r="L1191" i="2"/>
  <c r="M1191" i="2"/>
  <c r="N1191" i="2"/>
  <c r="K1192" i="2"/>
  <c r="L1192" i="2"/>
  <c r="M1192" i="2"/>
  <c r="N1192" i="2"/>
  <c r="K1193" i="2"/>
  <c r="L1193" i="2"/>
  <c r="M1193" i="2"/>
  <c r="N1193" i="2"/>
  <c r="K1194" i="2"/>
  <c r="L1194" i="2"/>
  <c r="M1194" i="2"/>
  <c r="N1194" i="2"/>
  <c r="K1195" i="2"/>
  <c r="L1195" i="2"/>
  <c r="M1195" i="2"/>
  <c r="N1195" i="2"/>
  <c r="K1196" i="2"/>
  <c r="L1196" i="2"/>
  <c r="M1196" i="2"/>
  <c r="N1196" i="2"/>
  <c r="K1197" i="2"/>
  <c r="L1197" i="2"/>
  <c r="M1197" i="2"/>
  <c r="N1197" i="2"/>
  <c r="K1198" i="2"/>
  <c r="L1198" i="2"/>
  <c r="M1198" i="2"/>
  <c r="N1198" i="2"/>
  <c r="K1199" i="2"/>
  <c r="L1199" i="2"/>
  <c r="M1199" i="2"/>
  <c r="N1199" i="2"/>
  <c r="K1200" i="2"/>
  <c r="L1200" i="2"/>
  <c r="M1200" i="2"/>
  <c r="N1200" i="2"/>
  <c r="K1201" i="2"/>
  <c r="L1201" i="2"/>
  <c r="M1201" i="2"/>
  <c r="N1201" i="2"/>
  <c r="K1202" i="2"/>
  <c r="L1202" i="2"/>
  <c r="M1202" i="2"/>
  <c r="N1202" i="2"/>
  <c r="K1203" i="2"/>
  <c r="L1203" i="2"/>
  <c r="M1203" i="2"/>
  <c r="N1203" i="2"/>
  <c r="K1204" i="2"/>
  <c r="L1204" i="2"/>
  <c r="M1204" i="2"/>
  <c r="N1204" i="2"/>
  <c r="K1205" i="2"/>
  <c r="L1205" i="2"/>
  <c r="M1205" i="2"/>
  <c r="N1205" i="2"/>
  <c r="K1206" i="2"/>
  <c r="L1206" i="2"/>
  <c r="M1206" i="2"/>
  <c r="N1206" i="2"/>
  <c r="K1207" i="2"/>
  <c r="L1207" i="2"/>
  <c r="M1207" i="2"/>
  <c r="N1207" i="2"/>
  <c r="K1208" i="2"/>
  <c r="L1208" i="2"/>
  <c r="M1208" i="2"/>
  <c r="N1208" i="2"/>
  <c r="K1209" i="2"/>
  <c r="L1209" i="2"/>
  <c r="M1209" i="2"/>
  <c r="N1209" i="2"/>
  <c r="K1210" i="2"/>
  <c r="L1210" i="2"/>
  <c r="M1210" i="2"/>
  <c r="N1210" i="2"/>
  <c r="K1211" i="2"/>
  <c r="L1211" i="2"/>
  <c r="M1211" i="2"/>
  <c r="N1211" i="2"/>
  <c r="K1212" i="2"/>
  <c r="L1212" i="2"/>
  <c r="M1212" i="2"/>
  <c r="N1212" i="2"/>
  <c r="K1213" i="2"/>
  <c r="L1213" i="2"/>
  <c r="M1213" i="2"/>
  <c r="N1213" i="2"/>
  <c r="K1214" i="2"/>
  <c r="L1214" i="2"/>
  <c r="M1214" i="2"/>
  <c r="N1214" i="2"/>
  <c r="K1215" i="2"/>
  <c r="L1215" i="2"/>
  <c r="M1215" i="2"/>
  <c r="N1215" i="2"/>
  <c r="K1216" i="2"/>
  <c r="L1216" i="2"/>
  <c r="M1216" i="2"/>
  <c r="N1216" i="2"/>
  <c r="K1217" i="2"/>
  <c r="L1217" i="2"/>
  <c r="M1217" i="2"/>
  <c r="N1217" i="2"/>
  <c r="K1218" i="2"/>
  <c r="L1218" i="2"/>
  <c r="M1218" i="2"/>
  <c r="N1218" i="2"/>
  <c r="K1219" i="2"/>
  <c r="L1219" i="2"/>
  <c r="M1219" i="2"/>
  <c r="N1219" i="2"/>
  <c r="K1220" i="2"/>
  <c r="L1220" i="2"/>
  <c r="M1220" i="2"/>
  <c r="N1220" i="2"/>
  <c r="K1221" i="2"/>
  <c r="L1221" i="2"/>
  <c r="M1221" i="2"/>
  <c r="N1221" i="2"/>
  <c r="K1222" i="2"/>
  <c r="L1222" i="2"/>
  <c r="M1222" i="2"/>
  <c r="N1222" i="2"/>
  <c r="K1223" i="2"/>
  <c r="L1223" i="2"/>
  <c r="M1223" i="2"/>
  <c r="N1223" i="2"/>
  <c r="K1224" i="2"/>
  <c r="L1224" i="2"/>
  <c r="M1224" i="2"/>
  <c r="N1224" i="2"/>
  <c r="K1225" i="2"/>
  <c r="L1225" i="2"/>
  <c r="M1225" i="2"/>
  <c r="N1225" i="2"/>
  <c r="K1226" i="2"/>
  <c r="L1226" i="2"/>
  <c r="M1226" i="2"/>
  <c r="N1226" i="2"/>
  <c r="K1227" i="2"/>
  <c r="L1227" i="2"/>
  <c r="M1227" i="2"/>
  <c r="N1227" i="2"/>
  <c r="K1228" i="2"/>
  <c r="L1228" i="2"/>
  <c r="M1228" i="2"/>
  <c r="N1228" i="2"/>
  <c r="K1229" i="2"/>
  <c r="L1229" i="2"/>
  <c r="M1229" i="2"/>
  <c r="N1229" i="2"/>
  <c r="K1230" i="2"/>
  <c r="L1230" i="2"/>
  <c r="M1230" i="2"/>
  <c r="N1230" i="2"/>
  <c r="K1231" i="2"/>
  <c r="L1231" i="2"/>
  <c r="M1231" i="2"/>
  <c r="N1231" i="2"/>
  <c r="K1232" i="2"/>
  <c r="L1232" i="2"/>
  <c r="M1232" i="2"/>
  <c r="N1232" i="2"/>
  <c r="K1233" i="2"/>
  <c r="L1233" i="2"/>
  <c r="M1233" i="2"/>
  <c r="N1233" i="2"/>
  <c r="K1234" i="2"/>
  <c r="L1234" i="2"/>
  <c r="M1234" i="2"/>
  <c r="N1234" i="2"/>
  <c r="K1235" i="2"/>
  <c r="L1235" i="2"/>
  <c r="M1235" i="2"/>
  <c r="N1235" i="2"/>
  <c r="K1236" i="2"/>
  <c r="L1236" i="2"/>
  <c r="M1236" i="2"/>
  <c r="N1236" i="2"/>
  <c r="K1237" i="2"/>
  <c r="L1237" i="2"/>
  <c r="M1237" i="2"/>
  <c r="N1237" i="2"/>
  <c r="K1238" i="2"/>
  <c r="L1238" i="2"/>
  <c r="M1238" i="2"/>
  <c r="N1238" i="2"/>
  <c r="K1239" i="2"/>
  <c r="L1239" i="2"/>
  <c r="M1239" i="2"/>
  <c r="N1239" i="2"/>
  <c r="K1240" i="2"/>
  <c r="L1240" i="2"/>
  <c r="M1240" i="2"/>
  <c r="N1240" i="2"/>
  <c r="K1241" i="2"/>
  <c r="L1241" i="2"/>
  <c r="M1241" i="2"/>
  <c r="N1241" i="2"/>
  <c r="K1242" i="2"/>
  <c r="L1242" i="2"/>
  <c r="M1242" i="2"/>
  <c r="N1242" i="2"/>
  <c r="K1243" i="2"/>
  <c r="L1243" i="2"/>
  <c r="M1243" i="2"/>
  <c r="N1243" i="2"/>
  <c r="K1244" i="2"/>
  <c r="L1244" i="2"/>
  <c r="M1244" i="2"/>
  <c r="N1244" i="2"/>
  <c r="K1245" i="2"/>
  <c r="L1245" i="2"/>
  <c r="M1245" i="2"/>
  <c r="N1245" i="2"/>
  <c r="K1246" i="2"/>
  <c r="L1246" i="2"/>
  <c r="M1246" i="2"/>
  <c r="N1246" i="2"/>
  <c r="K1247" i="2"/>
  <c r="L1247" i="2"/>
  <c r="M1247" i="2"/>
  <c r="N1247" i="2"/>
  <c r="K1248" i="2"/>
  <c r="L1248" i="2"/>
  <c r="M1248" i="2"/>
  <c r="N1248" i="2"/>
  <c r="K1249" i="2"/>
  <c r="L1249" i="2"/>
  <c r="M1249" i="2"/>
  <c r="N1249" i="2"/>
  <c r="K1250" i="2"/>
  <c r="L1250" i="2"/>
  <c r="M1250" i="2"/>
  <c r="N1250" i="2"/>
  <c r="K1251" i="2"/>
  <c r="L1251" i="2"/>
  <c r="M1251" i="2"/>
  <c r="N1251" i="2"/>
  <c r="K1252" i="2"/>
  <c r="L1252" i="2"/>
  <c r="M1252" i="2"/>
  <c r="N1252" i="2"/>
  <c r="K1253" i="2"/>
  <c r="L1253" i="2"/>
  <c r="M1253" i="2"/>
  <c r="N1253" i="2"/>
  <c r="K1254" i="2"/>
  <c r="L1254" i="2"/>
  <c r="M1254" i="2"/>
  <c r="N1254" i="2"/>
  <c r="K1255" i="2"/>
  <c r="L1255" i="2"/>
  <c r="M1255" i="2"/>
  <c r="N1255" i="2"/>
  <c r="K1256" i="2"/>
  <c r="L1256" i="2"/>
  <c r="M1256" i="2"/>
  <c r="N1256" i="2"/>
  <c r="K1257" i="2"/>
  <c r="L1257" i="2"/>
  <c r="M1257" i="2"/>
  <c r="N1257" i="2"/>
  <c r="K1258" i="2"/>
  <c r="L1258" i="2"/>
  <c r="M1258" i="2"/>
  <c r="N1258" i="2"/>
  <c r="K1259" i="2"/>
  <c r="L1259" i="2"/>
  <c r="M1259" i="2"/>
  <c r="N1259" i="2"/>
  <c r="K1260" i="2"/>
  <c r="L1260" i="2"/>
  <c r="M1260" i="2"/>
  <c r="N1260" i="2"/>
  <c r="K1261" i="2"/>
  <c r="L1261" i="2"/>
  <c r="M1261" i="2"/>
  <c r="N1261" i="2"/>
  <c r="K1262" i="2"/>
  <c r="L1262" i="2"/>
  <c r="M1262" i="2"/>
  <c r="N1262" i="2"/>
  <c r="K1263" i="2"/>
  <c r="L1263" i="2"/>
  <c r="M1263" i="2"/>
  <c r="N1263" i="2"/>
  <c r="K1264" i="2"/>
  <c r="L1264" i="2"/>
  <c r="M1264" i="2"/>
  <c r="N1264" i="2"/>
  <c r="K1265" i="2"/>
  <c r="L1265" i="2"/>
  <c r="M1265" i="2"/>
  <c r="N1265" i="2"/>
  <c r="K1266" i="2"/>
  <c r="L1266" i="2"/>
  <c r="M1266" i="2"/>
  <c r="N1266" i="2"/>
  <c r="K1267" i="2"/>
  <c r="L1267" i="2"/>
  <c r="M1267" i="2"/>
  <c r="N1267" i="2"/>
  <c r="K1268" i="2"/>
  <c r="L1268" i="2"/>
  <c r="M1268" i="2"/>
  <c r="N1268" i="2"/>
  <c r="K1269" i="2"/>
  <c r="L1269" i="2"/>
  <c r="M1269" i="2"/>
  <c r="N1269" i="2"/>
  <c r="K1270" i="2"/>
  <c r="L1270" i="2"/>
  <c r="M1270" i="2"/>
  <c r="N1270" i="2"/>
  <c r="K1271" i="2"/>
  <c r="L1271" i="2"/>
  <c r="M1271" i="2"/>
  <c r="N1271" i="2"/>
  <c r="K1272" i="2"/>
  <c r="L1272" i="2"/>
  <c r="M1272" i="2"/>
  <c r="N1272" i="2"/>
  <c r="K1273" i="2"/>
  <c r="L1273" i="2"/>
  <c r="M1273" i="2"/>
  <c r="N1273" i="2"/>
  <c r="K1274" i="2"/>
  <c r="L1274" i="2"/>
  <c r="M1274" i="2"/>
  <c r="N1274" i="2"/>
  <c r="K1275" i="2"/>
  <c r="L1275" i="2"/>
  <c r="M1275" i="2"/>
  <c r="N1275" i="2"/>
  <c r="K1276" i="2"/>
  <c r="L1276" i="2"/>
  <c r="M1276" i="2"/>
  <c r="N1276" i="2"/>
  <c r="K1277" i="2"/>
  <c r="L1277" i="2"/>
  <c r="M1277" i="2"/>
  <c r="N1277" i="2"/>
  <c r="K1278" i="2"/>
  <c r="L1278" i="2"/>
  <c r="M1278" i="2"/>
  <c r="N1278" i="2"/>
  <c r="K1279" i="2"/>
  <c r="L1279" i="2"/>
  <c r="M1279" i="2"/>
  <c r="N1279" i="2"/>
  <c r="K1280" i="2"/>
  <c r="L1280" i="2"/>
  <c r="M1280" i="2"/>
  <c r="N1280" i="2"/>
  <c r="K1281" i="2"/>
  <c r="L1281" i="2"/>
  <c r="M1281" i="2"/>
  <c r="N1281" i="2"/>
  <c r="K1282" i="2"/>
  <c r="L1282" i="2"/>
  <c r="M1282" i="2"/>
  <c r="N1282" i="2"/>
  <c r="K1283" i="2"/>
  <c r="L1283" i="2"/>
  <c r="M1283" i="2"/>
  <c r="N1283" i="2"/>
  <c r="K1284" i="2"/>
  <c r="L1284" i="2"/>
  <c r="M1284" i="2"/>
  <c r="N1284" i="2"/>
  <c r="K1285" i="2"/>
  <c r="L1285" i="2"/>
  <c r="M1285" i="2"/>
  <c r="N1285" i="2"/>
  <c r="K1286" i="2"/>
  <c r="L1286" i="2"/>
  <c r="M1286" i="2"/>
  <c r="N1286" i="2"/>
  <c r="K1287" i="2"/>
  <c r="L1287" i="2"/>
  <c r="M1287" i="2"/>
  <c r="N1287" i="2"/>
  <c r="K1288" i="2"/>
  <c r="L1288" i="2"/>
  <c r="M1288" i="2"/>
  <c r="N1288" i="2"/>
  <c r="K1289" i="2"/>
  <c r="L1289" i="2"/>
  <c r="M1289" i="2"/>
  <c r="N1289" i="2"/>
  <c r="K1290" i="2"/>
  <c r="L1290" i="2"/>
  <c r="M1290" i="2"/>
  <c r="N1290" i="2"/>
  <c r="K1291" i="2"/>
  <c r="L1291" i="2"/>
  <c r="M1291" i="2"/>
  <c r="N1291" i="2"/>
  <c r="K1292" i="2"/>
  <c r="L1292" i="2"/>
  <c r="M1292" i="2"/>
  <c r="N1292" i="2"/>
  <c r="K1293" i="2"/>
  <c r="L1293" i="2"/>
  <c r="M1293" i="2"/>
  <c r="N1293" i="2"/>
  <c r="K1294" i="2"/>
  <c r="L1294" i="2"/>
  <c r="M1294" i="2"/>
  <c r="N1294" i="2"/>
  <c r="K1295" i="2"/>
  <c r="L1295" i="2"/>
  <c r="M1295" i="2"/>
  <c r="N1295" i="2"/>
  <c r="K1296" i="2"/>
  <c r="L1296" i="2"/>
  <c r="M1296" i="2"/>
  <c r="N1296" i="2"/>
  <c r="K1297" i="2"/>
  <c r="L1297" i="2"/>
  <c r="M1297" i="2"/>
  <c r="N1297" i="2"/>
  <c r="K1298" i="2"/>
  <c r="L1298" i="2"/>
  <c r="M1298" i="2"/>
  <c r="N1298" i="2"/>
  <c r="K1299" i="2"/>
  <c r="L1299" i="2"/>
  <c r="M1299" i="2"/>
  <c r="N1299" i="2"/>
  <c r="K1300" i="2"/>
  <c r="L1300" i="2"/>
  <c r="M1300" i="2"/>
  <c r="N1300" i="2"/>
  <c r="K1301" i="2"/>
  <c r="L1301" i="2"/>
  <c r="M1301" i="2"/>
  <c r="N1301" i="2"/>
  <c r="K1302" i="2"/>
  <c r="L1302" i="2"/>
  <c r="M1302" i="2"/>
  <c r="N1302" i="2"/>
  <c r="K1303" i="2"/>
  <c r="L1303" i="2"/>
  <c r="M1303" i="2"/>
  <c r="N1303" i="2"/>
  <c r="K1304" i="2"/>
  <c r="L1304" i="2"/>
  <c r="M1304" i="2"/>
  <c r="N1304" i="2"/>
  <c r="K1305" i="2"/>
  <c r="L1305" i="2"/>
  <c r="M1305" i="2"/>
  <c r="N1305" i="2"/>
  <c r="K1306" i="2"/>
  <c r="L1306" i="2"/>
  <c r="M1306" i="2"/>
  <c r="N1306" i="2"/>
  <c r="K1307" i="2"/>
  <c r="L1307" i="2"/>
  <c r="M1307" i="2"/>
  <c r="N1307" i="2"/>
  <c r="K1308" i="2"/>
  <c r="L1308" i="2"/>
  <c r="M1308" i="2"/>
  <c r="N1308" i="2"/>
  <c r="K1309" i="2"/>
  <c r="L1309" i="2"/>
  <c r="M1309" i="2"/>
  <c r="N1309" i="2"/>
  <c r="K1310" i="2"/>
  <c r="L1310" i="2"/>
  <c r="M1310" i="2"/>
  <c r="N1310" i="2"/>
  <c r="K1311" i="2"/>
  <c r="L1311" i="2"/>
  <c r="M1311" i="2"/>
  <c r="N1311" i="2"/>
  <c r="K1312" i="2"/>
  <c r="L1312" i="2"/>
  <c r="M1312" i="2"/>
  <c r="N1312" i="2"/>
  <c r="K1313" i="2"/>
  <c r="L1313" i="2"/>
  <c r="M1313" i="2"/>
  <c r="N1313" i="2"/>
  <c r="K1314" i="2"/>
  <c r="L1314" i="2"/>
  <c r="M1314" i="2"/>
  <c r="N1314" i="2"/>
  <c r="K1315" i="2"/>
  <c r="L1315" i="2"/>
  <c r="M1315" i="2"/>
  <c r="N1315" i="2"/>
  <c r="K1316" i="2"/>
  <c r="L1316" i="2"/>
  <c r="M1316" i="2"/>
  <c r="N1316" i="2"/>
  <c r="K1317" i="2"/>
  <c r="L1317" i="2"/>
  <c r="M1317" i="2"/>
  <c r="N1317" i="2"/>
  <c r="K1318" i="2"/>
  <c r="L1318" i="2"/>
  <c r="M1318" i="2"/>
  <c r="N1318" i="2"/>
  <c r="K1319" i="2"/>
  <c r="L1319" i="2"/>
  <c r="M1319" i="2"/>
  <c r="N1319" i="2"/>
  <c r="K1320" i="2"/>
  <c r="L1320" i="2"/>
  <c r="M1320" i="2"/>
  <c r="N1320" i="2"/>
  <c r="K1321" i="2"/>
  <c r="L1321" i="2"/>
  <c r="M1321" i="2"/>
  <c r="N1321" i="2"/>
  <c r="K1322" i="2"/>
  <c r="L1322" i="2"/>
  <c r="M1322" i="2"/>
  <c r="N1322" i="2"/>
  <c r="K1323" i="2"/>
  <c r="L1323" i="2"/>
  <c r="M1323" i="2"/>
  <c r="N1323" i="2"/>
  <c r="K1324" i="2"/>
  <c r="L1324" i="2"/>
  <c r="M1324" i="2"/>
  <c r="N1324" i="2"/>
  <c r="K1325" i="2"/>
  <c r="L1325" i="2"/>
  <c r="M1325" i="2"/>
  <c r="N1325" i="2"/>
  <c r="K1326" i="2"/>
  <c r="L1326" i="2"/>
  <c r="M1326" i="2"/>
  <c r="N1326" i="2"/>
  <c r="K1327" i="2"/>
  <c r="L1327" i="2"/>
  <c r="M1327" i="2"/>
  <c r="N1327" i="2"/>
  <c r="K1328" i="2"/>
  <c r="L1328" i="2"/>
  <c r="M1328" i="2"/>
  <c r="N1328" i="2"/>
  <c r="K1329" i="2"/>
  <c r="L1329" i="2"/>
  <c r="M1329" i="2"/>
  <c r="N1329" i="2"/>
  <c r="K1330" i="2"/>
  <c r="L1330" i="2"/>
  <c r="M1330" i="2"/>
  <c r="N1330" i="2"/>
  <c r="K1331" i="2"/>
  <c r="L1331" i="2"/>
  <c r="M1331" i="2"/>
  <c r="N1331" i="2"/>
  <c r="K1332" i="2"/>
  <c r="L1332" i="2"/>
  <c r="M1332" i="2"/>
  <c r="N1332" i="2"/>
  <c r="K1333" i="2"/>
  <c r="L1333" i="2"/>
  <c r="M1333" i="2"/>
  <c r="N1333" i="2"/>
  <c r="K1334" i="2"/>
  <c r="L1334" i="2"/>
  <c r="M1334" i="2"/>
  <c r="N1334" i="2"/>
  <c r="K1335" i="2"/>
  <c r="L1335" i="2"/>
  <c r="M1335" i="2"/>
  <c r="N1335" i="2"/>
  <c r="K1336" i="2"/>
  <c r="L1336" i="2"/>
  <c r="M1336" i="2"/>
  <c r="N1336" i="2"/>
  <c r="K1337" i="2"/>
  <c r="L1337" i="2"/>
  <c r="M1337" i="2"/>
  <c r="N1337" i="2"/>
  <c r="K1338" i="2"/>
  <c r="L1338" i="2"/>
  <c r="M1338" i="2"/>
  <c r="N1338" i="2"/>
  <c r="K1339" i="2"/>
  <c r="L1339" i="2"/>
  <c r="M1339" i="2"/>
  <c r="N1339" i="2"/>
  <c r="K1340" i="2"/>
  <c r="L1340" i="2"/>
  <c r="M1340" i="2"/>
  <c r="N1340" i="2"/>
  <c r="K1341" i="2"/>
  <c r="L1341" i="2"/>
  <c r="M1341" i="2"/>
  <c r="N1341" i="2"/>
  <c r="K1342" i="2"/>
  <c r="L1342" i="2"/>
  <c r="M1342" i="2"/>
  <c r="N1342" i="2"/>
  <c r="K1343" i="2"/>
  <c r="L1343" i="2"/>
  <c r="M1343" i="2"/>
  <c r="N1343" i="2"/>
  <c r="K1344" i="2"/>
  <c r="L1344" i="2"/>
  <c r="M1344" i="2"/>
  <c r="N1344" i="2"/>
  <c r="K1345" i="2"/>
  <c r="L1345" i="2"/>
  <c r="M1345" i="2"/>
  <c r="N1345" i="2"/>
  <c r="K1346" i="2"/>
  <c r="L1346" i="2"/>
  <c r="M1346" i="2"/>
  <c r="N1346" i="2"/>
  <c r="K1347" i="2"/>
  <c r="L1347" i="2"/>
  <c r="M1347" i="2"/>
  <c r="N1347" i="2"/>
  <c r="K1348" i="2"/>
  <c r="L1348" i="2"/>
  <c r="M1348" i="2"/>
  <c r="N1348" i="2"/>
  <c r="K1349" i="2"/>
  <c r="L1349" i="2"/>
  <c r="M1349" i="2"/>
  <c r="N1349" i="2"/>
  <c r="K1350" i="2"/>
  <c r="L1350" i="2"/>
  <c r="M1350" i="2"/>
  <c r="N1350" i="2"/>
  <c r="K1351" i="2"/>
  <c r="L1351" i="2"/>
  <c r="M1351" i="2"/>
  <c r="N1351" i="2"/>
  <c r="K1352" i="2"/>
  <c r="L1352" i="2"/>
  <c r="M1352" i="2"/>
  <c r="N1352" i="2"/>
  <c r="K1353" i="2"/>
  <c r="L1353" i="2"/>
  <c r="M1353" i="2"/>
  <c r="N1353" i="2"/>
  <c r="K1354" i="2"/>
  <c r="L1354" i="2"/>
  <c r="M1354" i="2"/>
  <c r="N1354" i="2"/>
  <c r="K1355" i="2"/>
  <c r="L1355" i="2"/>
  <c r="M1355" i="2"/>
  <c r="N1355" i="2"/>
  <c r="K1356" i="2"/>
  <c r="L1356" i="2"/>
  <c r="M1356" i="2"/>
  <c r="N1356" i="2"/>
  <c r="K1357" i="2"/>
  <c r="L1357" i="2"/>
  <c r="M1357" i="2"/>
  <c r="N1357" i="2"/>
  <c r="K1358" i="2"/>
  <c r="L1358" i="2"/>
  <c r="M1358" i="2"/>
  <c r="N1358" i="2"/>
  <c r="K1359" i="2"/>
  <c r="L1359" i="2"/>
  <c r="M1359" i="2"/>
  <c r="N1359" i="2"/>
  <c r="K1360" i="2"/>
  <c r="L1360" i="2"/>
  <c r="M1360" i="2"/>
  <c r="N1360" i="2"/>
  <c r="K1361" i="2"/>
  <c r="L1361" i="2"/>
  <c r="M1361" i="2"/>
  <c r="N1361" i="2"/>
  <c r="K1362" i="2"/>
  <c r="L1362" i="2"/>
  <c r="M1362" i="2"/>
  <c r="N1362" i="2"/>
  <c r="K1363" i="2"/>
  <c r="L1363" i="2"/>
  <c r="M1363" i="2"/>
  <c r="N1363" i="2"/>
  <c r="K1364" i="2"/>
  <c r="L1364" i="2"/>
  <c r="M1364" i="2"/>
  <c r="N1364" i="2"/>
  <c r="K1365" i="2"/>
  <c r="L1365" i="2"/>
  <c r="M1365" i="2"/>
  <c r="N1365" i="2"/>
  <c r="K1366" i="2"/>
  <c r="L1366" i="2"/>
  <c r="M1366" i="2"/>
  <c r="N1366" i="2"/>
  <c r="K1367" i="2"/>
  <c r="L1367" i="2"/>
  <c r="M1367" i="2"/>
  <c r="N1367" i="2"/>
  <c r="K1368" i="2"/>
  <c r="L1368" i="2"/>
  <c r="M1368" i="2"/>
  <c r="N1368" i="2"/>
  <c r="K1369" i="2"/>
  <c r="L1369" i="2"/>
  <c r="M1369" i="2"/>
  <c r="N1369" i="2"/>
  <c r="K1370" i="2"/>
  <c r="L1370" i="2"/>
  <c r="M1370" i="2"/>
  <c r="N1370" i="2"/>
  <c r="K1371" i="2"/>
  <c r="L1371" i="2"/>
  <c r="M1371" i="2"/>
  <c r="N1371" i="2"/>
  <c r="K1372" i="2"/>
  <c r="L1372" i="2"/>
  <c r="M1372" i="2"/>
  <c r="N1372" i="2"/>
  <c r="K1373" i="2"/>
  <c r="L1373" i="2"/>
  <c r="M1373" i="2"/>
  <c r="N1373" i="2"/>
  <c r="K1374" i="2"/>
  <c r="L1374" i="2"/>
  <c r="M1374" i="2"/>
  <c r="N1374" i="2"/>
  <c r="K1375" i="2"/>
  <c r="L1375" i="2"/>
  <c r="M1375" i="2"/>
  <c r="N1375" i="2"/>
  <c r="K1376" i="2"/>
  <c r="L1376" i="2"/>
  <c r="M1376" i="2"/>
  <c r="N1376" i="2"/>
  <c r="K1377" i="2"/>
  <c r="L1377" i="2"/>
  <c r="M1377" i="2"/>
  <c r="N1377" i="2"/>
  <c r="K1378" i="2"/>
  <c r="L1378" i="2"/>
  <c r="M1378" i="2"/>
  <c r="N1378" i="2"/>
  <c r="K1379" i="2"/>
  <c r="L1379" i="2"/>
  <c r="M1379" i="2"/>
  <c r="N1379" i="2"/>
  <c r="K1380" i="2"/>
  <c r="L1380" i="2"/>
  <c r="M1380" i="2"/>
  <c r="N1380" i="2"/>
  <c r="K1381" i="2"/>
  <c r="L1381" i="2"/>
  <c r="M1381" i="2"/>
  <c r="N1381" i="2"/>
  <c r="K1382" i="2"/>
  <c r="L1382" i="2"/>
  <c r="M1382" i="2"/>
  <c r="N1382" i="2"/>
  <c r="K1383" i="2"/>
  <c r="L1383" i="2"/>
  <c r="M1383" i="2"/>
  <c r="N1383" i="2"/>
  <c r="K1384" i="2"/>
  <c r="L1384" i="2"/>
  <c r="M1384" i="2"/>
  <c r="N1384" i="2"/>
  <c r="K1385" i="2"/>
  <c r="L1385" i="2"/>
  <c r="M1385" i="2"/>
  <c r="N1385" i="2"/>
  <c r="K1386" i="2"/>
  <c r="L1386" i="2"/>
  <c r="M1386" i="2"/>
  <c r="N1386" i="2"/>
  <c r="K1387" i="2"/>
  <c r="L1387" i="2"/>
  <c r="M1387" i="2"/>
  <c r="N1387" i="2"/>
  <c r="K1388" i="2"/>
  <c r="L1388" i="2"/>
  <c r="M1388" i="2"/>
  <c r="N1388" i="2"/>
  <c r="K1389" i="2"/>
  <c r="L1389" i="2"/>
  <c r="M1389" i="2"/>
  <c r="N1389" i="2"/>
  <c r="K1390" i="2"/>
  <c r="L1390" i="2"/>
  <c r="M1390" i="2"/>
  <c r="N1390" i="2"/>
  <c r="K1391" i="2"/>
  <c r="L1391" i="2"/>
  <c r="M1391" i="2"/>
  <c r="N1391" i="2"/>
  <c r="K1392" i="2"/>
  <c r="L1392" i="2"/>
  <c r="M1392" i="2"/>
  <c r="N1392" i="2"/>
  <c r="K1393" i="2"/>
  <c r="L1393" i="2"/>
  <c r="M1393" i="2"/>
  <c r="N1393" i="2"/>
  <c r="K1394" i="2"/>
  <c r="L1394" i="2"/>
  <c r="M1394" i="2"/>
  <c r="N1394" i="2"/>
  <c r="K1395" i="2"/>
  <c r="L1395" i="2"/>
  <c r="M1395" i="2"/>
  <c r="N1395" i="2"/>
  <c r="K1396" i="2"/>
  <c r="L1396" i="2"/>
  <c r="M1396" i="2"/>
  <c r="N1396" i="2"/>
  <c r="K1397" i="2"/>
  <c r="L1397" i="2"/>
  <c r="M1397" i="2"/>
  <c r="N1397" i="2"/>
  <c r="K1398" i="2"/>
  <c r="L1398" i="2"/>
  <c r="M1398" i="2"/>
  <c r="N1398" i="2"/>
  <c r="K1399" i="2"/>
  <c r="L1399" i="2"/>
  <c r="M1399" i="2"/>
  <c r="N1399" i="2"/>
  <c r="K1400" i="2"/>
  <c r="L1400" i="2"/>
  <c r="M1400" i="2"/>
  <c r="N1400" i="2"/>
  <c r="K1401" i="2"/>
  <c r="L1401" i="2"/>
  <c r="M1401" i="2"/>
  <c r="N1401" i="2"/>
  <c r="K1402" i="2"/>
  <c r="L1402" i="2"/>
  <c r="M1402" i="2"/>
  <c r="N1402" i="2"/>
  <c r="K1403" i="2"/>
  <c r="L1403" i="2"/>
  <c r="M1403" i="2"/>
  <c r="N1403" i="2"/>
  <c r="K1404" i="2"/>
  <c r="L1404" i="2"/>
  <c r="M1404" i="2"/>
  <c r="N1404" i="2"/>
  <c r="K1405" i="2"/>
  <c r="L1405" i="2"/>
  <c r="M1405" i="2"/>
  <c r="N1405" i="2"/>
  <c r="K1406" i="2"/>
  <c r="L1406" i="2"/>
  <c r="M1406" i="2"/>
  <c r="N1406" i="2"/>
  <c r="K1407" i="2"/>
  <c r="L1407" i="2"/>
  <c r="M1407" i="2"/>
  <c r="N1407" i="2"/>
  <c r="K1408" i="2"/>
  <c r="L1408" i="2"/>
  <c r="M1408" i="2"/>
  <c r="N1408" i="2"/>
  <c r="K1409" i="2"/>
  <c r="L1409" i="2"/>
  <c r="M1409" i="2"/>
  <c r="N1409" i="2"/>
  <c r="K1410" i="2"/>
  <c r="L1410" i="2"/>
  <c r="M1410" i="2"/>
  <c r="N1410" i="2"/>
  <c r="K1411" i="2"/>
  <c r="L1411" i="2"/>
  <c r="M1411" i="2"/>
  <c r="N1411" i="2"/>
  <c r="K1412" i="2"/>
  <c r="L1412" i="2"/>
  <c r="M1412" i="2"/>
  <c r="N1412" i="2"/>
  <c r="K1413" i="2"/>
  <c r="L1413" i="2"/>
  <c r="M1413" i="2"/>
  <c r="N1413" i="2"/>
  <c r="K1414" i="2"/>
  <c r="L1414" i="2"/>
  <c r="M1414" i="2"/>
  <c r="N1414" i="2"/>
  <c r="K1415" i="2"/>
  <c r="L1415" i="2"/>
  <c r="M1415" i="2"/>
  <c r="N1415" i="2"/>
  <c r="K1416" i="2"/>
  <c r="L1416" i="2"/>
  <c r="M1416" i="2"/>
  <c r="N1416" i="2"/>
  <c r="K1417" i="2"/>
  <c r="L1417" i="2"/>
  <c r="M1417" i="2"/>
  <c r="N1417" i="2"/>
  <c r="K1418" i="2"/>
  <c r="L1418" i="2"/>
  <c r="M1418" i="2"/>
  <c r="N1418" i="2"/>
  <c r="K1419" i="2"/>
  <c r="L1419" i="2"/>
  <c r="M1419" i="2"/>
  <c r="N1419" i="2"/>
  <c r="K1420" i="2"/>
  <c r="L1420" i="2"/>
  <c r="M1420" i="2"/>
  <c r="N1420" i="2"/>
  <c r="K1421" i="2"/>
  <c r="L1421" i="2"/>
  <c r="M1421" i="2"/>
  <c r="N1421" i="2"/>
  <c r="K1422" i="2"/>
  <c r="L1422" i="2"/>
  <c r="M1422" i="2"/>
  <c r="N1422" i="2"/>
  <c r="K1423" i="2"/>
  <c r="L1423" i="2"/>
  <c r="M1423" i="2"/>
  <c r="N1423" i="2"/>
  <c r="K1424" i="2"/>
  <c r="L1424" i="2"/>
  <c r="M1424" i="2"/>
  <c r="N1424" i="2"/>
  <c r="K1425" i="2"/>
  <c r="L1425" i="2"/>
  <c r="M1425" i="2"/>
  <c r="N1425" i="2"/>
  <c r="K1426" i="2"/>
  <c r="L1426" i="2"/>
  <c r="M1426" i="2"/>
  <c r="N1426" i="2"/>
  <c r="K1427" i="2"/>
  <c r="L1427" i="2"/>
  <c r="M1427" i="2"/>
  <c r="N1427" i="2"/>
  <c r="K1428" i="2"/>
  <c r="L1428" i="2"/>
  <c r="M1428" i="2"/>
  <c r="N1428" i="2"/>
  <c r="K1429" i="2"/>
  <c r="L1429" i="2"/>
  <c r="M1429" i="2"/>
  <c r="N1429" i="2"/>
  <c r="K1430" i="2"/>
  <c r="L1430" i="2"/>
  <c r="M1430" i="2"/>
  <c r="N1430" i="2"/>
  <c r="K1431" i="2"/>
  <c r="L1431" i="2"/>
  <c r="M1431" i="2"/>
  <c r="N1431" i="2"/>
  <c r="K1432" i="2"/>
  <c r="L1432" i="2"/>
  <c r="M1432" i="2"/>
  <c r="N1432" i="2"/>
  <c r="K1433" i="2"/>
  <c r="L1433" i="2"/>
  <c r="M1433" i="2"/>
  <c r="N1433" i="2"/>
  <c r="K1434" i="2"/>
  <c r="L1434" i="2"/>
  <c r="M1434" i="2"/>
  <c r="N1434" i="2"/>
  <c r="K1435" i="2"/>
  <c r="L1435" i="2"/>
  <c r="M1435" i="2"/>
  <c r="N1435" i="2"/>
  <c r="K1436" i="2"/>
  <c r="L1436" i="2"/>
  <c r="M1436" i="2"/>
  <c r="N1436" i="2"/>
  <c r="K1437" i="2"/>
  <c r="L1437" i="2"/>
  <c r="M1437" i="2"/>
  <c r="N1437" i="2"/>
  <c r="K1438" i="2"/>
  <c r="L1438" i="2"/>
  <c r="M1438" i="2"/>
  <c r="N1438" i="2"/>
  <c r="K1439" i="2"/>
  <c r="L1439" i="2"/>
  <c r="M1439" i="2"/>
  <c r="N1439" i="2"/>
  <c r="K1440" i="2"/>
  <c r="L1440" i="2"/>
  <c r="M1440" i="2"/>
  <c r="N1440" i="2"/>
  <c r="K1441" i="2"/>
  <c r="L1441" i="2"/>
  <c r="M1441" i="2"/>
  <c r="N1441" i="2"/>
  <c r="K1442" i="2"/>
  <c r="L1442" i="2"/>
  <c r="M1442" i="2"/>
  <c r="N1442" i="2"/>
  <c r="K1443" i="2"/>
  <c r="L1443" i="2"/>
  <c r="M1443" i="2"/>
  <c r="N1443" i="2"/>
  <c r="K1444" i="2"/>
  <c r="L1444" i="2"/>
  <c r="M1444" i="2"/>
  <c r="N1444" i="2"/>
  <c r="K1445" i="2"/>
  <c r="L1445" i="2"/>
  <c r="M1445" i="2"/>
  <c r="N1445" i="2"/>
  <c r="K1446" i="2"/>
  <c r="L1446" i="2"/>
  <c r="M1446" i="2"/>
  <c r="N1446" i="2"/>
  <c r="K1447" i="2"/>
  <c r="L1447" i="2"/>
  <c r="M1447" i="2"/>
  <c r="N1447" i="2"/>
  <c r="K1448" i="2"/>
  <c r="L1448" i="2"/>
  <c r="M1448" i="2"/>
  <c r="N1448" i="2"/>
  <c r="K1449" i="2"/>
  <c r="L1449" i="2"/>
  <c r="M1449" i="2"/>
  <c r="N1449" i="2"/>
  <c r="K1450" i="2"/>
  <c r="L1450" i="2"/>
  <c r="M1450" i="2"/>
  <c r="N1450" i="2"/>
  <c r="K1451" i="2"/>
  <c r="L1451" i="2"/>
  <c r="M1451" i="2"/>
  <c r="N1451" i="2"/>
  <c r="K1452" i="2"/>
  <c r="L1452" i="2"/>
  <c r="M1452" i="2"/>
  <c r="N1452" i="2"/>
  <c r="K1453" i="2"/>
  <c r="L1453" i="2"/>
  <c r="M1453" i="2"/>
  <c r="N1453" i="2"/>
  <c r="K1454" i="2"/>
  <c r="L1454" i="2"/>
  <c r="M1454" i="2"/>
  <c r="N1454" i="2"/>
  <c r="K1455" i="2"/>
  <c r="L1455" i="2"/>
  <c r="M1455" i="2"/>
  <c r="N1455" i="2"/>
  <c r="K1456" i="2"/>
  <c r="L1456" i="2"/>
  <c r="M1456" i="2"/>
  <c r="N1456" i="2"/>
  <c r="K1457" i="2"/>
  <c r="L1457" i="2"/>
  <c r="M1457" i="2"/>
  <c r="N1457" i="2"/>
  <c r="K1458" i="2"/>
  <c r="L1458" i="2"/>
  <c r="M1458" i="2"/>
  <c r="N1458" i="2"/>
  <c r="K1459" i="2"/>
  <c r="L1459" i="2"/>
  <c r="M1459" i="2"/>
  <c r="N1459" i="2"/>
  <c r="K1460" i="2"/>
  <c r="L1460" i="2"/>
  <c r="M1460" i="2"/>
  <c r="N1460" i="2"/>
  <c r="K1461" i="2"/>
  <c r="L1461" i="2"/>
  <c r="M1461" i="2"/>
  <c r="N1461" i="2"/>
  <c r="K1462" i="2"/>
  <c r="L1462" i="2"/>
  <c r="M1462" i="2"/>
  <c r="N1462" i="2"/>
  <c r="K1463" i="2"/>
  <c r="L1463" i="2"/>
  <c r="M1463" i="2"/>
  <c r="N1463" i="2"/>
  <c r="K1464" i="2"/>
  <c r="L1464" i="2"/>
  <c r="M1464" i="2"/>
  <c r="N1464" i="2"/>
  <c r="K1465" i="2"/>
  <c r="L1465" i="2"/>
  <c r="M1465" i="2"/>
  <c r="N1465" i="2"/>
  <c r="K1466" i="2"/>
  <c r="L1466" i="2"/>
  <c r="M1466" i="2"/>
  <c r="N1466" i="2"/>
  <c r="K1467" i="2"/>
  <c r="L1467" i="2"/>
  <c r="M1467" i="2"/>
  <c r="N1467" i="2"/>
  <c r="K1468" i="2"/>
  <c r="L1468" i="2"/>
  <c r="M1468" i="2"/>
  <c r="N1468" i="2"/>
  <c r="K1469" i="2"/>
  <c r="L1469" i="2"/>
  <c r="M1469" i="2"/>
  <c r="N1469" i="2"/>
  <c r="K1470" i="2"/>
  <c r="L1470" i="2"/>
  <c r="M1470" i="2"/>
  <c r="N1470" i="2"/>
  <c r="K1471" i="2"/>
  <c r="L1471" i="2"/>
  <c r="M1471" i="2"/>
  <c r="N1471" i="2"/>
  <c r="K1472" i="2"/>
  <c r="L1472" i="2"/>
  <c r="M1472" i="2"/>
  <c r="N1472" i="2"/>
  <c r="K1473" i="2"/>
  <c r="L1473" i="2"/>
  <c r="M1473" i="2"/>
  <c r="N1473" i="2"/>
  <c r="K1474" i="2"/>
  <c r="L1474" i="2"/>
  <c r="M1474" i="2"/>
  <c r="N1474" i="2"/>
  <c r="K1475" i="2"/>
  <c r="L1475" i="2"/>
  <c r="M1475" i="2"/>
  <c r="N1475" i="2"/>
  <c r="K1476" i="2"/>
  <c r="L1476" i="2"/>
  <c r="M1476" i="2"/>
  <c r="N1476" i="2"/>
  <c r="K1477" i="2"/>
  <c r="L1477" i="2"/>
  <c r="M1477" i="2"/>
  <c r="N1477" i="2"/>
  <c r="K1478" i="2"/>
  <c r="L1478" i="2"/>
  <c r="M1478" i="2"/>
  <c r="N1478" i="2"/>
  <c r="K1479" i="2"/>
  <c r="L1479" i="2"/>
  <c r="M1479" i="2"/>
  <c r="N1479" i="2"/>
  <c r="K1480" i="2"/>
  <c r="L1480" i="2"/>
  <c r="M1480" i="2"/>
  <c r="N1480" i="2"/>
  <c r="K1481" i="2"/>
  <c r="L1481" i="2"/>
  <c r="M1481" i="2"/>
  <c r="N1481" i="2"/>
  <c r="K1482" i="2"/>
  <c r="L1482" i="2"/>
  <c r="M1482" i="2"/>
  <c r="N1482" i="2"/>
  <c r="K1483" i="2"/>
  <c r="L1483" i="2"/>
  <c r="M1483" i="2"/>
  <c r="N1483" i="2"/>
  <c r="K1484" i="2"/>
  <c r="L1484" i="2"/>
  <c r="M1484" i="2"/>
  <c r="N1484" i="2"/>
  <c r="K1496" i="2"/>
  <c r="L1496" i="2"/>
  <c r="M1496" i="2"/>
  <c r="N1496" i="2"/>
  <c r="K1497" i="2"/>
  <c r="L1497" i="2"/>
  <c r="M1497" i="2"/>
  <c r="N1497" i="2"/>
  <c r="K1498" i="2"/>
  <c r="L1498" i="2"/>
  <c r="M1498" i="2"/>
  <c r="N1498" i="2"/>
  <c r="K1499" i="2"/>
  <c r="L1499" i="2"/>
  <c r="M1499" i="2"/>
  <c r="N1499" i="2"/>
  <c r="K1500" i="2"/>
  <c r="L1500" i="2"/>
  <c r="M1500" i="2"/>
  <c r="N1500" i="2"/>
  <c r="K1501" i="2"/>
  <c r="L1501" i="2"/>
  <c r="M1501" i="2"/>
  <c r="N1501" i="2"/>
  <c r="K1502" i="2"/>
  <c r="L1502" i="2"/>
  <c r="M1502" i="2"/>
  <c r="N1502" i="2"/>
  <c r="K1503" i="2"/>
  <c r="L1503" i="2"/>
  <c r="M1503" i="2"/>
  <c r="N1503" i="2"/>
  <c r="K1504" i="2"/>
  <c r="L1504" i="2"/>
  <c r="M1504" i="2"/>
  <c r="N1504" i="2"/>
  <c r="K1505" i="2"/>
  <c r="L1505" i="2"/>
  <c r="M1505" i="2"/>
  <c r="N1505" i="2"/>
  <c r="K1506" i="2"/>
  <c r="L1506" i="2"/>
  <c r="M1506" i="2"/>
  <c r="N1506" i="2"/>
  <c r="K1507" i="2"/>
  <c r="L1507" i="2"/>
  <c r="M1507" i="2"/>
  <c r="N1507" i="2"/>
  <c r="K1508" i="2"/>
  <c r="L1508" i="2"/>
  <c r="M1508" i="2"/>
  <c r="N1508" i="2"/>
  <c r="K1509" i="2"/>
  <c r="L1509" i="2"/>
  <c r="M1509" i="2"/>
  <c r="N1509" i="2"/>
  <c r="K1510" i="2"/>
  <c r="L1510" i="2"/>
  <c r="M1510" i="2"/>
  <c r="N1510" i="2"/>
  <c r="K1511" i="2"/>
  <c r="L1511" i="2"/>
  <c r="M1511" i="2"/>
  <c r="N1511" i="2"/>
  <c r="L1485" i="2"/>
  <c r="M1485" i="2"/>
  <c r="N1485" i="2"/>
  <c r="L1486" i="2"/>
  <c r="M1486" i="2"/>
  <c r="N1486" i="2"/>
  <c r="L1487" i="2"/>
  <c r="M1487" i="2"/>
  <c r="N1487" i="2"/>
  <c r="L1488" i="2"/>
  <c r="M1488" i="2"/>
  <c r="N1488" i="2"/>
  <c r="L1489" i="2"/>
  <c r="M1489" i="2"/>
  <c r="N1489" i="2"/>
  <c r="L1490" i="2"/>
  <c r="M1490" i="2"/>
  <c r="N1490" i="2"/>
  <c r="L1491" i="2"/>
  <c r="M1491" i="2"/>
  <c r="N1491" i="2"/>
  <c r="L1492" i="2"/>
  <c r="M1492" i="2"/>
  <c r="N1492" i="2"/>
  <c r="L1493" i="2"/>
  <c r="M1493" i="2"/>
  <c r="N1493" i="2"/>
  <c r="L1494" i="2"/>
  <c r="M1494" i="2"/>
  <c r="N1494" i="2"/>
  <c r="L1495" i="2"/>
  <c r="M1495" i="2"/>
  <c r="N1495" i="2"/>
  <c r="K1486" i="2"/>
  <c r="K1487" i="2"/>
  <c r="K1488" i="2"/>
  <c r="K1489" i="2"/>
  <c r="K1490" i="2"/>
  <c r="K1491" i="2"/>
  <c r="K1492" i="2"/>
  <c r="K1493" i="2"/>
  <c r="K1494" i="2"/>
  <c r="K1495" i="2"/>
  <c r="K1485" i="2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T216" i="4"/>
  <c r="S216" i="4"/>
  <c r="R216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T215" i="4"/>
  <c r="S215" i="4"/>
  <c r="R215" i="4"/>
  <c r="Q215" i="4"/>
  <c r="P215" i="4"/>
  <c r="O215" i="4"/>
  <c r="N215" i="4"/>
  <c r="M215" i="4"/>
  <c r="L215" i="4"/>
  <c r="K215" i="4"/>
  <c r="J215" i="4"/>
  <c r="I215" i="4"/>
  <c r="H215" i="4"/>
  <c r="G215" i="4"/>
  <c r="F215" i="4"/>
</calcChain>
</file>

<file path=xl/sharedStrings.xml><?xml version="1.0" encoding="utf-8"?>
<sst xmlns="http://schemas.openxmlformats.org/spreadsheetml/2006/main" count="26108" uniqueCount="189">
  <si>
    <t>reporter_desc</t>
  </si>
  <si>
    <t>Year</t>
  </si>
  <si>
    <t>variable</t>
  </si>
  <si>
    <t>value</t>
  </si>
  <si>
    <t>Source</t>
  </si>
  <si>
    <t>Australia</t>
  </si>
  <si>
    <t>Total_Net_Wgt</t>
  </si>
  <si>
    <t>Tinned Exports</t>
  </si>
  <si>
    <t>Austria</t>
  </si>
  <si>
    <t>Belgium</t>
  </si>
  <si>
    <t>Brazil</t>
  </si>
  <si>
    <t>Canada</t>
  </si>
  <si>
    <t>China</t>
  </si>
  <si>
    <t>Colombia</t>
  </si>
  <si>
    <t>Croatia</t>
  </si>
  <si>
    <t>Czechia</t>
  </si>
  <si>
    <t>CÃ´te d'Ivoire</t>
  </si>
  <si>
    <t>Ecuador</t>
  </si>
  <si>
    <t>El Salvador</t>
  </si>
  <si>
    <t>Estonia</t>
  </si>
  <si>
    <t>Fiji</t>
  </si>
  <si>
    <t>France</t>
  </si>
  <si>
    <t>Germany</t>
  </si>
  <si>
    <t>Ghana</t>
  </si>
  <si>
    <t>Greece</t>
  </si>
  <si>
    <t>Guatemala</t>
  </si>
  <si>
    <t>Hungary</t>
  </si>
  <si>
    <t>India</t>
  </si>
  <si>
    <t>Indonesia</t>
  </si>
  <si>
    <t>Italy</t>
  </si>
  <si>
    <t>Kuwait</t>
  </si>
  <si>
    <t>Latvia</t>
  </si>
  <si>
    <t>Luxembourg</t>
  </si>
  <si>
    <t>Madagascar</t>
  </si>
  <si>
    <t>Maldives</t>
  </si>
  <si>
    <t>Mauritius</t>
  </si>
  <si>
    <t>Mexico</t>
  </si>
  <si>
    <t>Minnows</t>
  </si>
  <si>
    <t>Missing Exports</t>
  </si>
  <si>
    <t>NA</t>
  </si>
  <si>
    <t>Netherlands</t>
  </si>
  <si>
    <t>Oman</t>
  </si>
  <si>
    <t>Peru</t>
  </si>
  <si>
    <t>Philippines</t>
  </si>
  <si>
    <t>Portugal</t>
  </si>
  <si>
    <t>Rep. of Korea</t>
  </si>
  <si>
    <t>Senegal</t>
  </si>
  <si>
    <t>Seychelles</t>
  </si>
  <si>
    <t>South Africa</t>
  </si>
  <si>
    <t>Spain</t>
  </si>
  <si>
    <t>Thailand</t>
  </si>
  <si>
    <t>Tunisia</t>
  </si>
  <si>
    <t>TÃ¼rkiye</t>
  </si>
  <si>
    <t>USA</t>
  </si>
  <si>
    <t>United Arab Emirates</t>
  </si>
  <si>
    <t>United Kingdom</t>
  </si>
  <si>
    <t>Viet Nam</t>
  </si>
  <si>
    <t>Total_Primary_Value</t>
  </si>
  <si>
    <t>Average_Price</t>
  </si>
  <si>
    <t>Raw Exports</t>
  </si>
  <si>
    <t>Yemen</t>
  </si>
  <si>
    <t>Trinidad and Tobago</t>
  </si>
  <si>
    <t>Singapore</t>
  </si>
  <si>
    <t>Samoa</t>
  </si>
  <si>
    <t>Panama</t>
  </si>
  <si>
    <t>Pakistan</t>
  </si>
  <si>
    <t>Nicaragua</t>
  </si>
  <si>
    <t>New Zealand</t>
  </si>
  <si>
    <t>Namibia</t>
  </si>
  <si>
    <t>Myanmar</t>
  </si>
  <si>
    <t>Morocco</t>
  </si>
  <si>
    <t>Malta</t>
  </si>
  <si>
    <t>Malaysia</t>
  </si>
  <si>
    <t>Kiribati</t>
  </si>
  <si>
    <t>Japan</t>
  </si>
  <si>
    <t>Ireland</t>
  </si>
  <si>
    <t>French Polynesia</t>
  </si>
  <si>
    <t>Denmark</t>
  </si>
  <si>
    <t>Cameroon</t>
  </si>
  <si>
    <t>Cabo Verde</t>
  </si>
  <si>
    <t>Brunei Darussalam</t>
  </si>
  <si>
    <t>Raw Imports</t>
  </si>
  <si>
    <t>Ukraine</t>
  </si>
  <si>
    <t>Togo</t>
  </si>
  <si>
    <t>Slovenia</t>
  </si>
  <si>
    <t>Saudi Arabia</t>
  </si>
  <si>
    <t>Russian Federation</t>
  </si>
  <si>
    <t>Qatar</t>
  </si>
  <si>
    <t>Poland</t>
  </si>
  <si>
    <t>Missing Imports</t>
  </si>
  <si>
    <t>Kenya</t>
  </si>
  <si>
    <t>Israel</t>
  </si>
  <si>
    <t>Iran</t>
  </si>
  <si>
    <t>Dem. Rep. of the Congo</t>
  </si>
  <si>
    <t>Costa Rica</t>
  </si>
  <si>
    <t>Chile</t>
  </si>
  <si>
    <t>Benin</t>
  </si>
  <si>
    <t>Algeria</t>
  </si>
  <si>
    <t>Tinned Imports</t>
  </si>
  <si>
    <t>Uruguay</t>
  </si>
  <si>
    <t>Switzerland</t>
  </si>
  <si>
    <t>Sweden</t>
  </si>
  <si>
    <t>Sudan (...2011)</t>
  </si>
  <si>
    <t>Sudan</t>
  </si>
  <si>
    <t>State of Palestine</t>
  </si>
  <si>
    <t>Slovakia</t>
  </si>
  <si>
    <t>Serbia</t>
  </si>
  <si>
    <t>Romania</t>
  </si>
  <si>
    <t>Paraguay</t>
  </si>
  <si>
    <t>Norway</t>
  </si>
  <si>
    <t>North Macedonia</t>
  </si>
  <si>
    <t>Mozambique</t>
  </si>
  <si>
    <t>Lithuania</t>
  </si>
  <si>
    <t>Kazakhstan</t>
  </si>
  <si>
    <t>Jordan</t>
  </si>
  <si>
    <t>Finland</t>
  </si>
  <si>
    <t>Ethiopia</t>
  </si>
  <si>
    <t>Egypt</t>
  </si>
  <si>
    <t>Dominican Rep.</t>
  </si>
  <si>
    <t>Cyprus</t>
  </si>
  <si>
    <t>Bulgaria</t>
  </si>
  <si>
    <t>Bosnia Herzegovina</t>
  </si>
  <si>
    <t>Barbados</t>
  </si>
  <si>
    <t>Bahrain</t>
  </si>
  <si>
    <t>Argentina</t>
  </si>
  <si>
    <t>Angola</t>
  </si>
  <si>
    <t>Column Labels</t>
  </si>
  <si>
    <t>Grand Total</t>
  </si>
  <si>
    <t>Row Labels</t>
  </si>
  <si>
    <t>Sum of value</t>
  </si>
  <si>
    <t>Summary of catch</t>
  </si>
  <si>
    <t>All values in metric tonnes</t>
  </si>
  <si>
    <t xml:space="preserve">4.1 Catch by gear </t>
  </si>
  <si>
    <t xml:space="preserve">Longline </t>
  </si>
  <si>
    <t xml:space="preserve">Purse seine </t>
  </si>
  <si>
    <t>Pole and line</t>
  </si>
  <si>
    <t>Troll</t>
  </si>
  <si>
    <t>Other gears</t>
  </si>
  <si>
    <t>GRAND TOTAL</t>
  </si>
  <si>
    <t>4.2 Catch by species</t>
  </si>
  <si>
    <t>Albacore</t>
  </si>
  <si>
    <t>Bigeye</t>
  </si>
  <si>
    <t>Skipjack</t>
  </si>
  <si>
    <t>Yellowfin</t>
  </si>
  <si>
    <t xml:space="preserve">4.3 Catch by national waters </t>
  </si>
  <si>
    <t>FFA members</t>
  </si>
  <si>
    <t>Australia (includes Norfolk Island)</t>
  </si>
  <si>
    <t>Cook Islands</t>
  </si>
  <si>
    <t>FSM</t>
  </si>
  <si>
    <t>Marshall Islands</t>
  </si>
  <si>
    <t>Nauru</t>
  </si>
  <si>
    <t>Niue</t>
  </si>
  <si>
    <t>PNG</t>
  </si>
  <si>
    <t>Palau</t>
  </si>
  <si>
    <t>Solomon  Islands</t>
  </si>
  <si>
    <t>Tokelau</t>
  </si>
  <si>
    <t>Tonga</t>
  </si>
  <si>
    <t>Tuvalu</t>
  </si>
  <si>
    <t>Vanuatu</t>
  </si>
  <si>
    <t>Sub-Total</t>
  </si>
  <si>
    <t>Others</t>
  </si>
  <si>
    <t>American Samoa</t>
  </si>
  <si>
    <t>Korea</t>
  </si>
  <si>
    <t>Mathew and Hunter</t>
  </si>
  <si>
    <t>New Caledonia</t>
  </si>
  <si>
    <t>Northern Mariana Islands</t>
  </si>
  <si>
    <t>Taiwan</t>
  </si>
  <si>
    <t>US (includes territories, ex Am Samoa)</t>
  </si>
  <si>
    <t>Vietnam</t>
  </si>
  <si>
    <t>Wallis and Futuna</t>
  </si>
  <si>
    <t>International waters</t>
  </si>
  <si>
    <t>H4</t>
  </si>
  <si>
    <t>H5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</si>
  <si>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</si>
  <si>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</si>
  <si>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</si>
  <si>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</si>
  <si>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</si>
  <si>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</si>
  <si>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</si>
  <si>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</si>
  <si>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</si>
  <si>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IW</t>
  </si>
  <si>
    <t xml:space="preserve">4.4 Catch by fleet </t>
  </si>
  <si>
    <t>Belize</t>
  </si>
  <si>
    <t>Eastern Pacific fleet</t>
  </si>
  <si>
    <t>US</t>
  </si>
  <si>
    <t>4.5 Fleet catch in national waters of FFA members</t>
  </si>
  <si>
    <t xml:space="preserve">4.6 Fleet catch in own national waters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</si>
</sst>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00;\-&quot;$&quot;#,##0.0000"/>
    <numFmt numFmtId="165" formatCode="_-* #,##0_-;\-* #,##0_-;_-* &quot;-&quot;??_-;_-@_-"/>
    <numFmt numFmtId="166" formatCode="&quot;$&quot;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u/>
      <sz val="10"/>
      <name val="Aptos Narrow"/>
      <family val="2"/>
      <scheme val="minor"/>
    </font>
    <font>
      <b/>
      <u val="singleAccounting"/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Alignment="1">
      <alignment horizontal="left" indent="1"/>
    </xf>
    <xf numFmtId="164" fontId="0" fillId="0" borderId="0" xfId="1" applyNumberFormat="1" applyFont="1"/>
    <xf numFmtId="0" fontId="4" fillId="0" borderId="0" xfId="2" applyFont="1"/>
    <xf numFmtId="3" fontId="5" fillId="0" borderId="0" xfId="2" applyNumberFormat="1" applyFont="1" applyAlignment="1">
      <alignment horizontal="right"/>
    </xf>
    <xf numFmtId="0" fontId="5" fillId="0" borderId="0" xfId="2" applyFont="1"/>
    <xf numFmtId="0" fontId="6" fillId="0" borderId="0" xfId="2" applyFont="1"/>
    <xf numFmtId="3" fontId="7" fillId="0" borderId="0" xfId="2" applyNumberFormat="1" applyFont="1" applyAlignment="1">
      <alignment horizontal="right"/>
    </xf>
    <xf numFmtId="0" fontId="7" fillId="0" borderId="0" xfId="2" applyFont="1"/>
    <xf numFmtId="0" fontId="6" fillId="0" borderId="1" xfId="2" applyFont="1" applyBorder="1"/>
    <xf numFmtId="9" fontId="7" fillId="0" borderId="0" xfId="3" applyFont="1" applyFill="1" applyAlignment="1">
      <alignment horizontal="right"/>
    </xf>
    <xf numFmtId="1" fontId="7" fillId="0" borderId="2" xfId="2" applyNumberFormat="1" applyFont="1" applyBorder="1"/>
    <xf numFmtId="1" fontId="6" fillId="0" borderId="2" xfId="2" applyNumberFormat="1" applyFont="1" applyBorder="1" applyAlignment="1">
      <alignment horizontal="right"/>
    </xf>
    <xf numFmtId="1" fontId="7" fillId="0" borderId="0" xfId="2" applyNumberFormat="1" applyFont="1"/>
    <xf numFmtId="165" fontId="7" fillId="0" borderId="0" xfId="4" applyNumberFormat="1" applyFont="1" applyFill="1"/>
    <xf numFmtId="3" fontId="7" fillId="0" borderId="0" xfId="4" applyNumberFormat="1" applyFont="1" applyFill="1" applyAlignment="1">
      <alignment horizontal="right"/>
    </xf>
    <xf numFmtId="165" fontId="6" fillId="0" borderId="3" xfId="4" applyNumberFormat="1" applyFont="1" applyFill="1" applyBorder="1" applyAlignment="1">
      <alignment horizontal="left"/>
    </xf>
    <xf numFmtId="3" fontId="6" fillId="0" borderId="3" xfId="4" applyNumberFormat="1" applyFont="1" applyFill="1" applyBorder="1" applyAlignment="1">
      <alignment horizontal="right"/>
    </xf>
    <xf numFmtId="3" fontId="8" fillId="0" borderId="0" xfId="2" applyNumberFormat="1" applyFont="1" applyAlignment="1">
      <alignment horizontal="right"/>
    </xf>
    <xf numFmtId="3" fontId="7" fillId="0" borderId="1" xfId="2" applyNumberFormat="1" applyFont="1" applyBorder="1" applyAlignment="1">
      <alignment horizontal="right"/>
    </xf>
    <xf numFmtId="165" fontId="9" fillId="0" borderId="0" xfId="4" applyNumberFormat="1" applyFont="1" applyFill="1" applyAlignment="1">
      <alignment horizontal="left"/>
    </xf>
    <xf numFmtId="3" fontId="6" fillId="0" borderId="0" xfId="4" applyNumberFormat="1" applyFont="1" applyFill="1" applyAlignment="1">
      <alignment horizontal="right"/>
    </xf>
    <xf numFmtId="165" fontId="6" fillId="0" borderId="4" xfId="4" applyNumberFormat="1" applyFont="1" applyFill="1" applyBorder="1" applyAlignment="1">
      <alignment horizontal="left"/>
    </xf>
    <xf numFmtId="3" fontId="6" fillId="0" borderId="4" xfId="4" applyNumberFormat="1" applyFont="1" applyFill="1" applyBorder="1" applyAlignment="1">
      <alignment horizontal="right"/>
    </xf>
    <xf numFmtId="0" fontId="9" fillId="0" borderId="0" xfId="2" applyFont="1" applyAlignment="1">
      <alignment horizontal="left"/>
    </xf>
    <xf numFmtId="43" fontId="7" fillId="0" borderId="0" xfId="4" applyFont="1" applyFill="1"/>
    <xf numFmtId="3" fontId="7" fillId="0" borderId="0" xfId="4" applyNumberFormat="1" applyFont="1" applyFill="1" applyBorder="1" applyAlignment="1">
      <alignment horizontal="right"/>
    </xf>
    <xf numFmtId="165" fontId="10" fillId="0" borderId="0" xfId="4" applyNumberFormat="1" applyFont="1" applyFill="1" applyAlignment="1">
      <alignment horizontal="left"/>
    </xf>
    <xf numFmtId="3" fontId="6" fillId="0" borderId="5" xfId="4" applyNumberFormat="1" applyFont="1" applyFill="1" applyBorder="1" applyAlignment="1">
      <alignment horizontal="right"/>
    </xf>
    <xf numFmtId="165" fontId="7" fillId="0" borderId="0" xfId="4" applyNumberFormat="1" applyFont="1" applyFill="1" applyBorder="1" applyAlignment="1">
      <alignment horizontal="left"/>
    </xf>
    <xf numFmtId="165" fontId="7" fillId="0" borderId="6" xfId="4" applyNumberFormat="1" applyFont="1" applyFill="1" applyBorder="1" applyAlignment="1">
      <alignment horizontal="left"/>
    </xf>
    <xf numFmtId="165" fontId="6" fillId="0" borderId="6" xfId="4" applyNumberFormat="1" applyFont="1" applyFill="1" applyBorder="1" applyAlignment="1">
      <alignment horizontal="left"/>
    </xf>
    <xf numFmtId="165" fontId="6" fillId="0" borderId="0" xfId="4" applyNumberFormat="1" applyFont="1" applyFill="1"/>
    <xf numFmtId="3" fontId="6" fillId="0" borderId="1" xfId="4" applyNumberFormat="1" applyFont="1" applyFill="1" applyBorder="1" applyAlignment="1">
      <alignment horizontal="right"/>
    </xf>
    <xf numFmtId="3" fontId="3" fillId="0" borderId="0" xfId="2" applyNumberFormat="1"/>
    <xf numFmtId="9" fontId="7" fillId="0" borderId="1" xfId="3" applyFont="1" applyFill="1" applyBorder="1" applyAlignment="1">
      <alignment horizontal="right"/>
    </xf>
    <xf numFmtId="1" fontId="6" fillId="0" borderId="0" xfId="2" applyNumberFormat="1" applyFont="1" applyAlignment="1">
      <alignment horizontal="right"/>
    </xf>
    <xf numFmtId="3" fontId="9" fillId="0" borderId="0" xfId="2" applyNumberFormat="1" applyFont="1" applyAlignment="1">
      <alignment horizontal="left"/>
    </xf>
    <xf numFmtId="165" fontId="7" fillId="0" borderId="0" xfId="4" applyNumberFormat="1" applyFont="1" applyFill="1" applyAlignment="1">
      <alignment horizontal="left"/>
    </xf>
    <xf numFmtId="165" fontId="7" fillId="0" borderId="0" xfId="4" applyNumberFormat="1" applyFont="1" applyFill="1" applyBorder="1"/>
    <xf numFmtId="3" fontId="6" fillId="0" borderId="0" xfId="2" applyNumberFormat="1" applyFont="1" applyAlignment="1">
      <alignment horizontal="right"/>
    </xf>
    <xf numFmtId="0" fontId="6" fillId="0" borderId="0" xfId="2" applyFont="1" applyAlignment="1">
      <alignment horizontal="left"/>
    </xf>
    <xf numFmtId="165" fontId="7" fillId="0" borderId="0" xfId="2" applyNumberFormat="1" applyFont="1"/>
    <xf numFmtId="165" fontId="6" fillId="0" borderId="0" xfId="4" applyNumberFormat="1" applyFont="1" applyFill="1" applyBorder="1"/>
    <xf numFmtId="166" fontId="0" fillId="0" borderId="0" xfId="0" applyNumberFormat="1"/>
  </cellXfs>
  <cellStyles count="5">
    <cellStyle name="Comma 2" xfId="4" xr:uid="{44F06888-7E0C-4BD4-A5E8-9320083383F4}"/>
    <cellStyle name="Currency" xfId="1" builtinId="4"/>
    <cellStyle name="Normal" xfId="0" builtinId="0"/>
    <cellStyle name="Normal 2" xfId="2" xr:uid="{D1E3120A-B1BF-4C8F-B53D-20C80D7E022E}"/>
    <cellStyle name="Percent 2" xfId="3" xr:uid="{04220E46-C1FA-4D73-AC89-306C023A70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0"/>
          <c:order val="0"/>
          <c:tx>
            <c:v>'3. Summary - Catch'!#REF!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val>
            <c:numRef>
              <c:f>'3. Summary - Catch'!#REF!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'3. Summary - Catch'!#REF!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F37C-4551-8C20-5612B9FC1890}"/>
            </c:ext>
          </c:extLst>
        </c:ser>
        <c:ser>
          <c:idx val="1"/>
          <c:order val="1"/>
          <c:tx>
            <c:v>'3. Summary - Catch'!#REF!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'3. Summary - Catch'!#REF!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'3. Summary - Catch'!#REF!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F37C-4551-8C20-5612B9FC1890}"/>
            </c:ext>
          </c:extLst>
        </c:ser>
        <c:ser>
          <c:idx val="2"/>
          <c:order val="2"/>
          <c:tx>
            <c:v>'3. Summary - Catch'!#REF!</c:v>
          </c:tx>
          <c:spPr>
            <a:solidFill>
              <a:srgbClr val="FFFF00"/>
            </a:solidFill>
            <a:ln w="12700">
              <a:solidFill>
                <a:srgbClr val="FFCC00"/>
              </a:solidFill>
              <a:prstDash val="solid"/>
            </a:ln>
          </c:spPr>
          <c:val>
            <c:numRef>
              <c:f>'3. Summary - Catch'!#REF!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'3. Summary - Catch'!#REF!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F37C-4551-8C20-5612B9FC1890}"/>
            </c:ext>
          </c:extLst>
        </c:ser>
        <c:ser>
          <c:idx val="3"/>
          <c:order val="3"/>
          <c:tx>
            <c:v>'3. Summary - Catch'!#REF!</c:v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'3. Summary - Catch'!#REF!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'3. Summary - Catch'!#REF!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F37C-4551-8C20-5612B9FC1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914824"/>
        <c:axId val="433510888"/>
      </c:areaChart>
      <c:catAx>
        <c:axId val="432914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SB"/>
          </a:p>
        </c:txPr>
        <c:crossAx val="4335108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335108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Metric tonnes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SB"/>
          </a:p>
        </c:txPr>
        <c:crossAx val="43291482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SB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SB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2"/>
          <c:order val="0"/>
          <c:tx>
            <c:v>'3. Summary - Catch'!#REF!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'3. Summary - Catch'!#REF!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'3. Summary - Catch'!#REF!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B0A6-4A39-A418-7776E1786ECD}"/>
            </c:ext>
          </c:extLst>
        </c:ser>
        <c:ser>
          <c:idx val="3"/>
          <c:order val="1"/>
          <c:tx>
            <c:v>'3. Summary - Catch'!#REF!</c:v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'3. Summary - Catch'!#REF!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'3. Summary - Catch'!#REF!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B0A6-4A39-A418-7776E1786ECD}"/>
            </c:ext>
          </c:extLst>
        </c:ser>
        <c:ser>
          <c:idx val="0"/>
          <c:order val="2"/>
          <c:tx>
            <c:v>'3. Summary - Catch'!#REF!</c:v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'3. Summary - Catch'!#REF!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'3. Summary - Catch'!#REF!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B0A6-4A39-A418-7776E1786ECD}"/>
            </c:ext>
          </c:extLst>
        </c:ser>
        <c:ser>
          <c:idx val="1"/>
          <c:order val="3"/>
          <c:tx>
            <c:v>'3. Summary - Catch'!#REF!</c:v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'3. Summary - Catch'!#REF!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'3. Summary - Catch'!#REF!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B0A6-4A39-A418-7776E1786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41120"/>
        <c:axId val="196541512"/>
      </c:areaChart>
      <c:catAx>
        <c:axId val="19654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SB"/>
          </a:p>
        </c:txPr>
        <c:crossAx val="1965415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65415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Metric tonnes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SB"/>
          </a:p>
        </c:txPr>
        <c:crossAx val="19654112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SB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SB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'3. Summary - Catch'!#REF!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val>
            <c:numRef>
              <c:f>'3. Summary - Catch'!#REF!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'3. Summary - Catch'!#REF!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F9EE-406F-BA02-05DEBD45ECF0}"/>
            </c:ext>
          </c:extLst>
        </c:ser>
        <c:ser>
          <c:idx val="1"/>
          <c:order val="1"/>
          <c:tx>
            <c:v>'3. Summary - Catch'!#REF!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val>
            <c:numRef>
              <c:f>'3. Summary - Catch'!#REF!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'3. Summary - Catch'!#REF!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F9EE-406F-BA02-05DEBD45E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8462528"/>
        <c:axId val="458462920"/>
      </c:lineChart>
      <c:catAx>
        <c:axId val="458462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SB"/>
          </a:p>
        </c:txPr>
        <c:crossAx val="4584629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584629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Metric tonnes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SB"/>
          </a:p>
        </c:txPr>
        <c:crossAx val="45846252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SB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SB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'4. Summary of catch'!$F$216:$T$216</c:f>
              <c:numCache>
                <c:formatCode>#,##0</c:formatCode>
                <c:ptCount val="15"/>
                <c:pt idx="0">
                  <c:v>393117.81020499999</c:v>
                </c:pt>
                <c:pt idx="1">
                  <c:v>612637.26382400002</c:v>
                </c:pt>
                <c:pt idx="2">
                  <c:v>1055219.955237</c:v>
                </c:pt>
                <c:pt idx="3">
                  <c:v>671924.44759599993</c:v>
                </c:pt>
                <c:pt idx="4">
                  <c:v>1008595.240418</c:v>
                </c:pt>
                <c:pt idx="5">
                  <c:v>898180.41980499995</c:v>
                </c:pt>
                <c:pt idx="6">
                  <c:v>1385040.244373</c:v>
                </c:pt>
                <c:pt idx="7">
                  <c:v>774389.66306799999</c:v>
                </c:pt>
                <c:pt idx="8">
                  <c:v>950058.78949399991</c:v>
                </c:pt>
                <c:pt idx="9">
                  <c:v>904500.670101</c:v>
                </c:pt>
                <c:pt idx="10">
                  <c:v>933427.91715999995</c:v>
                </c:pt>
                <c:pt idx="11">
                  <c:v>940047.639631</c:v>
                </c:pt>
                <c:pt idx="12">
                  <c:v>991233.73242999997</c:v>
                </c:pt>
                <c:pt idx="13">
                  <c:v>641464.46126400004</c:v>
                </c:pt>
                <c:pt idx="14">
                  <c:v>890341.42480700009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DD-43D0-8413-4CE8383BA2E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'4. Summary of catch'!$F$217:$T$217</c:f>
              <c:numCache>
                <c:formatCode>#,##0</c:formatCode>
                <c:ptCount val="15"/>
                <c:pt idx="0">
                  <c:v>930315</c:v>
                </c:pt>
                <c:pt idx="1">
                  <c:v>894888</c:v>
                </c:pt>
                <c:pt idx="2">
                  <c:v>1021643</c:v>
                </c:pt>
                <c:pt idx="3">
                  <c:v>1107226</c:v>
                </c:pt>
                <c:pt idx="4">
                  <c:v>1107829</c:v>
                </c:pt>
                <c:pt idx="5">
                  <c:v>1033532</c:v>
                </c:pt>
                <c:pt idx="6">
                  <c:v>1190631</c:v>
                </c:pt>
                <c:pt idx="7">
                  <c:v>1232558</c:v>
                </c:pt>
                <c:pt idx="8">
                  <c:v>1309584</c:v>
                </c:pt>
                <c:pt idx="9">
                  <c:v>1285907</c:v>
                </c:pt>
                <c:pt idx="10">
                  <c:v>1339404</c:v>
                </c:pt>
                <c:pt idx="11">
                  <c:v>1319351</c:v>
                </c:pt>
                <c:pt idx="12">
                  <c:v>1324750</c:v>
                </c:pt>
                <c:pt idx="13">
                  <c:v>1312378</c:v>
                </c:pt>
                <c:pt idx="14">
                  <c:v>1433991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DD-43D0-8413-4CE8383BA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276495"/>
        <c:axId val="1288279375"/>
      </c:lineChart>
      <c:catAx>
        <c:axId val="12882764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279375"/>
        <c:crosses val="autoZero"/>
        <c:auto val="1"/>
        <c:lblAlgn val="ctr"/>
        <c:lblOffset val="100"/>
        <c:noMultiLvlLbl val="0"/>
      </c:catAx>
      <c:valAx>
        <c:axId val="128827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27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29</xdr:row>
      <xdr:rowOff>104775</xdr:rowOff>
    </xdr:from>
    <xdr:to>
      <xdr:col>15</xdr:col>
      <xdr:colOff>0</xdr:colOff>
      <xdr:row>51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3E283-1685-4FF1-A6FB-F4787D000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64</xdr:row>
      <xdr:rowOff>76200</xdr:rowOff>
    </xdr:from>
    <xdr:to>
      <xdr:col>15</xdr:col>
      <xdr:colOff>0</xdr:colOff>
      <xdr:row>84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A8734C-9CDA-4CF8-AF99-B8288F14A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64</xdr:row>
      <xdr:rowOff>95250</xdr:rowOff>
    </xdr:from>
    <xdr:to>
      <xdr:col>15</xdr:col>
      <xdr:colOff>0</xdr:colOff>
      <xdr:row>84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AD7111-314C-41E8-B571-1297A1B235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732232</xdr:colOff>
      <xdr:row>219</xdr:row>
      <xdr:rowOff>110728</xdr:rowOff>
    </xdr:from>
    <xdr:to>
      <xdr:col>15</xdr:col>
      <xdr:colOff>250030</xdr:colOff>
      <xdr:row>240</xdr:row>
      <xdr:rowOff>107156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70DD11-112A-86E7-B0D7-4B53AD923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es Hogan" refreshedDate="46045.591579745371" createdVersion="8" refreshedVersion="8" minRefreshableVersion="3" recordCount="8580" xr:uid="{A3096E46-0448-4EF5-9673-D1343A42D86F}">
  <cacheSource type="worksheet">
    <worksheetSource ref="A1:E8581" sheet="Sheet1"/>
  </cacheSource>
  <cacheFields count="5">
    <cacheField name="reporter_desc" numFmtId="0">
      <sharedItems count="113">
        <s v="Australia"/>
        <s v="Austria"/>
        <s v="Belgium"/>
        <s v="Brazil"/>
        <s v="Canada"/>
        <s v="China"/>
        <s v="Colombia"/>
        <s v="Croatia"/>
        <s v="Czechia"/>
        <s v="CÃ´te d'Ivoire"/>
        <s v="Ecuador"/>
        <s v="El Salvador"/>
        <s v="Estonia"/>
        <s v="Fiji"/>
        <s v="France"/>
        <s v="Germany"/>
        <s v="Ghana"/>
        <s v="Greece"/>
        <s v="Guatemala"/>
        <s v="Hungary"/>
        <s v="India"/>
        <s v="Indonesia"/>
        <s v="Italy"/>
        <s v="Kuwait"/>
        <s v="Latvia"/>
        <s v="Luxembourg"/>
        <s v="Madagascar"/>
        <s v="Maldives"/>
        <s v="Mauritius"/>
        <s v="Mexico"/>
        <s v="Minnows"/>
        <s v="Missing Exports"/>
        <s v="Netherlands"/>
        <s v="Oman"/>
        <s v="Peru"/>
        <s v="Philippines"/>
        <s v="Portugal"/>
        <s v="Rep. of Korea"/>
        <s v="Senegal"/>
        <s v="Seychelles"/>
        <s v="South Africa"/>
        <s v="Spain"/>
        <s v="Thailand"/>
        <s v="Tunisia"/>
        <s v="TÃ¼rkiye"/>
        <s v="USA"/>
        <s v="United Arab Emirates"/>
        <s v="United Kingdom"/>
        <s v="Viet Nam"/>
        <s v="Brunei Darussalam"/>
        <s v="Cabo Verde"/>
        <s v="Cameroon"/>
        <s v="Denmark"/>
        <s v="French Polynesia"/>
        <s v="Ireland"/>
        <s v="Japan"/>
        <s v="Kiribati"/>
        <s v="Malaysia"/>
        <s v="Malta"/>
        <s v="Morocco"/>
        <s v="Myanmar"/>
        <s v="Namibia"/>
        <s v="New Zealand"/>
        <s v="Nicaragua"/>
        <s v="Pakistan"/>
        <s v="Panama"/>
        <s v="Samoa"/>
        <s v="Singapore"/>
        <s v="Trinidad and Tobago"/>
        <s v="Yemen"/>
        <s v="Algeria"/>
        <s v="Benin"/>
        <s v="Chile"/>
        <s v="Costa Rica"/>
        <s v="Dem. Rep. of the Congo"/>
        <s v="Iran"/>
        <s v="Israel"/>
        <s v="Kenya"/>
        <s v="Missing Imports"/>
        <s v="Poland"/>
        <s v="Qatar"/>
        <s v="Russian Federation"/>
        <s v="Saudi Arabia"/>
        <s v="Slovenia"/>
        <s v="Togo"/>
        <s v="Ukraine"/>
        <s v="Angola"/>
        <s v="Argentina"/>
        <s v="Bahrain"/>
        <s v="Barbados"/>
        <s v="Bosnia Herzegovina"/>
        <s v="Bulgaria"/>
        <s v="Cyprus"/>
        <s v="Dominican Rep."/>
        <s v="Egypt"/>
        <s v="Ethiopia"/>
        <s v="Finland"/>
        <s v="Jordan"/>
        <s v="Kazakhstan"/>
        <s v="Lithuania"/>
        <s v="Mozambique"/>
        <s v="North Macedonia"/>
        <s v="Norway"/>
        <s v="Paraguay"/>
        <s v="Romania"/>
        <s v="Serbia"/>
        <s v="Slovakia"/>
        <s v="State of Palestine"/>
        <s v="Sudan"/>
        <s v="Sudan (...2011)"/>
        <s v="Sweden"/>
        <s v="Switzerland"/>
        <s v="Uruguay"/>
      </sharedItems>
    </cacheField>
    <cacheField name="Year" numFmtId="0">
      <sharedItems containsSemiMixedTypes="0" containsString="0" containsNumber="1" containsInteger="1" minValue="2000" maxValue="2025" count="26">
        <n v="2014"/>
        <n v="2022"/>
        <n v="2015"/>
        <n v="2023"/>
        <n v="2025"/>
        <n v="2003"/>
        <n v="2005"/>
        <n v="2006"/>
        <n v="2007"/>
        <n v="2008"/>
        <n v="2009"/>
        <n v="2010"/>
        <n v="2011"/>
        <n v="2017"/>
        <n v="2021"/>
        <n v="2024"/>
        <n v="2012"/>
        <n v="2016"/>
        <n v="2018"/>
        <n v="2019"/>
        <n v="2020"/>
        <n v="2013"/>
        <n v="2004"/>
        <n v="2000"/>
        <n v="2001"/>
        <n v="2002"/>
      </sharedItems>
    </cacheField>
    <cacheField name="variable" numFmtId="0">
      <sharedItems count="3">
        <s v="Total_Net_Wgt"/>
        <s v="Total_Primary_Value"/>
        <s v="Average_Price"/>
      </sharedItems>
    </cacheField>
    <cacheField name="value" numFmtId="0">
      <sharedItems containsMixedTypes="1" containsNumber="1" minValue="1.41882621647802E-2" maxValue="4376972933.7799997"/>
    </cacheField>
    <cacheField name="Source" numFmtId="0">
      <sharedItems count="4">
        <s v="Tinned Exports"/>
        <s v="Raw Exports"/>
        <s v="Raw Imports"/>
        <s v="Tinned Import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80">
  <r>
    <x v="0"/>
    <x v="0"/>
    <x v="0"/>
    <n v="2410916.35"/>
    <x v="0"/>
  </r>
  <r>
    <x v="1"/>
    <x v="1"/>
    <x v="0"/>
    <n v="8671851.0720000006"/>
    <x v="0"/>
  </r>
  <r>
    <x v="2"/>
    <x v="2"/>
    <x v="0"/>
    <n v="1491602.41"/>
    <x v="0"/>
  </r>
  <r>
    <x v="2"/>
    <x v="3"/>
    <x v="0"/>
    <n v="2412279.86"/>
    <x v="0"/>
  </r>
  <r>
    <x v="2"/>
    <x v="4"/>
    <x v="0"/>
    <n v="1248849.19"/>
    <x v="0"/>
  </r>
  <r>
    <x v="3"/>
    <x v="5"/>
    <x v="0"/>
    <n v="2740110"/>
    <x v="0"/>
  </r>
  <r>
    <x v="3"/>
    <x v="6"/>
    <x v="0"/>
    <n v="4031433"/>
    <x v="0"/>
  </r>
  <r>
    <x v="3"/>
    <x v="7"/>
    <x v="0"/>
    <n v="4002104"/>
    <x v="0"/>
  </r>
  <r>
    <x v="3"/>
    <x v="8"/>
    <x v="0"/>
    <n v="5959433"/>
    <x v="0"/>
  </r>
  <r>
    <x v="3"/>
    <x v="9"/>
    <x v="0"/>
    <n v="4820836"/>
    <x v="0"/>
  </r>
  <r>
    <x v="3"/>
    <x v="10"/>
    <x v="0"/>
    <n v="5112091"/>
    <x v="0"/>
  </r>
  <r>
    <x v="3"/>
    <x v="11"/>
    <x v="0"/>
    <n v="2811622"/>
    <x v="0"/>
  </r>
  <r>
    <x v="3"/>
    <x v="12"/>
    <x v="0"/>
    <n v="2760482"/>
    <x v="0"/>
  </r>
  <r>
    <x v="3"/>
    <x v="2"/>
    <x v="0"/>
    <n v="1934508"/>
    <x v="0"/>
  </r>
  <r>
    <x v="3"/>
    <x v="13"/>
    <x v="0"/>
    <n v="1579602"/>
    <x v="0"/>
  </r>
  <r>
    <x v="3"/>
    <x v="14"/>
    <x v="0"/>
    <n v="2598211.2340000002"/>
    <x v="0"/>
  </r>
  <r>
    <x v="3"/>
    <x v="1"/>
    <x v="0"/>
    <n v="4502868.1150000002"/>
    <x v="0"/>
  </r>
  <r>
    <x v="3"/>
    <x v="3"/>
    <x v="0"/>
    <n v="4680075.6540000001"/>
    <x v="0"/>
  </r>
  <r>
    <x v="3"/>
    <x v="15"/>
    <x v="0"/>
    <n v="5451647.2970000003"/>
    <x v="0"/>
  </r>
  <r>
    <x v="3"/>
    <x v="4"/>
    <x v="0"/>
    <n v="5605610.125"/>
    <x v="0"/>
  </r>
  <r>
    <x v="4"/>
    <x v="16"/>
    <x v="0"/>
    <n v="3826639"/>
    <x v="0"/>
  </r>
  <r>
    <x v="4"/>
    <x v="17"/>
    <x v="0"/>
    <n v="2519654"/>
    <x v="0"/>
  </r>
  <r>
    <x v="5"/>
    <x v="11"/>
    <x v="0"/>
    <n v="37138291"/>
    <x v="0"/>
  </r>
  <r>
    <x v="5"/>
    <x v="12"/>
    <x v="0"/>
    <n v="52417257"/>
    <x v="0"/>
  </r>
  <r>
    <x v="5"/>
    <x v="16"/>
    <x v="0"/>
    <n v="39193508"/>
    <x v="0"/>
  </r>
  <r>
    <x v="5"/>
    <x v="17"/>
    <x v="0"/>
    <n v="78375144.878999993"/>
    <x v="0"/>
  </r>
  <r>
    <x v="5"/>
    <x v="13"/>
    <x v="0"/>
    <n v="77772806.363999993"/>
    <x v="0"/>
  </r>
  <r>
    <x v="5"/>
    <x v="18"/>
    <x v="0"/>
    <n v="106177224.34199999"/>
    <x v="0"/>
  </r>
  <r>
    <x v="5"/>
    <x v="19"/>
    <x v="0"/>
    <n v="123604457"/>
    <x v="0"/>
  </r>
  <r>
    <x v="5"/>
    <x v="20"/>
    <x v="0"/>
    <n v="136383965"/>
    <x v="0"/>
  </r>
  <r>
    <x v="5"/>
    <x v="14"/>
    <x v="0"/>
    <n v="135473079"/>
    <x v="0"/>
  </r>
  <r>
    <x v="5"/>
    <x v="1"/>
    <x v="0"/>
    <n v="130544100"/>
    <x v="0"/>
  </r>
  <r>
    <x v="5"/>
    <x v="3"/>
    <x v="0"/>
    <n v="139617960"/>
    <x v="0"/>
  </r>
  <r>
    <x v="5"/>
    <x v="15"/>
    <x v="0"/>
    <n v="207697919.30700001"/>
    <x v="0"/>
  </r>
  <r>
    <x v="6"/>
    <x v="0"/>
    <x v="0"/>
    <n v="6874519.54"/>
    <x v="0"/>
  </r>
  <r>
    <x v="6"/>
    <x v="17"/>
    <x v="0"/>
    <n v="3209665.67"/>
    <x v="0"/>
  </r>
  <r>
    <x v="6"/>
    <x v="18"/>
    <x v="0"/>
    <n v="2299284.7999999998"/>
    <x v="0"/>
  </r>
  <r>
    <x v="6"/>
    <x v="20"/>
    <x v="0"/>
    <n v="4931095.34"/>
    <x v="0"/>
  </r>
  <r>
    <x v="6"/>
    <x v="14"/>
    <x v="0"/>
    <n v="3710827.51"/>
    <x v="0"/>
  </r>
  <r>
    <x v="6"/>
    <x v="1"/>
    <x v="0"/>
    <n v="3339947.18"/>
    <x v="0"/>
  </r>
  <r>
    <x v="6"/>
    <x v="3"/>
    <x v="0"/>
    <n v="3329481.05"/>
    <x v="0"/>
  </r>
  <r>
    <x v="6"/>
    <x v="4"/>
    <x v="0"/>
    <n v="2220803.0499999998"/>
    <x v="0"/>
  </r>
  <r>
    <x v="7"/>
    <x v="2"/>
    <x v="0"/>
    <n v="15270640"/>
    <x v="0"/>
  </r>
  <r>
    <x v="8"/>
    <x v="2"/>
    <x v="0"/>
    <n v="2499836"/>
    <x v="0"/>
  </r>
  <r>
    <x v="8"/>
    <x v="17"/>
    <x v="0"/>
    <n v="1675307"/>
    <x v="0"/>
  </r>
  <r>
    <x v="8"/>
    <x v="3"/>
    <x v="0"/>
    <n v="2264214.608"/>
    <x v="0"/>
  </r>
  <r>
    <x v="8"/>
    <x v="4"/>
    <x v="0"/>
    <n v="2288918.5780000002"/>
    <x v="0"/>
  </r>
  <r>
    <x v="9"/>
    <x v="9"/>
    <x v="0"/>
    <n v="2005009"/>
    <x v="0"/>
  </r>
  <r>
    <x v="10"/>
    <x v="11"/>
    <x v="0"/>
    <n v="83569308.709999993"/>
    <x v="0"/>
  </r>
  <r>
    <x v="10"/>
    <x v="12"/>
    <x v="0"/>
    <n v="122576885.97"/>
    <x v="0"/>
  </r>
  <r>
    <x v="10"/>
    <x v="16"/>
    <x v="0"/>
    <n v="154395076.646"/>
    <x v="0"/>
  </r>
  <r>
    <x v="10"/>
    <x v="21"/>
    <x v="0"/>
    <n v="176287091.34999999"/>
    <x v="0"/>
  </r>
  <r>
    <x v="10"/>
    <x v="0"/>
    <x v="0"/>
    <n v="195656544.74000001"/>
    <x v="0"/>
  </r>
  <r>
    <x v="10"/>
    <x v="2"/>
    <x v="0"/>
    <n v="174695661.40700001"/>
    <x v="0"/>
  </r>
  <r>
    <x v="10"/>
    <x v="17"/>
    <x v="0"/>
    <n v="180780696.169"/>
    <x v="0"/>
  </r>
  <r>
    <x v="10"/>
    <x v="13"/>
    <x v="0"/>
    <n v="218567946.50999999"/>
    <x v="0"/>
  </r>
  <r>
    <x v="10"/>
    <x v="18"/>
    <x v="0"/>
    <n v="225588242.88999999"/>
    <x v="0"/>
  </r>
  <r>
    <x v="10"/>
    <x v="19"/>
    <x v="0"/>
    <n v="239017037.162"/>
    <x v="0"/>
  </r>
  <r>
    <x v="10"/>
    <x v="20"/>
    <x v="0"/>
    <n v="247460177.21000001"/>
    <x v="0"/>
  </r>
  <r>
    <x v="10"/>
    <x v="14"/>
    <x v="0"/>
    <n v="259124532.01100001"/>
    <x v="0"/>
  </r>
  <r>
    <x v="10"/>
    <x v="1"/>
    <x v="0"/>
    <n v="18211850.34"/>
    <x v="0"/>
  </r>
  <r>
    <x v="10"/>
    <x v="15"/>
    <x v="0"/>
    <n v="287894165.51999998"/>
    <x v="0"/>
  </r>
  <r>
    <x v="11"/>
    <x v="22"/>
    <x v="0"/>
    <n v="9626123.7899999991"/>
    <x v="0"/>
  </r>
  <r>
    <x v="11"/>
    <x v="6"/>
    <x v="0"/>
    <n v="14122955.83"/>
    <x v="0"/>
  </r>
  <r>
    <x v="11"/>
    <x v="7"/>
    <x v="0"/>
    <n v="12405962.699999999"/>
    <x v="0"/>
  </r>
  <r>
    <x v="11"/>
    <x v="8"/>
    <x v="0"/>
    <n v="19160306.300000001"/>
    <x v="0"/>
  </r>
  <r>
    <x v="11"/>
    <x v="9"/>
    <x v="0"/>
    <n v="19033629"/>
    <x v="0"/>
  </r>
  <r>
    <x v="11"/>
    <x v="10"/>
    <x v="0"/>
    <n v="18189631.800000001"/>
    <x v="0"/>
  </r>
  <r>
    <x v="11"/>
    <x v="11"/>
    <x v="0"/>
    <n v="14221857"/>
    <x v="0"/>
  </r>
  <r>
    <x v="11"/>
    <x v="12"/>
    <x v="0"/>
    <n v="14306126.32"/>
    <x v="0"/>
  </r>
  <r>
    <x v="11"/>
    <x v="16"/>
    <x v="0"/>
    <n v="17475405"/>
    <x v="0"/>
  </r>
  <r>
    <x v="11"/>
    <x v="21"/>
    <x v="0"/>
    <n v="19451900"/>
    <x v="0"/>
  </r>
  <r>
    <x v="11"/>
    <x v="0"/>
    <x v="0"/>
    <n v="20059350.300000001"/>
    <x v="0"/>
  </r>
  <r>
    <x v="11"/>
    <x v="2"/>
    <x v="0"/>
    <n v="17681894.899999999"/>
    <x v="0"/>
  </r>
  <r>
    <x v="11"/>
    <x v="17"/>
    <x v="0"/>
    <n v="18431277"/>
    <x v="0"/>
  </r>
  <r>
    <x v="11"/>
    <x v="13"/>
    <x v="0"/>
    <n v="19020943.699999999"/>
    <x v="0"/>
  </r>
  <r>
    <x v="11"/>
    <x v="18"/>
    <x v="0"/>
    <n v="16910375.699999999"/>
    <x v="0"/>
  </r>
  <r>
    <x v="11"/>
    <x v="19"/>
    <x v="0"/>
    <n v="16950672.550000001"/>
    <x v="0"/>
  </r>
  <r>
    <x v="11"/>
    <x v="20"/>
    <x v="0"/>
    <n v="16789612.100000001"/>
    <x v="0"/>
  </r>
  <r>
    <x v="11"/>
    <x v="14"/>
    <x v="0"/>
    <n v="16546589"/>
    <x v="0"/>
  </r>
  <r>
    <x v="11"/>
    <x v="1"/>
    <x v="0"/>
    <n v="18903609.5"/>
    <x v="0"/>
  </r>
  <r>
    <x v="11"/>
    <x v="3"/>
    <x v="0"/>
    <n v="18212504.780000001"/>
    <x v="0"/>
  </r>
  <r>
    <x v="11"/>
    <x v="15"/>
    <x v="0"/>
    <n v="20461011.390000001"/>
    <x v="0"/>
  </r>
  <r>
    <x v="11"/>
    <x v="4"/>
    <x v="0"/>
    <n v="25911136.300000001"/>
    <x v="0"/>
  </r>
  <r>
    <x v="12"/>
    <x v="0"/>
    <x v="0"/>
    <n v="3214028.6"/>
    <x v="0"/>
  </r>
  <r>
    <x v="13"/>
    <x v="0"/>
    <x v="0"/>
    <n v="13049515.93"/>
    <x v="0"/>
  </r>
  <r>
    <x v="13"/>
    <x v="2"/>
    <x v="0"/>
    <n v="11616132.34"/>
    <x v="0"/>
  </r>
  <r>
    <x v="13"/>
    <x v="17"/>
    <x v="0"/>
    <n v="18263822.166000001"/>
    <x v="0"/>
  </r>
  <r>
    <x v="13"/>
    <x v="13"/>
    <x v="0"/>
    <n v="11976435.948999999"/>
    <x v="0"/>
  </r>
  <r>
    <x v="13"/>
    <x v="18"/>
    <x v="0"/>
    <n v="16333534.1"/>
    <x v="0"/>
  </r>
  <r>
    <x v="13"/>
    <x v="19"/>
    <x v="0"/>
    <n v="19069560.530000001"/>
    <x v="0"/>
  </r>
  <r>
    <x v="13"/>
    <x v="20"/>
    <x v="0"/>
    <n v="22552351.370000001"/>
    <x v="0"/>
  </r>
  <r>
    <x v="13"/>
    <x v="14"/>
    <x v="0"/>
    <n v="21446735.120000001"/>
    <x v="0"/>
  </r>
  <r>
    <x v="13"/>
    <x v="1"/>
    <x v="0"/>
    <n v="22974488.420000002"/>
    <x v="0"/>
  </r>
  <r>
    <x v="13"/>
    <x v="3"/>
    <x v="0"/>
    <n v="15309248.550000001"/>
    <x v="0"/>
  </r>
  <r>
    <x v="13"/>
    <x v="15"/>
    <x v="0"/>
    <n v="19930372.649999999"/>
    <x v="0"/>
  </r>
  <r>
    <x v="13"/>
    <x v="4"/>
    <x v="0"/>
    <n v="9007840.4800000004"/>
    <x v="0"/>
  </r>
  <r>
    <x v="14"/>
    <x v="23"/>
    <x v="0"/>
    <n v="62378667.708999999"/>
    <x v="0"/>
  </r>
  <r>
    <x v="14"/>
    <x v="24"/>
    <x v="0"/>
    <n v="13591183.657"/>
    <x v="0"/>
  </r>
  <r>
    <x v="14"/>
    <x v="25"/>
    <x v="0"/>
    <n v="15990521.412"/>
    <x v="0"/>
  </r>
  <r>
    <x v="14"/>
    <x v="5"/>
    <x v="0"/>
    <n v="17353916.204"/>
    <x v="0"/>
  </r>
  <r>
    <x v="14"/>
    <x v="22"/>
    <x v="0"/>
    <n v="16701865.676000001"/>
    <x v="0"/>
  </r>
  <r>
    <x v="14"/>
    <x v="6"/>
    <x v="0"/>
    <n v="21042034.460000001"/>
    <x v="0"/>
  </r>
  <r>
    <x v="14"/>
    <x v="7"/>
    <x v="0"/>
    <n v="16590807.484999999"/>
    <x v="0"/>
  </r>
  <r>
    <x v="14"/>
    <x v="8"/>
    <x v="0"/>
    <n v="19970342.495000001"/>
    <x v="0"/>
  </r>
  <r>
    <x v="14"/>
    <x v="9"/>
    <x v="0"/>
    <n v="12338295.266000001"/>
    <x v="0"/>
  </r>
  <r>
    <x v="14"/>
    <x v="10"/>
    <x v="0"/>
    <n v="11157811.030999999"/>
    <x v="0"/>
  </r>
  <r>
    <x v="14"/>
    <x v="11"/>
    <x v="0"/>
    <n v="3863700"/>
    <x v="0"/>
  </r>
  <r>
    <x v="14"/>
    <x v="12"/>
    <x v="0"/>
    <n v="5446700"/>
    <x v="0"/>
  </r>
  <r>
    <x v="14"/>
    <x v="16"/>
    <x v="0"/>
    <n v="3567400"/>
    <x v="0"/>
  </r>
  <r>
    <x v="14"/>
    <x v="21"/>
    <x v="0"/>
    <n v="4423000"/>
    <x v="0"/>
  </r>
  <r>
    <x v="14"/>
    <x v="0"/>
    <x v="0"/>
    <n v="3509513"/>
    <x v="0"/>
  </r>
  <r>
    <x v="14"/>
    <x v="2"/>
    <x v="0"/>
    <n v="2171111"/>
    <x v="0"/>
  </r>
  <r>
    <x v="14"/>
    <x v="17"/>
    <x v="0"/>
    <n v="2142963"/>
    <x v="0"/>
  </r>
  <r>
    <x v="14"/>
    <x v="13"/>
    <x v="0"/>
    <n v="3524119.8339999998"/>
    <x v="0"/>
  </r>
  <r>
    <x v="14"/>
    <x v="18"/>
    <x v="0"/>
    <n v="2949555.52"/>
    <x v="0"/>
  </r>
  <r>
    <x v="14"/>
    <x v="19"/>
    <x v="0"/>
    <n v="3008191.7239999999"/>
    <x v="0"/>
  </r>
  <r>
    <x v="14"/>
    <x v="20"/>
    <x v="0"/>
    <n v="3104335.446"/>
    <x v="0"/>
  </r>
  <r>
    <x v="14"/>
    <x v="14"/>
    <x v="0"/>
    <n v="3825275.3319999999"/>
    <x v="0"/>
  </r>
  <r>
    <x v="14"/>
    <x v="1"/>
    <x v="0"/>
    <n v="4337168.665"/>
    <x v="0"/>
  </r>
  <r>
    <x v="14"/>
    <x v="3"/>
    <x v="0"/>
    <n v="4054488.5920000002"/>
    <x v="0"/>
  </r>
  <r>
    <x v="14"/>
    <x v="15"/>
    <x v="0"/>
    <n v="3666182.7519999999"/>
    <x v="0"/>
  </r>
  <r>
    <x v="15"/>
    <x v="9"/>
    <x v="0"/>
    <n v="25574371"/>
    <x v="0"/>
  </r>
  <r>
    <x v="15"/>
    <x v="10"/>
    <x v="0"/>
    <n v="17558909.956999999"/>
    <x v="0"/>
  </r>
  <r>
    <x v="15"/>
    <x v="11"/>
    <x v="0"/>
    <n v="14514393.637"/>
    <x v="0"/>
  </r>
  <r>
    <x v="15"/>
    <x v="12"/>
    <x v="0"/>
    <n v="14665309"/>
    <x v="0"/>
  </r>
  <r>
    <x v="15"/>
    <x v="16"/>
    <x v="0"/>
    <n v="13323622"/>
    <x v="0"/>
  </r>
  <r>
    <x v="15"/>
    <x v="21"/>
    <x v="0"/>
    <n v="13867066.237"/>
    <x v="0"/>
  </r>
  <r>
    <x v="15"/>
    <x v="0"/>
    <x v="0"/>
    <n v="12431389.078"/>
    <x v="0"/>
  </r>
  <r>
    <x v="15"/>
    <x v="2"/>
    <x v="0"/>
    <n v="14411669.534"/>
    <x v="0"/>
  </r>
  <r>
    <x v="15"/>
    <x v="17"/>
    <x v="0"/>
    <n v="14802359"/>
    <x v="0"/>
  </r>
  <r>
    <x v="15"/>
    <x v="13"/>
    <x v="0"/>
    <n v="13614570.354"/>
    <x v="0"/>
  </r>
  <r>
    <x v="15"/>
    <x v="18"/>
    <x v="0"/>
    <n v="15022082"/>
    <x v="0"/>
  </r>
  <r>
    <x v="15"/>
    <x v="19"/>
    <x v="0"/>
    <n v="14585768"/>
    <x v="0"/>
  </r>
  <r>
    <x v="15"/>
    <x v="20"/>
    <x v="0"/>
    <n v="13772966.705"/>
    <x v="0"/>
  </r>
  <r>
    <x v="15"/>
    <x v="14"/>
    <x v="0"/>
    <n v="13488127"/>
    <x v="0"/>
  </r>
  <r>
    <x v="15"/>
    <x v="1"/>
    <x v="0"/>
    <n v="14875089"/>
    <x v="0"/>
  </r>
  <r>
    <x v="15"/>
    <x v="3"/>
    <x v="0"/>
    <n v="15175957"/>
    <x v="0"/>
  </r>
  <r>
    <x v="15"/>
    <x v="15"/>
    <x v="0"/>
    <n v="15267653"/>
    <x v="0"/>
  </r>
  <r>
    <x v="15"/>
    <x v="4"/>
    <x v="0"/>
    <n v="11387730"/>
    <x v="0"/>
  </r>
  <r>
    <x v="16"/>
    <x v="11"/>
    <x v="0"/>
    <n v="26388409.199999999"/>
    <x v="0"/>
  </r>
  <r>
    <x v="16"/>
    <x v="12"/>
    <x v="0"/>
    <n v="26847652.489999998"/>
    <x v="0"/>
  </r>
  <r>
    <x v="16"/>
    <x v="16"/>
    <x v="0"/>
    <n v="27438684.780000001"/>
    <x v="0"/>
  </r>
  <r>
    <x v="16"/>
    <x v="21"/>
    <x v="0"/>
    <n v="24290693.32"/>
    <x v="0"/>
  </r>
  <r>
    <x v="16"/>
    <x v="0"/>
    <x v="0"/>
    <n v="22548227.190000001"/>
    <x v="0"/>
  </r>
  <r>
    <x v="16"/>
    <x v="2"/>
    <x v="0"/>
    <n v="62779608.859999999"/>
    <x v="0"/>
  </r>
  <r>
    <x v="16"/>
    <x v="17"/>
    <x v="0"/>
    <n v="33455557.739999998"/>
    <x v="0"/>
  </r>
  <r>
    <x v="16"/>
    <x v="13"/>
    <x v="0"/>
    <n v="28262586.559999999"/>
    <x v="0"/>
  </r>
  <r>
    <x v="16"/>
    <x v="18"/>
    <x v="0"/>
    <n v="28662281.469999999"/>
    <x v="0"/>
  </r>
  <r>
    <x v="16"/>
    <x v="19"/>
    <x v="0"/>
    <n v="29731253.16"/>
    <x v="0"/>
  </r>
  <r>
    <x v="16"/>
    <x v="20"/>
    <x v="0"/>
    <n v="26654674.940000001"/>
    <x v="0"/>
  </r>
  <r>
    <x v="16"/>
    <x v="14"/>
    <x v="0"/>
    <n v="31099863.618000001"/>
    <x v="0"/>
  </r>
  <r>
    <x v="16"/>
    <x v="1"/>
    <x v="0"/>
    <n v="26566642.75"/>
    <x v="0"/>
  </r>
  <r>
    <x v="16"/>
    <x v="3"/>
    <x v="0"/>
    <n v="26035836.199999999"/>
    <x v="0"/>
  </r>
  <r>
    <x v="17"/>
    <x v="4"/>
    <x v="0"/>
    <n v="783283"/>
    <x v="0"/>
  </r>
  <r>
    <x v="18"/>
    <x v="11"/>
    <x v="0"/>
    <n v="23674709"/>
    <x v="0"/>
  </r>
  <r>
    <x v="18"/>
    <x v="12"/>
    <x v="0"/>
    <n v="17413467"/>
    <x v="0"/>
  </r>
  <r>
    <x v="18"/>
    <x v="16"/>
    <x v="0"/>
    <n v="5336480"/>
    <x v="0"/>
  </r>
  <r>
    <x v="18"/>
    <x v="13"/>
    <x v="0"/>
    <n v="5399499"/>
    <x v="0"/>
  </r>
  <r>
    <x v="18"/>
    <x v="19"/>
    <x v="0"/>
    <n v="6660976"/>
    <x v="0"/>
  </r>
  <r>
    <x v="18"/>
    <x v="20"/>
    <x v="0"/>
    <n v="7540844"/>
    <x v="0"/>
  </r>
  <r>
    <x v="18"/>
    <x v="14"/>
    <x v="0"/>
    <n v="8218111"/>
    <x v="0"/>
  </r>
  <r>
    <x v="18"/>
    <x v="1"/>
    <x v="0"/>
    <n v="10427664"/>
    <x v="0"/>
  </r>
  <r>
    <x v="18"/>
    <x v="3"/>
    <x v="0"/>
    <n v="6150100"/>
    <x v="0"/>
  </r>
  <r>
    <x v="18"/>
    <x v="15"/>
    <x v="0"/>
    <n v="8445039"/>
    <x v="0"/>
  </r>
  <r>
    <x v="18"/>
    <x v="4"/>
    <x v="0"/>
    <n v="6689526"/>
    <x v="0"/>
  </r>
  <r>
    <x v="19"/>
    <x v="4"/>
    <x v="0"/>
    <n v="2058314.818"/>
    <x v="0"/>
  </r>
  <r>
    <x v="20"/>
    <x v="4"/>
    <x v="0"/>
    <n v="733043.304"/>
    <x v="0"/>
  </r>
  <r>
    <x v="21"/>
    <x v="16"/>
    <x v="0"/>
    <n v="5647670"/>
    <x v="0"/>
  </r>
  <r>
    <x v="21"/>
    <x v="21"/>
    <x v="0"/>
    <n v="387685251"/>
    <x v="0"/>
  </r>
  <r>
    <x v="21"/>
    <x v="0"/>
    <x v="0"/>
    <n v="59556525"/>
    <x v="0"/>
  </r>
  <r>
    <x v="21"/>
    <x v="2"/>
    <x v="0"/>
    <n v="65410255.870999999"/>
    <x v="0"/>
  </r>
  <r>
    <x v="21"/>
    <x v="17"/>
    <x v="0"/>
    <n v="60188933.156000003"/>
    <x v="0"/>
  </r>
  <r>
    <x v="21"/>
    <x v="13"/>
    <x v="0"/>
    <n v="76844566.599999994"/>
    <x v="0"/>
  </r>
  <r>
    <x v="21"/>
    <x v="18"/>
    <x v="0"/>
    <n v="82233628.900000006"/>
    <x v="0"/>
  </r>
  <r>
    <x v="21"/>
    <x v="19"/>
    <x v="0"/>
    <n v="95571839.310000002"/>
    <x v="0"/>
  </r>
  <r>
    <x v="21"/>
    <x v="20"/>
    <x v="0"/>
    <n v="81979358.708000004"/>
    <x v="0"/>
  </r>
  <r>
    <x v="21"/>
    <x v="14"/>
    <x v="0"/>
    <n v="65198697.553999998"/>
    <x v="0"/>
  </r>
  <r>
    <x v="21"/>
    <x v="1"/>
    <x v="0"/>
    <n v="72021136.049999997"/>
    <x v="0"/>
  </r>
  <r>
    <x v="21"/>
    <x v="3"/>
    <x v="0"/>
    <n v="69623204.560000002"/>
    <x v="0"/>
  </r>
  <r>
    <x v="21"/>
    <x v="15"/>
    <x v="0"/>
    <n v="77653092.969999999"/>
    <x v="0"/>
  </r>
  <r>
    <x v="22"/>
    <x v="23"/>
    <x v="0"/>
    <n v="13055306"/>
    <x v="0"/>
  </r>
  <r>
    <x v="22"/>
    <x v="24"/>
    <x v="0"/>
    <n v="14141414"/>
    <x v="0"/>
  </r>
  <r>
    <x v="22"/>
    <x v="25"/>
    <x v="0"/>
    <n v="19248120"/>
    <x v="0"/>
  </r>
  <r>
    <x v="22"/>
    <x v="5"/>
    <x v="0"/>
    <n v="15607298"/>
    <x v="0"/>
  </r>
  <r>
    <x v="22"/>
    <x v="22"/>
    <x v="0"/>
    <n v="17549060"/>
    <x v="0"/>
  </r>
  <r>
    <x v="22"/>
    <x v="6"/>
    <x v="0"/>
    <n v="18263277"/>
    <x v="0"/>
  </r>
  <r>
    <x v="22"/>
    <x v="7"/>
    <x v="0"/>
    <n v="17373423"/>
    <x v="0"/>
  </r>
  <r>
    <x v="22"/>
    <x v="8"/>
    <x v="0"/>
    <n v="18273653"/>
    <x v="0"/>
  </r>
  <r>
    <x v="22"/>
    <x v="9"/>
    <x v="0"/>
    <n v="17093131"/>
    <x v="0"/>
  </r>
  <r>
    <x v="22"/>
    <x v="10"/>
    <x v="0"/>
    <n v="16761393"/>
    <x v="0"/>
  </r>
  <r>
    <x v="22"/>
    <x v="11"/>
    <x v="0"/>
    <n v="12260800"/>
    <x v="0"/>
  </r>
  <r>
    <x v="22"/>
    <x v="12"/>
    <x v="0"/>
    <n v="12881900"/>
    <x v="0"/>
  </r>
  <r>
    <x v="22"/>
    <x v="16"/>
    <x v="0"/>
    <n v="13786400"/>
    <x v="0"/>
  </r>
  <r>
    <x v="22"/>
    <x v="21"/>
    <x v="0"/>
    <n v="13310000"/>
    <x v="0"/>
  </r>
  <r>
    <x v="22"/>
    <x v="0"/>
    <x v="0"/>
    <n v="21712988"/>
    <x v="0"/>
  </r>
  <r>
    <x v="22"/>
    <x v="2"/>
    <x v="0"/>
    <n v="23634037"/>
    <x v="0"/>
  </r>
  <r>
    <x v="22"/>
    <x v="17"/>
    <x v="0"/>
    <n v="24055672"/>
    <x v="0"/>
  </r>
  <r>
    <x v="22"/>
    <x v="13"/>
    <x v="0"/>
    <n v="23363853"/>
    <x v="0"/>
  </r>
  <r>
    <x v="22"/>
    <x v="18"/>
    <x v="0"/>
    <n v="24753289"/>
    <x v="0"/>
  </r>
  <r>
    <x v="22"/>
    <x v="19"/>
    <x v="0"/>
    <n v="26029508"/>
    <x v="0"/>
  </r>
  <r>
    <x v="22"/>
    <x v="20"/>
    <x v="0"/>
    <n v="32608968"/>
    <x v="0"/>
  </r>
  <r>
    <x v="22"/>
    <x v="14"/>
    <x v="0"/>
    <n v="33185689"/>
    <x v="0"/>
  </r>
  <r>
    <x v="22"/>
    <x v="1"/>
    <x v="0"/>
    <n v="34016054"/>
    <x v="0"/>
  </r>
  <r>
    <x v="22"/>
    <x v="3"/>
    <x v="0"/>
    <n v="30963976"/>
    <x v="0"/>
  </r>
  <r>
    <x v="22"/>
    <x v="15"/>
    <x v="0"/>
    <n v="32525067"/>
    <x v="0"/>
  </r>
  <r>
    <x v="22"/>
    <x v="4"/>
    <x v="0"/>
    <n v="29787170"/>
    <x v="0"/>
  </r>
  <r>
    <x v="23"/>
    <x v="13"/>
    <x v="0"/>
    <n v="1609918.4"/>
    <x v="0"/>
  </r>
  <r>
    <x v="24"/>
    <x v="4"/>
    <x v="0"/>
    <n v="862631.46799999999"/>
    <x v="0"/>
  </r>
  <r>
    <x v="25"/>
    <x v="21"/>
    <x v="0"/>
    <n v="3094862"/>
    <x v="0"/>
  </r>
  <r>
    <x v="26"/>
    <x v="23"/>
    <x v="0"/>
    <n v="9958045"/>
    <x v="0"/>
  </r>
  <r>
    <x v="26"/>
    <x v="24"/>
    <x v="0"/>
    <n v="27664970"/>
    <x v="0"/>
  </r>
  <r>
    <x v="26"/>
    <x v="25"/>
    <x v="0"/>
    <n v="12506999"/>
    <x v="0"/>
  </r>
  <r>
    <x v="26"/>
    <x v="5"/>
    <x v="0"/>
    <n v="20172768"/>
    <x v="0"/>
  </r>
  <r>
    <x v="26"/>
    <x v="22"/>
    <x v="0"/>
    <n v="18468562"/>
    <x v="0"/>
  </r>
  <r>
    <x v="26"/>
    <x v="6"/>
    <x v="0"/>
    <n v="9094476"/>
    <x v="0"/>
  </r>
  <r>
    <x v="26"/>
    <x v="7"/>
    <x v="0"/>
    <n v="17238105"/>
    <x v="0"/>
  </r>
  <r>
    <x v="26"/>
    <x v="8"/>
    <x v="0"/>
    <n v="12422033.1"/>
    <x v="0"/>
  </r>
  <r>
    <x v="26"/>
    <x v="9"/>
    <x v="0"/>
    <n v="7545025.2999999998"/>
    <x v="0"/>
  </r>
  <r>
    <x v="26"/>
    <x v="10"/>
    <x v="0"/>
    <n v="6100236.71"/>
    <x v="0"/>
  </r>
  <r>
    <x v="26"/>
    <x v="11"/>
    <x v="0"/>
    <n v="10518179.119999999"/>
    <x v="0"/>
  </r>
  <r>
    <x v="26"/>
    <x v="12"/>
    <x v="0"/>
    <n v="11236199.5"/>
    <x v="0"/>
  </r>
  <r>
    <x v="26"/>
    <x v="16"/>
    <x v="0"/>
    <n v="7473371.7000000002"/>
    <x v="0"/>
  </r>
  <r>
    <x v="26"/>
    <x v="21"/>
    <x v="0"/>
    <n v="7498296.0999999996"/>
    <x v="0"/>
  </r>
  <r>
    <x v="26"/>
    <x v="0"/>
    <x v="0"/>
    <n v="9885799.1999999993"/>
    <x v="0"/>
  </r>
  <r>
    <x v="26"/>
    <x v="2"/>
    <x v="0"/>
    <n v="9456165.6500000004"/>
    <x v="0"/>
  </r>
  <r>
    <x v="26"/>
    <x v="17"/>
    <x v="0"/>
    <n v="7501388.2000000002"/>
    <x v="0"/>
  </r>
  <r>
    <x v="26"/>
    <x v="13"/>
    <x v="0"/>
    <n v="8391278.5999999996"/>
    <x v="0"/>
  </r>
  <r>
    <x v="26"/>
    <x v="18"/>
    <x v="0"/>
    <n v="7075413.7999999998"/>
    <x v="0"/>
  </r>
  <r>
    <x v="26"/>
    <x v="19"/>
    <x v="0"/>
    <n v="7585135.8399999999"/>
    <x v="0"/>
  </r>
  <r>
    <x v="26"/>
    <x v="20"/>
    <x v="0"/>
    <n v="6385807.2999999998"/>
    <x v="0"/>
  </r>
  <r>
    <x v="26"/>
    <x v="14"/>
    <x v="0"/>
    <n v="7466377.1799999997"/>
    <x v="0"/>
  </r>
  <r>
    <x v="26"/>
    <x v="1"/>
    <x v="0"/>
    <n v="9916095.8599999994"/>
    <x v="0"/>
  </r>
  <r>
    <x v="26"/>
    <x v="3"/>
    <x v="0"/>
    <n v="10115043.369999999"/>
    <x v="0"/>
  </r>
  <r>
    <x v="27"/>
    <x v="18"/>
    <x v="0"/>
    <n v="8451554.3800000008"/>
    <x v="0"/>
  </r>
  <r>
    <x v="28"/>
    <x v="11"/>
    <x v="0"/>
    <n v="64985136"/>
    <x v="0"/>
  </r>
  <r>
    <x v="28"/>
    <x v="12"/>
    <x v="0"/>
    <n v="68153190"/>
    <x v="0"/>
  </r>
  <r>
    <x v="28"/>
    <x v="16"/>
    <x v="0"/>
    <n v="65485465"/>
    <x v="0"/>
  </r>
  <r>
    <x v="28"/>
    <x v="21"/>
    <x v="0"/>
    <n v="59914757"/>
    <x v="0"/>
  </r>
  <r>
    <x v="28"/>
    <x v="0"/>
    <x v="0"/>
    <n v="67939545"/>
    <x v="0"/>
  </r>
  <r>
    <x v="28"/>
    <x v="2"/>
    <x v="0"/>
    <n v="54489993"/>
    <x v="0"/>
  </r>
  <r>
    <x v="28"/>
    <x v="17"/>
    <x v="0"/>
    <n v="60055684"/>
    <x v="0"/>
  </r>
  <r>
    <x v="28"/>
    <x v="13"/>
    <x v="0"/>
    <n v="59231941"/>
    <x v="0"/>
  </r>
  <r>
    <x v="28"/>
    <x v="18"/>
    <x v="0"/>
    <n v="60613969"/>
    <x v="0"/>
  </r>
  <r>
    <x v="28"/>
    <x v="19"/>
    <x v="0"/>
    <n v="57901726"/>
    <x v="0"/>
  </r>
  <r>
    <x v="28"/>
    <x v="20"/>
    <x v="0"/>
    <n v="57027501"/>
    <x v="0"/>
  </r>
  <r>
    <x v="28"/>
    <x v="14"/>
    <x v="0"/>
    <n v="55208265"/>
    <x v="0"/>
  </r>
  <r>
    <x v="28"/>
    <x v="1"/>
    <x v="0"/>
    <n v="54532484"/>
    <x v="0"/>
  </r>
  <r>
    <x v="28"/>
    <x v="3"/>
    <x v="0"/>
    <n v="51380225"/>
    <x v="0"/>
  </r>
  <r>
    <x v="28"/>
    <x v="15"/>
    <x v="0"/>
    <n v="47299048"/>
    <x v="0"/>
  </r>
  <r>
    <x v="28"/>
    <x v="4"/>
    <x v="0"/>
    <n v="27078235"/>
    <x v="0"/>
  </r>
  <r>
    <x v="29"/>
    <x v="16"/>
    <x v="0"/>
    <n v="3546721.9950000001"/>
    <x v="0"/>
  </r>
  <r>
    <x v="29"/>
    <x v="21"/>
    <x v="0"/>
    <n v="2991283.3569999998"/>
    <x v="0"/>
  </r>
  <r>
    <x v="29"/>
    <x v="0"/>
    <x v="0"/>
    <n v="3416769"/>
    <x v="0"/>
  </r>
  <r>
    <x v="29"/>
    <x v="17"/>
    <x v="0"/>
    <n v="3146034"/>
    <x v="0"/>
  </r>
  <r>
    <x v="29"/>
    <x v="13"/>
    <x v="0"/>
    <n v="5828612.2589999996"/>
    <x v="0"/>
  </r>
  <r>
    <x v="29"/>
    <x v="18"/>
    <x v="0"/>
    <n v="4805274"/>
    <x v="0"/>
  </r>
  <r>
    <x v="29"/>
    <x v="19"/>
    <x v="0"/>
    <n v="6532203"/>
    <x v="0"/>
  </r>
  <r>
    <x v="29"/>
    <x v="20"/>
    <x v="0"/>
    <n v="15723025"/>
    <x v="0"/>
  </r>
  <r>
    <x v="29"/>
    <x v="14"/>
    <x v="0"/>
    <n v="13546483"/>
    <x v="0"/>
  </r>
  <r>
    <x v="29"/>
    <x v="1"/>
    <x v="0"/>
    <n v="17271014.528000001"/>
    <x v="0"/>
  </r>
  <r>
    <x v="29"/>
    <x v="3"/>
    <x v="0"/>
    <n v="15051090.732000001"/>
    <x v="0"/>
  </r>
  <r>
    <x v="29"/>
    <x v="15"/>
    <x v="0"/>
    <n v="15263642.41"/>
    <x v="0"/>
  </r>
  <r>
    <x v="29"/>
    <x v="4"/>
    <x v="0"/>
    <n v="11243750"/>
    <x v="0"/>
  </r>
  <r>
    <x v="30"/>
    <x v="23"/>
    <x v="0"/>
    <n v="3704092"/>
    <x v="0"/>
  </r>
  <r>
    <x v="30"/>
    <x v="24"/>
    <x v="0"/>
    <n v="3942434"/>
    <x v="0"/>
  </r>
  <r>
    <x v="30"/>
    <x v="25"/>
    <x v="0"/>
    <n v="2814886.2"/>
    <x v="0"/>
  </r>
  <r>
    <x v="30"/>
    <x v="5"/>
    <x v="0"/>
    <n v="1943292.44"/>
    <x v="0"/>
  </r>
  <r>
    <x v="30"/>
    <x v="22"/>
    <x v="0"/>
    <n v="4599986.0439999998"/>
    <x v="0"/>
  </r>
  <r>
    <x v="30"/>
    <x v="6"/>
    <x v="0"/>
    <n v="2126900.08"/>
    <x v="0"/>
  </r>
  <r>
    <x v="30"/>
    <x v="7"/>
    <x v="0"/>
    <n v="3944059.6910000001"/>
    <x v="0"/>
  </r>
  <r>
    <x v="30"/>
    <x v="8"/>
    <x v="0"/>
    <n v="2602274.1639999999"/>
    <x v="0"/>
  </r>
  <r>
    <x v="30"/>
    <x v="9"/>
    <x v="0"/>
    <n v="1994657.0530000001"/>
    <x v="0"/>
  </r>
  <r>
    <x v="30"/>
    <x v="10"/>
    <x v="0"/>
    <n v="2564541.003"/>
    <x v="0"/>
  </r>
  <r>
    <x v="30"/>
    <x v="11"/>
    <x v="0"/>
    <n v="12562337.539000001"/>
    <x v="0"/>
  </r>
  <r>
    <x v="30"/>
    <x v="12"/>
    <x v="0"/>
    <n v="12479144.778999999"/>
    <x v="0"/>
  </r>
  <r>
    <x v="30"/>
    <x v="16"/>
    <x v="0"/>
    <n v="12530421.937000001"/>
    <x v="0"/>
  </r>
  <r>
    <x v="30"/>
    <x v="21"/>
    <x v="0"/>
    <n v="14785923.562999999"/>
    <x v="0"/>
  </r>
  <r>
    <x v="30"/>
    <x v="0"/>
    <x v="0"/>
    <n v="13956442.546"/>
    <x v="0"/>
  </r>
  <r>
    <x v="30"/>
    <x v="2"/>
    <x v="0"/>
    <n v="14241575.119000001"/>
    <x v="0"/>
  </r>
  <r>
    <x v="30"/>
    <x v="17"/>
    <x v="0"/>
    <n v="14598464.259"/>
    <x v="0"/>
  </r>
  <r>
    <x v="30"/>
    <x v="13"/>
    <x v="0"/>
    <n v="16379259.104"/>
    <x v="0"/>
  </r>
  <r>
    <x v="30"/>
    <x v="18"/>
    <x v="0"/>
    <n v="16468102.665999999"/>
    <x v="0"/>
  </r>
  <r>
    <x v="30"/>
    <x v="19"/>
    <x v="0"/>
    <n v="15827094.533"/>
    <x v="0"/>
  </r>
  <r>
    <x v="30"/>
    <x v="20"/>
    <x v="0"/>
    <n v="17708114.401999999"/>
    <x v="0"/>
  </r>
  <r>
    <x v="30"/>
    <x v="14"/>
    <x v="0"/>
    <n v="16838068.344000001"/>
    <x v="0"/>
  </r>
  <r>
    <x v="30"/>
    <x v="1"/>
    <x v="0"/>
    <n v="14345175.753"/>
    <x v="0"/>
  </r>
  <r>
    <x v="30"/>
    <x v="3"/>
    <x v="0"/>
    <n v="12890918.479"/>
    <x v="0"/>
  </r>
  <r>
    <x v="30"/>
    <x v="15"/>
    <x v="0"/>
    <n v="17088024.545000002"/>
    <x v="0"/>
  </r>
  <r>
    <x v="30"/>
    <x v="4"/>
    <x v="0"/>
    <n v="5420149.682"/>
    <x v="0"/>
  </r>
  <r>
    <x v="31"/>
    <x v="23"/>
    <x v="0"/>
    <n v="100525621.258"/>
    <x v="0"/>
  </r>
  <r>
    <x v="31"/>
    <x v="24"/>
    <x v="0"/>
    <n v="134114902.991"/>
    <x v="0"/>
  </r>
  <r>
    <x v="31"/>
    <x v="25"/>
    <x v="0"/>
    <n v="158214722.206"/>
    <x v="0"/>
  </r>
  <r>
    <x v="31"/>
    <x v="5"/>
    <x v="0"/>
    <n v="153614573.354"/>
    <x v="0"/>
  </r>
  <r>
    <x v="31"/>
    <x v="22"/>
    <x v="0"/>
    <n v="138224187.23300001"/>
    <x v="0"/>
  </r>
  <r>
    <x v="31"/>
    <x v="6"/>
    <x v="0"/>
    <n v="162900916.32300001"/>
    <x v="0"/>
  </r>
  <r>
    <x v="31"/>
    <x v="7"/>
    <x v="0"/>
    <n v="186936756.79300001"/>
    <x v="0"/>
  </r>
  <r>
    <x v="31"/>
    <x v="8"/>
    <x v="0"/>
    <n v="167652984.604"/>
    <x v="0"/>
  </r>
  <r>
    <x v="31"/>
    <x v="9"/>
    <x v="0"/>
    <n v="261002808.72999999"/>
    <x v="0"/>
  </r>
  <r>
    <x v="31"/>
    <x v="10"/>
    <x v="0"/>
    <n v="291431310.81099999"/>
    <x v="0"/>
  </r>
  <r>
    <x v="31"/>
    <x v="11"/>
    <x v="0"/>
    <n v="357967874.63599998"/>
    <x v="0"/>
  </r>
  <r>
    <x v="31"/>
    <x v="12"/>
    <x v="0"/>
    <n v="84562271.246999994"/>
    <x v="0"/>
  </r>
  <r>
    <x v="31"/>
    <x v="2"/>
    <x v="0"/>
    <s v="NA"/>
    <x v="0"/>
  </r>
  <r>
    <x v="31"/>
    <x v="17"/>
    <x v="0"/>
    <s v="NA"/>
    <x v="0"/>
  </r>
  <r>
    <x v="31"/>
    <x v="19"/>
    <x v="0"/>
    <s v="NA"/>
    <x v="0"/>
  </r>
  <r>
    <x v="31"/>
    <x v="20"/>
    <x v="0"/>
    <s v="NA"/>
    <x v="0"/>
  </r>
  <r>
    <x v="31"/>
    <x v="14"/>
    <x v="0"/>
    <s v="NA"/>
    <x v="0"/>
  </r>
  <r>
    <x v="31"/>
    <x v="1"/>
    <x v="0"/>
    <n v="147201113.99599999"/>
    <x v="0"/>
  </r>
  <r>
    <x v="31"/>
    <x v="3"/>
    <x v="0"/>
    <n v="183789331.27500001"/>
    <x v="0"/>
  </r>
  <r>
    <x v="31"/>
    <x v="4"/>
    <x v="0"/>
    <n v="692536042.375"/>
    <x v="0"/>
  </r>
  <r>
    <x v="32"/>
    <x v="11"/>
    <x v="0"/>
    <n v="13983400"/>
    <x v="0"/>
  </r>
  <r>
    <x v="32"/>
    <x v="12"/>
    <x v="0"/>
    <n v="17581783.260000002"/>
    <x v="0"/>
  </r>
  <r>
    <x v="32"/>
    <x v="16"/>
    <x v="0"/>
    <n v="19596376.355999999"/>
    <x v="0"/>
  </r>
  <r>
    <x v="32"/>
    <x v="21"/>
    <x v="0"/>
    <n v="20562890.824000001"/>
    <x v="0"/>
  </r>
  <r>
    <x v="32"/>
    <x v="0"/>
    <x v="0"/>
    <n v="29769565"/>
    <x v="0"/>
  </r>
  <r>
    <x v="32"/>
    <x v="2"/>
    <x v="0"/>
    <n v="29707022.640999999"/>
    <x v="0"/>
  </r>
  <r>
    <x v="32"/>
    <x v="17"/>
    <x v="0"/>
    <n v="39195034.909000002"/>
    <x v="0"/>
  </r>
  <r>
    <x v="32"/>
    <x v="13"/>
    <x v="0"/>
    <n v="51615366.182999998"/>
    <x v="0"/>
  </r>
  <r>
    <x v="32"/>
    <x v="18"/>
    <x v="0"/>
    <n v="51106509.454999998"/>
    <x v="0"/>
  </r>
  <r>
    <x v="32"/>
    <x v="19"/>
    <x v="0"/>
    <n v="48695553.653999999"/>
    <x v="0"/>
  </r>
  <r>
    <x v="32"/>
    <x v="20"/>
    <x v="0"/>
    <n v="56990658.148999996"/>
    <x v="0"/>
  </r>
  <r>
    <x v="32"/>
    <x v="14"/>
    <x v="0"/>
    <n v="63600855.761"/>
    <x v="0"/>
  </r>
  <r>
    <x v="32"/>
    <x v="1"/>
    <x v="0"/>
    <n v="66730638.526000001"/>
    <x v="0"/>
  </r>
  <r>
    <x v="32"/>
    <x v="3"/>
    <x v="0"/>
    <n v="49774957.478"/>
    <x v="0"/>
  </r>
  <r>
    <x v="32"/>
    <x v="15"/>
    <x v="0"/>
    <n v="43532776.042999998"/>
    <x v="0"/>
  </r>
  <r>
    <x v="32"/>
    <x v="4"/>
    <x v="0"/>
    <n v="31322445.767000001"/>
    <x v="0"/>
  </r>
  <r>
    <x v="33"/>
    <x v="2"/>
    <x v="0"/>
    <n v="2400887"/>
    <x v="0"/>
  </r>
  <r>
    <x v="33"/>
    <x v="17"/>
    <x v="0"/>
    <n v="3876621"/>
    <x v="0"/>
  </r>
  <r>
    <x v="33"/>
    <x v="18"/>
    <x v="0"/>
    <n v="3439977"/>
    <x v="0"/>
  </r>
  <r>
    <x v="33"/>
    <x v="1"/>
    <x v="0"/>
    <n v="2609616.2829999998"/>
    <x v="0"/>
  </r>
  <r>
    <x v="34"/>
    <x v="11"/>
    <x v="0"/>
    <n v="2590288.87"/>
    <x v="0"/>
  </r>
  <r>
    <x v="34"/>
    <x v="12"/>
    <x v="0"/>
    <n v="2177255.0699999998"/>
    <x v="0"/>
  </r>
  <r>
    <x v="34"/>
    <x v="21"/>
    <x v="0"/>
    <n v="3366439.36"/>
    <x v="0"/>
  </r>
  <r>
    <x v="34"/>
    <x v="0"/>
    <x v="0"/>
    <n v="2813887"/>
    <x v="0"/>
  </r>
  <r>
    <x v="34"/>
    <x v="2"/>
    <x v="0"/>
    <n v="4479036.05"/>
    <x v="0"/>
  </r>
  <r>
    <x v="34"/>
    <x v="17"/>
    <x v="0"/>
    <n v="2192917.0299999998"/>
    <x v="0"/>
  </r>
  <r>
    <x v="34"/>
    <x v="13"/>
    <x v="0"/>
    <n v="4916708.3099999996"/>
    <x v="0"/>
  </r>
  <r>
    <x v="34"/>
    <x v="18"/>
    <x v="0"/>
    <n v="9874284.2799999993"/>
    <x v="0"/>
  </r>
  <r>
    <x v="34"/>
    <x v="19"/>
    <x v="0"/>
    <n v="9182488.5500000007"/>
    <x v="0"/>
  </r>
  <r>
    <x v="34"/>
    <x v="20"/>
    <x v="0"/>
    <n v="3791524"/>
    <x v="0"/>
  </r>
  <r>
    <x v="34"/>
    <x v="15"/>
    <x v="0"/>
    <n v="17709957.295000002"/>
    <x v="0"/>
  </r>
  <r>
    <x v="34"/>
    <x v="4"/>
    <x v="0"/>
    <n v="6438390.2970000003"/>
    <x v="0"/>
  </r>
  <r>
    <x v="35"/>
    <x v="11"/>
    <x v="0"/>
    <n v="76799755"/>
    <x v="0"/>
  </r>
  <r>
    <x v="35"/>
    <x v="12"/>
    <x v="0"/>
    <n v="51903511"/>
    <x v="0"/>
  </r>
  <r>
    <x v="35"/>
    <x v="16"/>
    <x v="0"/>
    <n v="38795733"/>
    <x v="0"/>
  </r>
  <r>
    <x v="35"/>
    <x v="21"/>
    <x v="0"/>
    <n v="21112721"/>
    <x v="0"/>
  </r>
  <r>
    <x v="35"/>
    <x v="0"/>
    <x v="0"/>
    <n v="75353939.060000002"/>
    <x v="0"/>
  </r>
  <r>
    <x v="35"/>
    <x v="2"/>
    <x v="0"/>
    <n v="75114819.299999997"/>
    <x v="0"/>
  </r>
  <r>
    <x v="35"/>
    <x v="17"/>
    <x v="0"/>
    <n v="71977677.998999998"/>
    <x v="0"/>
  </r>
  <r>
    <x v="35"/>
    <x v="13"/>
    <x v="0"/>
    <n v="174756373.13999999"/>
    <x v="0"/>
  </r>
  <r>
    <x v="35"/>
    <x v="18"/>
    <x v="0"/>
    <n v="141466225.83399999"/>
    <x v="0"/>
  </r>
  <r>
    <x v="35"/>
    <x v="19"/>
    <x v="0"/>
    <n v="87068665.5"/>
    <x v="0"/>
  </r>
  <r>
    <x v="35"/>
    <x v="20"/>
    <x v="0"/>
    <n v="88547407.079999998"/>
    <x v="0"/>
  </r>
  <r>
    <x v="35"/>
    <x v="14"/>
    <x v="0"/>
    <n v="82993200"/>
    <x v="0"/>
  </r>
  <r>
    <x v="35"/>
    <x v="1"/>
    <x v="0"/>
    <n v="77457931.594999999"/>
    <x v="0"/>
  </r>
  <r>
    <x v="35"/>
    <x v="3"/>
    <x v="0"/>
    <n v="68805553.930000007"/>
    <x v="0"/>
  </r>
  <r>
    <x v="35"/>
    <x v="15"/>
    <x v="0"/>
    <n v="110426190.31"/>
    <x v="0"/>
  </r>
  <r>
    <x v="35"/>
    <x v="4"/>
    <x v="0"/>
    <n v="73864673.359999895"/>
    <x v="0"/>
  </r>
  <r>
    <x v="36"/>
    <x v="11"/>
    <x v="0"/>
    <n v="4421489"/>
    <x v="0"/>
  </r>
  <r>
    <x v="36"/>
    <x v="12"/>
    <x v="0"/>
    <n v="7666385"/>
    <x v="0"/>
  </r>
  <r>
    <x v="36"/>
    <x v="16"/>
    <x v="0"/>
    <n v="8214169"/>
    <x v="0"/>
  </r>
  <r>
    <x v="36"/>
    <x v="21"/>
    <x v="0"/>
    <n v="9742412"/>
    <x v="0"/>
  </r>
  <r>
    <x v="36"/>
    <x v="0"/>
    <x v="0"/>
    <n v="13651925"/>
    <x v="0"/>
  </r>
  <r>
    <x v="36"/>
    <x v="2"/>
    <x v="0"/>
    <n v="10070954"/>
    <x v="0"/>
  </r>
  <r>
    <x v="36"/>
    <x v="17"/>
    <x v="0"/>
    <n v="13673809.173"/>
    <x v="0"/>
  </r>
  <r>
    <x v="36"/>
    <x v="13"/>
    <x v="0"/>
    <n v="14964213.927999999"/>
    <x v="0"/>
  </r>
  <r>
    <x v="36"/>
    <x v="18"/>
    <x v="0"/>
    <n v="13199511.353"/>
    <x v="0"/>
  </r>
  <r>
    <x v="36"/>
    <x v="19"/>
    <x v="0"/>
    <n v="13128472.273"/>
    <x v="0"/>
  </r>
  <r>
    <x v="36"/>
    <x v="20"/>
    <x v="0"/>
    <n v="17226856.230999999"/>
    <x v="0"/>
  </r>
  <r>
    <x v="36"/>
    <x v="14"/>
    <x v="0"/>
    <n v="18664494.530000001"/>
    <x v="0"/>
  </r>
  <r>
    <x v="36"/>
    <x v="1"/>
    <x v="0"/>
    <n v="21007243"/>
    <x v="0"/>
  </r>
  <r>
    <x v="36"/>
    <x v="3"/>
    <x v="0"/>
    <n v="24072107.375999998"/>
    <x v="0"/>
  </r>
  <r>
    <x v="36"/>
    <x v="15"/>
    <x v="0"/>
    <n v="29571986.243000001"/>
    <x v="0"/>
  </r>
  <r>
    <x v="36"/>
    <x v="4"/>
    <x v="0"/>
    <n v="26676351.276999999"/>
    <x v="0"/>
  </r>
  <r>
    <x v="37"/>
    <x v="2"/>
    <x v="0"/>
    <n v="1853406.5"/>
    <x v="0"/>
  </r>
  <r>
    <x v="37"/>
    <x v="17"/>
    <x v="0"/>
    <n v="1996059.18"/>
    <x v="0"/>
  </r>
  <r>
    <x v="37"/>
    <x v="13"/>
    <x v="0"/>
    <n v="1888188.1"/>
    <x v="0"/>
  </r>
  <r>
    <x v="37"/>
    <x v="18"/>
    <x v="0"/>
    <n v="2232058.66"/>
    <x v="0"/>
  </r>
  <r>
    <x v="37"/>
    <x v="19"/>
    <x v="0"/>
    <n v="2558622.92"/>
    <x v="0"/>
  </r>
  <r>
    <x v="37"/>
    <x v="20"/>
    <x v="0"/>
    <n v="3057763.95"/>
    <x v="0"/>
  </r>
  <r>
    <x v="37"/>
    <x v="14"/>
    <x v="0"/>
    <n v="3612704.5419999999"/>
    <x v="0"/>
  </r>
  <r>
    <x v="37"/>
    <x v="1"/>
    <x v="0"/>
    <n v="3048818.4139999999"/>
    <x v="0"/>
  </r>
  <r>
    <x v="37"/>
    <x v="3"/>
    <x v="0"/>
    <n v="3233872.4559999998"/>
    <x v="0"/>
  </r>
  <r>
    <x v="37"/>
    <x v="15"/>
    <x v="0"/>
    <n v="3224772.54"/>
    <x v="0"/>
  </r>
  <r>
    <x v="38"/>
    <x v="21"/>
    <x v="0"/>
    <n v="2436010"/>
    <x v="0"/>
  </r>
  <r>
    <x v="38"/>
    <x v="0"/>
    <x v="0"/>
    <n v="2992006"/>
    <x v="0"/>
  </r>
  <r>
    <x v="38"/>
    <x v="2"/>
    <x v="0"/>
    <n v="3401379"/>
    <x v="0"/>
  </r>
  <r>
    <x v="38"/>
    <x v="13"/>
    <x v="0"/>
    <n v="1814282"/>
    <x v="0"/>
  </r>
  <r>
    <x v="38"/>
    <x v="18"/>
    <x v="0"/>
    <n v="3285760"/>
    <x v="0"/>
  </r>
  <r>
    <x v="38"/>
    <x v="19"/>
    <x v="0"/>
    <n v="11462311"/>
    <x v="0"/>
  </r>
  <r>
    <x v="38"/>
    <x v="20"/>
    <x v="0"/>
    <n v="10133081"/>
    <x v="0"/>
  </r>
  <r>
    <x v="38"/>
    <x v="1"/>
    <x v="0"/>
    <n v="4681070"/>
    <x v="0"/>
  </r>
  <r>
    <x v="39"/>
    <x v="5"/>
    <x v="0"/>
    <n v="28821703"/>
    <x v="0"/>
  </r>
  <r>
    <x v="39"/>
    <x v="22"/>
    <x v="0"/>
    <n v="37053312"/>
    <x v="0"/>
  </r>
  <r>
    <x v="39"/>
    <x v="6"/>
    <x v="0"/>
    <n v="29616246"/>
    <x v="0"/>
  </r>
  <r>
    <x v="39"/>
    <x v="7"/>
    <x v="0"/>
    <n v="24771491"/>
    <x v="0"/>
  </r>
  <r>
    <x v="39"/>
    <x v="8"/>
    <x v="0"/>
    <n v="34843646"/>
    <x v="0"/>
  </r>
  <r>
    <x v="39"/>
    <x v="9"/>
    <x v="0"/>
    <n v="13533977"/>
    <x v="0"/>
  </r>
  <r>
    <x v="39"/>
    <x v="10"/>
    <x v="0"/>
    <n v="2332834.2000000002"/>
    <x v="0"/>
  </r>
  <r>
    <x v="39"/>
    <x v="11"/>
    <x v="0"/>
    <n v="27349968.399999999"/>
    <x v="0"/>
  </r>
  <r>
    <x v="39"/>
    <x v="12"/>
    <x v="0"/>
    <n v="55440963.880999997"/>
    <x v="0"/>
  </r>
  <r>
    <x v="39"/>
    <x v="16"/>
    <x v="0"/>
    <n v="155911564.80700001"/>
    <x v="0"/>
  </r>
  <r>
    <x v="39"/>
    <x v="21"/>
    <x v="0"/>
    <n v="49953333.590000004"/>
    <x v="0"/>
  </r>
  <r>
    <x v="39"/>
    <x v="0"/>
    <x v="0"/>
    <n v="32561244.199999999"/>
    <x v="0"/>
  </r>
  <r>
    <x v="39"/>
    <x v="2"/>
    <x v="0"/>
    <n v="43180313"/>
    <x v="0"/>
  </r>
  <r>
    <x v="39"/>
    <x v="17"/>
    <x v="0"/>
    <n v="37834674.899999999"/>
    <x v="0"/>
  </r>
  <r>
    <x v="39"/>
    <x v="13"/>
    <x v="0"/>
    <n v="34700897.020000003"/>
    <x v="0"/>
  </r>
  <r>
    <x v="39"/>
    <x v="18"/>
    <x v="0"/>
    <n v="35480352.170000002"/>
    <x v="0"/>
  </r>
  <r>
    <x v="39"/>
    <x v="19"/>
    <x v="0"/>
    <n v="35040399.960000001"/>
    <x v="0"/>
  </r>
  <r>
    <x v="39"/>
    <x v="20"/>
    <x v="0"/>
    <n v="44997010.467"/>
    <x v="0"/>
  </r>
  <r>
    <x v="39"/>
    <x v="14"/>
    <x v="0"/>
    <n v="47982546.770000003"/>
    <x v="0"/>
  </r>
  <r>
    <x v="39"/>
    <x v="1"/>
    <x v="0"/>
    <n v="53438365.799999997"/>
    <x v="0"/>
  </r>
  <r>
    <x v="40"/>
    <x v="4"/>
    <x v="0"/>
    <n v="873176.51"/>
    <x v="0"/>
  </r>
  <r>
    <x v="41"/>
    <x v="25"/>
    <x v="0"/>
    <n v="58702818.995999999"/>
    <x v="0"/>
  </r>
  <r>
    <x v="41"/>
    <x v="5"/>
    <x v="0"/>
    <n v="49202771.215000004"/>
    <x v="0"/>
  </r>
  <r>
    <x v="41"/>
    <x v="22"/>
    <x v="0"/>
    <n v="52762098.990000002"/>
    <x v="0"/>
  </r>
  <r>
    <x v="41"/>
    <x v="6"/>
    <x v="0"/>
    <n v="67129402.873999998"/>
    <x v="0"/>
  </r>
  <r>
    <x v="41"/>
    <x v="7"/>
    <x v="0"/>
    <n v="69327136.086999997"/>
    <x v="0"/>
  </r>
  <r>
    <x v="41"/>
    <x v="8"/>
    <x v="0"/>
    <n v="70485577.781000003"/>
    <x v="0"/>
  </r>
  <r>
    <x v="41"/>
    <x v="9"/>
    <x v="0"/>
    <n v="74128347.044"/>
    <x v="0"/>
  </r>
  <r>
    <x v="41"/>
    <x v="10"/>
    <x v="0"/>
    <n v="68958502.276999995"/>
    <x v="0"/>
  </r>
  <r>
    <x v="41"/>
    <x v="11"/>
    <x v="0"/>
    <n v="74981659.096000001"/>
    <x v="0"/>
  </r>
  <r>
    <x v="41"/>
    <x v="12"/>
    <x v="0"/>
    <n v="93632869.053000003"/>
    <x v="0"/>
  </r>
  <r>
    <x v="41"/>
    <x v="16"/>
    <x v="0"/>
    <n v="85210293.834000006"/>
    <x v="0"/>
  </r>
  <r>
    <x v="41"/>
    <x v="21"/>
    <x v="0"/>
    <n v="78373781.450000003"/>
    <x v="0"/>
  </r>
  <r>
    <x v="41"/>
    <x v="0"/>
    <x v="0"/>
    <n v="79983769.131999999"/>
    <x v="0"/>
  </r>
  <r>
    <x v="41"/>
    <x v="2"/>
    <x v="0"/>
    <n v="84741438.530000001"/>
    <x v="0"/>
  </r>
  <r>
    <x v="41"/>
    <x v="17"/>
    <x v="0"/>
    <n v="90497430.424999997"/>
    <x v="0"/>
  </r>
  <r>
    <x v="41"/>
    <x v="13"/>
    <x v="0"/>
    <n v="97631053.725999996"/>
    <x v="0"/>
  </r>
  <r>
    <x v="41"/>
    <x v="18"/>
    <x v="0"/>
    <n v="102591937.932"/>
    <x v="0"/>
  </r>
  <r>
    <x v="41"/>
    <x v="19"/>
    <x v="0"/>
    <n v="95936904.187000006"/>
    <x v="0"/>
  </r>
  <r>
    <x v="41"/>
    <x v="20"/>
    <x v="0"/>
    <n v="106207657.587"/>
    <x v="0"/>
  </r>
  <r>
    <x v="41"/>
    <x v="14"/>
    <x v="0"/>
    <n v="96794742.7959999"/>
    <x v="0"/>
  </r>
  <r>
    <x v="41"/>
    <x v="1"/>
    <x v="0"/>
    <n v="96553675.380999997"/>
    <x v="0"/>
  </r>
  <r>
    <x v="41"/>
    <x v="3"/>
    <x v="0"/>
    <n v="103888492.645"/>
    <x v="0"/>
  </r>
  <r>
    <x v="41"/>
    <x v="15"/>
    <x v="0"/>
    <n v="106986895.721"/>
    <x v="0"/>
  </r>
  <r>
    <x v="41"/>
    <x v="4"/>
    <x v="0"/>
    <n v="101587099.744"/>
    <x v="0"/>
  </r>
  <r>
    <x v="42"/>
    <x v="11"/>
    <x v="0"/>
    <n v="588726990"/>
    <x v="0"/>
  </r>
  <r>
    <x v="42"/>
    <x v="12"/>
    <x v="0"/>
    <n v="576241031"/>
    <x v="0"/>
  </r>
  <r>
    <x v="42"/>
    <x v="16"/>
    <x v="0"/>
    <n v="559492762"/>
    <x v="0"/>
  </r>
  <r>
    <x v="42"/>
    <x v="21"/>
    <x v="0"/>
    <n v="550883859"/>
    <x v="0"/>
  </r>
  <r>
    <x v="42"/>
    <x v="0"/>
    <x v="0"/>
    <n v="595479085"/>
    <x v="0"/>
  </r>
  <r>
    <x v="42"/>
    <x v="2"/>
    <x v="0"/>
    <n v="561630822.29400003"/>
    <x v="0"/>
  </r>
  <r>
    <x v="42"/>
    <x v="17"/>
    <x v="0"/>
    <n v="563152955.23099995"/>
    <x v="0"/>
  </r>
  <r>
    <x v="42"/>
    <x v="13"/>
    <x v="0"/>
    <n v="490482330.05800003"/>
    <x v="0"/>
  </r>
  <r>
    <x v="42"/>
    <x v="18"/>
    <x v="0"/>
    <n v="514415168.51999998"/>
    <x v="0"/>
  </r>
  <r>
    <x v="42"/>
    <x v="19"/>
    <x v="0"/>
    <n v="441891507.46499997"/>
    <x v="0"/>
  </r>
  <r>
    <x v="42"/>
    <x v="20"/>
    <x v="0"/>
    <n v="582657601.21599996"/>
    <x v="0"/>
  </r>
  <r>
    <x v="42"/>
    <x v="14"/>
    <x v="0"/>
    <n v="471026442.727"/>
    <x v="0"/>
  </r>
  <r>
    <x v="42"/>
    <x v="1"/>
    <x v="0"/>
    <n v="513792909.30500001"/>
    <x v="0"/>
  </r>
  <r>
    <x v="42"/>
    <x v="3"/>
    <x v="0"/>
    <n v="444404332.98199999"/>
    <x v="0"/>
  </r>
  <r>
    <x v="42"/>
    <x v="15"/>
    <x v="0"/>
    <n v="579464066.50300002"/>
    <x v="0"/>
  </r>
  <r>
    <x v="42"/>
    <x v="4"/>
    <x v="0"/>
    <n v="95222869.525000006"/>
    <x v="0"/>
  </r>
  <r>
    <x v="43"/>
    <x v="14"/>
    <x v="0"/>
    <n v="2327752"/>
    <x v="0"/>
  </r>
  <r>
    <x v="43"/>
    <x v="1"/>
    <x v="0"/>
    <n v="4930614"/>
    <x v="0"/>
  </r>
  <r>
    <x v="44"/>
    <x v="4"/>
    <x v="0"/>
    <n v="1138702"/>
    <x v="0"/>
  </r>
  <r>
    <x v="45"/>
    <x v="1"/>
    <x v="0"/>
    <n v="2796226"/>
    <x v="0"/>
  </r>
  <r>
    <x v="45"/>
    <x v="3"/>
    <x v="0"/>
    <n v="2895769"/>
    <x v="0"/>
  </r>
  <r>
    <x v="45"/>
    <x v="15"/>
    <x v="0"/>
    <n v="3742950.46"/>
    <x v="0"/>
  </r>
  <r>
    <x v="45"/>
    <x v="4"/>
    <x v="0"/>
    <n v="3114324.997"/>
    <x v="0"/>
  </r>
  <r>
    <x v="46"/>
    <x v="13"/>
    <x v="0"/>
    <n v="21758991.399999999"/>
    <x v="0"/>
  </r>
  <r>
    <x v="46"/>
    <x v="18"/>
    <x v="0"/>
    <n v="18092247.100000001"/>
    <x v="0"/>
  </r>
  <r>
    <x v="46"/>
    <x v="19"/>
    <x v="0"/>
    <n v="17457510.199999999"/>
    <x v="0"/>
  </r>
  <r>
    <x v="47"/>
    <x v="11"/>
    <x v="0"/>
    <n v="5214074"/>
    <x v="0"/>
  </r>
  <r>
    <x v="47"/>
    <x v="12"/>
    <x v="0"/>
    <n v="3931545"/>
    <x v="0"/>
  </r>
  <r>
    <x v="47"/>
    <x v="16"/>
    <x v="0"/>
    <n v="4526804"/>
    <x v="0"/>
  </r>
  <r>
    <x v="47"/>
    <x v="21"/>
    <x v="0"/>
    <n v="4275569"/>
    <x v="0"/>
  </r>
  <r>
    <x v="47"/>
    <x v="0"/>
    <x v="0"/>
    <n v="3948646"/>
    <x v="0"/>
  </r>
  <r>
    <x v="47"/>
    <x v="2"/>
    <x v="0"/>
    <n v="3285660"/>
    <x v="0"/>
  </r>
  <r>
    <x v="47"/>
    <x v="17"/>
    <x v="0"/>
    <n v="3912353"/>
    <x v="0"/>
  </r>
  <r>
    <x v="47"/>
    <x v="13"/>
    <x v="0"/>
    <n v="3051474"/>
    <x v="0"/>
  </r>
  <r>
    <x v="47"/>
    <x v="18"/>
    <x v="0"/>
    <n v="6024583.182"/>
    <x v="0"/>
  </r>
  <r>
    <x v="47"/>
    <x v="19"/>
    <x v="0"/>
    <n v="3256518.1710000001"/>
    <x v="0"/>
  </r>
  <r>
    <x v="47"/>
    <x v="20"/>
    <x v="0"/>
    <n v="4009994.7009999999"/>
    <x v="0"/>
  </r>
  <r>
    <x v="48"/>
    <x v="2"/>
    <x v="0"/>
    <n v="41243112.527000003"/>
    <x v="0"/>
  </r>
  <r>
    <x v="48"/>
    <x v="17"/>
    <x v="0"/>
    <n v="43221813.648999996"/>
    <x v="0"/>
  </r>
  <r>
    <x v="48"/>
    <x v="13"/>
    <x v="0"/>
    <n v="42802744.623000003"/>
    <x v="0"/>
  </r>
  <r>
    <x v="48"/>
    <x v="18"/>
    <x v="0"/>
    <n v="43672836.781999998"/>
    <x v="0"/>
  </r>
  <r>
    <x v="48"/>
    <x v="19"/>
    <x v="0"/>
    <n v="51502757.773999996"/>
    <x v="0"/>
  </r>
  <r>
    <x v="48"/>
    <x v="20"/>
    <x v="0"/>
    <n v="66956902.776000001"/>
    <x v="0"/>
  </r>
  <r>
    <x v="48"/>
    <x v="14"/>
    <x v="0"/>
    <n v="55714263.038000003"/>
    <x v="0"/>
  </r>
  <r>
    <x v="48"/>
    <x v="1"/>
    <x v="0"/>
    <n v="63314879.794"/>
    <x v="0"/>
  </r>
  <r>
    <x v="48"/>
    <x v="3"/>
    <x v="0"/>
    <n v="58834172.299999997"/>
    <x v="0"/>
  </r>
  <r>
    <x v="0"/>
    <x v="0"/>
    <x v="1"/>
    <n v="3165181.9479999999"/>
    <x v="0"/>
  </r>
  <r>
    <x v="1"/>
    <x v="1"/>
    <x v="1"/>
    <n v="46199247.788000003"/>
    <x v="0"/>
  </r>
  <r>
    <x v="2"/>
    <x v="2"/>
    <x v="1"/>
    <n v="8715045.4010000005"/>
    <x v="0"/>
  </r>
  <r>
    <x v="2"/>
    <x v="3"/>
    <x v="1"/>
    <n v="16305511.582"/>
    <x v="0"/>
  </r>
  <r>
    <x v="2"/>
    <x v="4"/>
    <x v="1"/>
    <n v="9688969.9000000004"/>
    <x v="0"/>
  </r>
  <r>
    <x v="3"/>
    <x v="5"/>
    <x v="1"/>
    <n v="5656598"/>
    <x v="0"/>
  </r>
  <r>
    <x v="3"/>
    <x v="6"/>
    <x v="1"/>
    <n v="9709593"/>
    <x v="0"/>
  </r>
  <r>
    <x v="3"/>
    <x v="7"/>
    <x v="1"/>
    <n v="11212903"/>
    <x v="0"/>
  </r>
  <r>
    <x v="3"/>
    <x v="8"/>
    <x v="1"/>
    <n v="19714529"/>
    <x v="0"/>
  </r>
  <r>
    <x v="3"/>
    <x v="9"/>
    <x v="1"/>
    <n v="19298944"/>
    <x v="0"/>
  </r>
  <r>
    <x v="3"/>
    <x v="10"/>
    <x v="1"/>
    <n v="19121160"/>
    <x v="0"/>
  </r>
  <r>
    <x v="3"/>
    <x v="11"/>
    <x v="1"/>
    <n v="11193183"/>
    <x v="0"/>
  </r>
  <r>
    <x v="3"/>
    <x v="12"/>
    <x v="1"/>
    <n v="12607473"/>
    <x v="0"/>
  </r>
  <r>
    <x v="3"/>
    <x v="2"/>
    <x v="1"/>
    <n v="7889465"/>
    <x v="0"/>
  </r>
  <r>
    <x v="3"/>
    <x v="13"/>
    <x v="1"/>
    <n v="7681399"/>
    <x v="0"/>
  </r>
  <r>
    <x v="3"/>
    <x v="14"/>
    <x v="1"/>
    <n v="10448226"/>
    <x v="0"/>
  </r>
  <r>
    <x v="3"/>
    <x v="1"/>
    <x v="1"/>
    <n v="19394416"/>
    <x v="0"/>
  </r>
  <r>
    <x v="3"/>
    <x v="3"/>
    <x v="1"/>
    <n v="22571307"/>
    <x v="0"/>
  </r>
  <r>
    <x v="3"/>
    <x v="15"/>
    <x v="1"/>
    <n v="26554009"/>
    <x v="0"/>
  </r>
  <r>
    <x v="3"/>
    <x v="4"/>
    <x v="1"/>
    <n v="26930391"/>
    <x v="0"/>
  </r>
  <r>
    <x v="4"/>
    <x v="16"/>
    <x v="1"/>
    <n v="18611291.408"/>
    <x v="0"/>
  </r>
  <r>
    <x v="4"/>
    <x v="17"/>
    <x v="1"/>
    <n v="9845590.3090000004"/>
    <x v="0"/>
  </r>
  <r>
    <x v="5"/>
    <x v="11"/>
    <x v="1"/>
    <n v="134152947.962"/>
    <x v="0"/>
  </r>
  <r>
    <x v="5"/>
    <x v="12"/>
    <x v="1"/>
    <n v="242138219.91100001"/>
    <x v="0"/>
  </r>
  <r>
    <x v="5"/>
    <x v="16"/>
    <x v="1"/>
    <n v="213155123.74399999"/>
    <x v="0"/>
  </r>
  <r>
    <x v="5"/>
    <x v="17"/>
    <x v="1"/>
    <n v="362890053.93000001"/>
    <x v="0"/>
  </r>
  <r>
    <x v="5"/>
    <x v="13"/>
    <x v="1"/>
    <n v="417937610.29400003"/>
    <x v="0"/>
  </r>
  <r>
    <x v="5"/>
    <x v="18"/>
    <x v="1"/>
    <n v="487379646.528"/>
    <x v="0"/>
  </r>
  <r>
    <x v="5"/>
    <x v="19"/>
    <x v="1"/>
    <n v="503441081.17000002"/>
    <x v="0"/>
  </r>
  <r>
    <x v="5"/>
    <x v="20"/>
    <x v="1"/>
    <n v="579716302.46700001"/>
    <x v="0"/>
  </r>
  <r>
    <x v="5"/>
    <x v="14"/>
    <x v="1"/>
    <n v="702569283.16199994"/>
    <x v="0"/>
  </r>
  <r>
    <x v="5"/>
    <x v="1"/>
    <x v="1"/>
    <n v="788668798.16600001"/>
    <x v="0"/>
  </r>
  <r>
    <x v="5"/>
    <x v="3"/>
    <x v="1"/>
    <n v="833186043.68099999"/>
    <x v="0"/>
  </r>
  <r>
    <x v="5"/>
    <x v="15"/>
    <x v="1"/>
    <n v="1053409365.487"/>
    <x v="0"/>
  </r>
  <r>
    <x v="6"/>
    <x v="0"/>
    <x v="1"/>
    <n v="40956180.799999997"/>
    <x v="0"/>
  </r>
  <r>
    <x v="6"/>
    <x v="17"/>
    <x v="1"/>
    <n v="17629629.789999999"/>
    <x v="0"/>
  </r>
  <r>
    <x v="6"/>
    <x v="18"/>
    <x v="1"/>
    <n v="14397229.119999999"/>
    <x v="0"/>
  </r>
  <r>
    <x v="6"/>
    <x v="20"/>
    <x v="1"/>
    <n v="26909653.039999999"/>
    <x v="0"/>
  </r>
  <r>
    <x v="6"/>
    <x v="14"/>
    <x v="1"/>
    <n v="20860811.649999999"/>
    <x v="0"/>
  </r>
  <r>
    <x v="6"/>
    <x v="1"/>
    <x v="1"/>
    <n v="19481994.530000001"/>
    <x v="0"/>
  </r>
  <r>
    <x v="6"/>
    <x v="3"/>
    <x v="1"/>
    <n v="21258158.739999998"/>
    <x v="0"/>
  </r>
  <r>
    <x v="6"/>
    <x v="4"/>
    <x v="1"/>
    <n v="13570564.67"/>
    <x v="0"/>
  </r>
  <r>
    <x v="7"/>
    <x v="2"/>
    <x v="1"/>
    <n v="2085324"/>
    <x v="0"/>
  </r>
  <r>
    <x v="8"/>
    <x v="2"/>
    <x v="1"/>
    <n v="8077285"/>
    <x v="0"/>
  </r>
  <r>
    <x v="8"/>
    <x v="17"/>
    <x v="1"/>
    <n v="7817642"/>
    <x v="0"/>
  </r>
  <r>
    <x v="8"/>
    <x v="3"/>
    <x v="1"/>
    <n v="14329219"/>
    <x v="0"/>
  </r>
  <r>
    <x v="8"/>
    <x v="4"/>
    <x v="1"/>
    <n v="16870793"/>
    <x v="0"/>
  </r>
  <r>
    <x v="9"/>
    <x v="9"/>
    <x v="1"/>
    <n v="10376391.441"/>
    <x v="0"/>
  </r>
  <r>
    <x v="10"/>
    <x v="11"/>
    <x v="1"/>
    <n v="322810975.30000001"/>
    <x v="0"/>
  </r>
  <r>
    <x v="10"/>
    <x v="12"/>
    <x v="1"/>
    <n v="557832807.15999997"/>
    <x v="0"/>
  </r>
  <r>
    <x v="10"/>
    <x v="16"/>
    <x v="1"/>
    <n v="834126333.77900004"/>
    <x v="0"/>
  </r>
  <r>
    <x v="10"/>
    <x v="21"/>
    <x v="1"/>
    <n v="1030175200.29"/>
    <x v="0"/>
  </r>
  <r>
    <x v="10"/>
    <x v="0"/>
    <x v="1"/>
    <n v="1003479726.74"/>
    <x v="0"/>
  </r>
  <r>
    <x v="10"/>
    <x v="2"/>
    <x v="1"/>
    <n v="706849928.00399995"/>
    <x v="0"/>
  </r>
  <r>
    <x v="10"/>
    <x v="17"/>
    <x v="1"/>
    <n v="741362552.35300004"/>
    <x v="0"/>
  </r>
  <r>
    <x v="10"/>
    <x v="13"/>
    <x v="1"/>
    <n v="1055478196.13"/>
    <x v="0"/>
  </r>
  <r>
    <x v="10"/>
    <x v="18"/>
    <x v="1"/>
    <n v="1126407614.404"/>
    <x v="0"/>
  </r>
  <r>
    <x v="10"/>
    <x v="19"/>
    <x v="1"/>
    <n v="1066210956.51"/>
    <x v="0"/>
  </r>
  <r>
    <x v="10"/>
    <x v="20"/>
    <x v="1"/>
    <n v="1033422014.7"/>
    <x v="0"/>
  </r>
  <r>
    <x v="10"/>
    <x v="14"/>
    <x v="1"/>
    <n v="1135871160.96"/>
    <x v="0"/>
  </r>
  <r>
    <x v="10"/>
    <x v="1"/>
    <x v="1"/>
    <n v="81325619.116999999"/>
    <x v="0"/>
  </r>
  <r>
    <x v="10"/>
    <x v="15"/>
    <x v="1"/>
    <n v="1410291636.957"/>
    <x v="0"/>
  </r>
  <r>
    <x v="11"/>
    <x v="22"/>
    <x v="1"/>
    <n v="31073370.359999999"/>
    <x v="0"/>
  </r>
  <r>
    <x v="11"/>
    <x v="6"/>
    <x v="1"/>
    <n v="51958957.579999998"/>
    <x v="0"/>
  </r>
  <r>
    <x v="11"/>
    <x v="7"/>
    <x v="1"/>
    <n v="49215390.649999999"/>
    <x v="0"/>
  </r>
  <r>
    <x v="11"/>
    <x v="8"/>
    <x v="1"/>
    <n v="92834156.170000002"/>
    <x v="0"/>
  </r>
  <r>
    <x v="11"/>
    <x v="9"/>
    <x v="1"/>
    <n v="106356922.42"/>
    <x v="0"/>
  </r>
  <r>
    <x v="11"/>
    <x v="10"/>
    <x v="1"/>
    <n v="73686141.439999998"/>
    <x v="0"/>
  </r>
  <r>
    <x v="11"/>
    <x v="11"/>
    <x v="1"/>
    <n v="65022103.740000002"/>
    <x v="0"/>
  </r>
  <r>
    <x v="11"/>
    <x v="12"/>
    <x v="1"/>
    <n v="67705622.980000004"/>
    <x v="0"/>
  </r>
  <r>
    <x v="11"/>
    <x v="16"/>
    <x v="1"/>
    <n v="96976519.75"/>
    <x v="0"/>
  </r>
  <r>
    <x v="11"/>
    <x v="21"/>
    <x v="1"/>
    <n v="106606803.88"/>
    <x v="0"/>
  </r>
  <r>
    <x v="11"/>
    <x v="0"/>
    <x v="1"/>
    <n v="97831294.709999993"/>
    <x v="0"/>
  </r>
  <r>
    <x v="11"/>
    <x v="2"/>
    <x v="1"/>
    <n v="73625371.489999995"/>
    <x v="0"/>
  </r>
  <r>
    <x v="11"/>
    <x v="17"/>
    <x v="1"/>
    <n v="77300718.049999997"/>
    <x v="0"/>
  </r>
  <r>
    <x v="11"/>
    <x v="13"/>
    <x v="1"/>
    <n v="88788545.239999995"/>
    <x v="0"/>
  </r>
  <r>
    <x v="11"/>
    <x v="18"/>
    <x v="1"/>
    <n v="84919604.359999999"/>
    <x v="0"/>
  </r>
  <r>
    <x v="11"/>
    <x v="19"/>
    <x v="1"/>
    <n v="77623180.359999999"/>
    <x v="0"/>
  </r>
  <r>
    <x v="11"/>
    <x v="20"/>
    <x v="1"/>
    <n v="74951906.859999999"/>
    <x v="0"/>
  </r>
  <r>
    <x v="11"/>
    <x v="14"/>
    <x v="1"/>
    <n v="80367170.760000005"/>
    <x v="0"/>
  </r>
  <r>
    <x v="11"/>
    <x v="1"/>
    <x v="1"/>
    <n v="98818762.319999993"/>
    <x v="0"/>
  </r>
  <r>
    <x v="11"/>
    <x v="3"/>
    <x v="1"/>
    <n v="97051324.299999997"/>
    <x v="0"/>
  </r>
  <r>
    <x v="11"/>
    <x v="15"/>
    <x v="1"/>
    <n v="100614248.56"/>
    <x v="0"/>
  </r>
  <r>
    <x v="11"/>
    <x v="4"/>
    <x v="1"/>
    <n v="127324986.72"/>
    <x v="0"/>
  </r>
  <r>
    <x v="12"/>
    <x v="0"/>
    <x v="1"/>
    <n v="97493.43"/>
    <x v="0"/>
  </r>
  <r>
    <x v="13"/>
    <x v="0"/>
    <x v="1"/>
    <n v="9299498.3660000004"/>
    <x v="0"/>
  </r>
  <r>
    <x v="13"/>
    <x v="2"/>
    <x v="1"/>
    <n v="22634553.405000001"/>
    <x v="0"/>
  </r>
  <r>
    <x v="13"/>
    <x v="17"/>
    <x v="1"/>
    <n v="7392132.5310000004"/>
    <x v="0"/>
  </r>
  <r>
    <x v="13"/>
    <x v="13"/>
    <x v="1"/>
    <n v="9625540.8469999991"/>
    <x v="0"/>
  </r>
  <r>
    <x v="13"/>
    <x v="18"/>
    <x v="1"/>
    <n v="13706474.482999999"/>
    <x v="0"/>
  </r>
  <r>
    <x v="13"/>
    <x v="19"/>
    <x v="1"/>
    <n v="14861107.802999999"/>
    <x v="0"/>
  </r>
  <r>
    <x v="13"/>
    <x v="20"/>
    <x v="1"/>
    <n v="17561426.644000001"/>
    <x v="0"/>
  </r>
  <r>
    <x v="13"/>
    <x v="14"/>
    <x v="1"/>
    <n v="16556878.073000001"/>
    <x v="0"/>
  </r>
  <r>
    <x v="13"/>
    <x v="1"/>
    <x v="1"/>
    <n v="17710321.197999999"/>
    <x v="0"/>
  </r>
  <r>
    <x v="13"/>
    <x v="3"/>
    <x v="1"/>
    <n v="13047474.593"/>
    <x v="0"/>
  </r>
  <r>
    <x v="13"/>
    <x v="15"/>
    <x v="1"/>
    <n v="16728908.562999999"/>
    <x v="0"/>
  </r>
  <r>
    <x v="13"/>
    <x v="4"/>
    <x v="1"/>
    <n v="8593999.2449999992"/>
    <x v="0"/>
  </r>
  <r>
    <x v="14"/>
    <x v="23"/>
    <x v="1"/>
    <n v="153172974.71200001"/>
    <x v="0"/>
  </r>
  <r>
    <x v="14"/>
    <x v="24"/>
    <x v="1"/>
    <n v="30494807.465999998"/>
    <x v="0"/>
  </r>
  <r>
    <x v="14"/>
    <x v="25"/>
    <x v="1"/>
    <n v="43154333.847000003"/>
    <x v="0"/>
  </r>
  <r>
    <x v="14"/>
    <x v="5"/>
    <x v="1"/>
    <n v="60147705.619999997"/>
    <x v="0"/>
  </r>
  <r>
    <x v="14"/>
    <x v="22"/>
    <x v="1"/>
    <n v="65430668.475000001"/>
    <x v="0"/>
  </r>
  <r>
    <x v="14"/>
    <x v="6"/>
    <x v="1"/>
    <n v="62949102.777000003"/>
    <x v="0"/>
  </r>
  <r>
    <x v="14"/>
    <x v="7"/>
    <x v="1"/>
    <n v="61926487.535999998"/>
    <x v="0"/>
  </r>
  <r>
    <x v="14"/>
    <x v="8"/>
    <x v="1"/>
    <n v="83025237.953999996"/>
    <x v="0"/>
  </r>
  <r>
    <x v="14"/>
    <x v="9"/>
    <x v="1"/>
    <n v="79599303.354000002"/>
    <x v="0"/>
  </r>
  <r>
    <x v="14"/>
    <x v="10"/>
    <x v="1"/>
    <n v="63875341.516000003"/>
    <x v="0"/>
  </r>
  <r>
    <x v="14"/>
    <x v="11"/>
    <x v="1"/>
    <n v="24790214.427000001"/>
    <x v="0"/>
  </r>
  <r>
    <x v="14"/>
    <x v="12"/>
    <x v="1"/>
    <n v="34763750.564000003"/>
    <x v="0"/>
  </r>
  <r>
    <x v="14"/>
    <x v="16"/>
    <x v="1"/>
    <n v="25076164.210999999"/>
    <x v="0"/>
  </r>
  <r>
    <x v="14"/>
    <x v="21"/>
    <x v="1"/>
    <n v="31669098.385000002"/>
    <x v="0"/>
  </r>
  <r>
    <x v="14"/>
    <x v="0"/>
    <x v="1"/>
    <n v="21622995.899999999"/>
    <x v="0"/>
  </r>
  <r>
    <x v="14"/>
    <x v="2"/>
    <x v="1"/>
    <n v="11988431.948999999"/>
    <x v="0"/>
  </r>
  <r>
    <x v="14"/>
    <x v="17"/>
    <x v="1"/>
    <n v="11510588.353"/>
    <x v="0"/>
  </r>
  <r>
    <x v="14"/>
    <x v="13"/>
    <x v="1"/>
    <n v="20220061.059"/>
    <x v="0"/>
  </r>
  <r>
    <x v="14"/>
    <x v="18"/>
    <x v="1"/>
    <n v="16840774.787999999"/>
    <x v="0"/>
  </r>
  <r>
    <x v="14"/>
    <x v="19"/>
    <x v="1"/>
    <n v="17694948.848000001"/>
    <x v="0"/>
  </r>
  <r>
    <x v="14"/>
    <x v="20"/>
    <x v="1"/>
    <n v="18984567.942000002"/>
    <x v="0"/>
  </r>
  <r>
    <x v="14"/>
    <x v="14"/>
    <x v="1"/>
    <n v="22697824.833999999"/>
    <x v="0"/>
  </r>
  <r>
    <x v="14"/>
    <x v="1"/>
    <x v="1"/>
    <n v="24151483.838"/>
    <x v="0"/>
  </r>
  <r>
    <x v="14"/>
    <x v="3"/>
    <x v="1"/>
    <n v="23612458.204"/>
    <x v="0"/>
  </r>
  <r>
    <x v="14"/>
    <x v="15"/>
    <x v="1"/>
    <n v="22747176.936999999"/>
    <x v="0"/>
  </r>
  <r>
    <x v="15"/>
    <x v="9"/>
    <x v="1"/>
    <n v="128406528.499"/>
    <x v="0"/>
  </r>
  <r>
    <x v="15"/>
    <x v="10"/>
    <x v="1"/>
    <n v="72772637.187000006"/>
    <x v="0"/>
  </r>
  <r>
    <x v="15"/>
    <x v="11"/>
    <x v="1"/>
    <n v="52872734.556999996"/>
    <x v="0"/>
  </r>
  <r>
    <x v="15"/>
    <x v="12"/>
    <x v="1"/>
    <n v="60017546.487000003"/>
    <x v="0"/>
  </r>
  <r>
    <x v="15"/>
    <x v="16"/>
    <x v="1"/>
    <n v="65188666.236000001"/>
    <x v="0"/>
  </r>
  <r>
    <x v="15"/>
    <x v="21"/>
    <x v="1"/>
    <n v="79366678.806999996"/>
    <x v="0"/>
  </r>
  <r>
    <x v="15"/>
    <x v="0"/>
    <x v="1"/>
    <n v="67750411.604000106"/>
    <x v="0"/>
  </r>
  <r>
    <x v="15"/>
    <x v="2"/>
    <x v="1"/>
    <n v="59468073.689999998"/>
    <x v="0"/>
  </r>
  <r>
    <x v="15"/>
    <x v="17"/>
    <x v="1"/>
    <n v="58793744.722000003"/>
    <x v="0"/>
  </r>
  <r>
    <x v="15"/>
    <x v="13"/>
    <x v="1"/>
    <n v="59791542.136"/>
    <x v="0"/>
  </r>
  <r>
    <x v="15"/>
    <x v="18"/>
    <x v="1"/>
    <n v="75554558.494000003"/>
    <x v="0"/>
  </r>
  <r>
    <x v="15"/>
    <x v="19"/>
    <x v="1"/>
    <n v="67566871.231999993"/>
    <x v="0"/>
  </r>
  <r>
    <x v="15"/>
    <x v="20"/>
    <x v="1"/>
    <n v="62674536.270000003"/>
    <x v="0"/>
  </r>
  <r>
    <x v="15"/>
    <x v="14"/>
    <x v="1"/>
    <n v="60701969.745999999"/>
    <x v="0"/>
  </r>
  <r>
    <x v="15"/>
    <x v="1"/>
    <x v="1"/>
    <n v="66442611.011"/>
    <x v="0"/>
  </r>
  <r>
    <x v="15"/>
    <x v="3"/>
    <x v="1"/>
    <n v="77212224.841999993"/>
    <x v="0"/>
  </r>
  <r>
    <x v="15"/>
    <x v="15"/>
    <x v="1"/>
    <n v="78791696.251000002"/>
    <x v="0"/>
  </r>
  <r>
    <x v="15"/>
    <x v="4"/>
    <x v="1"/>
    <n v="58280159.011"/>
    <x v="0"/>
  </r>
  <r>
    <x v="16"/>
    <x v="11"/>
    <x v="1"/>
    <n v="107315280.977"/>
    <x v="0"/>
  </r>
  <r>
    <x v="16"/>
    <x v="12"/>
    <x v="1"/>
    <n v="124111272.96699999"/>
    <x v="0"/>
  </r>
  <r>
    <x v="16"/>
    <x v="16"/>
    <x v="1"/>
    <n v="136628212.45300001"/>
    <x v="0"/>
  </r>
  <r>
    <x v="16"/>
    <x v="21"/>
    <x v="1"/>
    <n v="155899659.42399999"/>
    <x v="0"/>
  </r>
  <r>
    <x v="16"/>
    <x v="0"/>
    <x v="1"/>
    <n v="141053782.98699999"/>
    <x v="0"/>
  </r>
  <r>
    <x v="16"/>
    <x v="2"/>
    <x v="1"/>
    <n v="196762396.748"/>
    <x v="0"/>
  </r>
  <r>
    <x v="16"/>
    <x v="17"/>
    <x v="1"/>
    <n v="163747894.419"/>
    <x v="0"/>
  </r>
  <r>
    <x v="16"/>
    <x v="13"/>
    <x v="1"/>
    <n v="140529507.27000001"/>
    <x v="0"/>
  </r>
  <r>
    <x v="16"/>
    <x v="18"/>
    <x v="1"/>
    <n v="153562686.54100001"/>
    <x v="0"/>
  </r>
  <r>
    <x v="16"/>
    <x v="19"/>
    <x v="1"/>
    <n v="145761816.796"/>
    <x v="0"/>
  </r>
  <r>
    <x v="16"/>
    <x v="20"/>
    <x v="1"/>
    <n v="124061376.052"/>
    <x v="0"/>
  </r>
  <r>
    <x v="16"/>
    <x v="14"/>
    <x v="1"/>
    <n v="152816162.405"/>
    <x v="0"/>
  </r>
  <r>
    <x v="16"/>
    <x v="1"/>
    <x v="1"/>
    <n v="141585187.706"/>
    <x v="0"/>
  </r>
  <r>
    <x v="16"/>
    <x v="3"/>
    <x v="1"/>
    <n v="140471452.51100001"/>
    <x v="0"/>
  </r>
  <r>
    <x v="17"/>
    <x v="4"/>
    <x v="1"/>
    <n v="7446144.3959999997"/>
    <x v="0"/>
  </r>
  <r>
    <x v="18"/>
    <x v="11"/>
    <x v="1"/>
    <n v="47461921"/>
    <x v="0"/>
  </r>
  <r>
    <x v="18"/>
    <x v="12"/>
    <x v="1"/>
    <n v="38632761"/>
    <x v="0"/>
  </r>
  <r>
    <x v="18"/>
    <x v="16"/>
    <x v="1"/>
    <n v="35849544"/>
    <x v="0"/>
  </r>
  <r>
    <x v="18"/>
    <x v="13"/>
    <x v="1"/>
    <n v="30702505"/>
    <x v="0"/>
  </r>
  <r>
    <x v="18"/>
    <x v="19"/>
    <x v="1"/>
    <n v="35108187"/>
    <x v="0"/>
  </r>
  <r>
    <x v="18"/>
    <x v="20"/>
    <x v="1"/>
    <n v="40157163"/>
    <x v="0"/>
  </r>
  <r>
    <x v="18"/>
    <x v="14"/>
    <x v="1"/>
    <n v="43977438"/>
    <x v="0"/>
  </r>
  <r>
    <x v="18"/>
    <x v="1"/>
    <x v="1"/>
    <n v="57757848"/>
    <x v="0"/>
  </r>
  <r>
    <x v="18"/>
    <x v="3"/>
    <x v="1"/>
    <n v="35734700"/>
    <x v="0"/>
  </r>
  <r>
    <x v="18"/>
    <x v="15"/>
    <x v="1"/>
    <n v="49100154"/>
    <x v="0"/>
  </r>
  <r>
    <x v="18"/>
    <x v="4"/>
    <x v="1"/>
    <n v="40581135"/>
    <x v="0"/>
  </r>
  <r>
    <x v="19"/>
    <x v="4"/>
    <x v="1"/>
    <n v="2739378.4649999999"/>
    <x v="0"/>
  </r>
  <r>
    <x v="20"/>
    <x v="4"/>
    <x v="1"/>
    <n v="2607277.3650000002"/>
    <x v="0"/>
  </r>
  <r>
    <x v="21"/>
    <x v="16"/>
    <x v="1"/>
    <n v="29261076"/>
    <x v="0"/>
  </r>
  <r>
    <x v="21"/>
    <x v="21"/>
    <x v="1"/>
    <n v="347659779"/>
    <x v="0"/>
  </r>
  <r>
    <x v="21"/>
    <x v="0"/>
    <x v="1"/>
    <n v="263240243"/>
    <x v="0"/>
  </r>
  <r>
    <x v="21"/>
    <x v="2"/>
    <x v="1"/>
    <n v="294983735.45899999"/>
    <x v="0"/>
  </r>
  <r>
    <x v="21"/>
    <x v="17"/>
    <x v="1"/>
    <n v="278972503.91600001"/>
    <x v="0"/>
  </r>
  <r>
    <x v="21"/>
    <x v="13"/>
    <x v="1"/>
    <n v="358988097.61000001"/>
    <x v="0"/>
  </r>
  <r>
    <x v="21"/>
    <x v="18"/>
    <x v="1"/>
    <n v="387288553.14999998"/>
    <x v="0"/>
  </r>
  <r>
    <x v="21"/>
    <x v="19"/>
    <x v="1"/>
    <n v="410937783.023"/>
    <x v="0"/>
  </r>
  <r>
    <x v="21"/>
    <x v="20"/>
    <x v="1"/>
    <n v="339398042.51899999"/>
    <x v="0"/>
  </r>
  <r>
    <x v="21"/>
    <x v="14"/>
    <x v="1"/>
    <n v="276352138.98199999"/>
    <x v="0"/>
  </r>
  <r>
    <x v="21"/>
    <x v="1"/>
    <x v="1"/>
    <n v="332723145.11500001"/>
    <x v="0"/>
  </r>
  <r>
    <x v="21"/>
    <x v="3"/>
    <x v="1"/>
    <n v="334614528.42699999"/>
    <x v="0"/>
  </r>
  <r>
    <x v="21"/>
    <x v="15"/>
    <x v="1"/>
    <n v="346746450.5"/>
    <x v="0"/>
  </r>
  <r>
    <x v="22"/>
    <x v="23"/>
    <x v="1"/>
    <n v="48438534.963"/>
    <x v="0"/>
  </r>
  <r>
    <x v="22"/>
    <x v="24"/>
    <x v="1"/>
    <n v="58040534.420999996"/>
    <x v="0"/>
  </r>
  <r>
    <x v="22"/>
    <x v="25"/>
    <x v="1"/>
    <n v="82711532.878999993"/>
    <x v="0"/>
  </r>
  <r>
    <x v="22"/>
    <x v="5"/>
    <x v="1"/>
    <n v="78728508.842999905"/>
    <x v="0"/>
  </r>
  <r>
    <x v="22"/>
    <x v="22"/>
    <x v="1"/>
    <n v="90491053.334000096"/>
    <x v="0"/>
  </r>
  <r>
    <x v="22"/>
    <x v="6"/>
    <x v="1"/>
    <n v="96572658.427999899"/>
    <x v="0"/>
  </r>
  <r>
    <x v="22"/>
    <x v="7"/>
    <x v="1"/>
    <n v="102476729.771"/>
    <x v="0"/>
  </r>
  <r>
    <x v="22"/>
    <x v="8"/>
    <x v="1"/>
    <n v="125015835.722"/>
    <x v="0"/>
  </r>
  <r>
    <x v="22"/>
    <x v="9"/>
    <x v="1"/>
    <n v="139609588.36300001"/>
    <x v="0"/>
  </r>
  <r>
    <x v="22"/>
    <x v="10"/>
    <x v="1"/>
    <n v="130257415.928"/>
    <x v="0"/>
  </r>
  <r>
    <x v="22"/>
    <x v="11"/>
    <x v="1"/>
    <n v="108576968.42299999"/>
    <x v="0"/>
  </r>
  <r>
    <x v="22"/>
    <x v="12"/>
    <x v="1"/>
    <n v="119647342.906"/>
    <x v="0"/>
  </r>
  <r>
    <x v="22"/>
    <x v="16"/>
    <x v="1"/>
    <n v="136511068.11500001"/>
    <x v="0"/>
  </r>
  <r>
    <x v="22"/>
    <x v="21"/>
    <x v="1"/>
    <n v="154164982.63"/>
    <x v="0"/>
  </r>
  <r>
    <x v="22"/>
    <x v="0"/>
    <x v="1"/>
    <n v="174867362.993"/>
    <x v="0"/>
  </r>
  <r>
    <x v="22"/>
    <x v="2"/>
    <x v="1"/>
    <n v="162431790.20100001"/>
    <x v="0"/>
  </r>
  <r>
    <x v="22"/>
    <x v="17"/>
    <x v="1"/>
    <n v="167773533.634"/>
    <x v="0"/>
  </r>
  <r>
    <x v="22"/>
    <x v="13"/>
    <x v="1"/>
    <n v="188645818.215"/>
    <x v="0"/>
  </r>
  <r>
    <x v="22"/>
    <x v="18"/>
    <x v="1"/>
    <n v="207303246.28400001"/>
    <x v="0"/>
  </r>
  <r>
    <x v="22"/>
    <x v="19"/>
    <x v="1"/>
    <n v="199698203.26100001"/>
    <x v="0"/>
  </r>
  <r>
    <x v="22"/>
    <x v="20"/>
    <x v="1"/>
    <n v="243544496.10600001"/>
    <x v="0"/>
  </r>
  <r>
    <x v="22"/>
    <x v="14"/>
    <x v="1"/>
    <n v="250105514.315"/>
    <x v="0"/>
  </r>
  <r>
    <x v="22"/>
    <x v="1"/>
    <x v="1"/>
    <n v="259488012.43700001"/>
    <x v="0"/>
  </r>
  <r>
    <x v="22"/>
    <x v="3"/>
    <x v="1"/>
    <n v="271734481.986"/>
    <x v="0"/>
  </r>
  <r>
    <x v="22"/>
    <x v="15"/>
    <x v="1"/>
    <n v="305028068.56699997"/>
    <x v="0"/>
  </r>
  <r>
    <x v="22"/>
    <x v="4"/>
    <x v="1"/>
    <n v="251131332.86700001"/>
    <x v="0"/>
  </r>
  <r>
    <x v="23"/>
    <x v="13"/>
    <x v="1"/>
    <n v="8124781.5939999996"/>
    <x v="0"/>
  </r>
  <r>
    <x v="24"/>
    <x v="4"/>
    <x v="1"/>
    <n v="6006570.3399999999"/>
    <x v="0"/>
  </r>
  <r>
    <x v="25"/>
    <x v="21"/>
    <x v="1"/>
    <n v="169425.16399999999"/>
    <x v="0"/>
  </r>
  <r>
    <x v="26"/>
    <x v="23"/>
    <x v="1"/>
    <n v="20932526.776000001"/>
    <x v="0"/>
  </r>
  <r>
    <x v="26"/>
    <x v="24"/>
    <x v="1"/>
    <n v="56358900.338"/>
    <x v="0"/>
  </r>
  <r>
    <x v="26"/>
    <x v="25"/>
    <x v="1"/>
    <n v="28428037.971999999"/>
    <x v="0"/>
  </r>
  <r>
    <x v="26"/>
    <x v="5"/>
    <x v="1"/>
    <n v="42622524.390000001"/>
    <x v="0"/>
  </r>
  <r>
    <x v="26"/>
    <x v="22"/>
    <x v="1"/>
    <n v="41377571.218000002"/>
    <x v="0"/>
  </r>
  <r>
    <x v="26"/>
    <x v="6"/>
    <x v="1"/>
    <n v="20382229.331"/>
    <x v="0"/>
  </r>
  <r>
    <x v="26"/>
    <x v="7"/>
    <x v="1"/>
    <n v="44309304.814000003"/>
    <x v="0"/>
  </r>
  <r>
    <x v="26"/>
    <x v="8"/>
    <x v="1"/>
    <n v="42212927.810000002"/>
    <x v="0"/>
  </r>
  <r>
    <x v="26"/>
    <x v="9"/>
    <x v="1"/>
    <n v="31961269.173"/>
    <x v="0"/>
  </r>
  <r>
    <x v="26"/>
    <x v="10"/>
    <x v="1"/>
    <n v="22969716.346999999"/>
    <x v="0"/>
  </r>
  <r>
    <x v="26"/>
    <x v="11"/>
    <x v="1"/>
    <n v="37164530.630999997"/>
    <x v="0"/>
  </r>
  <r>
    <x v="26"/>
    <x v="12"/>
    <x v="1"/>
    <n v="44270014.681000002"/>
    <x v="0"/>
  </r>
  <r>
    <x v="26"/>
    <x v="16"/>
    <x v="1"/>
    <n v="38358196.376999997"/>
    <x v="0"/>
  </r>
  <r>
    <x v="26"/>
    <x v="21"/>
    <x v="1"/>
    <n v="43592024.844999999"/>
    <x v="0"/>
  </r>
  <r>
    <x v="26"/>
    <x v="0"/>
    <x v="1"/>
    <n v="49392254.603"/>
    <x v="0"/>
  </r>
  <r>
    <x v="26"/>
    <x v="2"/>
    <x v="1"/>
    <n v="34654535.318999998"/>
    <x v="0"/>
  </r>
  <r>
    <x v="26"/>
    <x v="17"/>
    <x v="1"/>
    <n v="29436013.530999999"/>
    <x v="0"/>
  </r>
  <r>
    <x v="26"/>
    <x v="13"/>
    <x v="1"/>
    <n v="39811942.387999997"/>
    <x v="0"/>
  </r>
  <r>
    <x v="26"/>
    <x v="18"/>
    <x v="1"/>
    <n v="33676919.478"/>
    <x v="0"/>
  </r>
  <r>
    <x v="26"/>
    <x v="19"/>
    <x v="1"/>
    <n v="31920351.316"/>
    <x v="0"/>
  </r>
  <r>
    <x v="26"/>
    <x v="20"/>
    <x v="1"/>
    <n v="23313662.877999999"/>
    <x v="0"/>
  </r>
  <r>
    <x v="26"/>
    <x v="14"/>
    <x v="1"/>
    <n v="15674990.444"/>
    <x v="0"/>
  </r>
  <r>
    <x v="26"/>
    <x v="1"/>
    <x v="1"/>
    <n v="17190881.191"/>
    <x v="0"/>
  </r>
  <r>
    <x v="26"/>
    <x v="3"/>
    <x v="1"/>
    <n v="21281061.092"/>
    <x v="0"/>
  </r>
  <r>
    <x v="27"/>
    <x v="18"/>
    <x v="1"/>
    <n v="40525202.392999999"/>
    <x v="0"/>
  </r>
  <r>
    <x v="28"/>
    <x v="11"/>
    <x v="1"/>
    <n v="249349565.10299999"/>
    <x v="0"/>
  </r>
  <r>
    <x v="28"/>
    <x v="12"/>
    <x v="1"/>
    <n v="267824019.30700001"/>
    <x v="0"/>
  </r>
  <r>
    <x v="28"/>
    <x v="16"/>
    <x v="1"/>
    <n v="336925110.88700002"/>
    <x v="0"/>
  </r>
  <r>
    <x v="28"/>
    <x v="21"/>
    <x v="1"/>
    <n v="312995480.93199998"/>
    <x v="0"/>
  </r>
  <r>
    <x v="28"/>
    <x v="0"/>
    <x v="1"/>
    <n v="307904498.00700003"/>
    <x v="0"/>
  </r>
  <r>
    <x v="28"/>
    <x v="2"/>
    <x v="1"/>
    <n v="219047382.42899999"/>
    <x v="0"/>
  </r>
  <r>
    <x v="28"/>
    <x v="17"/>
    <x v="1"/>
    <n v="252308224.965"/>
    <x v="0"/>
  </r>
  <r>
    <x v="28"/>
    <x v="13"/>
    <x v="1"/>
    <n v="281820477.85000002"/>
    <x v="0"/>
  </r>
  <r>
    <x v="28"/>
    <x v="18"/>
    <x v="1"/>
    <n v="272141235.65100002"/>
    <x v="0"/>
  </r>
  <r>
    <x v="28"/>
    <x v="19"/>
    <x v="1"/>
    <n v="242412540.153"/>
    <x v="0"/>
  </r>
  <r>
    <x v="28"/>
    <x v="20"/>
    <x v="1"/>
    <n v="239443844.69"/>
    <x v="0"/>
  </r>
  <r>
    <x v="28"/>
    <x v="14"/>
    <x v="1"/>
    <n v="219288256.69400001"/>
    <x v="0"/>
  </r>
  <r>
    <x v="28"/>
    <x v="1"/>
    <x v="1"/>
    <n v="249807634.625"/>
    <x v="0"/>
  </r>
  <r>
    <x v="28"/>
    <x v="3"/>
    <x v="1"/>
    <n v="261618347.63999999"/>
    <x v="0"/>
  </r>
  <r>
    <x v="28"/>
    <x v="15"/>
    <x v="1"/>
    <n v="255964061.86000001"/>
    <x v="0"/>
  </r>
  <r>
    <x v="28"/>
    <x v="4"/>
    <x v="1"/>
    <n v="193807886.05000001"/>
    <x v="0"/>
  </r>
  <r>
    <x v="29"/>
    <x v="16"/>
    <x v="1"/>
    <n v="13679666"/>
    <x v="0"/>
  </r>
  <r>
    <x v="29"/>
    <x v="21"/>
    <x v="1"/>
    <n v="13607433"/>
    <x v="0"/>
  </r>
  <r>
    <x v="29"/>
    <x v="0"/>
    <x v="1"/>
    <n v="14071307"/>
    <x v="0"/>
  </r>
  <r>
    <x v="29"/>
    <x v="17"/>
    <x v="1"/>
    <n v="10794956"/>
    <x v="0"/>
  </r>
  <r>
    <x v="29"/>
    <x v="13"/>
    <x v="1"/>
    <n v="21714413"/>
    <x v="0"/>
  </r>
  <r>
    <x v="29"/>
    <x v="18"/>
    <x v="1"/>
    <n v="18887766"/>
    <x v="0"/>
  </r>
  <r>
    <x v="29"/>
    <x v="19"/>
    <x v="1"/>
    <n v="24971711"/>
    <x v="0"/>
  </r>
  <r>
    <x v="29"/>
    <x v="20"/>
    <x v="1"/>
    <n v="51812734"/>
    <x v="0"/>
  </r>
  <r>
    <x v="29"/>
    <x v="14"/>
    <x v="1"/>
    <n v="46136085"/>
    <x v="0"/>
  </r>
  <r>
    <x v="29"/>
    <x v="1"/>
    <x v="1"/>
    <n v="68747114"/>
    <x v="0"/>
  </r>
  <r>
    <x v="29"/>
    <x v="3"/>
    <x v="1"/>
    <n v="71630367"/>
    <x v="0"/>
  </r>
  <r>
    <x v="29"/>
    <x v="15"/>
    <x v="1"/>
    <n v="76719932"/>
    <x v="0"/>
  </r>
  <r>
    <x v="29"/>
    <x v="4"/>
    <x v="1"/>
    <n v="55981422"/>
    <x v="0"/>
  </r>
  <r>
    <x v="30"/>
    <x v="23"/>
    <x v="1"/>
    <n v="10758706.933"/>
    <x v="0"/>
  </r>
  <r>
    <x v="30"/>
    <x v="24"/>
    <x v="1"/>
    <n v="11431629.472999999"/>
    <x v="0"/>
  </r>
  <r>
    <x v="30"/>
    <x v="25"/>
    <x v="1"/>
    <n v="11076969.069"/>
    <x v="0"/>
  </r>
  <r>
    <x v="30"/>
    <x v="5"/>
    <x v="1"/>
    <n v="6986527.1710000001"/>
    <x v="0"/>
  </r>
  <r>
    <x v="30"/>
    <x v="22"/>
    <x v="1"/>
    <n v="11123977.034"/>
    <x v="0"/>
  </r>
  <r>
    <x v="30"/>
    <x v="6"/>
    <x v="1"/>
    <n v="8009359.608"/>
    <x v="0"/>
  </r>
  <r>
    <x v="30"/>
    <x v="7"/>
    <x v="1"/>
    <n v="16685832.813999999"/>
    <x v="0"/>
  </r>
  <r>
    <x v="30"/>
    <x v="8"/>
    <x v="1"/>
    <n v="12437973.994999999"/>
    <x v="0"/>
  </r>
  <r>
    <x v="30"/>
    <x v="9"/>
    <x v="1"/>
    <n v="11078542.908"/>
    <x v="0"/>
  </r>
  <r>
    <x v="30"/>
    <x v="10"/>
    <x v="1"/>
    <n v="14025442.537"/>
    <x v="0"/>
  </r>
  <r>
    <x v="30"/>
    <x v="11"/>
    <x v="1"/>
    <n v="78511396.797000006"/>
    <x v="0"/>
  </r>
  <r>
    <x v="30"/>
    <x v="12"/>
    <x v="1"/>
    <n v="80667589.166999996"/>
    <x v="0"/>
  </r>
  <r>
    <x v="30"/>
    <x v="16"/>
    <x v="1"/>
    <n v="94913109.520999998"/>
    <x v="0"/>
  </r>
  <r>
    <x v="30"/>
    <x v="21"/>
    <x v="1"/>
    <n v="130090706.358"/>
    <x v="0"/>
  </r>
  <r>
    <x v="30"/>
    <x v="0"/>
    <x v="1"/>
    <n v="101468745.8"/>
    <x v="0"/>
  </r>
  <r>
    <x v="30"/>
    <x v="2"/>
    <x v="1"/>
    <n v="84587499.328999996"/>
    <x v="0"/>
  </r>
  <r>
    <x v="30"/>
    <x v="17"/>
    <x v="1"/>
    <n v="82323124.670000002"/>
    <x v="0"/>
  </r>
  <r>
    <x v="30"/>
    <x v="13"/>
    <x v="1"/>
    <n v="94726353.048999995"/>
    <x v="0"/>
  </r>
  <r>
    <x v="30"/>
    <x v="18"/>
    <x v="1"/>
    <n v="99168251.532999903"/>
    <x v="0"/>
  </r>
  <r>
    <x v="30"/>
    <x v="19"/>
    <x v="1"/>
    <n v="100806450.891"/>
    <x v="0"/>
  </r>
  <r>
    <x v="30"/>
    <x v="20"/>
    <x v="1"/>
    <n v="99662090.001000002"/>
    <x v="0"/>
  </r>
  <r>
    <x v="30"/>
    <x v="14"/>
    <x v="1"/>
    <n v="95843537.958000004"/>
    <x v="0"/>
  </r>
  <r>
    <x v="30"/>
    <x v="1"/>
    <x v="1"/>
    <n v="88058195.623999998"/>
    <x v="0"/>
  </r>
  <r>
    <x v="30"/>
    <x v="3"/>
    <x v="1"/>
    <n v="79308906.172000006"/>
    <x v="0"/>
  </r>
  <r>
    <x v="30"/>
    <x v="15"/>
    <x v="1"/>
    <n v="112532207.48800001"/>
    <x v="0"/>
  </r>
  <r>
    <x v="30"/>
    <x v="4"/>
    <x v="1"/>
    <n v="41112902.670999996"/>
    <x v="0"/>
  </r>
  <r>
    <x v="31"/>
    <x v="23"/>
    <x v="1"/>
    <n v="261460025.27599999"/>
    <x v="0"/>
  </r>
  <r>
    <x v="31"/>
    <x v="24"/>
    <x v="1"/>
    <n v="378450810.56"/>
    <x v="0"/>
  </r>
  <r>
    <x v="31"/>
    <x v="25"/>
    <x v="1"/>
    <n v="372078289.671"/>
    <x v="0"/>
  </r>
  <r>
    <x v="31"/>
    <x v="5"/>
    <x v="1"/>
    <n v="71476390.642000198"/>
    <x v="0"/>
  </r>
  <r>
    <x v="31"/>
    <x v="22"/>
    <x v="1"/>
    <s v="NA"/>
    <x v="0"/>
  </r>
  <r>
    <x v="31"/>
    <x v="6"/>
    <x v="1"/>
    <n v="158238751.49000001"/>
    <x v="0"/>
  </r>
  <r>
    <x v="31"/>
    <x v="7"/>
    <x v="1"/>
    <n v="314919361.97600102"/>
    <x v="0"/>
  </r>
  <r>
    <x v="31"/>
    <x v="8"/>
    <x v="1"/>
    <n v="238796799.278"/>
    <x v="0"/>
  </r>
  <r>
    <x v="31"/>
    <x v="9"/>
    <x v="1"/>
    <n v="958832568.472"/>
    <x v="0"/>
  </r>
  <r>
    <x v="31"/>
    <x v="10"/>
    <x v="1"/>
    <n v="1247291350.7379999"/>
    <x v="0"/>
  </r>
  <r>
    <x v="31"/>
    <x v="11"/>
    <x v="1"/>
    <n v="2014375500.1889999"/>
    <x v="0"/>
  </r>
  <r>
    <x v="31"/>
    <x v="12"/>
    <x v="1"/>
    <n v="1262067343.006"/>
    <x v="0"/>
  </r>
  <r>
    <x v="31"/>
    <x v="2"/>
    <x v="1"/>
    <n v="520062002.17299801"/>
    <x v="0"/>
  </r>
  <r>
    <x v="31"/>
    <x v="17"/>
    <x v="1"/>
    <n v="3442786.4099998502"/>
    <x v="0"/>
  </r>
  <r>
    <x v="31"/>
    <x v="19"/>
    <x v="1"/>
    <n v="91326728.402999893"/>
    <x v="0"/>
  </r>
  <r>
    <x v="31"/>
    <x v="20"/>
    <x v="1"/>
    <n v="174639136.280002"/>
    <x v="0"/>
  </r>
  <r>
    <x v="31"/>
    <x v="14"/>
    <x v="1"/>
    <n v="17596765.725999799"/>
    <x v="0"/>
  </r>
  <r>
    <x v="31"/>
    <x v="1"/>
    <x v="1"/>
    <n v="1116708126.562"/>
    <x v="0"/>
  </r>
  <r>
    <x v="31"/>
    <x v="3"/>
    <x v="1"/>
    <n v="1335440393.5339999"/>
    <x v="0"/>
  </r>
  <r>
    <x v="31"/>
    <x v="4"/>
    <x v="1"/>
    <n v="3576022613.7360001"/>
    <x v="0"/>
  </r>
  <r>
    <x v="32"/>
    <x v="11"/>
    <x v="1"/>
    <n v="97238478.890000001"/>
    <x v="0"/>
  </r>
  <r>
    <x v="32"/>
    <x v="12"/>
    <x v="1"/>
    <n v="86060836.165999994"/>
    <x v="0"/>
  </r>
  <r>
    <x v="32"/>
    <x v="16"/>
    <x v="1"/>
    <n v="109817690.095"/>
    <x v="0"/>
  </r>
  <r>
    <x v="32"/>
    <x v="21"/>
    <x v="1"/>
    <n v="135603472.85499999"/>
    <x v="0"/>
  </r>
  <r>
    <x v="32"/>
    <x v="0"/>
    <x v="1"/>
    <n v="173482953.40700001"/>
    <x v="0"/>
  </r>
  <r>
    <x v="32"/>
    <x v="2"/>
    <x v="1"/>
    <n v="141966240.07499999"/>
    <x v="0"/>
  </r>
  <r>
    <x v="32"/>
    <x v="17"/>
    <x v="1"/>
    <n v="192040718.958"/>
    <x v="0"/>
  </r>
  <r>
    <x v="32"/>
    <x v="13"/>
    <x v="1"/>
    <n v="260405543.91299999"/>
    <x v="0"/>
  </r>
  <r>
    <x v="32"/>
    <x v="18"/>
    <x v="1"/>
    <n v="280776355.58099997"/>
    <x v="0"/>
  </r>
  <r>
    <x v="32"/>
    <x v="19"/>
    <x v="1"/>
    <n v="265950731.14199999"/>
    <x v="0"/>
  </r>
  <r>
    <x v="32"/>
    <x v="20"/>
    <x v="1"/>
    <n v="337114654.977"/>
    <x v="0"/>
  </r>
  <r>
    <x v="32"/>
    <x v="14"/>
    <x v="1"/>
    <n v="378375374.77899998"/>
    <x v="0"/>
  </r>
  <r>
    <x v="32"/>
    <x v="1"/>
    <x v="1"/>
    <n v="361302777.61500001"/>
    <x v="0"/>
  </r>
  <r>
    <x v="32"/>
    <x v="3"/>
    <x v="1"/>
    <n v="288523216.82099998"/>
    <x v="0"/>
  </r>
  <r>
    <x v="32"/>
    <x v="15"/>
    <x v="1"/>
    <n v="262066137.07699999"/>
    <x v="0"/>
  </r>
  <r>
    <x v="32"/>
    <x v="4"/>
    <x v="1"/>
    <n v="187166808.502"/>
    <x v="0"/>
  </r>
  <r>
    <x v="33"/>
    <x v="2"/>
    <x v="1"/>
    <n v="6392119.057"/>
    <x v="0"/>
  </r>
  <r>
    <x v="33"/>
    <x v="17"/>
    <x v="1"/>
    <n v="10339078.396"/>
    <x v="0"/>
  </r>
  <r>
    <x v="33"/>
    <x v="18"/>
    <x v="1"/>
    <n v="21516752.289000001"/>
    <x v="0"/>
  </r>
  <r>
    <x v="33"/>
    <x v="1"/>
    <x v="1"/>
    <n v="12756709.994000001"/>
    <x v="0"/>
  </r>
  <r>
    <x v="34"/>
    <x v="11"/>
    <x v="1"/>
    <n v="10387079.609999999"/>
    <x v="0"/>
  </r>
  <r>
    <x v="34"/>
    <x v="12"/>
    <x v="1"/>
    <n v="10226268.380000001"/>
    <x v="0"/>
  </r>
  <r>
    <x v="34"/>
    <x v="21"/>
    <x v="1"/>
    <n v="19536923.949999999"/>
    <x v="0"/>
  </r>
  <r>
    <x v="34"/>
    <x v="0"/>
    <x v="1"/>
    <n v="14194099.039999999"/>
    <x v="0"/>
  </r>
  <r>
    <x v="34"/>
    <x v="2"/>
    <x v="1"/>
    <n v="18180634.93"/>
    <x v="0"/>
  </r>
  <r>
    <x v="34"/>
    <x v="17"/>
    <x v="1"/>
    <n v="8380722.7300000004"/>
    <x v="0"/>
  </r>
  <r>
    <x v="34"/>
    <x v="13"/>
    <x v="1"/>
    <n v="23342663.41"/>
    <x v="0"/>
  </r>
  <r>
    <x v="34"/>
    <x v="18"/>
    <x v="1"/>
    <n v="50541675.990000002"/>
    <x v="0"/>
  </r>
  <r>
    <x v="34"/>
    <x v="19"/>
    <x v="1"/>
    <n v="41095118.280000001"/>
    <x v="0"/>
  </r>
  <r>
    <x v="34"/>
    <x v="20"/>
    <x v="1"/>
    <n v="16766320.07"/>
    <x v="0"/>
  </r>
  <r>
    <x v="34"/>
    <x v="15"/>
    <x v="1"/>
    <n v="84711030.157000005"/>
    <x v="0"/>
  </r>
  <r>
    <x v="34"/>
    <x v="4"/>
    <x v="1"/>
    <n v="30565770.103"/>
    <x v="0"/>
  </r>
  <r>
    <x v="35"/>
    <x v="11"/>
    <x v="1"/>
    <n v="231029960"/>
    <x v="0"/>
  </r>
  <r>
    <x v="35"/>
    <x v="12"/>
    <x v="1"/>
    <n v="209778958"/>
    <x v="0"/>
  </r>
  <r>
    <x v="35"/>
    <x v="16"/>
    <x v="1"/>
    <n v="304879638"/>
    <x v="0"/>
  </r>
  <r>
    <x v="35"/>
    <x v="21"/>
    <x v="1"/>
    <n v="561004563"/>
    <x v="0"/>
  </r>
  <r>
    <x v="35"/>
    <x v="0"/>
    <x v="1"/>
    <n v="326001560"/>
    <x v="0"/>
  </r>
  <r>
    <x v="35"/>
    <x v="2"/>
    <x v="1"/>
    <n v="229495174"/>
    <x v="0"/>
  </r>
  <r>
    <x v="35"/>
    <x v="17"/>
    <x v="1"/>
    <n v="179168302"/>
    <x v="0"/>
  </r>
  <r>
    <x v="35"/>
    <x v="13"/>
    <x v="1"/>
    <n v="294307135"/>
    <x v="0"/>
  </r>
  <r>
    <x v="35"/>
    <x v="18"/>
    <x v="1"/>
    <n v="353021521"/>
    <x v="0"/>
  </r>
  <r>
    <x v="35"/>
    <x v="19"/>
    <x v="1"/>
    <n v="356167458"/>
    <x v="0"/>
  </r>
  <r>
    <x v="35"/>
    <x v="20"/>
    <x v="1"/>
    <n v="344406121"/>
    <x v="0"/>
  </r>
  <r>
    <x v="35"/>
    <x v="14"/>
    <x v="1"/>
    <n v="345060161"/>
    <x v="0"/>
  </r>
  <r>
    <x v="35"/>
    <x v="1"/>
    <x v="1"/>
    <n v="339936782"/>
    <x v="0"/>
  </r>
  <r>
    <x v="35"/>
    <x v="3"/>
    <x v="1"/>
    <n v="319081602"/>
    <x v="0"/>
  </r>
  <r>
    <x v="35"/>
    <x v="15"/>
    <x v="1"/>
    <n v="415698282"/>
    <x v="0"/>
  </r>
  <r>
    <x v="35"/>
    <x v="4"/>
    <x v="1"/>
    <n v="270098821"/>
    <x v="0"/>
  </r>
  <r>
    <x v="36"/>
    <x v="11"/>
    <x v="1"/>
    <n v="27894707.682"/>
    <x v="0"/>
  </r>
  <r>
    <x v="36"/>
    <x v="12"/>
    <x v="1"/>
    <n v="45871003.721000001"/>
    <x v="0"/>
  </r>
  <r>
    <x v="36"/>
    <x v="16"/>
    <x v="1"/>
    <n v="56434633.594999999"/>
    <x v="0"/>
  </r>
  <r>
    <x v="36"/>
    <x v="21"/>
    <x v="1"/>
    <n v="73011132.607999995"/>
    <x v="0"/>
  </r>
  <r>
    <x v="36"/>
    <x v="0"/>
    <x v="1"/>
    <n v="81673126.070000097"/>
    <x v="0"/>
  </r>
  <r>
    <x v="36"/>
    <x v="2"/>
    <x v="1"/>
    <n v="56873938.952"/>
    <x v="0"/>
  </r>
  <r>
    <x v="36"/>
    <x v="17"/>
    <x v="1"/>
    <n v="72663252.604000002"/>
    <x v="0"/>
  </r>
  <r>
    <x v="36"/>
    <x v="13"/>
    <x v="1"/>
    <n v="92427681.920000002"/>
    <x v="0"/>
  </r>
  <r>
    <x v="36"/>
    <x v="18"/>
    <x v="1"/>
    <n v="101060500.483"/>
    <x v="0"/>
  </r>
  <r>
    <x v="36"/>
    <x v="19"/>
    <x v="1"/>
    <n v="87759549.804000005"/>
    <x v="0"/>
  </r>
  <r>
    <x v="36"/>
    <x v="20"/>
    <x v="1"/>
    <n v="102328617.366"/>
    <x v="0"/>
  </r>
  <r>
    <x v="36"/>
    <x v="14"/>
    <x v="1"/>
    <n v="102668952.15800001"/>
    <x v="0"/>
  </r>
  <r>
    <x v="36"/>
    <x v="1"/>
    <x v="1"/>
    <n v="117747921.301"/>
    <x v="0"/>
  </r>
  <r>
    <x v="36"/>
    <x v="3"/>
    <x v="1"/>
    <n v="145377038.86899999"/>
    <x v="0"/>
  </r>
  <r>
    <x v="36"/>
    <x v="15"/>
    <x v="1"/>
    <n v="166728604.81200001"/>
    <x v="0"/>
  </r>
  <r>
    <x v="36"/>
    <x v="4"/>
    <x v="1"/>
    <n v="167139714.28400001"/>
    <x v="0"/>
  </r>
  <r>
    <x v="37"/>
    <x v="2"/>
    <x v="1"/>
    <n v="12852247"/>
    <x v="0"/>
  </r>
  <r>
    <x v="37"/>
    <x v="17"/>
    <x v="1"/>
    <n v="11866163"/>
    <x v="0"/>
  </r>
  <r>
    <x v="37"/>
    <x v="13"/>
    <x v="1"/>
    <n v="11435347"/>
    <x v="0"/>
  </r>
  <r>
    <x v="37"/>
    <x v="18"/>
    <x v="1"/>
    <n v="13313399"/>
    <x v="0"/>
  </r>
  <r>
    <x v="37"/>
    <x v="19"/>
    <x v="1"/>
    <n v="15061230"/>
    <x v="0"/>
  </r>
  <r>
    <x v="37"/>
    <x v="20"/>
    <x v="1"/>
    <n v="17965204"/>
    <x v="0"/>
  </r>
  <r>
    <x v="37"/>
    <x v="14"/>
    <x v="1"/>
    <n v="21323591"/>
    <x v="0"/>
  </r>
  <r>
    <x v="37"/>
    <x v="1"/>
    <x v="1"/>
    <n v="19988836"/>
    <x v="0"/>
  </r>
  <r>
    <x v="37"/>
    <x v="3"/>
    <x v="1"/>
    <n v="22929505"/>
    <x v="0"/>
  </r>
  <r>
    <x v="37"/>
    <x v="15"/>
    <x v="1"/>
    <n v="22476375"/>
    <x v="0"/>
  </r>
  <r>
    <x v="38"/>
    <x v="21"/>
    <x v="1"/>
    <n v="10659377.538000001"/>
    <x v="0"/>
  </r>
  <r>
    <x v="38"/>
    <x v="0"/>
    <x v="1"/>
    <n v="13474742.83"/>
    <x v="0"/>
  </r>
  <r>
    <x v="38"/>
    <x v="2"/>
    <x v="1"/>
    <n v="11238653.567"/>
    <x v="0"/>
  </r>
  <r>
    <x v="38"/>
    <x v="13"/>
    <x v="1"/>
    <n v="10552021.193"/>
    <x v="0"/>
  </r>
  <r>
    <x v="38"/>
    <x v="18"/>
    <x v="1"/>
    <n v="20949425.651000001"/>
    <x v="0"/>
  </r>
  <r>
    <x v="38"/>
    <x v="19"/>
    <x v="1"/>
    <n v="67996572.969999999"/>
    <x v="0"/>
  </r>
  <r>
    <x v="38"/>
    <x v="20"/>
    <x v="1"/>
    <n v="51027203.306000002"/>
    <x v="0"/>
  </r>
  <r>
    <x v="38"/>
    <x v="1"/>
    <x v="1"/>
    <n v="25483039.160999998"/>
    <x v="0"/>
  </r>
  <r>
    <x v="39"/>
    <x v="5"/>
    <x v="1"/>
    <n v="458115737.73100001"/>
    <x v="0"/>
  </r>
  <r>
    <x v="39"/>
    <x v="22"/>
    <x v="1"/>
    <n v="507789452.93699998"/>
    <x v="0"/>
  </r>
  <r>
    <x v="39"/>
    <x v="6"/>
    <x v="1"/>
    <n v="439864010.18900001"/>
    <x v="0"/>
  </r>
  <r>
    <x v="39"/>
    <x v="7"/>
    <x v="1"/>
    <n v="562220839.43900001"/>
    <x v="0"/>
  </r>
  <r>
    <x v="39"/>
    <x v="8"/>
    <x v="1"/>
    <n v="574809124.32299995"/>
    <x v="0"/>
  </r>
  <r>
    <x v="39"/>
    <x v="9"/>
    <x v="1"/>
    <n v="304974750.71200001"/>
    <x v="0"/>
  </r>
  <r>
    <x v="39"/>
    <x v="10"/>
    <x v="1"/>
    <n v="6722711.9539999999"/>
    <x v="0"/>
  </r>
  <r>
    <x v="39"/>
    <x v="11"/>
    <x v="1"/>
    <n v="561273047.58399999"/>
    <x v="0"/>
  </r>
  <r>
    <x v="39"/>
    <x v="12"/>
    <x v="1"/>
    <n v="798224346.08899999"/>
    <x v="0"/>
  </r>
  <r>
    <x v="39"/>
    <x v="16"/>
    <x v="1"/>
    <n v="1194233632.4949999"/>
    <x v="0"/>
  </r>
  <r>
    <x v="39"/>
    <x v="21"/>
    <x v="1"/>
    <n v="1126285330.4719999"/>
    <x v="0"/>
  </r>
  <r>
    <x v="39"/>
    <x v="0"/>
    <x v="1"/>
    <n v="959077778.80999994"/>
    <x v="0"/>
  </r>
  <r>
    <x v="39"/>
    <x v="2"/>
    <x v="1"/>
    <n v="228391538.403"/>
    <x v="0"/>
  </r>
  <r>
    <x v="39"/>
    <x v="17"/>
    <x v="1"/>
    <n v="256761349.72299999"/>
    <x v="0"/>
  </r>
  <r>
    <x v="39"/>
    <x v="13"/>
    <x v="1"/>
    <n v="255867116.36199999"/>
    <x v="0"/>
  </r>
  <r>
    <x v="39"/>
    <x v="18"/>
    <x v="1"/>
    <n v="274376972.699"/>
    <x v="0"/>
  </r>
  <r>
    <x v="39"/>
    <x v="19"/>
    <x v="1"/>
    <n v="226941357.88499999"/>
    <x v="0"/>
  </r>
  <r>
    <x v="39"/>
    <x v="20"/>
    <x v="1"/>
    <n v="226748518.70899999"/>
    <x v="0"/>
  </r>
  <r>
    <x v="39"/>
    <x v="14"/>
    <x v="1"/>
    <n v="270513615.03399998"/>
    <x v="0"/>
  </r>
  <r>
    <x v="39"/>
    <x v="1"/>
    <x v="1"/>
    <n v="303146638.53600001"/>
    <x v="0"/>
  </r>
  <r>
    <x v="40"/>
    <x v="4"/>
    <x v="1"/>
    <n v="1803648.675"/>
    <x v="0"/>
  </r>
  <r>
    <x v="41"/>
    <x v="25"/>
    <x v="1"/>
    <n v="207129474.38"/>
    <x v="0"/>
  </r>
  <r>
    <x v="41"/>
    <x v="5"/>
    <x v="1"/>
    <n v="190962183.06200001"/>
    <x v="0"/>
  </r>
  <r>
    <x v="41"/>
    <x v="22"/>
    <x v="1"/>
    <n v="224479252.56999999"/>
    <x v="0"/>
  </r>
  <r>
    <x v="41"/>
    <x v="6"/>
    <x v="1"/>
    <n v="286000444.03200001"/>
    <x v="0"/>
  </r>
  <r>
    <x v="41"/>
    <x v="7"/>
    <x v="1"/>
    <n v="319990850.76499999"/>
    <x v="0"/>
  </r>
  <r>
    <x v="41"/>
    <x v="8"/>
    <x v="1"/>
    <n v="361085187.88700002"/>
    <x v="0"/>
  </r>
  <r>
    <x v="41"/>
    <x v="9"/>
    <x v="1"/>
    <n v="463269788.77499998"/>
    <x v="0"/>
  </r>
  <r>
    <x v="41"/>
    <x v="10"/>
    <x v="1"/>
    <n v="392523401.787"/>
    <x v="0"/>
  </r>
  <r>
    <x v="41"/>
    <x v="11"/>
    <x v="1"/>
    <n v="402689593.125"/>
    <x v="0"/>
  </r>
  <r>
    <x v="41"/>
    <x v="12"/>
    <x v="1"/>
    <n v="590211957.39400005"/>
    <x v="0"/>
  </r>
  <r>
    <x v="41"/>
    <x v="16"/>
    <x v="1"/>
    <n v="571439284.25700104"/>
    <x v="0"/>
  </r>
  <r>
    <x v="41"/>
    <x v="21"/>
    <x v="1"/>
    <n v="567915662.30900002"/>
    <x v="0"/>
  </r>
  <r>
    <x v="41"/>
    <x v="0"/>
    <x v="1"/>
    <n v="561917618.38"/>
    <x v="0"/>
  </r>
  <r>
    <x v="41"/>
    <x v="2"/>
    <x v="1"/>
    <n v="456493833.62"/>
    <x v="0"/>
  </r>
  <r>
    <x v="41"/>
    <x v="17"/>
    <x v="1"/>
    <n v="486059200.68000001"/>
    <x v="0"/>
  </r>
  <r>
    <x v="41"/>
    <x v="13"/>
    <x v="1"/>
    <n v="593129248.64699996"/>
    <x v="0"/>
  </r>
  <r>
    <x v="41"/>
    <x v="18"/>
    <x v="1"/>
    <n v="656991661.93599999"/>
    <x v="0"/>
  </r>
  <r>
    <x v="41"/>
    <x v="19"/>
    <x v="1"/>
    <n v="587863245.94400001"/>
    <x v="0"/>
  </r>
  <r>
    <x v="41"/>
    <x v="20"/>
    <x v="1"/>
    <n v="664228244.49399996"/>
    <x v="0"/>
  </r>
  <r>
    <x v="41"/>
    <x v="14"/>
    <x v="1"/>
    <n v="635114053.21500003"/>
    <x v="0"/>
  </r>
  <r>
    <x v="41"/>
    <x v="1"/>
    <x v="1"/>
    <n v="646706781.16199994"/>
    <x v="0"/>
  </r>
  <r>
    <x v="41"/>
    <x v="3"/>
    <x v="1"/>
    <n v="790360622.03400004"/>
    <x v="0"/>
  </r>
  <r>
    <x v="41"/>
    <x v="15"/>
    <x v="1"/>
    <n v="826864823.94099998"/>
    <x v="0"/>
  </r>
  <r>
    <x v="41"/>
    <x v="4"/>
    <x v="1"/>
    <n v="795235146.59800005"/>
    <x v="0"/>
  </r>
  <r>
    <x v="42"/>
    <x v="11"/>
    <x v="1"/>
    <n v="1879315622"/>
    <x v="0"/>
  </r>
  <r>
    <x v="42"/>
    <x v="12"/>
    <x v="1"/>
    <n v="2297696408"/>
    <x v="0"/>
  </r>
  <r>
    <x v="42"/>
    <x v="16"/>
    <x v="1"/>
    <n v="2673478350"/>
    <x v="0"/>
  </r>
  <r>
    <x v="42"/>
    <x v="21"/>
    <x v="1"/>
    <n v="2650581933"/>
    <x v="0"/>
  </r>
  <r>
    <x v="42"/>
    <x v="0"/>
    <x v="1"/>
    <n v="2378197531.875"/>
    <x v="0"/>
  </r>
  <r>
    <x v="42"/>
    <x v="2"/>
    <x v="1"/>
    <n v="1997111366.6400001"/>
    <x v="0"/>
  </r>
  <r>
    <x v="42"/>
    <x v="17"/>
    <x v="1"/>
    <n v="2002419592.4100001"/>
    <x v="0"/>
  </r>
  <r>
    <x v="42"/>
    <x v="13"/>
    <x v="1"/>
    <n v="2083602088.6400001"/>
    <x v="0"/>
  </r>
  <r>
    <x v="42"/>
    <x v="18"/>
    <x v="1"/>
    <n v="2274561483.4400001"/>
    <x v="0"/>
  </r>
  <r>
    <x v="42"/>
    <x v="19"/>
    <x v="1"/>
    <n v="1973571307.1989999"/>
    <x v="0"/>
  </r>
  <r>
    <x v="42"/>
    <x v="20"/>
    <x v="1"/>
    <n v="2373410939.0760002"/>
    <x v="0"/>
  </r>
  <r>
    <x v="42"/>
    <x v="14"/>
    <x v="1"/>
    <n v="1917813135.1689999"/>
    <x v="0"/>
  </r>
  <r>
    <x v="42"/>
    <x v="1"/>
    <x v="1"/>
    <n v="2284284903.842"/>
    <x v="0"/>
  </r>
  <r>
    <x v="42"/>
    <x v="3"/>
    <x v="1"/>
    <n v="2087350874.0829999"/>
    <x v="0"/>
  </r>
  <r>
    <x v="42"/>
    <x v="15"/>
    <x v="1"/>
    <n v="2498606741.6279998"/>
    <x v="0"/>
  </r>
  <r>
    <x v="42"/>
    <x v="4"/>
    <x v="1"/>
    <n v="402333025.14700001"/>
    <x v="0"/>
  </r>
  <r>
    <x v="43"/>
    <x v="14"/>
    <x v="1"/>
    <n v="12830817.432"/>
    <x v="0"/>
  </r>
  <r>
    <x v="43"/>
    <x v="1"/>
    <x v="1"/>
    <n v="26418338.793000001"/>
    <x v="0"/>
  </r>
  <r>
    <x v="44"/>
    <x v="4"/>
    <x v="1"/>
    <n v="5576659"/>
    <x v="0"/>
  </r>
  <r>
    <x v="45"/>
    <x v="1"/>
    <x v="1"/>
    <n v="15391837"/>
    <x v="0"/>
  </r>
  <r>
    <x v="45"/>
    <x v="3"/>
    <x v="1"/>
    <n v="16443986"/>
    <x v="0"/>
  </r>
  <r>
    <x v="45"/>
    <x v="15"/>
    <x v="1"/>
    <n v="23350910"/>
    <x v="0"/>
  </r>
  <r>
    <x v="45"/>
    <x v="4"/>
    <x v="1"/>
    <n v="19784527"/>
    <x v="0"/>
  </r>
  <r>
    <x v="46"/>
    <x v="13"/>
    <x v="1"/>
    <n v="68891249.329999998"/>
    <x v="0"/>
  </r>
  <r>
    <x v="46"/>
    <x v="18"/>
    <x v="1"/>
    <n v="71525987.577999905"/>
    <x v="0"/>
  </r>
  <r>
    <x v="46"/>
    <x v="19"/>
    <x v="1"/>
    <n v="64820873.306999996"/>
    <x v="0"/>
  </r>
  <r>
    <x v="47"/>
    <x v="11"/>
    <x v="1"/>
    <n v="20577905.364999998"/>
    <x v="0"/>
  </r>
  <r>
    <x v="47"/>
    <x v="12"/>
    <x v="1"/>
    <n v="24874654.401000001"/>
    <x v="0"/>
  </r>
  <r>
    <x v="47"/>
    <x v="16"/>
    <x v="1"/>
    <n v="26068592.318"/>
    <x v="0"/>
  </r>
  <r>
    <x v="47"/>
    <x v="21"/>
    <x v="1"/>
    <n v="27469715.59"/>
    <x v="0"/>
  </r>
  <r>
    <x v="47"/>
    <x v="0"/>
    <x v="1"/>
    <n v="26501560.386"/>
    <x v="0"/>
  </r>
  <r>
    <x v="47"/>
    <x v="2"/>
    <x v="1"/>
    <n v="18997907.379000001"/>
    <x v="0"/>
  </r>
  <r>
    <x v="47"/>
    <x v="17"/>
    <x v="1"/>
    <n v="21914232.855999999"/>
    <x v="0"/>
  </r>
  <r>
    <x v="47"/>
    <x v="13"/>
    <x v="1"/>
    <n v="17774303.723000001"/>
    <x v="0"/>
  </r>
  <r>
    <x v="47"/>
    <x v="18"/>
    <x v="1"/>
    <n v="24218517.695999999"/>
    <x v="0"/>
  </r>
  <r>
    <x v="47"/>
    <x v="19"/>
    <x v="1"/>
    <n v="21476089.392999999"/>
    <x v="0"/>
  </r>
  <r>
    <x v="47"/>
    <x v="20"/>
    <x v="1"/>
    <n v="23640777.175000001"/>
    <x v="0"/>
  </r>
  <r>
    <x v="48"/>
    <x v="2"/>
    <x v="1"/>
    <n v="185996022.08199999"/>
    <x v="0"/>
  </r>
  <r>
    <x v="48"/>
    <x v="17"/>
    <x v="1"/>
    <n v="200330807.433"/>
    <x v="0"/>
  </r>
  <r>
    <x v="48"/>
    <x v="13"/>
    <x v="1"/>
    <n v="235422977.572"/>
    <x v="0"/>
  </r>
  <r>
    <x v="48"/>
    <x v="18"/>
    <x v="1"/>
    <n v="249354319.76199999"/>
    <x v="0"/>
  </r>
  <r>
    <x v="48"/>
    <x v="19"/>
    <x v="1"/>
    <n v="253329384.76100001"/>
    <x v="0"/>
  </r>
  <r>
    <x v="48"/>
    <x v="20"/>
    <x v="1"/>
    <n v="300395051.77399999"/>
    <x v="0"/>
  </r>
  <r>
    <x v="48"/>
    <x v="14"/>
    <x v="1"/>
    <n v="280345908.17900002"/>
    <x v="0"/>
  </r>
  <r>
    <x v="48"/>
    <x v="1"/>
    <x v="1"/>
    <n v="309505104.171"/>
    <x v="0"/>
  </r>
  <r>
    <x v="48"/>
    <x v="3"/>
    <x v="1"/>
    <n v="354039562.44999999"/>
    <x v="0"/>
  </r>
  <r>
    <x v="0"/>
    <x v="0"/>
    <x v="2"/>
    <n v="1.3128543211381001"/>
    <x v="0"/>
  </r>
  <r>
    <x v="1"/>
    <x v="1"/>
    <x v="2"/>
    <n v="5.3274955259748298"/>
    <x v="0"/>
  </r>
  <r>
    <x v="2"/>
    <x v="2"/>
    <x v="2"/>
    <n v="5.8427402252588196"/>
    <x v="0"/>
  </r>
  <r>
    <x v="2"/>
    <x v="3"/>
    <x v="2"/>
    <n v="6.7593780690106202"/>
    <x v="0"/>
  </r>
  <r>
    <x v="2"/>
    <x v="4"/>
    <x v="2"/>
    <n v="7.7583186005029097"/>
    <x v="0"/>
  </r>
  <r>
    <x v="3"/>
    <x v="5"/>
    <x v="2"/>
    <n v="2.0643689486918402"/>
    <x v="0"/>
  </r>
  <r>
    <x v="3"/>
    <x v="6"/>
    <x v="2"/>
    <n v="2.4084718758813599"/>
    <x v="0"/>
  </r>
  <r>
    <x v="3"/>
    <x v="7"/>
    <x v="2"/>
    <n v="2.8017520284330399"/>
    <x v="0"/>
  </r>
  <r>
    <x v="3"/>
    <x v="8"/>
    <x v="2"/>
    <n v="3.3081215947892999"/>
    <x v="0"/>
  </r>
  <r>
    <x v="3"/>
    <x v="9"/>
    <x v="2"/>
    <n v="4.0032359532662003"/>
    <x v="0"/>
  </r>
  <r>
    <x v="3"/>
    <x v="10"/>
    <x v="2"/>
    <n v="3.7403794259530998"/>
    <x v="0"/>
  </r>
  <r>
    <x v="3"/>
    <x v="11"/>
    <x v="2"/>
    <n v="3.98104119259275"/>
    <x v="0"/>
  </r>
  <r>
    <x v="3"/>
    <x v="12"/>
    <x v="2"/>
    <n v="4.5671274074600001"/>
    <x v="0"/>
  </r>
  <r>
    <x v="3"/>
    <x v="2"/>
    <x v="2"/>
    <n v="4.0782798520347301"/>
    <x v="0"/>
  </r>
  <r>
    <x v="3"/>
    <x v="13"/>
    <x v="2"/>
    <n v="4.8628698874779896"/>
    <x v="0"/>
  </r>
  <r>
    <x v="3"/>
    <x v="14"/>
    <x v="2"/>
    <n v="4.0213150737227599"/>
    <x v="0"/>
  </r>
  <r>
    <x v="3"/>
    <x v="1"/>
    <x v="2"/>
    <n v="4.3071250377938304"/>
    <x v="0"/>
  </r>
  <r>
    <x v="3"/>
    <x v="3"/>
    <x v="2"/>
    <n v="4.8228508829143797"/>
    <x v="0"/>
  </r>
  <r>
    <x v="3"/>
    <x v="15"/>
    <x v="2"/>
    <n v="4.8708229922747304"/>
    <x v="0"/>
  </r>
  <r>
    <x v="3"/>
    <x v="4"/>
    <x v="2"/>
    <n v="4.80418552119695"/>
    <x v="0"/>
  </r>
  <r>
    <x v="4"/>
    <x v="16"/>
    <x v="2"/>
    <n v="4.8636130578295997"/>
    <x v="0"/>
  </r>
  <r>
    <x v="4"/>
    <x v="17"/>
    <x v="2"/>
    <n v="3.9075167896068299"/>
    <x v="0"/>
  </r>
  <r>
    <x v="5"/>
    <x v="11"/>
    <x v="2"/>
    <n v="3.6122542085202598"/>
    <x v="0"/>
  </r>
  <r>
    <x v="5"/>
    <x v="12"/>
    <x v="2"/>
    <n v="4.6194370665179996"/>
    <x v="0"/>
  </r>
  <r>
    <x v="5"/>
    <x v="16"/>
    <x v="2"/>
    <n v="5.4385313951483996"/>
    <x v="0"/>
  </r>
  <r>
    <x v="5"/>
    <x v="17"/>
    <x v="2"/>
    <n v="4.6301675676676597"/>
    <x v="0"/>
  </r>
  <r>
    <x v="5"/>
    <x v="13"/>
    <x v="2"/>
    <n v="5.3738270461519297"/>
    <x v="0"/>
  </r>
  <r>
    <x v="5"/>
    <x v="18"/>
    <x v="2"/>
    <n v="4.5902466329138099"/>
    <x v="0"/>
  </r>
  <r>
    <x v="5"/>
    <x v="19"/>
    <x v="2"/>
    <n v="4.0730010340161096"/>
    <x v="0"/>
  </r>
  <r>
    <x v="5"/>
    <x v="20"/>
    <x v="2"/>
    <n v="4.2506192166139201"/>
    <x v="0"/>
  </r>
  <r>
    <x v="5"/>
    <x v="14"/>
    <x v="2"/>
    <n v="5.1860435176349702"/>
    <x v="0"/>
  </r>
  <r>
    <x v="5"/>
    <x v="1"/>
    <x v="2"/>
    <n v="6.04139749070238"/>
    <x v="0"/>
  </r>
  <r>
    <x v="5"/>
    <x v="3"/>
    <x v="2"/>
    <n v="5.9676136485664202"/>
    <x v="0"/>
  </r>
  <r>
    <x v="5"/>
    <x v="15"/>
    <x v="2"/>
    <n v="5.0718339837095199"/>
    <x v="0"/>
  </r>
  <r>
    <x v="6"/>
    <x v="0"/>
    <x v="2"/>
    <n v="5.9576790147577396"/>
    <x v="0"/>
  </r>
  <r>
    <x v="6"/>
    <x v="17"/>
    <x v="2"/>
    <n v="5.4926685837656102"/>
    <x v="0"/>
  </r>
  <r>
    <x v="6"/>
    <x v="18"/>
    <x v="2"/>
    <n v="6.2616119238469299"/>
    <x v="0"/>
  </r>
  <r>
    <x v="6"/>
    <x v="20"/>
    <x v="2"/>
    <n v="5.4571350145503397"/>
    <x v="0"/>
  </r>
  <r>
    <x v="6"/>
    <x v="14"/>
    <x v="2"/>
    <n v="5.62160639204704"/>
    <x v="0"/>
  </r>
  <r>
    <x v="6"/>
    <x v="1"/>
    <x v="2"/>
    <n v="5.8330247396307602"/>
    <x v="0"/>
  </r>
  <r>
    <x v="6"/>
    <x v="3"/>
    <x v="2"/>
    <n v="6.3848264701791901"/>
    <x v="0"/>
  </r>
  <r>
    <x v="6"/>
    <x v="4"/>
    <x v="2"/>
    <n v="6.1106565348061803"/>
    <x v="0"/>
  </r>
  <r>
    <x v="7"/>
    <x v="2"/>
    <x v="2"/>
    <n v="0.13655773431892801"/>
    <x v="0"/>
  </r>
  <r>
    <x v="8"/>
    <x v="2"/>
    <x v="2"/>
    <n v="3.2311259618630999"/>
    <x v="0"/>
  </r>
  <r>
    <x v="8"/>
    <x v="17"/>
    <x v="2"/>
    <n v="4.66639368187443"/>
    <x v="0"/>
  </r>
  <r>
    <x v="8"/>
    <x v="3"/>
    <x v="2"/>
    <n v="6.3285604418289303"/>
    <x v="0"/>
  </r>
  <r>
    <x v="8"/>
    <x v="4"/>
    <x v="2"/>
    <n v="7.3706392014788404"/>
    <x v="0"/>
  </r>
  <r>
    <x v="9"/>
    <x v="9"/>
    <x v="2"/>
    <n v="5.1752343460802397"/>
    <x v="0"/>
  </r>
  <r>
    <x v="10"/>
    <x v="11"/>
    <x v="2"/>
    <n v="3.86279341402967"/>
    <x v="0"/>
  </r>
  <r>
    <x v="10"/>
    <x v="12"/>
    <x v="2"/>
    <n v="4.5508808838276904"/>
    <x v="0"/>
  </r>
  <r>
    <x v="10"/>
    <x v="16"/>
    <x v="2"/>
    <n v="5.4025448990935097"/>
    <x v="0"/>
  </r>
  <r>
    <x v="10"/>
    <x v="21"/>
    <x v="2"/>
    <n v="5.8437358765236702"/>
    <x v="0"/>
  </r>
  <r>
    <x v="10"/>
    <x v="0"/>
    <x v="2"/>
    <n v="5.1287818052469598"/>
    <x v="0"/>
  </r>
  <r>
    <x v="10"/>
    <x v="2"/>
    <x v="2"/>
    <n v="4.0461790654159699"/>
    <x v="0"/>
  </r>
  <r>
    <x v="10"/>
    <x v="17"/>
    <x v="2"/>
    <n v="4.1008944431763297"/>
    <x v="0"/>
  </r>
  <r>
    <x v="10"/>
    <x v="13"/>
    <x v="2"/>
    <n v="4.8290621428412797"/>
    <x v="0"/>
  </r>
  <r>
    <x v="10"/>
    <x v="18"/>
    <x v="2"/>
    <n v="4.9932017731671099"/>
    <x v="0"/>
  </r>
  <r>
    <x v="10"/>
    <x v="19"/>
    <x v="2"/>
    <n v="4.46081571912109"/>
    <x v="0"/>
  </r>
  <r>
    <x v="10"/>
    <x v="20"/>
    <x v="2"/>
    <n v="4.1761144211216497"/>
    <x v="0"/>
  </r>
  <r>
    <x v="10"/>
    <x v="14"/>
    <x v="2"/>
    <n v="4.3834952721179699"/>
    <x v="0"/>
  </r>
  <r>
    <x v="10"/>
    <x v="1"/>
    <x v="2"/>
    <n v="4.4655330237575397"/>
    <x v="0"/>
  </r>
  <r>
    <x v="10"/>
    <x v="15"/>
    <x v="2"/>
    <n v="4.8986461202147096"/>
    <x v="0"/>
  </r>
  <r>
    <x v="11"/>
    <x v="22"/>
    <x v="2"/>
    <n v="3.2280252194845298"/>
    <x v="0"/>
  </r>
  <r>
    <x v="11"/>
    <x v="6"/>
    <x v="2"/>
    <n v="3.6790427022103098"/>
    <x v="0"/>
  </r>
  <r>
    <x v="11"/>
    <x v="7"/>
    <x v="2"/>
    <n v="3.9670754974944402"/>
    <x v="0"/>
  </r>
  <r>
    <x v="11"/>
    <x v="8"/>
    <x v="2"/>
    <n v="4.8451290243726399"/>
    <x v="0"/>
  </r>
  <r>
    <x v="11"/>
    <x v="9"/>
    <x v="2"/>
    <n v="5.58784257169245"/>
    <x v="0"/>
  </r>
  <r>
    <x v="11"/>
    <x v="10"/>
    <x v="2"/>
    <n v="4.0509968673472496"/>
    <x v="0"/>
  </r>
  <r>
    <x v="11"/>
    <x v="11"/>
    <x v="2"/>
    <n v="4.5719840763410904"/>
    <x v="0"/>
  </r>
  <r>
    <x v="11"/>
    <x v="12"/>
    <x v="2"/>
    <n v="4.7326314241575904"/>
    <x v="0"/>
  </r>
  <r>
    <x v="11"/>
    <x v="16"/>
    <x v="2"/>
    <n v="5.5493145795476604"/>
    <x v="0"/>
  </r>
  <r>
    <x v="11"/>
    <x v="21"/>
    <x v="2"/>
    <n v="5.4805342347020103"/>
    <x v="0"/>
  </r>
  <r>
    <x v="11"/>
    <x v="0"/>
    <x v="2"/>
    <n v="4.8770918921536603"/>
    <x v="0"/>
  </r>
  <r>
    <x v="11"/>
    <x v="2"/>
    <x v="2"/>
    <n v="4.1638846914535197"/>
    <x v="0"/>
  </r>
  <r>
    <x v="11"/>
    <x v="17"/>
    <x v="2"/>
    <n v="4.1939968701029198"/>
    <x v="0"/>
  </r>
  <r>
    <x v="11"/>
    <x v="13"/>
    <x v="2"/>
    <n v="4.6679358627195802"/>
    <x v="0"/>
  </r>
  <r>
    <x v="11"/>
    <x v="18"/>
    <x v="2"/>
    <n v="5.0217455760016003"/>
    <x v="0"/>
  </r>
  <r>
    <x v="11"/>
    <x v="19"/>
    <x v="2"/>
    <n v="4.5793569624468997"/>
    <x v="0"/>
  </r>
  <r>
    <x v="11"/>
    <x v="20"/>
    <x v="2"/>
    <n v="4.4641833541824401"/>
    <x v="0"/>
  </r>
  <r>
    <x v="11"/>
    <x v="14"/>
    <x v="2"/>
    <n v="4.8570234481559904"/>
    <x v="0"/>
  </r>
  <r>
    <x v="11"/>
    <x v="1"/>
    <x v="2"/>
    <n v="5.2275075995407096"/>
    <x v="0"/>
  </r>
  <r>
    <x v="11"/>
    <x v="3"/>
    <x v="2"/>
    <n v="5.3288290365516602"/>
    <x v="0"/>
  </r>
  <r>
    <x v="11"/>
    <x v="15"/>
    <x v="2"/>
    <n v="4.91736437863349"/>
    <x v="0"/>
  </r>
  <r>
    <x v="11"/>
    <x v="4"/>
    <x v="2"/>
    <n v="4.9139098048741303"/>
    <x v="0"/>
  </r>
  <r>
    <x v="12"/>
    <x v="0"/>
    <x v="2"/>
    <n v="3.0333715760961201E-2"/>
    <x v="0"/>
  </r>
  <r>
    <x v="13"/>
    <x v="0"/>
    <x v="2"/>
    <n v="0.71263167276734396"/>
    <x v="0"/>
  </r>
  <r>
    <x v="13"/>
    <x v="2"/>
    <x v="2"/>
    <n v="1.94854472577402"/>
    <x v="0"/>
  </r>
  <r>
    <x v="13"/>
    <x v="17"/>
    <x v="2"/>
    <n v="0.40474181492859801"/>
    <x v="0"/>
  </r>
  <r>
    <x v="13"/>
    <x v="13"/>
    <x v="2"/>
    <n v="0.803706619230381"/>
    <x v="0"/>
  </r>
  <r>
    <x v="13"/>
    <x v="18"/>
    <x v="2"/>
    <n v="0.83916159228516296"/>
    <x v="0"/>
  </r>
  <r>
    <x v="13"/>
    <x v="19"/>
    <x v="2"/>
    <n v="0.77931045026552603"/>
    <x v="0"/>
  </r>
  <r>
    <x v="13"/>
    <x v="20"/>
    <x v="2"/>
    <n v="0.77869603731701698"/>
    <x v="0"/>
  </r>
  <r>
    <x v="13"/>
    <x v="14"/>
    <x v="2"/>
    <n v="0.77199993287369895"/>
    <x v="0"/>
  </r>
  <r>
    <x v="13"/>
    <x v="1"/>
    <x v="2"/>
    <n v="0.77086901236863303"/>
    <x v="0"/>
  </r>
  <r>
    <x v="13"/>
    <x v="3"/>
    <x v="2"/>
    <n v="0.85226094216100501"/>
    <x v="0"/>
  </r>
  <r>
    <x v="13"/>
    <x v="15"/>
    <x v="2"/>
    <n v="0.83936757514666904"/>
    <x v="0"/>
  </r>
  <r>
    <x v="13"/>
    <x v="4"/>
    <x v="2"/>
    <n v="0.95405766388527302"/>
    <x v="0"/>
  </r>
  <r>
    <x v="14"/>
    <x v="23"/>
    <x v="2"/>
    <n v="2.4555345655434699"/>
    <x v="0"/>
  </r>
  <r>
    <x v="14"/>
    <x v="24"/>
    <x v="2"/>
    <n v="2.24371976978576"/>
    <x v="0"/>
  </r>
  <r>
    <x v="14"/>
    <x v="25"/>
    <x v="2"/>
    <n v="2.6987446334686198"/>
    <x v="0"/>
  </r>
  <r>
    <x v="14"/>
    <x v="5"/>
    <x v="2"/>
    <n v="3.4659442233641902"/>
    <x v="0"/>
  </r>
  <r>
    <x v="14"/>
    <x v="22"/>
    <x v="2"/>
    <n v="3.9175664410366799"/>
    <x v="0"/>
  </r>
  <r>
    <x v="14"/>
    <x v="6"/>
    <x v="2"/>
    <n v="2.99158823718607"/>
    <x v="0"/>
  </r>
  <r>
    <x v="14"/>
    <x v="7"/>
    <x v="2"/>
    <n v="3.73257827215394"/>
    <x v="0"/>
  </r>
  <r>
    <x v="14"/>
    <x v="8"/>
    <x v="2"/>
    <n v="4.1574268430692696"/>
    <x v="0"/>
  </r>
  <r>
    <x v="14"/>
    <x v="9"/>
    <x v="2"/>
    <n v="6.4514020484943098"/>
    <x v="0"/>
  </r>
  <r>
    <x v="14"/>
    <x v="10"/>
    <x v="2"/>
    <n v="5.72471978047788"/>
    <x v="0"/>
  </r>
  <r>
    <x v="14"/>
    <x v="11"/>
    <x v="2"/>
    <n v="6.4161851145275204"/>
    <x v="0"/>
  </r>
  <r>
    <x v="14"/>
    <x v="12"/>
    <x v="2"/>
    <n v="6.3825344821635097"/>
    <x v="0"/>
  </r>
  <r>
    <x v="14"/>
    <x v="16"/>
    <x v="2"/>
    <n v="7.0292549786959704"/>
    <x v="0"/>
  </r>
  <r>
    <x v="14"/>
    <x v="21"/>
    <x v="2"/>
    <n v="7.1600945930364004"/>
    <x v="0"/>
  </r>
  <r>
    <x v="14"/>
    <x v="0"/>
    <x v="2"/>
    <n v="6.1612525441564099"/>
    <x v="0"/>
  </r>
  <r>
    <x v="14"/>
    <x v="2"/>
    <x v="2"/>
    <n v="5.5217959602249698"/>
    <x v="0"/>
  </r>
  <r>
    <x v="14"/>
    <x v="17"/>
    <x v="2"/>
    <n v="5.3713425537445101"/>
    <x v="0"/>
  </r>
  <r>
    <x v="14"/>
    <x v="13"/>
    <x v="2"/>
    <n v="5.7376201750919202"/>
    <x v="0"/>
  </r>
  <r>
    <x v="14"/>
    <x v="18"/>
    <x v="2"/>
    <n v="5.7095974880988196"/>
    <x v="0"/>
  </r>
  <r>
    <x v="14"/>
    <x v="19"/>
    <x v="2"/>
    <n v="5.8822543479612301"/>
    <x v="0"/>
  </r>
  <r>
    <x v="14"/>
    <x v="20"/>
    <x v="2"/>
    <n v="6.1155014566682899"/>
    <x v="0"/>
  </r>
  <r>
    <x v="14"/>
    <x v="14"/>
    <x v="2"/>
    <n v="5.9336447350922299"/>
    <x v="0"/>
  </r>
  <r>
    <x v="14"/>
    <x v="1"/>
    <x v="2"/>
    <n v="5.5684908066631502"/>
    <x v="0"/>
  </r>
  <r>
    <x v="14"/>
    <x v="3"/>
    <x v="2"/>
    <n v="5.8237821289200999"/>
    <x v="0"/>
  </r>
  <r>
    <x v="14"/>
    <x v="15"/>
    <x v="2"/>
    <n v="6.2045943903344201"/>
    <x v="0"/>
  </r>
  <r>
    <x v="15"/>
    <x v="9"/>
    <x v="2"/>
    <n v="5.0209066138518104"/>
    <x v="0"/>
  </r>
  <r>
    <x v="15"/>
    <x v="10"/>
    <x v="2"/>
    <n v="4.14448490055549"/>
    <x v="0"/>
  </r>
  <r>
    <x v="15"/>
    <x v="11"/>
    <x v="2"/>
    <n v="3.6427794284300798"/>
    <x v="0"/>
  </r>
  <r>
    <x v="15"/>
    <x v="12"/>
    <x v="2"/>
    <n v="4.0924842761240097"/>
    <x v="0"/>
  </r>
  <r>
    <x v="15"/>
    <x v="16"/>
    <x v="2"/>
    <n v="4.8927135756328104"/>
    <x v="0"/>
  </r>
  <r>
    <x v="15"/>
    <x v="21"/>
    <x v="2"/>
    <n v="5.7233936472614797"/>
    <x v="0"/>
  </r>
  <r>
    <x v="15"/>
    <x v="0"/>
    <x v="2"/>
    <n v="5.4499469993983896"/>
    <x v="0"/>
  </r>
  <r>
    <x v="15"/>
    <x v="2"/>
    <x v="2"/>
    <n v="4.1263833832508396"/>
    <x v="0"/>
  </r>
  <r>
    <x v="15"/>
    <x v="17"/>
    <x v="2"/>
    <n v="3.9719172276527002"/>
    <x v="0"/>
  </r>
  <r>
    <x v="15"/>
    <x v="13"/>
    <x v="2"/>
    <n v="4.39173184179353"/>
    <x v="0"/>
  </r>
  <r>
    <x v="15"/>
    <x v="18"/>
    <x v="2"/>
    <n v="5.0295663739553502"/>
    <x v="0"/>
  </r>
  <r>
    <x v="15"/>
    <x v="19"/>
    <x v="2"/>
    <n v="4.6323835146699199"/>
    <x v="0"/>
  </r>
  <r>
    <x v="15"/>
    <x v="20"/>
    <x v="2"/>
    <n v="4.5505472867546599"/>
    <x v="0"/>
  </r>
  <r>
    <x v="15"/>
    <x v="14"/>
    <x v="2"/>
    <n v="4.5004002220619697"/>
    <x v="0"/>
  </r>
  <r>
    <x v="15"/>
    <x v="1"/>
    <x v="2"/>
    <n v="4.4667034268500796"/>
    <x v="0"/>
  </r>
  <r>
    <x v="15"/>
    <x v="3"/>
    <x v="2"/>
    <n v="5.08779939492449"/>
    <x v="0"/>
  </r>
  <r>
    <x v="15"/>
    <x v="15"/>
    <x v="2"/>
    <n v="5.1606947217755099"/>
    <x v="0"/>
  </r>
  <r>
    <x v="15"/>
    <x v="4"/>
    <x v="2"/>
    <n v="5.1178030222880198"/>
    <x v="0"/>
  </r>
  <r>
    <x v="16"/>
    <x v="11"/>
    <x v="2"/>
    <n v="4.0667582560073399"/>
    <x v="0"/>
  </r>
  <r>
    <x v="16"/>
    <x v="12"/>
    <x v="2"/>
    <n v="4.6227979527531504"/>
    <x v="0"/>
  </r>
  <r>
    <x v="16"/>
    <x v="16"/>
    <x v="2"/>
    <n v="4.9794009278676503"/>
    <x v="0"/>
  </r>
  <r>
    <x v="16"/>
    <x v="21"/>
    <x v="2"/>
    <n v="6.4180819118752099"/>
    <x v="0"/>
  </r>
  <r>
    <x v="16"/>
    <x v="0"/>
    <x v="2"/>
    <n v="6.2556484728678097"/>
    <x v="0"/>
  </r>
  <r>
    <x v="16"/>
    <x v="2"/>
    <x v="2"/>
    <n v="3.1341768501104399"/>
    <x v="0"/>
  </r>
  <r>
    <x v="16"/>
    <x v="17"/>
    <x v="2"/>
    <n v="4.89449004830729"/>
    <x v="0"/>
  </r>
  <r>
    <x v="16"/>
    <x v="13"/>
    <x v="2"/>
    <n v="4.9722804730438703"/>
    <x v="0"/>
  </r>
  <r>
    <x v="16"/>
    <x v="18"/>
    <x v="2"/>
    <n v="5.3576574740475502"/>
    <x v="0"/>
  </r>
  <r>
    <x v="16"/>
    <x v="19"/>
    <x v="2"/>
    <n v="4.9026462494391501"/>
    <x v="0"/>
  </r>
  <r>
    <x v="16"/>
    <x v="20"/>
    <x v="2"/>
    <n v="4.6543946355100498"/>
    <x v="0"/>
  </r>
  <r>
    <x v="16"/>
    <x v="14"/>
    <x v="2"/>
    <n v="4.9137245192468599"/>
    <x v="0"/>
  </r>
  <r>
    <x v="16"/>
    <x v="1"/>
    <x v="2"/>
    <n v="5.3294346989327401"/>
    <x v="0"/>
  </r>
  <r>
    <x v="16"/>
    <x v="3"/>
    <x v="2"/>
    <n v="5.3953117323345303"/>
    <x v="0"/>
  </r>
  <r>
    <x v="17"/>
    <x v="4"/>
    <x v="2"/>
    <n v="9.5063270822933799"/>
    <x v="0"/>
  </r>
  <r>
    <x v="18"/>
    <x v="11"/>
    <x v="2"/>
    <n v="2.0047520330661701"/>
    <x v="0"/>
  </r>
  <r>
    <x v="18"/>
    <x v="12"/>
    <x v="2"/>
    <n v="2.21855653443395"/>
    <x v="0"/>
  </r>
  <r>
    <x v="18"/>
    <x v="16"/>
    <x v="2"/>
    <n v="6.7178259826702202"/>
    <x v="0"/>
  </r>
  <r>
    <x v="18"/>
    <x v="13"/>
    <x v="2"/>
    <n v="5.6861766249053796"/>
    <x v="0"/>
  </r>
  <r>
    <x v="18"/>
    <x v="19"/>
    <x v="2"/>
    <n v="5.2707271426890001"/>
    <x v="0"/>
  </r>
  <r>
    <x v="18"/>
    <x v="20"/>
    <x v="2"/>
    <n v="5.3252875938024999"/>
    <x v="0"/>
  </r>
  <r>
    <x v="18"/>
    <x v="14"/>
    <x v="2"/>
    <n v="5.3512830381580399"/>
    <x v="0"/>
  </r>
  <r>
    <x v="18"/>
    <x v="1"/>
    <x v="2"/>
    <n v="5.5389057414968503"/>
    <x v="0"/>
  </r>
  <r>
    <x v="18"/>
    <x v="3"/>
    <x v="2"/>
    <n v="5.8104258467341996"/>
    <x v="0"/>
  </r>
  <r>
    <x v="18"/>
    <x v="15"/>
    <x v="2"/>
    <n v="5.8140825637394897"/>
    <x v="0"/>
  </r>
  <r>
    <x v="18"/>
    <x v="4"/>
    <x v="2"/>
    <n v="6.0663692763881896"/>
    <x v="0"/>
  </r>
  <r>
    <x v="19"/>
    <x v="4"/>
    <x v="2"/>
    <n v="1.3308841004515399"/>
    <x v="0"/>
  </r>
  <r>
    <x v="20"/>
    <x v="4"/>
    <x v="2"/>
    <n v="3.55678491403286"/>
    <x v="0"/>
  </r>
  <r>
    <x v="21"/>
    <x v="16"/>
    <x v="2"/>
    <n v="5.1810881301492504"/>
    <x v="0"/>
  </r>
  <r>
    <x v="21"/>
    <x v="21"/>
    <x v="2"/>
    <n v="0.89675781604598603"/>
    <x v="0"/>
  </r>
  <r>
    <x v="21"/>
    <x v="0"/>
    <x v="2"/>
    <n v="4.4200067582855098"/>
    <x v="0"/>
  </r>
  <r>
    <x v="21"/>
    <x v="2"/>
    <x v="2"/>
    <n v="4.5097474628559402"/>
    <x v="0"/>
  </r>
  <r>
    <x v="21"/>
    <x v="17"/>
    <x v="2"/>
    <n v="4.6349468131117799"/>
    <x v="0"/>
  </r>
  <r>
    <x v="21"/>
    <x v="13"/>
    <x v="2"/>
    <n v="4.6716132772098904"/>
    <x v="0"/>
  </r>
  <r>
    <x v="21"/>
    <x v="18"/>
    <x v="2"/>
    <n v="4.7096128230089596"/>
    <x v="0"/>
  </r>
  <r>
    <x v="21"/>
    <x v="19"/>
    <x v="2"/>
    <n v="4.29977895151801"/>
    <x v="0"/>
  </r>
  <r>
    <x v="21"/>
    <x v="20"/>
    <x v="2"/>
    <n v="4.1400426627865201"/>
    <x v="0"/>
  </r>
  <r>
    <x v="21"/>
    <x v="14"/>
    <x v="2"/>
    <n v="4.2386144102512899"/>
    <x v="0"/>
  </r>
  <r>
    <x v="21"/>
    <x v="1"/>
    <x v="2"/>
    <n v="4.6197986225045096"/>
    <x v="0"/>
  </r>
  <r>
    <x v="21"/>
    <x v="3"/>
    <x v="2"/>
    <n v="4.8060776653656498"/>
    <x v="0"/>
  </r>
  <r>
    <x v="21"/>
    <x v="15"/>
    <x v="2"/>
    <n v="4.4653269720236404"/>
    <x v="0"/>
  </r>
  <r>
    <x v="22"/>
    <x v="23"/>
    <x v="2"/>
    <n v="3.7102565779001999"/>
    <x v="0"/>
  </r>
  <r>
    <x v="22"/>
    <x v="24"/>
    <x v="2"/>
    <n v="4.1042949750993802"/>
    <x v="0"/>
  </r>
  <r>
    <x v="22"/>
    <x v="25"/>
    <x v="2"/>
    <n v="4.2971226737468404"/>
    <x v="0"/>
  </r>
  <r>
    <x v="22"/>
    <x v="5"/>
    <x v="2"/>
    <n v="5.0443394393443297"/>
    <x v="0"/>
  </r>
  <r>
    <x v="22"/>
    <x v="22"/>
    <x v="2"/>
    <n v="5.1564615617018799"/>
    <x v="0"/>
  </r>
  <r>
    <x v="22"/>
    <x v="6"/>
    <x v="2"/>
    <n v="5.2878056018095698"/>
    <x v="0"/>
  </r>
  <r>
    <x v="22"/>
    <x v="7"/>
    <x v="2"/>
    <n v="5.8984766428009001"/>
    <x v="0"/>
  </r>
  <r>
    <x v="22"/>
    <x v="8"/>
    <x v="2"/>
    <n v="6.84131605880882"/>
    <x v="0"/>
  </r>
  <r>
    <x v="22"/>
    <x v="9"/>
    <x v="2"/>
    <n v="8.1675842982189693"/>
    <x v="0"/>
  </r>
  <r>
    <x v="22"/>
    <x v="10"/>
    <x v="2"/>
    <n v="7.7712762852108996"/>
    <x v="0"/>
  </r>
  <r>
    <x v="22"/>
    <x v="11"/>
    <x v="2"/>
    <n v="8.85561859120123"/>
    <x v="0"/>
  </r>
  <r>
    <x v="22"/>
    <x v="12"/>
    <x v="2"/>
    <n v="9.2880198500221294"/>
    <x v="0"/>
  </r>
  <r>
    <x v="22"/>
    <x v="16"/>
    <x v="2"/>
    <n v="9.9018647446033796"/>
    <x v="0"/>
  </r>
  <r>
    <x v="22"/>
    <x v="21"/>
    <x v="2"/>
    <n v="11.582643323065399"/>
    <x v="0"/>
  </r>
  <r>
    <x v="22"/>
    <x v="0"/>
    <x v="2"/>
    <n v="8.0535835506840403"/>
    <x v="0"/>
  </r>
  <r>
    <x v="22"/>
    <x v="2"/>
    <x v="2"/>
    <n v="6.8727907213228097"/>
    <x v="0"/>
  </r>
  <r>
    <x v="22"/>
    <x v="17"/>
    <x v="2"/>
    <n v="6.9743856515004001"/>
    <x v="0"/>
  </r>
  <r>
    <x v="22"/>
    <x v="13"/>
    <x v="2"/>
    <n v="8.0742597642178193"/>
    <x v="0"/>
  </r>
  <r>
    <x v="22"/>
    <x v="18"/>
    <x v="2"/>
    <n v="8.3747758240935095"/>
    <x v="0"/>
  </r>
  <r>
    <x v="22"/>
    <x v="19"/>
    <x v="2"/>
    <n v="7.6719930035173904"/>
    <x v="0"/>
  </r>
  <r>
    <x v="22"/>
    <x v="20"/>
    <x v="2"/>
    <n v="7.4686355025402804"/>
    <x v="0"/>
  </r>
  <r>
    <x v="22"/>
    <x v="14"/>
    <x v="2"/>
    <n v="7.5365472844333601"/>
    <x v="0"/>
  </r>
  <r>
    <x v="22"/>
    <x v="1"/>
    <x v="2"/>
    <n v="7.6283984155540203"/>
    <x v="0"/>
  </r>
  <r>
    <x v="22"/>
    <x v="3"/>
    <x v="2"/>
    <n v="8.7758265277689205"/>
    <x v="0"/>
  </r>
  <r>
    <x v="22"/>
    <x v="15"/>
    <x v="2"/>
    <n v="9.3782456640904108"/>
    <x v="0"/>
  </r>
  <r>
    <x v="22"/>
    <x v="4"/>
    <x v="2"/>
    <n v="8.4308557297319595"/>
    <x v="0"/>
  </r>
  <r>
    <x v="23"/>
    <x v="13"/>
    <x v="2"/>
    <n v="5.0467039782885896"/>
    <x v="0"/>
  </r>
  <r>
    <x v="24"/>
    <x v="4"/>
    <x v="2"/>
    <n v="6.96307816584312"/>
    <x v="0"/>
  </r>
  <r>
    <x v="25"/>
    <x v="21"/>
    <x v="2"/>
    <n v="5.4744012495549103E-2"/>
    <x v="0"/>
  </r>
  <r>
    <x v="26"/>
    <x v="23"/>
    <x v="2"/>
    <n v="2.1020719203417899"/>
    <x v="0"/>
  </r>
  <r>
    <x v="26"/>
    <x v="24"/>
    <x v="2"/>
    <n v="2.03719361842793"/>
    <x v="0"/>
  </r>
  <r>
    <x v="26"/>
    <x v="25"/>
    <x v="2"/>
    <n v="2.2729703561981598"/>
    <x v="0"/>
  </r>
  <r>
    <x v="26"/>
    <x v="5"/>
    <x v="2"/>
    <n v="2.1128743655803701"/>
    <x v="0"/>
  </r>
  <r>
    <x v="26"/>
    <x v="22"/>
    <x v="2"/>
    <n v="2.24043275367081"/>
    <x v="0"/>
  </r>
  <r>
    <x v="26"/>
    <x v="6"/>
    <x v="2"/>
    <n v="2.2411658825643199"/>
    <x v="0"/>
  </r>
  <r>
    <x v="26"/>
    <x v="7"/>
    <x v="2"/>
    <n v="2.5704278291610398"/>
    <x v="0"/>
  </r>
  <r>
    <x v="26"/>
    <x v="8"/>
    <x v="2"/>
    <n v="3.3982301826260599"/>
    <x v="0"/>
  </r>
  <r>
    <x v="26"/>
    <x v="9"/>
    <x v="2"/>
    <n v="4.2360718357034504"/>
    <x v="0"/>
  </r>
  <r>
    <x v="26"/>
    <x v="10"/>
    <x v="2"/>
    <n v="3.7653811546929301"/>
    <x v="0"/>
  </r>
  <r>
    <x v="26"/>
    <x v="11"/>
    <x v="2"/>
    <n v="3.5333616405460102"/>
    <x v="0"/>
  </r>
  <r>
    <x v="26"/>
    <x v="12"/>
    <x v="2"/>
    <n v="3.9399455911226902"/>
    <x v="0"/>
  </r>
  <r>
    <x v="26"/>
    <x v="16"/>
    <x v="2"/>
    <n v="5.1326493471480896"/>
    <x v="0"/>
  </r>
  <r>
    <x v="26"/>
    <x v="21"/>
    <x v="2"/>
    <n v="5.8135907496371102"/>
    <x v="0"/>
  </r>
  <r>
    <x v="26"/>
    <x v="0"/>
    <x v="2"/>
    <n v="4.9962834166204804"/>
    <x v="0"/>
  </r>
  <r>
    <x v="26"/>
    <x v="2"/>
    <x v="2"/>
    <n v="3.6647555258298601"/>
    <x v="0"/>
  </r>
  <r>
    <x v="26"/>
    <x v="17"/>
    <x v="2"/>
    <n v="3.9240754839217602"/>
    <x v="0"/>
  </r>
  <r>
    <x v="26"/>
    <x v="13"/>
    <x v="2"/>
    <n v="4.7444429253010396"/>
    <x v="0"/>
  </r>
  <r>
    <x v="26"/>
    <x v="18"/>
    <x v="2"/>
    <n v="4.7597102346155404"/>
    <x v="0"/>
  </r>
  <r>
    <x v="26"/>
    <x v="19"/>
    <x v="2"/>
    <n v="4.2082768178875503"/>
    <x v="0"/>
  </r>
  <r>
    <x v="26"/>
    <x v="20"/>
    <x v="2"/>
    <n v="3.6508559971736099"/>
    <x v="0"/>
  </r>
  <r>
    <x v="26"/>
    <x v="14"/>
    <x v="2"/>
    <n v="2.0994104725901401"/>
    <x v="0"/>
  </r>
  <r>
    <x v="26"/>
    <x v="1"/>
    <x v="2"/>
    <n v="1.7336340263051899"/>
    <x v="0"/>
  </r>
  <r>
    <x v="26"/>
    <x v="3"/>
    <x v="2"/>
    <n v="2.10390211030801"/>
    <x v="0"/>
  </r>
  <r>
    <x v="27"/>
    <x v="18"/>
    <x v="2"/>
    <n v="4.7949998983500599"/>
    <x v="0"/>
  </r>
  <r>
    <x v="28"/>
    <x v="11"/>
    <x v="2"/>
    <n v="3.8370245944087902"/>
    <x v="0"/>
  </r>
  <r>
    <x v="28"/>
    <x v="12"/>
    <x v="2"/>
    <n v="3.9297356339006302"/>
    <x v="0"/>
  </r>
  <r>
    <x v="28"/>
    <x v="16"/>
    <x v="2"/>
    <n v="5.1450365495152202"/>
    <x v="0"/>
  </r>
  <r>
    <x v="28"/>
    <x v="21"/>
    <x v="2"/>
    <n v="5.2240131914746799"/>
    <x v="0"/>
  </r>
  <r>
    <x v="28"/>
    <x v="0"/>
    <x v="2"/>
    <n v="4.5320365040272197"/>
    <x v="0"/>
  </r>
  <r>
    <x v="28"/>
    <x v="2"/>
    <x v="2"/>
    <n v="4.0199561491777001"/>
    <x v="0"/>
  </r>
  <r>
    <x v="28"/>
    <x v="17"/>
    <x v="2"/>
    <n v="4.2012380537535803"/>
    <x v="0"/>
  </r>
  <r>
    <x v="28"/>
    <x v="13"/>
    <x v="2"/>
    <n v="4.7579139412297797"/>
    <x v="0"/>
  </r>
  <r>
    <x v="28"/>
    <x v="18"/>
    <x v="2"/>
    <n v="4.48974452821263"/>
    <x v="0"/>
  </r>
  <r>
    <x v="28"/>
    <x v="19"/>
    <x v="2"/>
    <n v="4.1866202771399204"/>
    <x v="0"/>
  </r>
  <r>
    <x v="28"/>
    <x v="20"/>
    <x v="2"/>
    <n v="4.19874342187991"/>
    <x v="0"/>
  </r>
  <r>
    <x v="28"/>
    <x v="14"/>
    <x v="2"/>
    <n v="3.9720186224653098"/>
    <x v="0"/>
  </r>
  <r>
    <x v="28"/>
    <x v="1"/>
    <x v="2"/>
    <n v="4.5808959413072001"/>
    <x v="0"/>
  </r>
  <r>
    <x v="28"/>
    <x v="3"/>
    <x v="2"/>
    <n v="5.0918100814077798"/>
    <x v="0"/>
  </r>
  <r>
    <x v="28"/>
    <x v="15"/>
    <x v="2"/>
    <n v="5.4116112835928503"/>
    <x v="0"/>
  </r>
  <r>
    <x v="28"/>
    <x v="4"/>
    <x v="2"/>
    <n v="7.1573308249226697"/>
    <x v="0"/>
  </r>
  <r>
    <x v="29"/>
    <x v="16"/>
    <x v="2"/>
    <n v="3.8569885148271998"/>
    <x v="0"/>
  </r>
  <r>
    <x v="29"/>
    <x v="21"/>
    <x v="2"/>
    <n v="4.5490284189081596"/>
    <x v="0"/>
  </r>
  <r>
    <x v="29"/>
    <x v="0"/>
    <x v="2"/>
    <n v="4.11830796872718"/>
    <x v="0"/>
  </r>
  <r>
    <x v="29"/>
    <x v="17"/>
    <x v="2"/>
    <n v="3.43129031663358"/>
    <x v="0"/>
  </r>
  <r>
    <x v="29"/>
    <x v="13"/>
    <x v="2"/>
    <n v="3.72548593646294"/>
    <x v="0"/>
  </r>
  <r>
    <x v="29"/>
    <x v="18"/>
    <x v="2"/>
    <n v="3.9306324675762498"/>
    <x v="0"/>
  </r>
  <r>
    <x v="29"/>
    <x v="19"/>
    <x v="2"/>
    <n v="3.8228620574100298"/>
    <x v="0"/>
  </r>
  <r>
    <x v="29"/>
    <x v="20"/>
    <x v="2"/>
    <n v="3.2953413226780501"/>
    <x v="0"/>
  </r>
  <r>
    <x v="29"/>
    <x v="14"/>
    <x v="2"/>
    <n v="3.40576111157413"/>
    <x v="0"/>
  </r>
  <r>
    <x v="29"/>
    <x v="1"/>
    <x v="2"/>
    <n v="3.9804907747918499"/>
    <x v="0"/>
  </r>
  <r>
    <x v="29"/>
    <x v="3"/>
    <x v="2"/>
    <n v="4.7591479099722198"/>
    <x v="0"/>
  </r>
  <r>
    <x v="29"/>
    <x v="15"/>
    <x v="2"/>
    <n v="5.0263187474659903"/>
    <x v="0"/>
  </r>
  <r>
    <x v="29"/>
    <x v="4"/>
    <x v="2"/>
    <n v="4.9788924513618698"/>
    <x v="0"/>
  </r>
  <r>
    <x v="30"/>
    <x v="23"/>
    <x v="2"/>
    <n v="2.9045463592696898"/>
    <x v="0"/>
  </r>
  <r>
    <x v="30"/>
    <x v="24"/>
    <x v="2"/>
    <n v="2.8996375013506901"/>
    <x v="0"/>
  </r>
  <r>
    <x v="30"/>
    <x v="25"/>
    <x v="2"/>
    <n v="3.9351392141536699"/>
    <x v="0"/>
  </r>
  <r>
    <x v="30"/>
    <x v="5"/>
    <x v="2"/>
    <n v="3.5952011273197799"/>
    <x v="0"/>
  </r>
  <r>
    <x v="30"/>
    <x v="22"/>
    <x v="2"/>
    <n v="2.4182632137568301"/>
    <x v="0"/>
  </r>
  <r>
    <x v="30"/>
    <x v="6"/>
    <x v="2"/>
    <n v="3.7657432445063401"/>
    <x v="0"/>
  </r>
  <r>
    <x v="30"/>
    <x v="7"/>
    <x v="2"/>
    <n v="4.2306238042176698"/>
    <x v="0"/>
  </r>
  <r>
    <x v="30"/>
    <x v="8"/>
    <x v="2"/>
    <n v="4.7796554902122104"/>
    <x v="0"/>
  </r>
  <r>
    <x v="30"/>
    <x v="9"/>
    <x v="2"/>
    <n v="5.5541091093016099"/>
    <x v="0"/>
  </r>
  <r>
    <x v="30"/>
    <x v="10"/>
    <x v="2"/>
    <n v="5.4689874408687702"/>
    <x v="0"/>
  </r>
  <r>
    <x v="30"/>
    <x v="11"/>
    <x v="2"/>
    <n v="6.2497442496876099"/>
    <x v="0"/>
  </r>
  <r>
    <x v="30"/>
    <x v="12"/>
    <x v="2"/>
    <n v="6.46419210575616"/>
    <x v="0"/>
  </r>
  <r>
    <x v="30"/>
    <x v="16"/>
    <x v="2"/>
    <n v="7.5746140072697203"/>
    <x v="0"/>
  </r>
  <r>
    <x v="30"/>
    <x v="21"/>
    <x v="2"/>
    <n v="8.7982807298920704"/>
    <x v="0"/>
  </r>
  <r>
    <x v="30"/>
    <x v="0"/>
    <x v="2"/>
    <n v="7.2703875264461004"/>
    <x v="0"/>
  </r>
  <r>
    <x v="30"/>
    <x v="2"/>
    <x v="2"/>
    <n v="5.9394764007634198"/>
    <x v="0"/>
  </r>
  <r>
    <x v="30"/>
    <x v="17"/>
    <x v="2"/>
    <n v="5.6391633537238297"/>
    <x v="0"/>
  </r>
  <r>
    <x v="30"/>
    <x v="13"/>
    <x v="2"/>
    <n v="5.7833112259556803"/>
    <x v="0"/>
  </r>
  <r>
    <x v="30"/>
    <x v="18"/>
    <x v="2"/>
    <n v="6.02183831035632"/>
    <x v="0"/>
  </r>
  <r>
    <x v="30"/>
    <x v="19"/>
    <x v="2"/>
    <n v="6.3692328797819"/>
    <x v="0"/>
  </r>
  <r>
    <x v="30"/>
    <x v="20"/>
    <x v="2"/>
    <n v="5.6280464276729498"/>
    <x v="0"/>
  </r>
  <r>
    <x v="30"/>
    <x v="14"/>
    <x v="2"/>
    <n v="5.6920744113829702"/>
    <x v="0"/>
  </r>
  <r>
    <x v="30"/>
    <x v="1"/>
    <x v="2"/>
    <n v="6.1385233015067397"/>
    <x v="0"/>
  </r>
  <r>
    <x v="30"/>
    <x v="3"/>
    <x v="2"/>
    <n v="6.1523084100794296"/>
    <x v="0"/>
  </r>
  <r>
    <x v="30"/>
    <x v="15"/>
    <x v="2"/>
    <n v="6.5854427579768"/>
    <x v="0"/>
  </r>
  <r>
    <x v="30"/>
    <x v="4"/>
    <x v="2"/>
    <n v="7.5851969194750399"/>
    <x v="0"/>
  </r>
  <r>
    <x v="31"/>
    <x v="23"/>
    <x v="2"/>
    <n v="2.6009292158957198"/>
    <x v="0"/>
  </r>
  <r>
    <x v="31"/>
    <x v="24"/>
    <x v="2"/>
    <n v="2.82184009472383"/>
    <x v="0"/>
  </r>
  <r>
    <x v="31"/>
    <x v="25"/>
    <x v="2"/>
    <n v="2.3517298800205402"/>
    <x v="0"/>
  </r>
  <r>
    <x v="31"/>
    <x v="5"/>
    <x v="2"/>
    <n v="0.465296938183626"/>
    <x v="0"/>
  </r>
  <r>
    <x v="31"/>
    <x v="22"/>
    <x v="2"/>
    <s v="NA"/>
    <x v="0"/>
  </r>
  <r>
    <x v="31"/>
    <x v="6"/>
    <x v="2"/>
    <n v="0.97138036459073296"/>
    <x v="0"/>
  </r>
  <r>
    <x v="31"/>
    <x v="7"/>
    <x v="2"/>
    <n v="1.68463049952621"/>
    <x v="0"/>
  </r>
  <r>
    <x v="31"/>
    <x v="8"/>
    <x v="2"/>
    <n v="1.4243516143899499"/>
    <x v="0"/>
  </r>
  <r>
    <x v="31"/>
    <x v="9"/>
    <x v="2"/>
    <n v="3.6736484681430599"/>
    <x v="0"/>
  </r>
  <r>
    <x v="31"/>
    <x v="10"/>
    <x v="2"/>
    <n v="4.2798810713475399"/>
    <x v="0"/>
  </r>
  <r>
    <x v="31"/>
    <x v="11"/>
    <x v="2"/>
    <n v="5.6272521723836801"/>
    <x v="0"/>
  </r>
  <r>
    <x v="31"/>
    <x v="12"/>
    <x v="2"/>
    <n v="14.924709618070599"/>
    <x v="0"/>
  </r>
  <r>
    <x v="31"/>
    <x v="2"/>
    <x v="2"/>
    <s v="NA"/>
    <x v="0"/>
  </r>
  <r>
    <x v="31"/>
    <x v="17"/>
    <x v="2"/>
    <s v="NA"/>
    <x v="0"/>
  </r>
  <r>
    <x v="31"/>
    <x v="19"/>
    <x v="2"/>
    <s v="NA"/>
    <x v="0"/>
  </r>
  <r>
    <x v="31"/>
    <x v="20"/>
    <x v="2"/>
    <s v="NA"/>
    <x v="0"/>
  </r>
  <r>
    <x v="31"/>
    <x v="14"/>
    <x v="2"/>
    <s v="NA"/>
    <x v="0"/>
  </r>
  <r>
    <x v="31"/>
    <x v="1"/>
    <x v="2"/>
    <n v="7.5862749693072598"/>
    <x v="0"/>
  </r>
  <r>
    <x v="31"/>
    <x v="3"/>
    <x v="2"/>
    <n v="7.26614751938898"/>
    <x v="0"/>
  </r>
  <r>
    <x v="31"/>
    <x v="4"/>
    <x v="2"/>
    <n v="5.1636628203094004"/>
    <x v="0"/>
  </r>
  <r>
    <x v="32"/>
    <x v="11"/>
    <x v="2"/>
    <n v="6.9538509153710804"/>
    <x v="0"/>
  </r>
  <r>
    <x v="32"/>
    <x v="12"/>
    <x v="2"/>
    <n v="4.8948866501952297"/>
    <x v="0"/>
  </r>
  <r>
    <x v="32"/>
    <x v="16"/>
    <x v="2"/>
    <n v="5.6039794347681102"/>
    <x v="0"/>
  </r>
  <r>
    <x v="32"/>
    <x v="21"/>
    <x v="2"/>
    <n v="6.5945724273714603"/>
    <x v="0"/>
  </r>
  <r>
    <x v="32"/>
    <x v="0"/>
    <x v="2"/>
    <n v="5.8275273221828998"/>
    <x v="0"/>
  </r>
  <r>
    <x v="32"/>
    <x v="2"/>
    <x v="2"/>
    <n v="4.7788781053765401"/>
    <x v="0"/>
  </r>
  <r>
    <x v="32"/>
    <x v="17"/>
    <x v="2"/>
    <n v="4.89961852065868"/>
    <x v="0"/>
  </r>
  <r>
    <x v="32"/>
    <x v="13"/>
    <x v="2"/>
    <n v="5.0451166613783904"/>
    <x v="0"/>
  </r>
  <r>
    <x v="32"/>
    <x v="18"/>
    <x v="2"/>
    <n v="5.4939450683523496"/>
    <x v="0"/>
  </r>
  <r>
    <x v="32"/>
    <x v="19"/>
    <x v="2"/>
    <n v="5.4614992783874801"/>
    <x v="0"/>
  </r>
  <r>
    <x v="32"/>
    <x v="20"/>
    <x v="2"/>
    <n v="5.9152616573689301"/>
    <x v="0"/>
  </r>
  <r>
    <x v="32"/>
    <x v="14"/>
    <x v="2"/>
    <n v="5.9492182966981302"/>
    <x v="0"/>
  </r>
  <r>
    <x v="32"/>
    <x v="1"/>
    <x v="2"/>
    <n v="5.4143461773444104"/>
    <x v="0"/>
  </r>
  <r>
    <x v="32"/>
    <x v="3"/>
    <x v="2"/>
    <n v="5.7965537579519602"/>
    <x v="0"/>
  </r>
  <r>
    <x v="32"/>
    <x v="15"/>
    <x v="2"/>
    <n v="6.0199730156914697"/>
    <x v="0"/>
  </r>
  <r>
    <x v="32"/>
    <x v="4"/>
    <x v="2"/>
    <n v="5.9754851167845597"/>
    <x v="0"/>
  </r>
  <r>
    <x v="33"/>
    <x v="2"/>
    <x v="2"/>
    <n v="2.66239896213358"/>
    <x v="0"/>
  </r>
  <r>
    <x v="33"/>
    <x v="17"/>
    <x v="2"/>
    <n v="2.6670335831127199"/>
    <x v="0"/>
  </r>
  <r>
    <x v="33"/>
    <x v="18"/>
    <x v="2"/>
    <n v="6.2549116720838498"/>
    <x v="0"/>
  </r>
  <r>
    <x v="33"/>
    <x v="1"/>
    <x v="2"/>
    <n v="4.8883470252319903"/>
    <x v="0"/>
  </r>
  <r>
    <x v="34"/>
    <x v="11"/>
    <x v="2"/>
    <n v="4.0100082003595201"/>
    <x v="0"/>
  </r>
  <r>
    <x v="34"/>
    <x v="12"/>
    <x v="2"/>
    <n v="4.6968628163534403"/>
    <x v="0"/>
  </r>
  <r>
    <x v="34"/>
    <x v="21"/>
    <x v="2"/>
    <n v="5.8034385476053796"/>
    <x v="0"/>
  </r>
  <r>
    <x v="34"/>
    <x v="0"/>
    <x v="2"/>
    <n v="5.0443031436585803"/>
    <x v="0"/>
  </r>
  <r>
    <x v="34"/>
    <x v="2"/>
    <x v="2"/>
    <n v="4.0590508151859996"/>
    <x v="0"/>
  </r>
  <r>
    <x v="34"/>
    <x v="17"/>
    <x v="2"/>
    <n v="3.8217235834043399"/>
    <x v="0"/>
  </r>
  <r>
    <x v="34"/>
    <x v="13"/>
    <x v="2"/>
    <n v="4.7476201430383398"/>
    <x v="0"/>
  </r>
  <r>
    <x v="34"/>
    <x v="18"/>
    <x v="2"/>
    <n v="5.1185153836790303"/>
    <x v="0"/>
  </r>
  <r>
    <x v="34"/>
    <x v="19"/>
    <x v="2"/>
    <n v="4.4753792020791598"/>
    <x v="0"/>
  </r>
  <r>
    <x v="34"/>
    <x v="20"/>
    <x v="2"/>
    <n v="4.4220529976864196"/>
    <x v="0"/>
  </r>
  <r>
    <x v="34"/>
    <x v="15"/>
    <x v="2"/>
    <n v="4.7832430505586903"/>
    <x v="0"/>
  </r>
  <r>
    <x v="34"/>
    <x v="4"/>
    <x v="2"/>
    <n v="4.7474242307494601"/>
    <x v="0"/>
  </r>
  <r>
    <x v="35"/>
    <x v="11"/>
    <x v="2"/>
    <n v="3.0082122006769398"/>
    <x v="0"/>
  </r>
  <r>
    <x v="35"/>
    <x v="12"/>
    <x v="2"/>
    <n v="4.0417103575131899"/>
    <x v="0"/>
  </r>
  <r>
    <x v="35"/>
    <x v="16"/>
    <x v="2"/>
    <n v="7.8585868708808801"/>
    <x v="0"/>
  </r>
  <r>
    <x v="35"/>
    <x v="21"/>
    <x v="2"/>
    <n v="26.571874037458301"/>
    <x v="0"/>
  </r>
  <r>
    <x v="35"/>
    <x v="0"/>
    <x v="2"/>
    <n v="4.3262709828669204"/>
    <x v="0"/>
  </r>
  <r>
    <x v="35"/>
    <x v="2"/>
    <x v="2"/>
    <n v="3.0552582850984802"/>
    <x v="0"/>
  </r>
  <r>
    <x v="35"/>
    <x v="17"/>
    <x v="2"/>
    <n v="2.48922036638205"/>
    <x v="0"/>
  </r>
  <r>
    <x v="35"/>
    <x v="13"/>
    <x v="2"/>
    <n v="1.6840995822465701"/>
    <x v="0"/>
  </r>
  <r>
    <x v="35"/>
    <x v="18"/>
    <x v="2"/>
    <n v="2.4954473685771799"/>
    <x v="0"/>
  </r>
  <r>
    <x v="35"/>
    <x v="19"/>
    <x v="2"/>
    <n v="4.0906502466148398"/>
    <x v="0"/>
  </r>
  <r>
    <x v="35"/>
    <x v="20"/>
    <x v="2"/>
    <n v="3.8895110806445099"/>
    <x v="0"/>
  </r>
  <r>
    <x v="35"/>
    <x v="14"/>
    <x v="2"/>
    <n v="4.1576919675346904"/>
    <x v="0"/>
  </r>
  <r>
    <x v="35"/>
    <x v="1"/>
    <x v="2"/>
    <n v="4.3886633040681797"/>
    <x v="0"/>
  </r>
  <r>
    <x v="35"/>
    <x v="3"/>
    <x v="2"/>
    <n v="4.6374396218744298"/>
    <x v="0"/>
  </r>
  <r>
    <x v="35"/>
    <x v="15"/>
    <x v="2"/>
    <n v="3.7644899351594798"/>
    <x v="0"/>
  </r>
  <r>
    <x v="35"/>
    <x v="4"/>
    <x v="2"/>
    <n v="3.6566711624594701"/>
    <x v="0"/>
  </r>
  <r>
    <x v="36"/>
    <x v="11"/>
    <x v="2"/>
    <n v="6.3088945108763097"/>
    <x v="0"/>
  </r>
  <r>
    <x v="36"/>
    <x v="12"/>
    <x v="2"/>
    <n v="5.9833942230921098"/>
    <x v="0"/>
  </r>
  <r>
    <x v="36"/>
    <x v="16"/>
    <x v="2"/>
    <n v="6.8704008396954102"/>
    <x v="0"/>
  </r>
  <r>
    <x v="36"/>
    <x v="21"/>
    <x v="2"/>
    <n v="7.4941536662584198"/>
    <x v="0"/>
  </r>
  <r>
    <x v="36"/>
    <x v="0"/>
    <x v="2"/>
    <n v="5.9825355083623801"/>
    <x v="0"/>
  </r>
  <r>
    <x v="36"/>
    <x v="2"/>
    <x v="2"/>
    <n v="5.6473238733887596"/>
    <x v="0"/>
  </r>
  <r>
    <x v="36"/>
    <x v="17"/>
    <x v="2"/>
    <n v="5.3140461216527104"/>
    <x v="0"/>
  </r>
  <r>
    <x v="36"/>
    <x v="13"/>
    <x v="2"/>
    <n v="6.1765811665560104"/>
    <x v="0"/>
  </r>
  <r>
    <x v="36"/>
    <x v="18"/>
    <x v="2"/>
    <n v="7.6563819508387203"/>
    <x v="0"/>
  </r>
  <r>
    <x v="36"/>
    <x v="19"/>
    <x v="2"/>
    <n v="6.6846734318422003"/>
    <x v="0"/>
  </r>
  <r>
    <x v="36"/>
    <x v="20"/>
    <x v="2"/>
    <n v="5.9400633518876198"/>
    <x v="0"/>
  </r>
  <r>
    <x v="36"/>
    <x v="14"/>
    <x v="2"/>
    <n v="5.5007625303207197"/>
    <x v="0"/>
  </r>
  <r>
    <x v="36"/>
    <x v="1"/>
    <x v="2"/>
    <n v="5.6051106421247203"/>
    <x v="0"/>
  </r>
  <r>
    <x v="36"/>
    <x v="3"/>
    <x v="2"/>
    <n v="6.0392319043052103"/>
    <x v="0"/>
  </r>
  <r>
    <x v="36"/>
    <x v="15"/>
    <x v="2"/>
    <n v="5.6380590550107703"/>
    <x v="0"/>
  </r>
  <r>
    <x v="36"/>
    <x v="4"/>
    <x v="2"/>
    <n v="6.2654638390560402"/>
    <x v="0"/>
  </r>
  <r>
    <x v="37"/>
    <x v="2"/>
    <x v="2"/>
    <n v="6.9343918886655498"/>
    <x v="0"/>
  </r>
  <r>
    <x v="37"/>
    <x v="17"/>
    <x v="2"/>
    <n v="5.94479518387827"/>
    <x v="0"/>
  </r>
  <r>
    <x v="37"/>
    <x v="13"/>
    <x v="2"/>
    <n v="6.05625414120553"/>
    <x v="0"/>
  </r>
  <r>
    <x v="37"/>
    <x v="18"/>
    <x v="2"/>
    <n v="5.9646277396670202"/>
    <x v="0"/>
  </r>
  <r>
    <x v="37"/>
    <x v="19"/>
    <x v="2"/>
    <n v="5.8864594240404902"/>
    <x v="0"/>
  </r>
  <r>
    <x v="37"/>
    <x v="20"/>
    <x v="2"/>
    <n v="5.8752749701297304"/>
    <x v="0"/>
  </r>
  <r>
    <x v="37"/>
    <x v="14"/>
    <x v="2"/>
    <n v="5.9023899552536401"/>
    <x v="0"/>
  </r>
  <r>
    <x v="37"/>
    <x v="1"/>
    <x v="2"/>
    <n v="6.5562566495309804"/>
    <x v="0"/>
  </r>
  <r>
    <x v="37"/>
    <x v="3"/>
    <x v="2"/>
    <n v="7.0904172356759103"/>
    <x v="0"/>
  </r>
  <r>
    <x v="37"/>
    <x v="15"/>
    <x v="2"/>
    <n v="6.9699101940380599"/>
    <x v="0"/>
  </r>
  <r>
    <x v="38"/>
    <x v="21"/>
    <x v="2"/>
    <n v="4.3757527834450602"/>
    <x v="0"/>
  </r>
  <r>
    <x v="38"/>
    <x v="0"/>
    <x v="2"/>
    <n v="4.5035814868018296"/>
    <x v="0"/>
  </r>
  <r>
    <x v="38"/>
    <x v="2"/>
    <x v="2"/>
    <n v="3.30414622040061"/>
    <x v="0"/>
  </r>
  <r>
    <x v="38"/>
    <x v="13"/>
    <x v="2"/>
    <n v="5.8160865802559902"/>
    <x v="0"/>
  </r>
  <r>
    <x v="38"/>
    <x v="18"/>
    <x v="2"/>
    <n v="6.3758234475433397"/>
    <x v="0"/>
  </r>
  <r>
    <x v="38"/>
    <x v="19"/>
    <x v="2"/>
    <n v="5.9321870580897702"/>
    <x v="0"/>
  </r>
  <r>
    <x v="38"/>
    <x v="20"/>
    <x v="2"/>
    <n v="5.0357046692906096"/>
    <x v="0"/>
  </r>
  <r>
    <x v="38"/>
    <x v="1"/>
    <x v="2"/>
    <n v="5.4438491970852798"/>
    <x v="0"/>
  </r>
  <r>
    <x v="39"/>
    <x v="5"/>
    <x v="2"/>
    <n v="15.894818489074"/>
    <x v="0"/>
  </r>
  <r>
    <x v="39"/>
    <x v="22"/>
    <x v="2"/>
    <n v="13.704293233949"/>
    <x v="0"/>
  </r>
  <r>
    <x v="39"/>
    <x v="6"/>
    <x v="2"/>
    <n v="14.852119008904801"/>
    <x v="0"/>
  </r>
  <r>
    <x v="39"/>
    <x v="7"/>
    <x v="2"/>
    <n v="22.696285800438901"/>
    <x v="0"/>
  </r>
  <r>
    <x v="39"/>
    <x v="8"/>
    <x v="2"/>
    <n v="16.4968133450501"/>
    <x v="0"/>
  </r>
  <r>
    <x v="39"/>
    <x v="9"/>
    <x v="2"/>
    <n v="22.5340083489133"/>
    <x v="0"/>
  </r>
  <r>
    <x v="39"/>
    <x v="10"/>
    <x v="2"/>
    <n v="2.8817787196364"/>
    <x v="0"/>
  </r>
  <r>
    <x v="39"/>
    <x v="11"/>
    <x v="2"/>
    <n v="20.521890167302701"/>
    <x v="0"/>
  </r>
  <r>
    <x v="39"/>
    <x v="12"/>
    <x v="2"/>
    <n v="14.3977357212319"/>
    <x v="0"/>
  </r>
  <r>
    <x v="39"/>
    <x v="16"/>
    <x v="2"/>
    <n v="7.6596860147822898"/>
    <x v="0"/>
  </r>
  <r>
    <x v="39"/>
    <x v="21"/>
    <x v="2"/>
    <n v="22.546750127151999"/>
    <x v="0"/>
  </r>
  <r>
    <x v="39"/>
    <x v="0"/>
    <x v="2"/>
    <n v="29.4545802033572"/>
    <x v="0"/>
  </r>
  <r>
    <x v="39"/>
    <x v="2"/>
    <x v="2"/>
    <n v="5.2892515717290003"/>
    <x v="0"/>
  </r>
  <r>
    <x v="39"/>
    <x v="17"/>
    <x v="2"/>
    <n v="6.7864029597621798"/>
    <x v="0"/>
  </r>
  <r>
    <x v="39"/>
    <x v="13"/>
    <x v="2"/>
    <n v="7.3735015038524798"/>
    <x v="0"/>
  </r>
  <r>
    <x v="39"/>
    <x v="18"/>
    <x v="2"/>
    <n v="7.7332088301816801"/>
    <x v="0"/>
  </r>
  <r>
    <x v="39"/>
    <x v="19"/>
    <x v="2"/>
    <n v="6.4765629999675403"/>
    <x v="0"/>
  </r>
  <r>
    <x v="39"/>
    <x v="20"/>
    <x v="2"/>
    <n v="5.0391907452450297"/>
    <x v="0"/>
  </r>
  <r>
    <x v="39"/>
    <x v="14"/>
    <x v="2"/>
    <n v="5.63775024970397"/>
    <x v="0"/>
  </r>
  <r>
    <x v="39"/>
    <x v="1"/>
    <x v="2"/>
    <n v="5.6728276398003201"/>
    <x v="0"/>
  </r>
  <r>
    <x v="40"/>
    <x v="4"/>
    <x v="2"/>
    <n v="2.06561749468043"/>
    <x v="0"/>
  </r>
  <r>
    <x v="41"/>
    <x v="25"/>
    <x v="2"/>
    <n v="3.5284416987557901"/>
    <x v="0"/>
  </r>
  <r>
    <x v="41"/>
    <x v="5"/>
    <x v="2"/>
    <n v="3.8811265777603801"/>
    <x v="0"/>
  </r>
  <r>
    <x v="41"/>
    <x v="22"/>
    <x v="2"/>
    <n v="4.2545550095068299"/>
    <x v="0"/>
  </r>
  <r>
    <x v="41"/>
    <x v="6"/>
    <x v="2"/>
    <n v="4.2604347988736704"/>
    <x v="0"/>
  </r>
  <r>
    <x v="41"/>
    <x v="7"/>
    <x v="2"/>
    <n v="4.6156652189329899"/>
    <x v="0"/>
  </r>
  <r>
    <x v="41"/>
    <x v="8"/>
    <x v="2"/>
    <n v="5.1228236932227196"/>
    <x v="0"/>
  </r>
  <r>
    <x v="41"/>
    <x v="9"/>
    <x v="2"/>
    <n v="6.2495631866716099"/>
    <x v="0"/>
  </r>
  <r>
    <x v="41"/>
    <x v="10"/>
    <x v="2"/>
    <n v="5.6921683161021903"/>
    <x v="0"/>
  </r>
  <r>
    <x v="41"/>
    <x v="11"/>
    <x v="2"/>
    <n v="5.3705079079329403"/>
    <x v="0"/>
  </r>
  <r>
    <x v="41"/>
    <x v="12"/>
    <x v="2"/>
    <n v="6.3034697469316701"/>
    <x v="0"/>
  </r>
  <r>
    <x v="41"/>
    <x v="16"/>
    <x v="2"/>
    <n v="6.7062236092065799"/>
    <x v="0"/>
  </r>
  <r>
    <x v="41"/>
    <x v="21"/>
    <x v="2"/>
    <n v="7.2462455147875202"/>
    <x v="0"/>
  </r>
  <r>
    <x v="41"/>
    <x v="0"/>
    <x v="2"/>
    <n v="7.0253955831044603"/>
    <x v="0"/>
  </r>
  <r>
    <x v="41"/>
    <x v="2"/>
    <x v="2"/>
    <n v="5.3869021052597903"/>
    <x v="0"/>
  </r>
  <r>
    <x v="41"/>
    <x v="17"/>
    <x v="2"/>
    <n v="5.3709723955402504"/>
    <x v="0"/>
  </r>
  <r>
    <x v="41"/>
    <x v="13"/>
    <x v="2"/>
    <n v="6.0752109703907102"/>
    <x v="0"/>
  </r>
  <r>
    <x v="41"/>
    <x v="18"/>
    <x v="2"/>
    <n v="6.4039307101447598"/>
    <x v="0"/>
  </r>
  <r>
    <x v="41"/>
    <x v="19"/>
    <x v="2"/>
    <n v="6.12760283360966"/>
    <x v="0"/>
  </r>
  <r>
    <x v="41"/>
    <x v="20"/>
    <x v="2"/>
    <n v="6.2540522932623501"/>
    <x v="0"/>
  </r>
  <r>
    <x v="41"/>
    <x v="14"/>
    <x v="2"/>
    <n v="6.5614519432479597"/>
    <x v="0"/>
  </r>
  <r>
    <x v="41"/>
    <x v="1"/>
    <x v="2"/>
    <n v="6.6978991593028496"/>
    <x v="0"/>
  </r>
  <r>
    <x v="41"/>
    <x v="3"/>
    <x v="2"/>
    <n v="7.6077783199219304"/>
    <x v="0"/>
  </r>
  <r>
    <x v="41"/>
    <x v="15"/>
    <x v="2"/>
    <n v="7.7286551625658504"/>
    <x v="0"/>
  </r>
  <r>
    <x v="41"/>
    <x v="4"/>
    <x v="2"/>
    <n v="7.8281115279597202"/>
    <x v="0"/>
  </r>
  <r>
    <x v="42"/>
    <x v="11"/>
    <x v="2"/>
    <n v="3.19216827820311"/>
    <x v="0"/>
  </r>
  <r>
    <x v="42"/>
    <x v="12"/>
    <x v="2"/>
    <n v="3.9873877151937802"/>
    <x v="0"/>
  </r>
  <r>
    <x v="42"/>
    <x v="16"/>
    <x v="2"/>
    <n v="4.7783966685166899"/>
    <x v="0"/>
  </r>
  <r>
    <x v="42"/>
    <x v="21"/>
    <x v="2"/>
    <n v="4.81150770656361"/>
    <x v="0"/>
  </r>
  <r>
    <x v="42"/>
    <x v="0"/>
    <x v="2"/>
    <n v="3.9937549307462201"/>
    <x v="0"/>
  </r>
  <r>
    <x v="42"/>
    <x v="2"/>
    <x v="2"/>
    <n v="3.5559148240524499"/>
    <x v="0"/>
  </r>
  <r>
    <x v="42"/>
    <x v="17"/>
    <x v="2"/>
    <n v="3.5557295292690498"/>
    <x v="0"/>
  </r>
  <r>
    <x v="42"/>
    <x v="13"/>
    <x v="2"/>
    <n v="4.2480675876613399"/>
    <x v="0"/>
  </r>
  <r>
    <x v="42"/>
    <x v="18"/>
    <x v="2"/>
    <n v="4.4216454386133996"/>
    <x v="0"/>
  </r>
  <r>
    <x v="42"/>
    <x v="19"/>
    <x v="2"/>
    <n v="4.4661897181975503"/>
    <x v="0"/>
  </r>
  <r>
    <x v="42"/>
    <x v="20"/>
    <x v="2"/>
    <n v="4.0734231118288298"/>
    <x v="0"/>
  </r>
  <r>
    <x v="42"/>
    <x v="14"/>
    <x v="2"/>
    <n v="4.07156151163373"/>
    <x v="0"/>
  </r>
  <r>
    <x v="42"/>
    <x v="1"/>
    <x v="2"/>
    <n v="4.4459253182997802"/>
    <x v="0"/>
  </r>
  <r>
    <x v="42"/>
    <x v="3"/>
    <x v="2"/>
    <n v="4.6969633713439602"/>
    <x v="0"/>
  </r>
  <r>
    <x v="42"/>
    <x v="15"/>
    <x v="2"/>
    <n v="4.3119269788492796"/>
    <x v="0"/>
  </r>
  <r>
    <x v="42"/>
    <x v="4"/>
    <x v="2"/>
    <n v="4.2251722422770603"/>
    <x v="0"/>
  </r>
  <r>
    <x v="43"/>
    <x v="14"/>
    <x v="2"/>
    <n v="5.51210671583571"/>
    <x v="0"/>
  </r>
  <r>
    <x v="43"/>
    <x v="1"/>
    <x v="2"/>
    <n v="5.3580221029267401"/>
    <x v="0"/>
  </r>
  <r>
    <x v="44"/>
    <x v="4"/>
    <x v="2"/>
    <n v="4.8973822826340898"/>
    <x v="0"/>
  </r>
  <r>
    <x v="45"/>
    <x v="1"/>
    <x v="2"/>
    <n v="5.5045039277941097"/>
    <x v="0"/>
  </r>
  <r>
    <x v="45"/>
    <x v="3"/>
    <x v="2"/>
    <n v="5.6786249179406196"/>
    <x v="0"/>
  </r>
  <r>
    <x v="45"/>
    <x v="15"/>
    <x v="2"/>
    <n v="6.2386372060077999"/>
    <x v="0"/>
  </r>
  <r>
    <x v="45"/>
    <x v="4"/>
    <x v="2"/>
    <n v="6.3527496388650002"/>
    <x v="0"/>
  </r>
  <r>
    <x v="46"/>
    <x v="13"/>
    <x v="2"/>
    <n v="3.16610490181084"/>
    <x v="0"/>
  </r>
  <r>
    <x v="46"/>
    <x v="18"/>
    <x v="2"/>
    <n v="3.95340541076293"/>
    <x v="0"/>
  </r>
  <r>
    <x v="46"/>
    <x v="19"/>
    <x v="2"/>
    <n v="3.7130651830866501"/>
    <x v="0"/>
  </r>
  <r>
    <x v="47"/>
    <x v="11"/>
    <x v="2"/>
    <n v="3.9466078473378001"/>
    <x v="0"/>
  </r>
  <r>
    <x v="47"/>
    <x v="12"/>
    <x v="2"/>
    <n v="6.3269412917822399"/>
    <x v="0"/>
  </r>
  <r>
    <x v="47"/>
    <x v="16"/>
    <x v="2"/>
    <n v="5.7587190251665401"/>
    <x v="0"/>
  </r>
  <r>
    <x v="47"/>
    <x v="21"/>
    <x v="2"/>
    <n v="6.4248093271328299"/>
    <x v="0"/>
  </r>
  <r>
    <x v="47"/>
    <x v="0"/>
    <x v="2"/>
    <n v="6.7115564135149102"/>
    <x v="0"/>
  </r>
  <r>
    <x v="47"/>
    <x v="2"/>
    <x v="2"/>
    <n v="5.7820673408082399"/>
    <x v="0"/>
  </r>
  <r>
    <x v="47"/>
    <x v="17"/>
    <x v="2"/>
    <n v="5.6012923312390299"/>
    <x v="0"/>
  </r>
  <r>
    <x v="47"/>
    <x v="13"/>
    <x v="2"/>
    <n v="5.8248255508649303"/>
    <x v="0"/>
  </r>
  <r>
    <x v="47"/>
    <x v="18"/>
    <x v="2"/>
    <n v="4.0199490926374901"/>
    <x v="0"/>
  </r>
  <r>
    <x v="47"/>
    <x v="19"/>
    <x v="2"/>
    <n v="6.5948010314357299"/>
    <x v="0"/>
  </r>
  <r>
    <x v="47"/>
    <x v="20"/>
    <x v="2"/>
    <n v="5.8954634451523198"/>
    <x v="0"/>
  </r>
  <r>
    <x v="48"/>
    <x v="2"/>
    <x v="2"/>
    <n v="4.5097474629306102"/>
    <x v="0"/>
  </r>
  <r>
    <x v="48"/>
    <x v="17"/>
    <x v="2"/>
    <n v="4.63494681319637"/>
    <x v="0"/>
  </r>
  <r>
    <x v="48"/>
    <x v="13"/>
    <x v="2"/>
    <n v="5.5001841504690798"/>
    <x v="0"/>
  </r>
  <r>
    <x v="48"/>
    <x v="18"/>
    <x v="2"/>
    <n v="5.70959750122696"/>
    <x v="0"/>
  </r>
  <r>
    <x v="48"/>
    <x v="19"/>
    <x v="2"/>
    <n v="4.9187537854310301"/>
    <x v="0"/>
  </r>
  <r>
    <x v="48"/>
    <x v="20"/>
    <x v="2"/>
    <n v="4.4863940731988796"/>
    <x v="0"/>
  </r>
  <r>
    <x v="48"/>
    <x v="14"/>
    <x v="2"/>
    <n v="5.0318516819973"/>
    <x v="0"/>
  </r>
  <r>
    <x v="48"/>
    <x v="1"/>
    <x v="2"/>
    <n v="4.8883470232905699"/>
    <x v="0"/>
  </r>
  <r>
    <x v="48"/>
    <x v="3"/>
    <x v="2"/>
    <n v="6.0175838056278703"/>
    <x v="0"/>
  </r>
  <r>
    <x v="0"/>
    <x v="12"/>
    <x v="0"/>
    <n v="9368798.8000000007"/>
    <x v="1"/>
  </r>
  <r>
    <x v="0"/>
    <x v="16"/>
    <x v="0"/>
    <n v="8510289.8800000008"/>
    <x v="1"/>
  </r>
  <r>
    <x v="0"/>
    <x v="21"/>
    <x v="0"/>
    <n v="9061239.6799999997"/>
    <x v="1"/>
  </r>
  <r>
    <x v="0"/>
    <x v="0"/>
    <x v="0"/>
    <n v="10521748.619999999"/>
    <x v="1"/>
  </r>
  <r>
    <x v="0"/>
    <x v="2"/>
    <x v="0"/>
    <n v="10934851.880000001"/>
    <x v="1"/>
  </r>
  <r>
    <x v="0"/>
    <x v="17"/>
    <x v="0"/>
    <n v="10389454.689999999"/>
    <x v="1"/>
  </r>
  <r>
    <x v="0"/>
    <x v="13"/>
    <x v="0"/>
    <n v="10339961.210000001"/>
    <x v="1"/>
  </r>
  <r>
    <x v="0"/>
    <x v="18"/>
    <x v="0"/>
    <n v="10505594.001"/>
    <x v="1"/>
  </r>
  <r>
    <x v="0"/>
    <x v="19"/>
    <x v="0"/>
    <n v="10892036.35"/>
    <x v="1"/>
  </r>
  <r>
    <x v="0"/>
    <x v="20"/>
    <x v="0"/>
    <n v="10622410.220000001"/>
    <x v="1"/>
  </r>
  <r>
    <x v="0"/>
    <x v="14"/>
    <x v="0"/>
    <n v="9178834.1899999995"/>
    <x v="1"/>
  </r>
  <r>
    <x v="0"/>
    <x v="1"/>
    <x v="0"/>
    <n v="9514175.5700000003"/>
    <x v="1"/>
  </r>
  <r>
    <x v="0"/>
    <x v="3"/>
    <x v="0"/>
    <n v="9866536.4399999995"/>
    <x v="1"/>
  </r>
  <r>
    <x v="0"/>
    <x v="15"/>
    <x v="0"/>
    <n v="9849311.1699999999"/>
    <x v="1"/>
  </r>
  <r>
    <x v="0"/>
    <x v="4"/>
    <x v="0"/>
    <n v="11415073.25"/>
    <x v="1"/>
  </r>
  <r>
    <x v="3"/>
    <x v="23"/>
    <x v="0"/>
    <n v="12513084"/>
    <x v="1"/>
  </r>
  <r>
    <x v="3"/>
    <x v="24"/>
    <x v="0"/>
    <n v="14025643"/>
    <x v="1"/>
  </r>
  <r>
    <x v="3"/>
    <x v="25"/>
    <x v="0"/>
    <n v="10894855"/>
    <x v="1"/>
  </r>
  <r>
    <x v="3"/>
    <x v="5"/>
    <x v="0"/>
    <n v="6697706"/>
    <x v="1"/>
  </r>
  <r>
    <x v="3"/>
    <x v="22"/>
    <x v="0"/>
    <n v="7951190"/>
    <x v="1"/>
  </r>
  <r>
    <x v="3"/>
    <x v="6"/>
    <x v="0"/>
    <n v="8069344"/>
    <x v="1"/>
  </r>
  <r>
    <x v="3"/>
    <x v="7"/>
    <x v="0"/>
    <n v="5632054"/>
    <x v="1"/>
  </r>
  <r>
    <x v="3"/>
    <x v="8"/>
    <x v="0"/>
    <n v="4746545"/>
    <x v="1"/>
  </r>
  <r>
    <x v="3"/>
    <x v="10"/>
    <x v="0"/>
    <n v="2760193"/>
    <x v="1"/>
  </r>
  <r>
    <x v="3"/>
    <x v="11"/>
    <x v="0"/>
    <n v="4360260"/>
    <x v="1"/>
  </r>
  <r>
    <x v="3"/>
    <x v="12"/>
    <x v="0"/>
    <n v="10992333"/>
    <x v="1"/>
  </r>
  <r>
    <x v="3"/>
    <x v="16"/>
    <x v="0"/>
    <n v="16486960"/>
    <x v="1"/>
  </r>
  <r>
    <x v="3"/>
    <x v="21"/>
    <x v="0"/>
    <n v="10031338"/>
    <x v="1"/>
  </r>
  <r>
    <x v="3"/>
    <x v="0"/>
    <x v="0"/>
    <n v="6367342"/>
    <x v="1"/>
  </r>
  <r>
    <x v="3"/>
    <x v="2"/>
    <x v="0"/>
    <n v="8725531"/>
    <x v="1"/>
  </r>
  <r>
    <x v="3"/>
    <x v="17"/>
    <x v="0"/>
    <n v="8408983"/>
    <x v="1"/>
  </r>
  <r>
    <x v="3"/>
    <x v="13"/>
    <x v="0"/>
    <n v="8904929"/>
    <x v="1"/>
  </r>
  <r>
    <x v="3"/>
    <x v="18"/>
    <x v="0"/>
    <n v="7292887"/>
    <x v="1"/>
  </r>
  <r>
    <x v="3"/>
    <x v="19"/>
    <x v="0"/>
    <n v="7878819"/>
    <x v="1"/>
  </r>
  <r>
    <x v="3"/>
    <x v="20"/>
    <x v="0"/>
    <n v="7555341"/>
    <x v="1"/>
  </r>
  <r>
    <x v="3"/>
    <x v="14"/>
    <x v="0"/>
    <n v="4177609"/>
    <x v="1"/>
  </r>
  <r>
    <x v="3"/>
    <x v="1"/>
    <x v="0"/>
    <n v="3735826"/>
    <x v="1"/>
  </r>
  <r>
    <x v="3"/>
    <x v="3"/>
    <x v="0"/>
    <n v="4198721"/>
    <x v="1"/>
  </r>
  <r>
    <x v="3"/>
    <x v="4"/>
    <x v="0"/>
    <n v="2173499"/>
    <x v="1"/>
  </r>
  <r>
    <x v="49"/>
    <x v="19"/>
    <x v="0"/>
    <n v="1747180.27"/>
    <x v="1"/>
  </r>
  <r>
    <x v="50"/>
    <x v="11"/>
    <x v="0"/>
    <n v="9640352"/>
    <x v="1"/>
  </r>
  <r>
    <x v="50"/>
    <x v="12"/>
    <x v="0"/>
    <n v="13636965"/>
    <x v="1"/>
  </r>
  <r>
    <x v="50"/>
    <x v="16"/>
    <x v="0"/>
    <n v="8443147"/>
    <x v="1"/>
  </r>
  <r>
    <x v="50"/>
    <x v="21"/>
    <x v="0"/>
    <n v="12280964"/>
    <x v="1"/>
  </r>
  <r>
    <x v="50"/>
    <x v="0"/>
    <x v="0"/>
    <n v="13794712"/>
    <x v="1"/>
  </r>
  <r>
    <x v="50"/>
    <x v="2"/>
    <x v="0"/>
    <n v="15215071"/>
    <x v="1"/>
  </r>
  <r>
    <x v="50"/>
    <x v="19"/>
    <x v="0"/>
    <n v="2216000"/>
    <x v="1"/>
  </r>
  <r>
    <x v="51"/>
    <x v="16"/>
    <x v="0"/>
    <n v="1966220"/>
    <x v="1"/>
  </r>
  <r>
    <x v="4"/>
    <x v="11"/>
    <x v="0"/>
    <n v="6137599"/>
    <x v="1"/>
  </r>
  <r>
    <x v="4"/>
    <x v="12"/>
    <x v="0"/>
    <n v="5712055"/>
    <x v="1"/>
  </r>
  <r>
    <x v="4"/>
    <x v="16"/>
    <x v="0"/>
    <n v="3113945"/>
    <x v="1"/>
  </r>
  <r>
    <x v="4"/>
    <x v="21"/>
    <x v="0"/>
    <n v="4627756"/>
    <x v="1"/>
  </r>
  <r>
    <x v="4"/>
    <x v="0"/>
    <x v="0"/>
    <n v="3708907"/>
    <x v="1"/>
  </r>
  <r>
    <x v="4"/>
    <x v="2"/>
    <x v="0"/>
    <n v="4839314"/>
    <x v="1"/>
  </r>
  <r>
    <x v="4"/>
    <x v="17"/>
    <x v="0"/>
    <n v="2879629"/>
    <x v="1"/>
  </r>
  <r>
    <x v="4"/>
    <x v="13"/>
    <x v="0"/>
    <n v="2898110"/>
    <x v="1"/>
  </r>
  <r>
    <x v="4"/>
    <x v="18"/>
    <x v="0"/>
    <n v="2182340"/>
    <x v="1"/>
  </r>
  <r>
    <x v="4"/>
    <x v="19"/>
    <x v="0"/>
    <n v="2286820"/>
    <x v="1"/>
  </r>
  <r>
    <x v="4"/>
    <x v="20"/>
    <x v="0"/>
    <n v="2172680"/>
    <x v="1"/>
  </r>
  <r>
    <x v="4"/>
    <x v="14"/>
    <x v="0"/>
    <n v="2090458"/>
    <x v="1"/>
  </r>
  <r>
    <x v="4"/>
    <x v="1"/>
    <x v="0"/>
    <n v="2724667"/>
    <x v="1"/>
  </r>
  <r>
    <x v="4"/>
    <x v="3"/>
    <x v="0"/>
    <n v="2680900"/>
    <x v="1"/>
  </r>
  <r>
    <x v="4"/>
    <x v="15"/>
    <x v="0"/>
    <n v="2017726.439"/>
    <x v="1"/>
  </r>
  <r>
    <x v="4"/>
    <x v="4"/>
    <x v="0"/>
    <n v="1480136"/>
    <x v="1"/>
  </r>
  <r>
    <x v="5"/>
    <x v="11"/>
    <x v="0"/>
    <n v="37783554"/>
    <x v="1"/>
  </r>
  <r>
    <x v="5"/>
    <x v="12"/>
    <x v="0"/>
    <n v="57753341"/>
    <x v="1"/>
  </r>
  <r>
    <x v="5"/>
    <x v="16"/>
    <x v="0"/>
    <n v="29683040"/>
    <x v="1"/>
  </r>
  <r>
    <x v="5"/>
    <x v="0"/>
    <x v="0"/>
    <n v="1980792"/>
    <x v="1"/>
  </r>
  <r>
    <x v="5"/>
    <x v="2"/>
    <x v="0"/>
    <n v="1548314"/>
    <x v="1"/>
  </r>
  <r>
    <x v="5"/>
    <x v="17"/>
    <x v="0"/>
    <n v="297803306.28399998"/>
    <x v="1"/>
  </r>
  <r>
    <x v="5"/>
    <x v="13"/>
    <x v="0"/>
    <n v="212573381.11000001"/>
    <x v="1"/>
  </r>
  <r>
    <x v="5"/>
    <x v="18"/>
    <x v="0"/>
    <n v="114145623"/>
    <x v="1"/>
  </r>
  <r>
    <x v="5"/>
    <x v="19"/>
    <x v="0"/>
    <n v="111103625"/>
    <x v="1"/>
  </r>
  <r>
    <x v="5"/>
    <x v="20"/>
    <x v="0"/>
    <n v="133956483"/>
    <x v="1"/>
  </r>
  <r>
    <x v="5"/>
    <x v="14"/>
    <x v="0"/>
    <n v="81834253"/>
    <x v="1"/>
  </r>
  <r>
    <x v="5"/>
    <x v="1"/>
    <x v="0"/>
    <n v="60505508"/>
    <x v="1"/>
  </r>
  <r>
    <x v="5"/>
    <x v="3"/>
    <x v="0"/>
    <n v="51410950"/>
    <x v="1"/>
  </r>
  <r>
    <x v="5"/>
    <x v="15"/>
    <x v="0"/>
    <n v="85930325"/>
    <x v="1"/>
  </r>
  <r>
    <x v="6"/>
    <x v="11"/>
    <x v="0"/>
    <n v="11407690"/>
    <x v="1"/>
  </r>
  <r>
    <x v="6"/>
    <x v="0"/>
    <x v="0"/>
    <n v="50649024"/>
    <x v="1"/>
  </r>
  <r>
    <x v="6"/>
    <x v="2"/>
    <x v="0"/>
    <n v="3897077"/>
    <x v="1"/>
  </r>
  <r>
    <x v="6"/>
    <x v="17"/>
    <x v="0"/>
    <n v="33900253"/>
    <x v="1"/>
  </r>
  <r>
    <x v="6"/>
    <x v="13"/>
    <x v="0"/>
    <n v="9464102"/>
    <x v="1"/>
  </r>
  <r>
    <x v="6"/>
    <x v="18"/>
    <x v="0"/>
    <n v="11949075"/>
    <x v="1"/>
  </r>
  <r>
    <x v="6"/>
    <x v="19"/>
    <x v="0"/>
    <n v="23585055"/>
    <x v="1"/>
  </r>
  <r>
    <x v="6"/>
    <x v="20"/>
    <x v="0"/>
    <n v="15263551"/>
    <x v="1"/>
  </r>
  <r>
    <x v="6"/>
    <x v="14"/>
    <x v="0"/>
    <n v="16695509.300000001"/>
    <x v="1"/>
  </r>
  <r>
    <x v="6"/>
    <x v="1"/>
    <x v="0"/>
    <n v="13441948.32"/>
    <x v="1"/>
  </r>
  <r>
    <x v="6"/>
    <x v="3"/>
    <x v="0"/>
    <n v="11770373.689999999"/>
    <x v="1"/>
  </r>
  <r>
    <x v="6"/>
    <x v="4"/>
    <x v="0"/>
    <n v="5608251"/>
    <x v="1"/>
  </r>
  <r>
    <x v="7"/>
    <x v="11"/>
    <x v="0"/>
    <n v="2752037"/>
    <x v="1"/>
  </r>
  <r>
    <x v="7"/>
    <x v="12"/>
    <x v="0"/>
    <n v="3208166"/>
    <x v="1"/>
  </r>
  <r>
    <x v="7"/>
    <x v="16"/>
    <x v="0"/>
    <n v="2139270"/>
    <x v="1"/>
  </r>
  <r>
    <x v="7"/>
    <x v="21"/>
    <x v="0"/>
    <n v="2442491"/>
    <x v="1"/>
  </r>
  <r>
    <x v="7"/>
    <x v="0"/>
    <x v="0"/>
    <n v="2207347"/>
    <x v="1"/>
  </r>
  <r>
    <x v="7"/>
    <x v="2"/>
    <x v="0"/>
    <n v="4817341"/>
    <x v="1"/>
  </r>
  <r>
    <x v="7"/>
    <x v="17"/>
    <x v="0"/>
    <n v="2340833.7400000002"/>
    <x v="1"/>
  </r>
  <r>
    <x v="7"/>
    <x v="13"/>
    <x v="0"/>
    <n v="2976055.15"/>
    <x v="1"/>
  </r>
  <r>
    <x v="7"/>
    <x v="18"/>
    <x v="0"/>
    <n v="3067383.2570000002"/>
    <x v="1"/>
  </r>
  <r>
    <x v="7"/>
    <x v="19"/>
    <x v="0"/>
    <n v="2894788.5109999999"/>
    <x v="1"/>
  </r>
  <r>
    <x v="7"/>
    <x v="20"/>
    <x v="0"/>
    <n v="3328195.5589999999"/>
    <x v="1"/>
  </r>
  <r>
    <x v="7"/>
    <x v="14"/>
    <x v="0"/>
    <n v="4824927.0329999998"/>
    <x v="1"/>
  </r>
  <r>
    <x v="7"/>
    <x v="1"/>
    <x v="0"/>
    <n v="3725115.7349999999"/>
    <x v="1"/>
  </r>
  <r>
    <x v="7"/>
    <x v="3"/>
    <x v="0"/>
    <n v="3350997.7510000002"/>
    <x v="1"/>
  </r>
  <r>
    <x v="7"/>
    <x v="15"/>
    <x v="0"/>
    <n v="3290989.0019999999"/>
    <x v="1"/>
  </r>
  <r>
    <x v="7"/>
    <x v="4"/>
    <x v="0"/>
    <n v="3475904.0269999998"/>
    <x v="1"/>
  </r>
  <r>
    <x v="9"/>
    <x v="9"/>
    <x v="0"/>
    <n v="8045363"/>
    <x v="1"/>
  </r>
  <r>
    <x v="9"/>
    <x v="10"/>
    <x v="0"/>
    <n v="20998744"/>
    <x v="1"/>
  </r>
  <r>
    <x v="9"/>
    <x v="11"/>
    <x v="0"/>
    <n v="4109861"/>
    <x v="1"/>
  </r>
  <r>
    <x v="9"/>
    <x v="18"/>
    <x v="0"/>
    <n v="1909814"/>
    <x v="1"/>
  </r>
  <r>
    <x v="9"/>
    <x v="19"/>
    <x v="0"/>
    <n v="1821650"/>
    <x v="1"/>
  </r>
  <r>
    <x v="52"/>
    <x v="4"/>
    <x v="0"/>
    <n v="1279561"/>
    <x v="1"/>
  </r>
  <r>
    <x v="10"/>
    <x v="11"/>
    <x v="0"/>
    <n v="40787248.539999999"/>
    <x v="1"/>
  </r>
  <r>
    <x v="10"/>
    <x v="12"/>
    <x v="0"/>
    <n v="6719066.1100000003"/>
    <x v="1"/>
  </r>
  <r>
    <x v="10"/>
    <x v="16"/>
    <x v="0"/>
    <n v="8053342.5970000001"/>
    <x v="1"/>
  </r>
  <r>
    <x v="10"/>
    <x v="21"/>
    <x v="0"/>
    <n v="12273749.68"/>
    <x v="1"/>
  </r>
  <r>
    <x v="10"/>
    <x v="0"/>
    <x v="0"/>
    <n v="18239868.09"/>
    <x v="1"/>
  </r>
  <r>
    <x v="10"/>
    <x v="17"/>
    <x v="0"/>
    <n v="12387101.572000001"/>
    <x v="1"/>
  </r>
  <r>
    <x v="10"/>
    <x v="13"/>
    <x v="0"/>
    <n v="24456636.809999999"/>
    <x v="1"/>
  </r>
  <r>
    <x v="10"/>
    <x v="18"/>
    <x v="0"/>
    <n v="31138788.629999999"/>
    <x v="1"/>
  </r>
  <r>
    <x v="10"/>
    <x v="19"/>
    <x v="0"/>
    <n v="12944829.539999999"/>
    <x v="1"/>
  </r>
  <r>
    <x v="10"/>
    <x v="20"/>
    <x v="0"/>
    <n v="9867217.9199999999"/>
    <x v="1"/>
  </r>
  <r>
    <x v="10"/>
    <x v="14"/>
    <x v="0"/>
    <n v="8643439.1899999995"/>
    <x v="1"/>
  </r>
  <r>
    <x v="10"/>
    <x v="15"/>
    <x v="0"/>
    <n v="21423653"/>
    <x v="1"/>
  </r>
  <r>
    <x v="11"/>
    <x v="25"/>
    <x v="0"/>
    <n v="5958606.7599999998"/>
    <x v="1"/>
  </r>
  <r>
    <x v="11"/>
    <x v="5"/>
    <x v="0"/>
    <n v="7581431.8099999996"/>
    <x v="1"/>
  </r>
  <r>
    <x v="11"/>
    <x v="17"/>
    <x v="0"/>
    <n v="4425280"/>
    <x v="1"/>
  </r>
  <r>
    <x v="11"/>
    <x v="13"/>
    <x v="0"/>
    <n v="4368037"/>
    <x v="1"/>
  </r>
  <r>
    <x v="11"/>
    <x v="18"/>
    <x v="0"/>
    <n v="2054537"/>
    <x v="1"/>
  </r>
  <r>
    <x v="11"/>
    <x v="19"/>
    <x v="0"/>
    <n v="2334353.42"/>
    <x v="1"/>
  </r>
  <r>
    <x v="11"/>
    <x v="20"/>
    <x v="0"/>
    <n v="3844639"/>
    <x v="1"/>
  </r>
  <r>
    <x v="11"/>
    <x v="14"/>
    <x v="0"/>
    <n v="3292328"/>
    <x v="1"/>
  </r>
  <r>
    <x v="11"/>
    <x v="1"/>
    <x v="0"/>
    <n v="2596498"/>
    <x v="1"/>
  </r>
  <r>
    <x v="11"/>
    <x v="3"/>
    <x v="0"/>
    <n v="1576719"/>
    <x v="1"/>
  </r>
  <r>
    <x v="12"/>
    <x v="0"/>
    <x v="0"/>
    <n v="4257179.9000000004"/>
    <x v="1"/>
  </r>
  <r>
    <x v="13"/>
    <x v="0"/>
    <x v="0"/>
    <n v="4711579.49"/>
    <x v="1"/>
  </r>
  <r>
    <x v="13"/>
    <x v="2"/>
    <x v="0"/>
    <n v="66704993.479999997"/>
    <x v="1"/>
  </r>
  <r>
    <x v="13"/>
    <x v="17"/>
    <x v="0"/>
    <n v="56535074.140000001"/>
    <x v="1"/>
  </r>
  <r>
    <x v="13"/>
    <x v="13"/>
    <x v="0"/>
    <n v="66895567.990000002"/>
    <x v="1"/>
  </r>
  <r>
    <x v="13"/>
    <x v="18"/>
    <x v="0"/>
    <n v="47452252.909999996"/>
    <x v="1"/>
  </r>
  <r>
    <x v="13"/>
    <x v="19"/>
    <x v="0"/>
    <n v="39985468.649999999"/>
    <x v="1"/>
  </r>
  <r>
    <x v="13"/>
    <x v="20"/>
    <x v="0"/>
    <n v="33547663.359999999"/>
    <x v="1"/>
  </r>
  <r>
    <x v="13"/>
    <x v="14"/>
    <x v="0"/>
    <n v="21061822.715"/>
    <x v="1"/>
  </r>
  <r>
    <x v="13"/>
    <x v="1"/>
    <x v="0"/>
    <n v="33956803.700000003"/>
    <x v="1"/>
  </r>
  <r>
    <x v="13"/>
    <x v="3"/>
    <x v="0"/>
    <n v="25398972.920000002"/>
    <x v="1"/>
  </r>
  <r>
    <x v="13"/>
    <x v="15"/>
    <x v="0"/>
    <n v="49153353.270000003"/>
    <x v="1"/>
  </r>
  <r>
    <x v="13"/>
    <x v="4"/>
    <x v="0"/>
    <n v="33734899.501000002"/>
    <x v="1"/>
  </r>
  <r>
    <x v="14"/>
    <x v="23"/>
    <x v="0"/>
    <n v="143118854.417"/>
    <x v="1"/>
  </r>
  <r>
    <x v="14"/>
    <x v="24"/>
    <x v="0"/>
    <n v="158325161.62200001"/>
    <x v="1"/>
  </r>
  <r>
    <x v="14"/>
    <x v="25"/>
    <x v="0"/>
    <n v="126953280.785"/>
    <x v="1"/>
  </r>
  <r>
    <x v="14"/>
    <x v="5"/>
    <x v="0"/>
    <n v="188584833.861"/>
    <x v="1"/>
  </r>
  <r>
    <x v="14"/>
    <x v="22"/>
    <x v="0"/>
    <n v="174257577.80199999"/>
    <x v="1"/>
  </r>
  <r>
    <x v="14"/>
    <x v="6"/>
    <x v="0"/>
    <n v="133888868.505"/>
    <x v="1"/>
  </r>
  <r>
    <x v="14"/>
    <x v="7"/>
    <x v="0"/>
    <n v="124792501.502"/>
    <x v="1"/>
  </r>
  <r>
    <x v="14"/>
    <x v="8"/>
    <x v="0"/>
    <n v="83378487.924999997"/>
    <x v="1"/>
  </r>
  <r>
    <x v="14"/>
    <x v="9"/>
    <x v="0"/>
    <n v="143307735.38800001"/>
    <x v="1"/>
  </r>
  <r>
    <x v="14"/>
    <x v="10"/>
    <x v="0"/>
    <n v="95172280.415000007"/>
    <x v="1"/>
  </r>
  <r>
    <x v="14"/>
    <x v="11"/>
    <x v="0"/>
    <n v="80009500"/>
    <x v="1"/>
  </r>
  <r>
    <x v="14"/>
    <x v="12"/>
    <x v="0"/>
    <n v="72799400"/>
    <x v="1"/>
  </r>
  <r>
    <x v="14"/>
    <x v="16"/>
    <x v="0"/>
    <n v="97053100"/>
    <x v="1"/>
  </r>
  <r>
    <x v="14"/>
    <x v="21"/>
    <x v="0"/>
    <n v="81890900"/>
    <x v="1"/>
  </r>
  <r>
    <x v="14"/>
    <x v="0"/>
    <x v="0"/>
    <n v="58773970"/>
    <x v="1"/>
  </r>
  <r>
    <x v="14"/>
    <x v="2"/>
    <x v="0"/>
    <n v="81175474"/>
    <x v="1"/>
  </r>
  <r>
    <x v="14"/>
    <x v="17"/>
    <x v="0"/>
    <n v="90713541"/>
    <x v="1"/>
  </r>
  <r>
    <x v="14"/>
    <x v="13"/>
    <x v="0"/>
    <n v="83565949"/>
    <x v="1"/>
  </r>
  <r>
    <x v="14"/>
    <x v="18"/>
    <x v="0"/>
    <n v="92652965.180999994"/>
    <x v="1"/>
  </r>
  <r>
    <x v="14"/>
    <x v="19"/>
    <x v="0"/>
    <n v="83481121"/>
    <x v="1"/>
  </r>
  <r>
    <x v="14"/>
    <x v="20"/>
    <x v="0"/>
    <n v="75138779"/>
    <x v="1"/>
  </r>
  <r>
    <x v="14"/>
    <x v="14"/>
    <x v="0"/>
    <n v="41511181.935999997"/>
    <x v="1"/>
  </r>
  <r>
    <x v="14"/>
    <x v="1"/>
    <x v="0"/>
    <n v="24560074.559999999"/>
    <x v="1"/>
  </r>
  <r>
    <x v="14"/>
    <x v="3"/>
    <x v="0"/>
    <n v="24216382"/>
    <x v="1"/>
  </r>
  <r>
    <x v="14"/>
    <x v="15"/>
    <x v="0"/>
    <n v="22595508"/>
    <x v="1"/>
  </r>
  <r>
    <x v="53"/>
    <x v="2"/>
    <x v="0"/>
    <n v="1464023"/>
    <x v="1"/>
  </r>
  <r>
    <x v="53"/>
    <x v="14"/>
    <x v="0"/>
    <n v="1685335.25"/>
    <x v="1"/>
  </r>
  <r>
    <x v="53"/>
    <x v="1"/>
    <x v="0"/>
    <n v="1493275.13"/>
    <x v="1"/>
  </r>
  <r>
    <x v="15"/>
    <x v="13"/>
    <x v="0"/>
    <n v="2208146.341"/>
    <x v="1"/>
  </r>
  <r>
    <x v="15"/>
    <x v="19"/>
    <x v="0"/>
    <n v="1329216.9450000001"/>
    <x v="1"/>
  </r>
  <r>
    <x v="15"/>
    <x v="20"/>
    <x v="0"/>
    <n v="1296272.311"/>
    <x v="1"/>
  </r>
  <r>
    <x v="15"/>
    <x v="4"/>
    <x v="0"/>
    <n v="804923.53899999999"/>
    <x v="1"/>
  </r>
  <r>
    <x v="16"/>
    <x v="11"/>
    <x v="0"/>
    <n v="8769836.0999999996"/>
    <x v="1"/>
  </r>
  <r>
    <x v="16"/>
    <x v="12"/>
    <x v="0"/>
    <n v="4484124.6500000004"/>
    <x v="1"/>
  </r>
  <r>
    <x v="16"/>
    <x v="16"/>
    <x v="0"/>
    <n v="15703058.800000001"/>
    <x v="1"/>
  </r>
  <r>
    <x v="16"/>
    <x v="21"/>
    <x v="0"/>
    <n v="6111049.79"/>
    <x v="1"/>
  </r>
  <r>
    <x v="16"/>
    <x v="0"/>
    <x v="0"/>
    <n v="2073026.89"/>
    <x v="1"/>
  </r>
  <r>
    <x v="16"/>
    <x v="2"/>
    <x v="0"/>
    <n v="11624653.74"/>
    <x v="1"/>
  </r>
  <r>
    <x v="16"/>
    <x v="17"/>
    <x v="0"/>
    <n v="12252428.609999999"/>
    <x v="1"/>
  </r>
  <r>
    <x v="16"/>
    <x v="13"/>
    <x v="0"/>
    <n v="28553618.449999999"/>
    <x v="1"/>
  </r>
  <r>
    <x v="16"/>
    <x v="18"/>
    <x v="0"/>
    <n v="36845620.899999999"/>
    <x v="1"/>
  </r>
  <r>
    <x v="16"/>
    <x v="19"/>
    <x v="0"/>
    <n v="29312893.359999999"/>
    <x v="1"/>
  </r>
  <r>
    <x v="16"/>
    <x v="20"/>
    <x v="0"/>
    <n v="21409955.719999999"/>
    <x v="1"/>
  </r>
  <r>
    <x v="16"/>
    <x v="14"/>
    <x v="0"/>
    <n v="14920135.66"/>
    <x v="1"/>
  </r>
  <r>
    <x v="16"/>
    <x v="1"/>
    <x v="0"/>
    <n v="46809368.986000001"/>
    <x v="1"/>
  </r>
  <r>
    <x v="16"/>
    <x v="3"/>
    <x v="0"/>
    <n v="37928951"/>
    <x v="1"/>
  </r>
  <r>
    <x v="18"/>
    <x v="20"/>
    <x v="0"/>
    <n v="1113852"/>
    <x v="1"/>
  </r>
  <r>
    <x v="18"/>
    <x v="14"/>
    <x v="0"/>
    <n v="1674059"/>
    <x v="1"/>
  </r>
  <r>
    <x v="18"/>
    <x v="1"/>
    <x v="0"/>
    <n v="4376311"/>
    <x v="1"/>
  </r>
  <r>
    <x v="18"/>
    <x v="3"/>
    <x v="0"/>
    <n v="2727104"/>
    <x v="1"/>
  </r>
  <r>
    <x v="18"/>
    <x v="15"/>
    <x v="0"/>
    <n v="4297076"/>
    <x v="1"/>
  </r>
  <r>
    <x v="20"/>
    <x v="12"/>
    <x v="0"/>
    <n v="17171362"/>
    <x v="1"/>
  </r>
  <r>
    <x v="20"/>
    <x v="16"/>
    <x v="0"/>
    <n v="19698811"/>
    <x v="1"/>
  </r>
  <r>
    <x v="20"/>
    <x v="21"/>
    <x v="0"/>
    <n v="36605583"/>
    <x v="1"/>
  </r>
  <r>
    <x v="20"/>
    <x v="0"/>
    <x v="0"/>
    <n v="36260403"/>
    <x v="1"/>
  </r>
  <r>
    <x v="20"/>
    <x v="2"/>
    <x v="0"/>
    <n v="29350863"/>
    <x v="1"/>
  </r>
  <r>
    <x v="20"/>
    <x v="17"/>
    <x v="0"/>
    <n v="21468478"/>
    <x v="1"/>
  </r>
  <r>
    <x v="20"/>
    <x v="13"/>
    <x v="0"/>
    <n v="28025538"/>
    <x v="1"/>
  </r>
  <r>
    <x v="20"/>
    <x v="18"/>
    <x v="0"/>
    <n v="54841228"/>
    <x v="1"/>
  </r>
  <r>
    <x v="20"/>
    <x v="19"/>
    <x v="0"/>
    <n v="45672653"/>
    <x v="1"/>
  </r>
  <r>
    <x v="20"/>
    <x v="20"/>
    <x v="0"/>
    <n v="40352149"/>
    <x v="1"/>
  </r>
  <r>
    <x v="20"/>
    <x v="14"/>
    <x v="0"/>
    <n v="38689581.626000002"/>
    <x v="1"/>
  </r>
  <r>
    <x v="20"/>
    <x v="1"/>
    <x v="0"/>
    <n v="36034176.803000003"/>
    <x v="1"/>
  </r>
  <r>
    <x v="20"/>
    <x v="3"/>
    <x v="0"/>
    <n v="51348178.667000003"/>
    <x v="1"/>
  </r>
  <r>
    <x v="20"/>
    <x v="15"/>
    <x v="0"/>
    <n v="46183719.158"/>
    <x v="1"/>
  </r>
  <r>
    <x v="20"/>
    <x v="4"/>
    <x v="0"/>
    <n v="29464538.098999999"/>
    <x v="1"/>
  </r>
  <r>
    <x v="21"/>
    <x v="16"/>
    <x v="0"/>
    <n v="11114023"/>
    <x v="1"/>
  </r>
  <r>
    <x v="21"/>
    <x v="21"/>
    <x v="0"/>
    <n v="366040872"/>
    <x v="1"/>
  </r>
  <r>
    <x v="21"/>
    <x v="0"/>
    <x v="0"/>
    <n v="104121894"/>
    <x v="1"/>
  </r>
  <r>
    <x v="21"/>
    <x v="2"/>
    <x v="0"/>
    <n v="90002096.332000002"/>
    <x v="1"/>
  </r>
  <r>
    <x v="21"/>
    <x v="17"/>
    <x v="0"/>
    <n v="73733691.190000102"/>
    <x v="1"/>
  </r>
  <r>
    <x v="21"/>
    <x v="13"/>
    <x v="0"/>
    <n v="121307044.62"/>
    <x v="1"/>
  </r>
  <r>
    <x v="21"/>
    <x v="18"/>
    <x v="0"/>
    <n v="86200137.920000002"/>
    <x v="1"/>
  </r>
  <r>
    <x v="21"/>
    <x v="19"/>
    <x v="0"/>
    <n v="88526387.010000005"/>
    <x v="1"/>
  </r>
  <r>
    <x v="21"/>
    <x v="20"/>
    <x v="0"/>
    <n v="113680675.86"/>
    <x v="1"/>
  </r>
  <r>
    <x v="21"/>
    <x v="14"/>
    <x v="0"/>
    <n v="109557679.19"/>
    <x v="1"/>
  </r>
  <r>
    <x v="21"/>
    <x v="1"/>
    <x v="0"/>
    <n v="120918814.06999999"/>
    <x v="1"/>
  </r>
  <r>
    <x v="21"/>
    <x v="3"/>
    <x v="0"/>
    <n v="130600231.56"/>
    <x v="1"/>
  </r>
  <r>
    <x v="21"/>
    <x v="15"/>
    <x v="0"/>
    <n v="197643600.91999999"/>
    <x v="1"/>
  </r>
  <r>
    <x v="54"/>
    <x v="24"/>
    <x v="0"/>
    <n v="1903250"/>
    <x v="1"/>
  </r>
  <r>
    <x v="54"/>
    <x v="12"/>
    <x v="0"/>
    <n v="3165929"/>
    <x v="1"/>
  </r>
  <r>
    <x v="54"/>
    <x v="16"/>
    <x v="0"/>
    <n v="3057271"/>
    <x v="1"/>
  </r>
  <r>
    <x v="54"/>
    <x v="21"/>
    <x v="0"/>
    <n v="1794824"/>
    <x v="1"/>
  </r>
  <r>
    <x v="54"/>
    <x v="0"/>
    <x v="0"/>
    <n v="6021761"/>
    <x v="1"/>
  </r>
  <r>
    <x v="54"/>
    <x v="2"/>
    <x v="0"/>
    <n v="2371786"/>
    <x v="1"/>
  </r>
  <r>
    <x v="54"/>
    <x v="17"/>
    <x v="0"/>
    <n v="2078184"/>
    <x v="1"/>
  </r>
  <r>
    <x v="54"/>
    <x v="13"/>
    <x v="0"/>
    <n v="1822809"/>
    <x v="1"/>
  </r>
  <r>
    <x v="54"/>
    <x v="18"/>
    <x v="0"/>
    <n v="2205567"/>
    <x v="1"/>
  </r>
  <r>
    <x v="54"/>
    <x v="19"/>
    <x v="0"/>
    <n v="2212459"/>
    <x v="1"/>
  </r>
  <r>
    <x v="54"/>
    <x v="20"/>
    <x v="0"/>
    <n v="1933693"/>
    <x v="1"/>
  </r>
  <r>
    <x v="54"/>
    <x v="14"/>
    <x v="0"/>
    <n v="1887687"/>
    <x v="1"/>
  </r>
  <r>
    <x v="54"/>
    <x v="1"/>
    <x v="0"/>
    <n v="2619332"/>
    <x v="1"/>
  </r>
  <r>
    <x v="54"/>
    <x v="3"/>
    <x v="0"/>
    <n v="2326520"/>
    <x v="1"/>
  </r>
  <r>
    <x v="54"/>
    <x v="15"/>
    <x v="0"/>
    <n v="3200625"/>
    <x v="1"/>
  </r>
  <r>
    <x v="54"/>
    <x v="4"/>
    <x v="0"/>
    <n v="3079311.1150000002"/>
    <x v="1"/>
  </r>
  <r>
    <x v="22"/>
    <x v="23"/>
    <x v="0"/>
    <n v="6862016"/>
    <x v="1"/>
  </r>
  <r>
    <x v="22"/>
    <x v="24"/>
    <x v="0"/>
    <n v="4706391"/>
    <x v="1"/>
  </r>
  <r>
    <x v="22"/>
    <x v="25"/>
    <x v="0"/>
    <n v="4364770"/>
    <x v="1"/>
  </r>
  <r>
    <x v="22"/>
    <x v="5"/>
    <x v="0"/>
    <n v="3778357"/>
    <x v="1"/>
  </r>
  <r>
    <x v="22"/>
    <x v="22"/>
    <x v="0"/>
    <n v="5284510"/>
    <x v="1"/>
  </r>
  <r>
    <x v="22"/>
    <x v="6"/>
    <x v="0"/>
    <n v="6379308"/>
    <x v="1"/>
  </r>
  <r>
    <x v="22"/>
    <x v="7"/>
    <x v="0"/>
    <n v="6937251"/>
    <x v="1"/>
  </r>
  <r>
    <x v="22"/>
    <x v="8"/>
    <x v="0"/>
    <n v="5451784"/>
    <x v="1"/>
  </r>
  <r>
    <x v="22"/>
    <x v="10"/>
    <x v="0"/>
    <n v="4220511"/>
    <x v="1"/>
  </r>
  <r>
    <x v="22"/>
    <x v="11"/>
    <x v="0"/>
    <n v="2491000"/>
    <x v="1"/>
  </r>
  <r>
    <x v="22"/>
    <x v="12"/>
    <x v="0"/>
    <n v="4646100"/>
    <x v="1"/>
  </r>
  <r>
    <x v="22"/>
    <x v="16"/>
    <x v="0"/>
    <n v="2454100"/>
    <x v="1"/>
  </r>
  <r>
    <x v="22"/>
    <x v="21"/>
    <x v="0"/>
    <n v="3368700"/>
    <x v="1"/>
  </r>
  <r>
    <x v="22"/>
    <x v="0"/>
    <x v="0"/>
    <n v="3562114"/>
    <x v="1"/>
  </r>
  <r>
    <x v="22"/>
    <x v="2"/>
    <x v="0"/>
    <n v="3369486"/>
    <x v="1"/>
  </r>
  <r>
    <x v="22"/>
    <x v="17"/>
    <x v="0"/>
    <n v="2762057"/>
    <x v="1"/>
  </r>
  <r>
    <x v="22"/>
    <x v="13"/>
    <x v="0"/>
    <n v="2722282"/>
    <x v="1"/>
  </r>
  <r>
    <x v="22"/>
    <x v="18"/>
    <x v="0"/>
    <n v="2308287"/>
    <x v="1"/>
  </r>
  <r>
    <x v="22"/>
    <x v="19"/>
    <x v="0"/>
    <n v="2428587"/>
    <x v="1"/>
  </r>
  <r>
    <x v="22"/>
    <x v="20"/>
    <x v="0"/>
    <n v="2332067"/>
    <x v="1"/>
  </r>
  <r>
    <x v="22"/>
    <x v="14"/>
    <x v="0"/>
    <n v="3214563"/>
    <x v="1"/>
  </r>
  <r>
    <x v="22"/>
    <x v="1"/>
    <x v="0"/>
    <n v="2433340"/>
    <x v="1"/>
  </r>
  <r>
    <x v="22"/>
    <x v="3"/>
    <x v="0"/>
    <n v="2098319"/>
    <x v="1"/>
  </r>
  <r>
    <x v="22"/>
    <x v="15"/>
    <x v="0"/>
    <n v="2324942"/>
    <x v="1"/>
  </r>
  <r>
    <x v="22"/>
    <x v="4"/>
    <x v="0"/>
    <n v="1475172"/>
    <x v="1"/>
  </r>
  <r>
    <x v="55"/>
    <x v="11"/>
    <x v="0"/>
    <n v="75588774"/>
    <x v="1"/>
  </r>
  <r>
    <x v="55"/>
    <x v="12"/>
    <x v="0"/>
    <n v="67069916"/>
    <x v="1"/>
  </r>
  <r>
    <x v="55"/>
    <x v="16"/>
    <x v="0"/>
    <n v="51243338"/>
    <x v="1"/>
  </r>
  <r>
    <x v="55"/>
    <x v="21"/>
    <x v="0"/>
    <n v="71005770"/>
    <x v="1"/>
  </r>
  <r>
    <x v="55"/>
    <x v="0"/>
    <x v="0"/>
    <n v="62881694"/>
    <x v="1"/>
  </r>
  <r>
    <x v="55"/>
    <x v="2"/>
    <x v="0"/>
    <n v="40115483"/>
    <x v="1"/>
  </r>
  <r>
    <x v="55"/>
    <x v="17"/>
    <x v="0"/>
    <n v="22887520"/>
    <x v="1"/>
  </r>
  <r>
    <x v="55"/>
    <x v="13"/>
    <x v="0"/>
    <n v="37062326"/>
    <x v="1"/>
  </r>
  <r>
    <x v="55"/>
    <x v="18"/>
    <x v="0"/>
    <n v="55767213"/>
    <x v="1"/>
  </r>
  <r>
    <x v="55"/>
    <x v="19"/>
    <x v="0"/>
    <n v="41278996"/>
    <x v="1"/>
  </r>
  <r>
    <x v="55"/>
    <x v="20"/>
    <x v="0"/>
    <n v="63550779"/>
    <x v="1"/>
  </r>
  <r>
    <x v="55"/>
    <x v="14"/>
    <x v="0"/>
    <n v="57639398"/>
    <x v="1"/>
  </r>
  <r>
    <x v="55"/>
    <x v="1"/>
    <x v="0"/>
    <n v="22263835"/>
    <x v="1"/>
  </r>
  <r>
    <x v="55"/>
    <x v="3"/>
    <x v="0"/>
    <n v="35693252"/>
    <x v="1"/>
  </r>
  <r>
    <x v="55"/>
    <x v="15"/>
    <x v="0"/>
    <n v="46903413"/>
    <x v="1"/>
  </r>
  <r>
    <x v="55"/>
    <x v="4"/>
    <x v="0"/>
    <n v="32092556"/>
    <x v="1"/>
  </r>
  <r>
    <x v="56"/>
    <x v="13"/>
    <x v="0"/>
    <n v="1863994.5"/>
    <x v="1"/>
  </r>
  <r>
    <x v="56"/>
    <x v="18"/>
    <x v="0"/>
    <n v="1608165.9"/>
    <x v="1"/>
  </r>
  <r>
    <x v="25"/>
    <x v="21"/>
    <x v="0"/>
    <n v="2176731"/>
    <x v="1"/>
  </r>
  <r>
    <x v="26"/>
    <x v="2"/>
    <x v="0"/>
    <n v="1245581.72"/>
    <x v="1"/>
  </r>
  <r>
    <x v="26"/>
    <x v="17"/>
    <x v="0"/>
    <n v="2092163.29"/>
    <x v="1"/>
  </r>
  <r>
    <x v="26"/>
    <x v="13"/>
    <x v="0"/>
    <n v="3960802.55"/>
    <x v="1"/>
  </r>
  <r>
    <x v="26"/>
    <x v="19"/>
    <x v="0"/>
    <n v="2761595.29"/>
    <x v="1"/>
  </r>
  <r>
    <x v="26"/>
    <x v="20"/>
    <x v="0"/>
    <n v="1362563.57"/>
    <x v="1"/>
  </r>
  <r>
    <x v="26"/>
    <x v="3"/>
    <x v="0"/>
    <n v="5110087.93"/>
    <x v="1"/>
  </r>
  <r>
    <x v="57"/>
    <x v="11"/>
    <x v="0"/>
    <n v="1869629.31"/>
    <x v="1"/>
  </r>
  <r>
    <x v="57"/>
    <x v="13"/>
    <x v="0"/>
    <n v="1750837.35"/>
    <x v="1"/>
  </r>
  <r>
    <x v="57"/>
    <x v="18"/>
    <x v="0"/>
    <n v="3569601.41"/>
    <x v="1"/>
  </r>
  <r>
    <x v="57"/>
    <x v="19"/>
    <x v="0"/>
    <n v="4520419.5199999996"/>
    <x v="1"/>
  </r>
  <r>
    <x v="57"/>
    <x v="20"/>
    <x v="0"/>
    <n v="8626067.1199999992"/>
    <x v="1"/>
  </r>
  <r>
    <x v="57"/>
    <x v="14"/>
    <x v="0"/>
    <n v="3184884.44"/>
    <x v="1"/>
  </r>
  <r>
    <x v="57"/>
    <x v="1"/>
    <x v="0"/>
    <n v="3638585.79"/>
    <x v="1"/>
  </r>
  <r>
    <x v="57"/>
    <x v="3"/>
    <x v="0"/>
    <n v="7131140.0599999996"/>
    <x v="1"/>
  </r>
  <r>
    <x v="57"/>
    <x v="15"/>
    <x v="0"/>
    <n v="7006799.7000000002"/>
    <x v="1"/>
  </r>
  <r>
    <x v="57"/>
    <x v="4"/>
    <x v="0"/>
    <n v="15924065.550000001"/>
    <x v="1"/>
  </r>
  <r>
    <x v="27"/>
    <x v="18"/>
    <x v="0"/>
    <n v="49582691.990000002"/>
    <x v="1"/>
  </r>
  <r>
    <x v="58"/>
    <x v="11"/>
    <x v="0"/>
    <n v="5248800"/>
    <x v="1"/>
  </r>
  <r>
    <x v="58"/>
    <x v="12"/>
    <x v="0"/>
    <n v="1926300"/>
    <x v="1"/>
  </r>
  <r>
    <x v="58"/>
    <x v="16"/>
    <x v="0"/>
    <n v="3376000"/>
    <x v="1"/>
  </r>
  <r>
    <x v="58"/>
    <x v="21"/>
    <x v="0"/>
    <n v="5466300"/>
    <x v="1"/>
  </r>
  <r>
    <x v="58"/>
    <x v="0"/>
    <x v="0"/>
    <n v="6001000"/>
    <x v="1"/>
  </r>
  <r>
    <x v="58"/>
    <x v="2"/>
    <x v="0"/>
    <n v="7517826"/>
    <x v="1"/>
  </r>
  <r>
    <x v="58"/>
    <x v="17"/>
    <x v="0"/>
    <n v="11136959"/>
    <x v="1"/>
  </r>
  <r>
    <x v="58"/>
    <x v="19"/>
    <x v="0"/>
    <n v="12992477"/>
    <x v="1"/>
  </r>
  <r>
    <x v="58"/>
    <x v="20"/>
    <x v="0"/>
    <n v="10828069"/>
    <x v="1"/>
  </r>
  <r>
    <x v="58"/>
    <x v="14"/>
    <x v="0"/>
    <n v="10249214"/>
    <x v="1"/>
  </r>
  <r>
    <x v="58"/>
    <x v="1"/>
    <x v="0"/>
    <n v="10474698"/>
    <x v="1"/>
  </r>
  <r>
    <x v="58"/>
    <x v="3"/>
    <x v="0"/>
    <n v="12282951"/>
    <x v="1"/>
  </r>
  <r>
    <x v="58"/>
    <x v="15"/>
    <x v="0"/>
    <n v="10592424"/>
    <x v="1"/>
  </r>
  <r>
    <x v="28"/>
    <x v="11"/>
    <x v="0"/>
    <n v="5548700"/>
    <x v="1"/>
  </r>
  <r>
    <x v="28"/>
    <x v="12"/>
    <x v="0"/>
    <n v="11170063"/>
    <x v="1"/>
  </r>
  <r>
    <x v="28"/>
    <x v="16"/>
    <x v="0"/>
    <n v="20945735"/>
    <x v="1"/>
  </r>
  <r>
    <x v="28"/>
    <x v="21"/>
    <x v="0"/>
    <n v="11279930"/>
    <x v="1"/>
  </r>
  <r>
    <x v="28"/>
    <x v="0"/>
    <x v="0"/>
    <n v="14462968"/>
    <x v="1"/>
  </r>
  <r>
    <x v="28"/>
    <x v="2"/>
    <x v="0"/>
    <n v="11515015"/>
    <x v="1"/>
  </r>
  <r>
    <x v="28"/>
    <x v="17"/>
    <x v="0"/>
    <n v="17080343"/>
    <x v="1"/>
  </r>
  <r>
    <x v="28"/>
    <x v="13"/>
    <x v="0"/>
    <n v="9369962"/>
    <x v="1"/>
  </r>
  <r>
    <x v="28"/>
    <x v="18"/>
    <x v="0"/>
    <n v="7935675"/>
    <x v="1"/>
  </r>
  <r>
    <x v="28"/>
    <x v="19"/>
    <x v="0"/>
    <n v="10282151"/>
    <x v="1"/>
  </r>
  <r>
    <x v="28"/>
    <x v="20"/>
    <x v="0"/>
    <n v="12151781"/>
    <x v="1"/>
  </r>
  <r>
    <x v="28"/>
    <x v="14"/>
    <x v="0"/>
    <n v="17139572"/>
    <x v="1"/>
  </r>
  <r>
    <x v="28"/>
    <x v="1"/>
    <x v="0"/>
    <n v="22922599"/>
    <x v="1"/>
  </r>
  <r>
    <x v="28"/>
    <x v="3"/>
    <x v="0"/>
    <n v="24043460"/>
    <x v="1"/>
  </r>
  <r>
    <x v="28"/>
    <x v="15"/>
    <x v="0"/>
    <n v="18084374"/>
    <x v="1"/>
  </r>
  <r>
    <x v="28"/>
    <x v="4"/>
    <x v="0"/>
    <n v="7209974"/>
    <x v="1"/>
  </r>
  <r>
    <x v="29"/>
    <x v="11"/>
    <x v="0"/>
    <n v="24541358.73"/>
    <x v="1"/>
  </r>
  <r>
    <x v="29"/>
    <x v="12"/>
    <x v="0"/>
    <n v="31293924.048"/>
    <x v="1"/>
  </r>
  <r>
    <x v="29"/>
    <x v="16"/>
    <x v="0"/>
    <n v="31888656.603999998"/>
    <x v="1"/>
  </r>
  <r>
    <x v="29"/>
    <x v="21"/>
    <x v="0"/>
    <n v="17216264.508000001"/>
    <x v="1"/>
  </r>
  <r>
    <x v="29"/>
    <x v="0"/>
    <x v="0"/>
    <n v="7909226"/>
    <x v="1"/>
  </r>
  <r>
    <x v="29"/>
    <x v="2"/>
    <x v="0"/>
    <n v="4634277"/>
    <x v="1"/>
  </r>
  <r>
    <x v="29"/>
    <x v="17"/>
    <x v="0"/>
    <n v="7258666"/>
    <x v="1"/>
  </r>
  <r>
    <x v="29"/>
    <x v="13"/>
    <x v="0"/>
    <n v="1876092"/>
    <x v="1"/>
  </r>
  <r>
    <x v="29"/>
    <x v="18"/>
    <x v="0"/>
    <n v="2181082"/>
    <x v="1"/>
  </r>
  <r>
    <x v="29"/>
    <x v="19"/>
    <x v="0"/>
    <n v="1871212"/>
    <x v="1"/>
  </r>
  <r>
    <x v="29"/>
    <x v="14"/>
    <x v="0"/>
    <n v="1939411"/>
    <x v="1"/>
  </r>
  <r>
    <x v="29"/>
    <x v="1"/>
    <x v="0"/>
    <n v="1771285"/>
    <x v="1"/>
  </r>
  <r>
    <x v="29"/>
    <x v="3"/>
    <x v="0"/>
    <n v="1728846"/>
    <x v="1"/>
  </r>
  <r>
    <x v="29"/>
    <x v="15"/>
    <x v="0"/>
    <n v="2771943"/>
    <x v="1"/>
  </r>
  <r>
    <x v="29"/>
    <x v="4"/>
    <x v="0"/>
    <n v="1274706"/>
    <x v="1"/>
  </r>
  <r>
    <x v="30"/>
    <x v="23"/>
    <x v="0"/>
    <n v="3191876.31"/>
    <x v="1"/>
  </r>
  <r>
    <x v="30"/>
    <x v="24"/>
    <x v="0"/>
    <n v="2288552.9700000002"/>
    <x v="1"/>
  </r>
  <r>
    <x v="30"/>
    <x v="25"/>
    <x v="0"/>
    <n v="5012620"/>
    <x v="1"/>
  </r>
  <r>
    <x v="30"/>
    <x v="5"/>
    <x v="0"/>
    <n v="5027727.7769999998"/>
    <x v="1"/>
  </r>
  <r>
    <x v="30"/>
    <x v="22"/>
    <x v="0"/>
    <n v="5229177.93"/>
    <x v="1"/>
  </r>
  <r>
    <x v="30"/>
    <x v="6"/>
    <x v="0"/>
    <n v="4009037.17"/>
    <x v="1"/>
  </r>
  <r>
    <x v="30"/>
    <x v="7"/>
    <x v="0"/>
    <n v="7382044.1299999999"/>
    <x v="1"/>
  </r>
  <r>
    <x v="30"/>
    <x v="8"/>
    <x v="0"/>
    <n v="3068981.62"/>
    <x v="1"/>
  </r>
  <r>
    <x v="30"/>
    <x v="9"/>
    <x v="0"/>
    <n v="6283470.7599999998"/>
    <x v="1"/>
  </r>
  <r>
    <x v="30"/>
    <x v="10"/>
    <x v="0"/>
    <n v="3488385.03"/>
    <x v="1"/>
  </r>
  <r>
    <x v="30"/>
    <x v="11"/>
    <x v="0"/>
    <n v="6695474.4079999998"/>
    <x v="1"/>
  </r>
  <r>
    <x v="30"/>
    <x v="12"/>
    <x v="0"/>
    <n v="6468023.8099999996"/>
    <x v="1"/>
  </r>
  <r>
    <x v="30"/>
    <x v="16"/>
    <x v="0"/>
    <n v="7503789.5559999999"/>
    <x v="1"/>
  </r>
  <r>
    <x v="30"/>
    <x v="21"/>
    <x v="0"/>
    <n v="10599613.897"/>
    <x v="1"/>
  </r>
  <r>
    <x v="30"/>
    <x v="0"/>
    <x v="0"/>
    <n v="8927263.7789999992"/>
    <x v="1"/>
  </r>
  <r>
    <x v="30"/>
    <x v="2"/>
    <x v="0"/>
    <n v="9914603.1760000009"/>
    <x v="1"/>
  </r>
  <r>
    <x v="30"/>
    <x v="17"/>
    <x v="0"/>
    <n v="13875599.354"/>
    <x v="1"/>
  </r>
  <r>
    <x v="30"/>
    <x v="13"/>
    <x v="0"/>
    <n v="13454829.455"/>
    <x v="1"/>
  </r>
  <r>
    <x v="30"/>
    <x v="18"/>
    <x v="0"/>
    <n v="15036602.347999999"/>
    <x v="1"/>
  </r>
  <r>
    <x v="30"/>
    <x v="19"/>
    <x v="0"/>
    <n v="13440525.073999999"/>
    <x v="1"/>
  </r>
  <r>
    <x v="30"/>
    <x v="20"/>
    <x v="0"/>
    <n v="12296947.389"/>
    <x v="1"/>
  </r>
  <r>
    <x v="30"/>
    <x v="14"/>
    <x v="0"/>
    <n v="12520440.716"/>
    <x v="1"/>
  </r>
  <r>
    <x v="30"/>
    <x v="1"/>
    <x v="0"/>
    <n v="10679208.767000001"/>
    <x v="1"/>
  </r>
  <r>
    <x v="30"/>
    <x v="3"/>
    <x v="0"/>
    <n v="11011209.743000001"/>
    <x v="1"/>
  </r>
  <r>
    <x v="30"/>
    <x v="15"/>
    <x v="0"/>
    <n v="11777998.862"/>
    <x v="1"/>
  </r>
  <r>
    <x v="30"/>
    <x v="4"/>
    <x v="0"/>
    <n v="4444086.5729999999"/>
    <x v="1"/>
  </r>
  <r>
    <x v="31"/>
    <x v="5"/>
    <x v="0"/>
    <s v="NA"/>
    <x v="1"/>
  </r>
  <r>
    <x v="31"/>
    <x v="6"/>
    <x v="0"/>
    <s v="NA"/>
    <x v="1"/>
  </r>
  <r>
    <x v="31"/>
    <x v="7"/>
    <x v="0"/>
    <s v="NA"/>
    <x v="1"/>
  </r>
  <r>
    <x v="31"/>
    <x v="8"/>
    <x v="0"/>
    <n v="206186417.94400001"/>
    <x v="1"/>
  </r>
  <r>
    <x v="31"/>
    <x v="11"/>
    <x v="0"/>
    <n v="393117810.20499998"/>
    <x v="1"/>
  </r>
  <r>
    <x v="31"/>
    <x v="12"/>
    <x v="0"/>
    <n v="612637263.824"/>
    <x v="1"/>
  </r>
  <r>
    <x v="31"/>
    <x v="16"/>
    <x v="0"/>
    <n v="1055219955.237"/>
    <x v="1"/>
  </r>
  <r>
    <x v="31"/>
    <x v="21"/>
    <x v="0"/>
    <n v="671924447.59599996"/>
    <x v="1"/>
  </r>
  <r>
    <x v="31"/>
    <x v="0"/>
    <x v="0"/>
    <n v="1008595240.418"/>
    <x v="1"/>
  </r>
  <r>
    <x v="31"/>
    <x v="2"/>
    <x v="0"/>
    <n v="898180419.80499995"/>
    <x v="1"/>
  </r>
  <r>
    <x v="31"/>
    <x v="17"/>
    <x v="0"/>
    <n v="1385040244.3729999"/>
    <x v="1"/>
  </r>
  <r>
    <x v="31"/>
    <x v="13"/>
    <x v="0"/>
    <n v="774389663.06799996"/>
    <x v="1"/>
  </r>
  <r>
    <x v="31"/>
    <x v="18"/>
    <x v="0"/>
    <n v="950058789.49399996"/>
    <x v="1"/>
  </r>
  <r>
    <x v="31"/>
    <x v="19"/>
    <x v="0"/>
    <n v="904500670.10099995"/>
    <x v="1"/>
  </r>
  <r>
    <x v="31"/>
    <x v="20"/>
    <x v="0"/>
    <n v="933427917.15999997"/>
    <x v="1"/>
  </r>
  <r>
    <x v="31"/>
    <x v="14"/>
    <x v="0"/>
    <n v="940047639.63100004"/>
    <x v="1"/>
  </r>
  <r>
    <x v="31"/>
    <x v="1"/>
    <x v="0"/>
    <n v="991233732.42999995"/>
    <x v="1"/>
  </r>
  <r>
    <x v="31"/>
    <x v="3"/>
    <x v="0"/>
    <n v="641464461.26400006"/>
    <x v="1"/>
  </r>
  <r>
    <x v="31"/>
    <x v="15"/>
    <x v="0"/>
    <n v="890341424.80700004"/>
    <x v="1"/>
  </r>
  <r>
    <x v="31"/>
    <x v="4"/>
    <x v="0"/>
    <n v="546910368.62800002"/>
    <x v="1"/>
  </r>
  <r>
    <x v="59"/>
    <x v="23"/>
    <x v="0"/>
    <n v="2636508"/>
    <x v="1"/>
  </r>
  <r>
    <x v="59"/>
    <x v="24"/>
    <x v="0"/>
    <n v="3659712"/>
    <x v="1"/>
  </r>
  <r>
    <x v="59"/>
    <x v="8"/>
    <x v="0"/>
    <n v="2534915"/>
    <x v="1"/>
  </r>
  <r>
    <x v="59"/>
    <x v="9"/>
    <x v="0"/>
    <n v="3447966"/>
    <x v="1"/>
  </r>
  <r>
    <x v="59"/>
    <x v="14"/>
    <x v="0"/>
    <n v="2934308.3"/>
    <x v="1"/>
  </r>
  <r>
    <x v="59"/>
    <x v="1"/>
    <x v="0"/>
    <n v="3517909.7"/>
    <x v="1"/>
  </r>
  <r>
    <x v="59"/>
    <x v="3"/>
    <x v="0"/>
    <n v="4800698.63"/>
    <x v="1"/>
  </r>
  <r>
    <x v="60"/>
    <x v="12"/>
    <x v="0"/>
    <n v="4166205"/>
    <x v="1"/>
  </r>
  <r>
    <x v="60"/>
    <x v="16"/>
    <x v="0"/>
    <n v="20020901.134"/>
    <x v="1"/>
  </r>
  <r>
    <x v="60"/>
    <x v="21"/>
    <x v="0"/>
    <n v="12882091.759"/>
    <x v="1"/>
  </r>
  <r>
    <x v="60"/>
    <x v="0"/>
    <x v="0"/>
    <n v="16859637.5"/>
    <x v="1"/>
  </r>
  <r>
    <x v="60"/>
    <x v="2"/>
    <x v="0"/>
    <n v="4424822.3"/>
    <x v="1"/>
  </r>
  <r>
    <x v="60"/>
    <x v="17"/>
    <x v="0"/>
    <n v="3104064.79"/>
    <x v="1"/>
  </r>
  <r>
    <x v="60"/>
    <x v="13"/>
    <x v="0"/>
    <n v="13947945.1"/>
    <x v="1"/>
  </r>
  <r>
    <x v="60"/>
    <x v="18"/>
    <x v="0"/>
    <n v="13678721.800000001"/>
    <x v="1"/>
  </r>
  <r>
    <x v="60"/>
    <x v="19"/>
    <x v="0"/>
    <n v="9553479.5099999998"/>
    <x v="1"/>
  </r>
  <r>
    <x v="60"/>
    <x v="20"/>
    <x v="0"/>
    <n v="4987671"/>
    <x v="1"/>
  </r>
  <r>
    <x v="60"/>
    <x v="14"/>
    <x v="0"/>
    <n v="6419101"/>
    <x v="1"/>
  </r>
  <r>
    <x v="60"/>
    <x v="1"/>
    <x v="0"/>
    <n v="12011508.199999999"/>
    <x v="1"/>
  </r>
  <r>
    <x v="60"/>
    <x v="3"/>
    <x v="0"/>
    <n v="21275933"/>
    <x v="1"/>
  </r>
  <r>
    <x v="60"/>
    <x v="15"/>
    <x v="0"/>
    <n v="5062330"/>
    <x v="1"/>
  </r>
  <r>
    <x v="61"/>
    <x v="20"/>
    <x v="0"/>
    <n v="1966225.9"/>
    <x v="1"/>
  </r>
  <r>
    <x v="61"/>
    <x v="14"/>
    <x v="0"/>
    <n v="2137858.56"/>
    <x v="1"/>
  </r>
  <r>
    <x v="61"/>
    <x v="1"/>
    <x v="0"/>
    <n v="1967406.7"/>
    <x v="1"/>
  </r>
  <r>
    <x v="32"/>
    <x v="12"/>
    <x v="0"/>
    <n v="1665281.9879999999"/>
    <x v="1"/>
  </r>
  <r>
    <x v="32"/>
    <x v="16"/>
    <x v="0"/>
    <n v="2077777.58"/>
    <x v="1"/>
  </r>
  <r>
    <x v="32"/>
    <x v="21"/>
    <x v="0"/>
    <n v="3390551.702"/>
    <x v="1"/>
  </r>
  <r>
    <x v="32"/>
    <x v="0"/>
    <x v="0"/>
    <n v="4625004.3219999997"/>
    <x v="1"/>
  </r>
  <r>
    <x v="32"/>
    <x v="2"/>
    <x v="0"/>
    <n v="3067279.3840000001"/>
    <x v="1"/>
  </r>
  <r>
    <x v="32"/>
    <x v="17"/>
    <x v="0"/>
    <n v="5183721.7230000002"/>
    <x v="1"/>
  </r>
  <r>
    <x v="32"/>
    <x v="13"/>
    <x v="0"/>
    <n v="8215537.3030000003"/>
    <x v="1"/>
  </r>
  <r>
    <x v="32"/>
    <x v="18"/>
    <x v="0"/>
    <n v="4455384.915"/>
    <x v="1"/>
  </r>
  <r>
    <x v="32"/>
    <x v="19"/>
    <x v="0"/>
    <n v="2668765.0049999999"/>
    <x v="1"/>
  </r>
  <r>
    <x v="32"/>
    <x v="20"/>
    <x v="0"/>
    <n v="2405783.7519999999"/>
    <x v="1"/>
  </r>
  <r>
    <x v="32"/>
    <x v="14"/>
    <x v="0"/>
    <n v="2745082.15"/>
    <x v="1"/>
  </r>
  <r>
    <x v="32"/>
    <x v="1"/>
    <x v="0"/>
    <n v="3379327.8760000002"/>
    <x v="1"/>
  </r>
  <r>
    <x v="32"/>
    <x v="3"/>
    <x v="0"/>
    <n v="3199819.682"/>
    <x v="1"/>
  </r>
  <r>
    <x v="32"/>
    <x v="15"/>
    <x v="0"/>
    <n v="3346351.9240000001"/>
    <x v="1"/>
  </r>
  <r>
    <x v="32"/>
    <x v="4"/>
    <x v="0"/>
    <n v="2584985.338"/>
    <x v="1"/>
  </r>
  <r>
    <x v="62"/>
    <x v="11"/>
    <x v="0"/>
    <n v="13278213"/>
    <x v="1"/>
  </r>
  <r>
    <x v="62"/>
    <x v="12"/>
    <x v="0"/>
    <n v="18773151"/>
    <x v="1"/>
  </r>
  <r>
    <x v="62"/>
    <x v="16"/>
    <x v="0"/>
    <n v="17476352"/>
    <x v="1"/>
  </r>
  <r>
    <x v="62"/>
    <x v="21"/>
    <x v="0"/>
    <n v="19315977"/>
    <x v="1"/>
  </r>
  <r>
    <x v="62"/>
    <x v="0"/>
    <x v="0"/>
    <n v="18740484"/>
    <x v="1"/>
  </r>
  <r>
    <x v="62"/>
    <x v="2"/>
    <x v="0"/>
    <n v="19591041"/>
    <x v="1"/>
  </r>
  <r>
    <x v="62"/>
    <x v="17"/>
    <x v="0"/>
    <n v="9158864"/>
    <x v="1"/>
  </r>
  <r>
    <x v="62"/>
    <x v="13"/>
    <x v="0"/>
    <n v="8985679"/>
    <x v="1"/>
  </r>
  <r>
    <x v="62"/>
    <x v="18"/>
    <x v="0"/>
    <n v="8183010"/>
    <x v="1"/>
  </r>
  <r>
    <x v="62"/>
    <x v="19"/>
    <x v="0"/>
    <n v="10337442"/>
    <x v="1"/>
  </r>
  <r>
    <x v="62"/>
    <x v="20"/>
    <x v="0"/>
    <n v="11259095"/>
    <x v="1"/>
  </r>
  <r>
    <x v="62"/>
    <x v="14"/>
    <x v="0"/>
    <n v="9349993"/>
    <x v="1"/>
  </r>
  <r>
    <x v="62"/>
    <x v="1"/>
    <x v="0"/>
    <n v="4764546"/>
    <x v="1"/>
  </r>
  <r>
    <x v="62"/>
    <x v="3"/>
    <x v="0"/>
    <n v="2134262"/>
    <x v="1"/>
  </r>
  <r>
    <x v="62"/>
    <x v="15"/>
    <x v="0"/>
    <n v="2937499"/>
    <x v="1"/>
  </r>
  <r>
    <x v="62"/>
    <x v="4"/>
    <x v="0"/>
    <n v="1968786"/>
    <x v="1"/>
  </r>
  <r>
    <x v="63"/>
    <x v="19"/>
    <x v="0"/>
    <n v="11972400.578"/>
    <x v="1"/>
  </r>
  <r>
    <x v="63"/>
    <x v="20"/>
    <x v="0"/>
    <n v="18056403.620000001"/>
    <x v="1"/>
  </r>
  <r>
    <x v="63"/>
    <x v="14"/>
    <x v="0"/>
    <n v="14232708.82"/>
    <x v="1"/>
  </r>
  <r>
    <x v="63"/>
    <x v="1"/>
    <x v="0"/>
    <n v="20274344.120000001"/>
    <x v="1"/>
  </r>
  <r>
    <x v="63"/>
    <x v="3"/>
    <x v="0"/>
    <n v="20929426.710000001"/>
    <x v="1"/>
  </r>
  <r>
    <x v="33"/>
    <x v="2"/>
    <x v="0"/>
    <n v="14019271"/>
    <x v="1"/>
  </r>
  <r>
    <x v="33"/>
    <x v="17"/>
    <x v="0"/>
    <n v="2538423"/>
    <x v="1"/>
  </r>
  <r>
    <x v="33"/>
    <x v="18"/>
    <x v="0"/>
    <n v="18054093"/>
    <x v="1"/>
  </r>
  <r>
    <x v="33"/>
    <x v="1"/>
    <x v="0"/>
    <n v="2184895.784"/>
    <x v="1"/>
  </r>
  <r>
    <x v="33"/>
    <x v="3"/>
    <x v="0"/>
    <n v="3261405.835"/>
    <x v="1"/>
  </r>
  <r>
    <x v="64"/>
    <x v="11"/>
    <x v="0"/>
    <n v="2897636"/>
    <x v="1"/>
  </r>
  <r>
    <x v="64"/>
    <x v="12"/>
    <x v="0"/>
    <n v="2776506"/>
    <x v="1"/>
  </r>
  <r>
    <x v="64"/>
    <x v="16"/>
    <x v="0"/>
    <n v="4381080"/>
    <x v="1"/>
  </r>
  <r>
    <x v="64"/>
    <x v="21"/>
    <x v="0"/>
    <n v="1516220"/>
    <x v="1"/>
  </r>
  <r>
    <x v="64"/>
    <x v="0"/>
    <x v="0"/>
    <n v="5043769"/>
    <x v="1"/>
  </r>
  <r>
    <x v="64"/>
    <x v="2"/>
    <x v="0"/>
    <n v="1691109"/>
    <x v="1"/>
  </r>
  <r>
    <x v="64"/>
    <x v="17"/>
    <x v="0"/>
    <n v="2341758"/>
    <x v="1"/>
  </r>
  <r>
    <x v="64"/>
    <x v="19"/>
    <x v="0"/>
    <n v="4354533"/>
    <x v="1"/>
  </r>
  <r>
    <x v="64"/>
    <x v="20"/>
    <x v="0"/>
    <n v="1702353"/>
    <x v="1"/>
  </r>
  <r>
    <x v="64"/>
    <x v="3"/>
    <x v="0"/>
    <n v="7435210"/>
    <x v="1"/>
  </r>
  <r>
    <x v="64"/>
    <x v="15"/>
    <x v="0"/>
    <n v="9834968"/>
    <x v="1"/>
  </r>
  <r>
    <x v="64"/>
    <x v="4"/>
    <x v="0"/>
    <n v="5744174"/>
    <x v="1"/>
  </r>
  <r>
    <x v="65"/>
    <x v="11"/>
    <x v="0"/>
    <n v="4221461"/>
    <x v="1"/>
  </r>
  <r>
    <x v="65"/>
    <x v="12"/>
    <x v="0"/>
    <n v="1693130"/>
    <x v="1"/>
  </r>
  <r>
    <x v="65"/>
    <x v="16"/>
    <x v="0"/>
    <n v="2383084"/>
    <x v="1"/>
  </r>
  <r>
    <x v="65"/>
    <x v="21"/>
    <x v="0"/>
    <n v="2106894"/>
    <x v="1"/>
  </r>
  <r>
    <x v="65"/>
    <x v="0"/>
    <x v="0"/>
    <n v="2791791"/>
    <x v="1"/>
  </r>
  <r>
    <x v="65"/>
    <x v="2"/>
    <x v="0"/>
    <n v="3627443"/>
    <x v="1"/>
  </r>
  <r>
    <x v="65"/>
    <x v="17"/>
    <x v="0"/>
    <n v="5602307"/>
    <x v="1"/>
  </r>
  <r>
    <x v="65"/>
    <x v="13"/>
    <x v="0"/>
    <n v="2613937"/>
    <x v="1"/>
  </r>
  <r>
    <x v="65"/>
    <x v="18"/>
    <x v="0"/>
    <n v="7500887"/>
    <x v="1"/>
  </r>
  <r>
    <x v="65"/>
    <x v="19"/>
    <x v="0"/>
    <n v="4252692"/>
    <x v="1"/>
  </r>
  <r>
    <x v="65"/>
    <x v="20"/>
    <x v="0"/>
    <n v="6381789"/>
    <x v="1"/>
  </r>
  <r>
    <x v="65"/>
    <x v="14"/>
    <x v="0"/>
    <n v="5641924"/>
    <x v="1"/>
  </r>
  <r>
    <x v="65"/>
    <x v="1"/>
    <x v="0"/>
    <n v="4877982"/>
    <x v="1"/>
  </r>
  <r>
    <x v="65"/>
    <x v="3"/>
    <x v="0"/>
    <n v="5125895"/>
    <x v="1"/>
  </r>
  <r>
    <x v="65"/>
    <x v="15"/>
    <x v="0"/>
    <n v="7026652"/>
    <x v="1"/>
  </r>
  <r>
    <x v="65"/>
    <x v="4"/>
    <x v="0"/>
    <n v="10635728"/>
    <x v="1"/>
  </r>
  <r>
    <x v="34"/>
    <x v="17"/>
    <x v="0"/>
    <n v="10448203.539999999"/>
    <x v="1"/>
  </r>
  <r>
    <x v="34"/>
    <x v="13"/>
    <x v="0"/>
    <n v="8304314.9299999997"/>
    <x v="1"/>
  </r>
  <r>
    <x v="34"/>
    <x v="18"/>
    <x v="0"/>
    <n v="1517219.5"/>
    <x v="1"/>
  </r>
  <r>
    <x v="34"/>
    <x v="15"/>
    <x v="0"/>
    <n v="2343789.0389999999"/>
    <x v="1"/>
  </r>
  <r>
    <x v="34"/>
    <x v="4"/>
    <x v="0"/>
    <n v="1392779.02"/>
    <x v="1"/>
  </r>
  <r>
    <x v="35"/>
    <x v="11"/>
    <x v="0"/>
    <n v="29644069"/>
    <x v="1"/>
  </r>
  <r>
    <x v="35"/>
    <x v="12"/>
    <x v="0"/>
    <n v="16854730"/>
    <x v="1"/>
  </r>
  <r>
    <x v="35"/>
    <x v="16"/>
    <x v="0"/>
    <n v="17912574"/>
    <x v="1"/>
  </r>
  <r>
    <x v="35"/>
    <x v="21"/>
    <x v="0"/>
    <n v="18119086"/>
    <x v="1"/>
  </r>
  <r>
    <x v="35"/>
    <x v="0"/>
    <x v="0"/>
    <n v="22762059.059999999"/>
    <x v="1"/>
  </r>
  <r>
    <x v="35"/>
    <x v="2"/>
    <x v="0"/>
    <n v="19412622.23"/>
    <x v="1"/>
  </r>
  <r>
    <x v="35"/>
    <x v="17"/>
    <x v="0"/>
    <n v="18125421.260000002"/>
    <x v="1"/>
  </r>
  <r>
    <x v="35"/>
    <x v="13"/>
    <x v="0"/>
    <n v="30049054.863000002"/>
    <x v="1"/>
  </r>
  <r>
    <x v="35"/>
    <x v="18"/>
    <x v="0"/>
    <n v="30567443.75"/>
    <x v="1"/>
  </r>
  <r>
    <x v="35"/>
    <x v="19"/>
    <x v="0"/>
    <n v="48633298.126999997"/>
    <x v="1"/>
  </r>
  <r>
    <x v="35"/>
    <x v="14"/>
    <x v="0"/>
    <n v="11150604.741"/>
    <x v="1"/>
  </r>
  <r>
    <x v="35"/>
    <x v="1"/>
    <x v="0"/>
    <n v="13652372.202"/>
    <x v="1"/>
  </r>
  <r>
    <x v="35"/>
    <x v="3"/>
    <x v="0"/>
    <n v="19203458.291000001"/>
    <x v="1"/>
  </r>
  <r>
    <x v="35"/>
    <x v="15"/>
    <x v="0"/>
    <n v="20282199.98"/>
    <x v="1"/>
  </r>
  <r>
    <x v="35"/>
    <x v="4"/>
    <x v="0"/>
    <n v="14760990.6"/>
    <x v="1"/>
  </r>
  <r>
    <x v="36"/>
    <x v="11"/>
    <x v="0"/>
    <n v="5394410"/>
    <x v="1"/>
  </r>
  <r>
    <x v="36"/>
    <x v="12"/>
    <x v="0"/>
    <n v="5300652"/>
    <x v="1"/>
  </r>
  <r>
    <x v="36"/>
    <x v="16"/>
    <x v="0"/>
    <n v="6193570"/>
    <x v="1"/>
  </r>
  <r>
    <x v="36"/>
    <x v="21"/>
    <x v="0"/>
    <n v="10557120"/>
    <x v="1"/>
  </r>
  <r>
    <x v="36"/>
    <x v="0"/>
    <x v="0"/>
    <n v="16322396"/>
    <x v="1"/>
  </r>
  <r>
    <x v="36"/>
    <x v="2"/>
    <x v="0"/>
    <n v="9751169"/>
    <x v="1"/>
  </r>
  <r>
    <x v="36"/>
    <x v="17"/>
    <x v="0"/>
    <n v="6823647.6799999997"/>
    <x v="1"/>
  </r>
  <r>
    <x v="36"/>
    <x v="13"/>
    <x v="0"/>
    <n v="7242207.2740000002"/>
    <x v="1"/>
  </r>
  <r>
    <x v="36"/>
    <x v="18"/>
    <x v="0"/>
    <n v="8694691.625"/>
    <x v="1"/>
  </r>
  <r>
    <x v="36"/>
    <x v="19"/>
    <x v="0"/>
    <n v="8289249.2120000003"/>
    <x v="1"/>
  </r>
  <r>
    <x v="36"/>
    <x v="20"/>
    <x v="0"/>
    <n v="4621654.3119999999"/>
    <x v="1"/>
  </r>
  <r>
    <x v="36"/>
    <x v="14"/>
    <x v="0"/>
    <n v="8486831.4499999993"/>
    <x v="1"/>
  </r>
  <r>
    <x v="36"/>
    <x v="1"/>
    <x v="0"/>
    <n v="8415707.5940000005"/>
    <x v="1"/>
  </r>
  <r>
    <x v="36"/>
    <x v="3"/>
    <x v="0"/>
    <n v="10869567"/>
    <x v="1"/>
  </r>
  <r>
    <x v="36"/>
    <x v="15"/>
    <x v="0"/>
    <n v="13937119.532"/>
    <x v="1"/>
  </r>
  <r>
    <x v="36"/>
    <x v="4"/>
    <x v="0"/>
    <n v="16722078"/>
    <x v="1"/>
  </r>
  <r>
    <x v="37"/>
    <x v="2"/>
    <x v="0"/>
    <n v="215971379.80000001"/>
    <x v="1"/>
  </r>
  <r>
    <x v="37"/>
    <x v="17"/>
    <x v="0"/>
    <n v="217253041.75"/>
    <x v="1"/>
  </r>
  <r>
    <x v="37"/>
    <x v="13"/>
    <x v="0"/>
    <n v="186126369.30000001"/>
    <x v="1"/>
  </r>
  <r>
    <x v="37"/>
    <x v="18"/>
    <x v="0"/>
    <n v="208880897.88999999"/>
    <x v="1"/>
  </r>
  <r>
    <x v="37"/>
    <x v="19"/>
    <x v="0"/>
    <n v="230304315.12"/>
    <x v="1"/>
  </r>
  <r>
    <x v="37"/>
    <x v="20"/>
    <x v="0"/>
    <n v="206580139.62599999"/>
    <x v="1"/>
  </r>
  <r>
    <x v="37"/>
    <x v="14"/>
    <x v="0"/>
    <n v="167337281.23500001"/>
    <x v="1"/>
  </r>
  <r>
    <x v="37"/>
    <x v="1"/>
    <x v="0"/>
    <n v="164860072.03"/>
    <x v="1"/>
  </r>
  <r>
    <x v="37"/>
    <x v="3"/>
    <x v="0"/>
    <n v="175909038.40000001"/>
    <x v="1"/>
  </r>
  <r>
    <x v="37"/>
    <x v="15"/>
    <x v="0"/>
    <n v="225451844.01199999"/>
    <x v="1"/>
  </r>
  <r>
    <x v="66"/>
    <x v="18"/>
    <x v="0"/>
    <n v="2072357.95"/>
    <x v="1"/>
  </r>
  <r>
    <x v="38"/>
    <x v="11"/>
    <x v="0"/>
    <n v="8890663"/>
    <x v="1"/>
  </r>
  <r>
    <x v="38"/>
    <x v="12"/>
    <x v="0"/>
    <n v="13807616"/>
    <x v="1"/>
  </r>
  <r>
    <x v="38"/>
    <x v="16"/>
    <x v="0"/>
    <n v="6501727"/>
    <x v="1"/>
  </r>
  <r>
    <x v="38"/>
    <x v="21"/>
    <x v="0"/>
    <n v="26799396"/>
    <x v="1"/>
  </r>
  <r>
    <x v="38"/>
    <x v="0"/>
    <x v="0"/>
    <n v="5080646"/>
    <x v="1"/>
  </r>
  <r>
    <x v="38"/>
    <x v="2"/>
    <x v="0"/>
    <n v="6770029"/>
    <x v="1"/>
  </r>
  <r>
    <x v="38"/>
    <x v="17"/>
    <x v="0"/>
    <n v="21973090"/>
    <x v="1"/>
  </r>
  <r>
    <x v="38"/>
    <x v="13"/>
    <x v="0"/>
    <n v="29946430"/>
    <x v="1"/>
  </r>
  <r>
    <x v="38"/>
    <x v="18"/>
    <x v="0"/>
    <n v="40697674"/>
    <x v="1"/>
  </r>
  <r>
    <x v="38"/>
    <x v="19"/>
    <x v="0"/>
    <n v="36815554"/>
    <x v="1"/>
  </r>
  <r>
    <x v="38"/>
    <x v="20"/>
    <x v="0"/>
    <n v="36530197.259999998"/>
    <x v="1"/>
  </r>
  <r>
    <x v="38"/>
    <x v="1"/>
    <x v="0"/>
    <n v="19460751"/>
    <x v="1"/>
  </r>
  <r>
    <x v="39"/>
    <x v="10"/>
    <x v="0"/>
    <n v="18012921.305"/>
    <x v="1"/>
  </r>
  <r>
    <x v="39"/>
    <x v="11"/>
    <x v="0"/>
    <n v="23356752.289999999"/>
    <x v="1"/>
  </r>
  <r>
    <x v="39"/>
    <x v="12"/>
    <x v="0"/>
    <n v="6818195.2769999998"/>
    <x v="1"/>
  </r>
  <r>
    <x v="39"/>
    <x v="21"/>
    <x v="0"/>
    <n v="7614532"/>
    <x v="1"/>
  </r>
  <r>
    <x v="39"/>
    <x v="17"/>
    <x v="0"/>
    <n v="12829812.33"/>
    <x v="1"/>
  </r>
  <r>
    <x v="39"/>
    <x v="13"/>
    <x v="0"/>
    <n v="25841206.690000001"/>
    <x v="1"/>
  </r>
  <r>
    <x v="39"/>
    <x v="18"/>
    <x v="0"/>
    <n v="44938505.991999999"/>
    <x v="1"/>
  </r>
  <r>
    <x v="39"/>
    <x v="19"/>
    <x v="0"/>
    <n v="30242258.620000001"/>
    <x v="1"/>
  </r>
  <r>
    <x v="39"/>
    <x v="20"/>
    <x v="0"/>
    <n v="56719885.799999997"/>
    <x v="1"/>
  </r>
  <r>
    <x v="39"/>
    <x v="14"/>
    <x v="0"/>
    <n v="106739496.63"/>
    <x v="1"/>
  </r>
  <r>
    <x v="39"/>
    <x v="1"/>
    <x v="0"/>
    <n v="32854968.170000002"/>
    <x v="1"/>
  </r>
  <r>
    <x v="67"/>
    <x v="12"/>
    <x v="0"/>
    <n v="5365990"/>
    <x v="1"/>
  </r>
  <r>
    <x v="67"/>
    <x v="16"/>
    <x v="0"/>
    <n v="6242220"/>
    <x v="1"/>
  </r>
  <r>
    <x v="67"/>
    <x v="21"/>
    <x v="0"/>
    <n v="2430070"/>
    <x v="1"/>
  </r>
  <r>
    <x v="67"/>
    <x v="0"/>
    <x v="0"/>
    <n v="2151220"/>
    <x v="1"/>
  </r>
  <r>
    <x v="67"/>
    <x v="2"/>
    <x v="0"/>
    <n v="5526910"/>
    <x v="1"/>
  </r>
  <r>
    <x v="67"/>
    <x v="17"/>
    <x v="0"/>
    <n v="1741253.1"/>
    <x v="1"/>
  </r>
  <r>
    <x v="67"/>
    <x v="19"/>
    <x v="0"/>
    <n v="2294414.9309999999"/>
    <x v="1"/>
  </r>
  <r>
    <x v="67"/>
    <x v="20"/>
    <x v="0"/>
    <n v="3057803.3050000002"/>
    <x v="1"/>
  </r>
  <r>
    <x v="67"/>
    <x v="3"/>
    <x v="0"/>
    <n v="2700955.4330000002"/>
    <x v="1"/>
  </r>
  <r>
    <x v="67"/>
    <x v="15"/>
    <x v="0"/>
    <n v="6911319.3030000003"/>
    <x v="1"/>
  </r>
  <r>
    <x v="67"/>
    <x v="4"/>
    <x v="0"/>
    <n v="1727360.723"/>
    <x v="1"/>
  </r>
  <r>
    <x v="40"/>
    <x v="11"/>
    <x v="0"/>
    <n v="7730047.0199999996"/>
    <x v="1"/>
  </r>
  <r>
    <x v="40"/>
    <x v="12"/>
    <x v="0"/>
    <n v="4158000.18"/>
    <x v="1"/>
  </r>
  <r>
    <x v="40"/>
    <x v="16"/>
    <x v="0"/>
    <n v="6068284.4900000002"/>
    <x v="1"/>
  </r>
  <r>
    <x v="40"/>
    <x v="21"/>
    <x v="0"/>
    <n v="3841395.09"/>
    <x v="1"/>
  </r>
  <r>
    <x v="40"/>
    <x v="0"/>
    <x v="0"/>
    <n v="7324183.1600000001"/>
    <x v="1"/>
  </r>
  <r>
    <x v="40"/>
    <x v="2"/>
    <x v="0"/>
    <n v="5668159.4000000004"/>
    <x v="1"/>
  </r>
  <r>
    <x v="40"/>
    <x v="17"/>
    <x v="0"/>
    <n v="3775152.28"/>
    <x v="1"/>
  </r>
  <r>
    <x v="40"/>
    <x v="13"/>
    <x v="0"/>
    <n v="2761003.68"/>
    <x v="1"/>
  </r>
  <r>
    <x v="40"/>
    <x v="18"/>
    <x v="0"/>
    <n v="4527381.91"/>
    <x v="1"/>
  </r>
  <r>
    <x v="40"/>
    <x v="19"/>
    <x v="0"/>
    <n v="5756749.1900000004"/>
    <x v="1"/>
  </r>
  <r>
    <x v="40"/>
    <x v="20"/>
    <x v="0"/>
    <n v="5898854.2800000003"/>
    <x v="1"/>
  </r>
  <r>
    <x v="40"/>
    <x v="14"/>
    <x v="0"/>
    <n v="7587241.8799999999"/>
    <x v="1"/>
  </r>
  <r>
    <x v="40"/>
    <x v="1"/>
    <x v="0"/>
    <n v="6898721.3099999996"/>
    <x v="1"/>
  </r>
  <r>
    <x v="40"/>
    <x v="3"/>
    <x v="0"/>
    <n v="5909405.6600000001"/>
    <x v="1"/>
  </r>
  <r>
    <x v="40"/>
    <x v="15"/>
    <x v="0"/>
    <n v="6740565.5099999998"/>
    <x v="1"/>
  </r>
  <r>
    <x v="40"/>
    <x v="4"/>
    <x v="0"/>
    <n v="7008828.1299999999"/>
    <x v="1"/>
  </r>
  <r>
    <x v="41"/>
    <x v="25"/>
    <x v="0"/>
    <n v="139380165.37"/>
    <x v="1"/>
  </r>
  <r>
    <x v="41"/>
    <x v="5"/>
    <x v="0"/>
    <n v="149982154.34200001"/>
    <x v="1"/>
  </r>
  <r>
    <x v="41"/>
    <x v="22"/>
    <x v="0"/>
    <n v="179678681.66"/>
    <x v="1"/>
  </r>
  <r>
    <x v="41"/>
    <x v="6"/>
    <x v="0"/>
    <n v="179485998.03"/>
    <x v="1"/>
  </r>
  <r>
    <x v="41"/>
    <x v="7"/>
    <x v="0"/>
    <n v="179718422.22099999"/>
    <x v="1"/>
  </r>
  <r>
    <x v="41"/>
    <x v="8"/>
    <x v="0"/>
    <n v="168007357.47999999"/>
    <x v="1"/>
  </r>
  <r>
    <x v="41"/>
    <x v="9"/>
    <x v="0"/>
    <n v="173397243.55000001"/>
    <x v="1"/>
  </r>
  <r>
    <x v="41"/>
    <x v="10"/>
    <x v="0"/>
    <n v="196707582.27700001"/>
    <x v="1"/>
  </r>
  <r>
    <x v="41"/>
    <x v="11"/>
    <x v="0"/>
    <n v="181386244.47499999"/>
    <x v="1"/>
  </r>
  <r>
    <x v="41"/>
    <x v="12"/>
    <x v="0"/>
    <n v="204253093.55500001"/>
    <x v="1"/>
  </r>
  <r>
    <x v="41"/>
    <x v="16"/>
    <x v="0"/>
    <n v="211027818.315"/>
    <x v="1"/>
  </r>
  <r>
    <x v="41"/>
    <x v="21"/>
    <x v="0"/>
    <n v="220177798.53400001"/>
    <x v="1"/>
  </r>
  <r>
    <x v="41"/>
    <x v="0"/>
    <x v="0"/>
    <n v="235282769.78200001"/>
    <x v="1"/>
  </r>
  <r>
    <x v="41"/>
    <x v="2"/>
    <x v="0"/>
    <n v="195324083.08899999"/>
    <x v="1"/>
  </r>
  <r>
    <x v="41"/>
    <x v="17"/>
    <x v="0"/>
    <n v="195959986.34200001"/>
    <x v="1"/>
  </r>
  <r>
    <x v="41"/>
    <x v="13"/>
    <x v="0"/>
    <n v="197502911.71200001"/>
    <x v="1"/>
  </r>
  <r>
    <x v="41"/>
    <x v="18"/>
    <x v="0"/>
    <n v="244197677.58399999"/>
    <x v="1"/>
  </r>
  <r>
    <x v="41"/>
    <x v="19"/>
    <x v="0"/>
    <n v="228996525.93700001"/>
    <x v="1"/>
  </r>
  <r>
    <x v="41"/>
    <x v="20"/>
    <x v="0"/>
    <n v="193538267.211"/>
    <x v="1"/>
  </r>
  <r>
    <x v="41"/>
    <x v="14"/>
    <x v="0"/>
    <n v="204522966.104"/>
    <x v="1"/>
  </r>
  <r>
    <x v="41"/>
    <x v="1"/>
    <x v="0"/>
    <n v="212125497.79699999"/>
    <x v="1"/>
  </r>
  <r>
    <x v="41"/>
    <x v="3"/>
    <x v="0"/>
    <n v="218692707.31200001"/>
    <x v="1"/>
  </r>
  <r>
    <x v="41"/>
    <x v="15"/>
    <x v="0"/>
    <n v="194809440.998"/>
    <x v="1"/>
  </r>
  <r>
    <x v="41"/>
    <x v="4"/>
    <x v="0"/>
    <n v="174781263.68000001"/>
    <x v="1"/>
  </r>
  <r>
    <x v="42"/>
    <x v="11"/>
    <x v="0"/>
    <n v="17860077"/>
    <x v="1"/>
  </r>
  <r>
    <x v="42"/>
    <x v="12"/>
    <x v="0"/>
    <n v="18933436"/>
    <x v="1"/>
  </r>
  <r>
    <x v="42"/>
    <x v="16"/>
    <x v="0"/>
    <n v="21296814"/>
    <x v="1"/>
  </r>
  <r>
    <x v="42"/>
    <x v="21"/>
    <x v="0"/>
    <n v="14289269"/>
    <x v="1"/>
  </r>
  <r>
    <x v="42"/>
    <x v="0"/>
    <x v="0"/>
    <n v="22534528"/>
    <x v="1"/>
  </r>
  <r>
    <x v="42"/>
    <x v="2"/>
    <x v="0"/>
    <n v="22248211.085999999"/>
    <x v="1"/>
  </r>
  <r>
    <x v="42"/>
    <x v="17"/>
    <x v="0"/>
    <n v="28377593.173999999"/>
    <x v="1"/>
  </r>
  <r>
    <x v="42"/>
    <x v="13"/>
    <x v="0"/>
    <n v="27462267.763"/>
    <x v="1"/>
  </r>
  <r>
    <x v="42"/>
    <x v="18"/>
    <x v="0"/>
    <n v="24013383"/>
    <x v="1"/>
  </r>
  <r>
    <x v="42"/>
    <x v="19"/>
    <x v="0"/>
    <n v="17861866.223000001"/>
    <x v="1"/>
  </r>
  <r>
    <x v="42"/>
    <x v="20"/>
    <x v="0"/>
    <n v="20388868"/>
    <x v="1"/>
  </r>
  <r>
    <x v="42"/>
    <x v="14"/>
    <x v="0"/>
    <n v="24576139"/>
    <x v="1"/>
  </r>
  <r>
    <x v="42"/>
    <x v="1"/>
    <x v="0"/>
    <n v="36002079"/>
    <x v="1"/>
  </r>
  <r>
    <x v="42"/>
    <x v="3"/>
    <x v="0"/>
    <n v="27798624"/>
    <x v="1"/>
  </r>
  <r>
    <x v="42"/>
    <x v="15"/>
    <x v="0"/>
    <n v="38900750.744000003"/>
    <x v="1"/>
  </r>
  <r>
    <x v="42"/>
    <x v="4"/>
    <x v="0"/>
    <n v="7241207"/>
    <x v="1"/>
  </r>
  <r>
    <x v="68"/>
    <x v="16"/>
    <x v="0"/>
    <n v="1910547"/>
    <x v="1"/>
  </r>
  <r>
    <x v="68"/>
    <x v="21"/>
    <x v="0"/>
    <n v="1360393"/>
    <x v="1"/>
  </r>
  <r>
    <x v="68"/>
    <x v="0"/>
    <x v="0"/>
    <n v="1102336"/>
    <x v="1"/>
  </r>
  <r>
    <x v="43"/>
    <x v="0"/>
    <x v="0"/>
    <n v="1703295"/>
    <x v="1"/>
  </r>
  <r>
    <x v="43"/>
    <x v="14"/>
    <x v="0"/>
    <n v="4983114"/>
    <x v="1"/>
  </r>
  <r>
    <x v="43"/>
    <x v="1"/>
    <x v="0"/>
    <n v="3692375"/>
    <x v="1"/>
  </r>
  <r>
    <x v="44"/>
    <x v="5"/>
    <x v="0"/>
    <n v="3535867"/>
    <x v="1"/>
  </r>
  <r>
    <x v="44"/>
    <x v="6"/>
    <x v="0"/>
    <n v="4388630"/>
    <x v="1"/>
  </r>
  <r>
    <x v="44"/>
    <x v="9"/>
    <x v="0"/>
    <n v="5198648"/>
    <x v="1"/>
  </r>
  <r>
    <x v="44"/>
    <x v="10"/>
    <x v="0"/>
    <n v="3780536"/>
    <x v="1"/>
  </r>
  <r>
    <x v="44"/>
    <x v="11"/>
    <x v="0"/>
    <n v="2296825"/>
    <x v="1"/>
  </r>
  <r>
    <x v="44"/>
    <x v="12"/>
    <x v="0"/>
    <n v="2028273"/>
    <x v="1"/>
  </r>
  <r>
    <x v="44"/>
    <x v="16"/>
    <x v="0"/>
    <n v="1779199"/>
    <x v="1"/>
  </r>
  <r>
    <x v="44"/>
    <x v="21"/>
    <x v="0"/>
    <n v="2097615"/>
    <x v="1"/>
  </r>
  <r>
    <x v="44"/>
    <x v="0"/>
    <x v="0"/>
    <n v="2214649"/>
    <x v="1"/>
  </r>
  <r>
    <x v="44"/>
    <x v="2"/>
    <x v="0"/>
    <n v="2662016"/>
    <x v="1"/>
  </r>
  <r>
    <x v="44"/>
    <x v="17"/>
    <x v="0"/>
    <n v="3011982"/>
    <x v="1"/>
  </r>
  <r>
    <x v="44"/>
    <x v="13"/>
    <x v="0"/>
    <n v="4091864"/>
    <x v="1"/>
  </r>
  <r>
    <x v="44"/>
    <x v="18"/>
    <x v="0"/>
    <n v="5516075"/>
    <x v="1"/>
  </r>
  <r>
    <x v="44"/>
    <x v="19"/>
    <x v="0"/>
    <n v="6823515"/>
    <x v="1"/>
  </r>
  <r>
    <x v="44"/>
    <x v="20"/>
    <x v="0"/>
    <n v="7092175"/>
    <x v="1"/>
  </r>
  <r>
    <x v="44"/>
    <x v="14"/>
    <x v="0"/>
    <n v="5937240"/>
    <x v="1"/>
  </r>
  <r>
    <x v="44"/>
    <x v="1"/>
    <x v="0"/>
    <n v="6232454"/>
    <x v="1"/>
  </r>
  <r>
    <x v="44"/>
    <x v="3"/>
    <x v="0"/>
    <n v="4469233"/>
    <x v="1"/>
  </r>
  <r>
    <x v="44"/>
    <x v="15"/>
    <x v="0"/>
    <n v="12415092"/>
    <x v="1"/>
  </r>
  <r>
    <x v="44"/>
    <x v="4"/>
    <x v="0"/>
    <n v="4229202"/>
    <x v="1"/>
  </r>
  <r>
    <x v="45"/>
    <x v="17"/>
    <x v="0"/>
    <n v="19746000.576000001"/>
    <x v="1"/>
  </r>
  <r>
    <x v="45"/>
    <x v="13"/>
    <x v="0"/>
    <n v="12926119.109999999"/>
    <x v="1"/>
  </r>
  <r>
    <x v="45"/>
    <x v="18"/>
    <x v="0"/>
    <n v="14190025"/>
    <x v="1"/>
  </r>
  <r>
    <x v="45"/>
    <x v="19"/>
    <x v="0"/>
    <n v="9865880.8399999999"/>
    <x v="1"/>
  </r>
  <r>
    <x v="45"/>
    <x v="20"/>
    <x v="0"/>
    <n v="10826941"/>
    <x v="1"/>
  </r>
  <r>
    <x v="45"/>
    <x v="14"/>
    <x v="0"/>
    <n v="7481516"/>
    <x v="1"/>
  </r>
  <r>
    <x v="45"/>
    <x v="1"/>
    <x v="0"/>
    <n v="12454187"/>
    <x v="1"/>
  </r>
  <r>
    <x v="45"/>
    <x v="3"/>
    <x v="0"/>
    <n v="8738134"/>
    <x v="1"/>
  </r>
  <r>
    <x v="45"/>
    <x v="15"/>
    <x v="0"/>
    <n v="7388410.0209999997"/>
    <x v="1"/>
  </r>
  <r>
    <x v="45"/>
    <x v="4"/>
    <x v="0"/>
    <n v="7213775.1679999996"/>
    <x v="1"/>
  </r>
  <r>
    <x v="46"/>
    <x v="18"/>
    <x v="0"/>
    <n v="3008461.86"/>
    <x v="1"/>
  </r>
  <r>
    <x v="46"/>
    <x v="19"/>
    <x v="0"/>
    <n v="22271379.739999998"/>
    <x v="1"/>
  </r>
  <r>
    <x v="47"/>
    <x v="0"/>
    <x v="0"/>
    <n v="1402565"/>
    <x v="1"/>
  </r>
  <r>
    <x v="47"/>
    <x v="2"/>
    <x v="0"/>
    <n v="1382856"/>
    <x v="1"/>
  </r>
  <r>
    <x v="47"/>
    <x v="17"/>
    <x v="0"/>
    <n v="1767122"/>
    <x v="1"/>
  </r>
  <r>
    <x v="47"/>
    <x v="18"/>
    <x v="0"/>
    <n v="1794596"/>
    <x v="1"/>
  </r>
  <r>
    <x v="47"/>
    <x v="1"/>
    <x v="0"/>
    <n v="1109842.074"/>
    <x v="1"/>
  </r>
  <r>
    <x v="48"/>
    <x v="2"/>
    <x v="0"/>
    <n v="36040619.251999997"/>
    <x v="1"/>
  </r>
  <r>
    <x v="48"/>
    <x v="17"/>
    <x v="0"/>
    <n v="43735884.100000001"/>
    <x v="1"/>
  </r>
  <r>
    <x v="48"/>
    <x v="13"/>
    <x v="0"/>
    <n v="50792280.667999998"/>
    <x v="1"/>
  </r>
  <r>
    <x v="48"/>
    <x v="18"/>
    <x v="0"/>
    <n v="33016283.197000001"/>
    <x v="1"/>
  </r>
  <r>
    <x v="48"/>
    <x v="19"/>
    <x v="0"/>
    <n v="57199407.993000001"/>
    <x v="1"/>
  </r>
  <r>
    <x v="48"/>
    <x v="20"/>
    <x v="0"/>
    <n v="40614698.520000003"/>
    <x v="1"/>
  </r>
  <r>
    <x v="48"/>
    <x v="14"/>
    <x v="0"/>
    <n v="56351870.627999999"/>
    <x v="1"/>
  </r>
  <r>
    <x v="48"/>
    <x v="1"/>
    <x v="0"/>
    <n v="55388560.236000001"/>
    <x v="1"/>
  </r>
  <r>
    <x v="48"/>
    <x v="3"/>
    <x v="0"/>
    <n v="45464217.256999999"/>
    <x v="1"/>
  </r>
  <r>
    <x v="69"/>
    <x v="16"/>
    <x v="0"/>
    <n v="2087936"/>
    <x v="1"/>
  </r>
  <r>
    <x v="69"/>
    <x v="2"/>
    <x v="0"/>
    <n v="1192817"/>
    <x v="1"/>
  </r>
  <r>
    <x v="0"/>
    <x v="12"/>
    <x v="1"/>
    <n v="174684779.002"/>
    <x v="1"/>
  </r>
  <r>
    <x v="0"/>
    <x v="16"/>
    <x v="1"/>
    <n v="165462063.116"/>
    <x v="1"/>
  </r>
  <r>
    <x v="0"/>
    <x v="21"/>
    <x v="1"/>
    <n v="123247091.242"/>
    <x v="1"/>
  </r>
  <r>
    <x v="0"/>
    <x v="0"/>
    <x v="1"/>
    <n v="139223855.273"/>
    <x v="1"/>
  </r>
  <r>
    <x v="0"/>
    <x v="2"/>
    <x v="1"/>
    <n v="103677664.721"/>
    <x v="1"/>
  </r>
  <r>
    <x v="0"/>
    <x v="17"/>
    <x v="1"/>
    <n v="114131654.778"/>
    <x v="1"/>
  </r>
  <r>
    <x v="0"/>
    <x v="13"/>
    <x v="1"/>
    <n v="112181788.45999999"/>
    <x v="1"/>
  </r>
  <r>
    <x v="0"/>
    <x v="18"/>
    <x v="1"/>
    <n v="111157372.016"/>
    <x v="1"/>
  </r>
  <r>
    <x v="0"/>
    <x v="19"/>
    <x v="1"/>
    <n v="118015608.234"/>
    <x v="1"/>
  </r>
  <r>
    <x v="0"/>
    <x v="20"/>
    <x v="1"/>
    <n v="94282604.255999997"/>
    <x v="1"/>
  </r>
  <r>
    <x v="0"/>
    <x v="14"/>
    <x v="1"/>
    <n v="85086192.290999994"/>
    <x v="1"/>
  </r>
  <r>
    <x v="0"/>
    <x v="1"/>
    <x v="1"/>
    <n v="99442246.941"/>
    <x v="1"/>
  </r>
  <r>
    <x v="0"/>
    <x v="3"/>
    <x v="1"/>
    <n v="98340247.398000002"/>
    <x v="1"/>
  </r>
  <r>
    <x v="0"/>
    <x v="15"/>
    <x v="1"/>
    <n v="82898083.017000005"/>
    <x v="1"/>
  </r>
  <r>
    <x v="0"/>
    <x v="4"/>
    <x v="1"/>
    <n v="101128878.589"/>
    <x v="1"/>
  </r>
  <r>
    <x v="3"/>
    <x v="23"/>
    <x v="1"/>
    <n v="16064856"/>
    <x v="1"/>
  </r>
  <r>
    <x v="3"/>
    <x v="24"/>
    <x v="1"/>
    <n v="19180731"/>
    <x v="1"/>
  </r>
  <r>
    <x v="3"/>
    <x v="25"/>
    <x v="1"/>
    <n v="16140207"/>
    <x v="1"/>
  </r>
  <r>
    <x v="3"/>
    <x v="5"/>
    <x v="1"/>
    <n v="10710156"/>
    <x v="1"/>
  </r>
  <r>
    <x v="3"/>
    <x v="22"/>
    <x v="1"/>
    <n v="13474062"/>
    <x v="1"/>
  </r>
  <r>
    <x v="3"/>
    <x v="6"/>
    <x v="1"/>
    <n v="13692201"/>
    <x v="1"/>
  </r>
  <r>
    <x v="3"/>
    <x v="7"/>
    <x v="1"/>
    <n v="11783976"/>
    <x v="1"/>
  </r>
  <r>
    <x v="3"/>
    <x v="8"/>
    <x v="1"/>
    <n v="9783610"/>
    <x v="1"/>
  </r>
  <r>
    <x v="3"/>
    <x v="10"/>
    <x v="1"/>
    <n v="6614216"/>
    <x v="1"/>
  </r>
  <r>
    <x v="3"/>
    <x v="11"/>
    <x v="1"/>
    <n v="9874514"/>
    <x v="1"/>
  </r>
  <r>
    <x v="3"/>
    <x v="12"/>
    <x v="1"/>
    <n v="27059259"/>
    <x v="1"/>
  </r>
  <r>
    <x v="3"/>
    <x v="16"/>
    <x v="1"/>
    <n v="40263668"/>
    <x v="1"/>
  </r>
  <r>
    <x v="3"/>
    <x v="21"/>
    <x v="1"/>
    <n v="26857215"/>
    <x v="1"/>
  </r>
  <r>
    <x v="3"/>
    <x v="0"/>
    <x v="1"/>
    <n v="17445172"/>
    <x v="1"/>
  </r>
  <r>
    <x v="3"/>
    <x v="2"/>
    <x v="1"/>
    <n v="25475050"/>
    <x v="1"/>
  </r>
  <r>
    <x v="3"/>
    <x v="17"/>
    <x v="1"/>
    <n v="22423841"/>
    <x v="1"/>
  </r>
  <r>
    <x v="3"/>
    <x v="13"/>
    <x v="1"/>
    <n v="24492000"/>
    <x v="1"/>
  </r>
  <r>
    <x v="3"/>
    <x v="18"/>
    <x v="1"/>
    <n v="23601347"/>
    <x v="1"/>
  </r>
  <r>
    <x v="3"/>
    <x v="19"/>
    <x v="1"/>
    <n v="23284449"/>
    <x v="1"/>
  </r>
  <r>
    <x v="3"/>
    <x v="20"/>
    <x v="1"/>
    <n v="16178006"/>
    <x v="1"/>
  </r>
  <r>
    <x v="3"/>
    <x v="14"/>
    <x v="1"/>
    <n v="19690124"/>
    <x v="1"/>
  </r>
  <r>
    <x v="3"/>
    <x v="1"/>
    <x v="1"/>
    <n v="22547107"/>
    <x v="1"/>
  </r>
  <r>
    <x v="3"/>
    <x v="3"/>
    <x v="1"/>
    <n v="23049735"/>
    <x v="1"/>
  </r>
  <r>
    <x v="3"/>
    <x v="4"/>
    <x v="1"/>
    <n v="14043981"/>
    <x v="1"/>
  </r>
  <r>
    <x v="49"/>
    <x v="19"/>
    <x v="1"/>
    <n v="2081150.9539999999"/>
    <x v="1"/>
  </r>
  <r>
    <x v="50"/>
    <x v="11"/>
    <x v="1"/>
    <n v="14992365.594000001"/>
    <x v="1"/>
  </r>
  <r>
    <x v="50"/>
    <x v="12"/>
    <x v="1"/>
    <n v="24487962.927999999"/>
    <x v="1"/>
  </r>
  <r>
    <x v="50"/>
    <x v="16"/>
    <x v="1"/>
    <n v="16266651.317"/>
    <x v="1"/>
  </r>
  <r>
    <x v="50"/>
    <x v="21"/>
    <x v="1"/>
    <n v="28325465.556000002"/>
    <x v="1"/>
  </r>
  <r>
    <x v="50"/>
    <x v="0"/>
    <x v="1"/>
    <n v="23611920.589000002"/>
    <x v="1"/>
  </r>
  <r>
    <x v="50"/>
    <x v="2"/>
    <x v="1"/>
    <n v="18245245.010000002"/>
    <x v="1"/>
  </r>
  <r>
    <x v="50"/>
    <x v="19"/>
    <x v="1"/>
    <n v="1920297.6850000001"/>
    <x v="1"/>
  </r>
  <r>
    <x v="51"/>
    <x v="16"/>
    <x v="1"/>
    <n v="1459543.8"/>
    <x v="1"/>
  </r>
  <r>
    <x v="4"/>
    <x v="11"/>
    <x v="1"/>
    <n v="30347912.710000001"/>
    <x v="1"/>
  </r>
  <r>
    <x v="4"/>
    <x v="12"/>
    <x v="1"/>
    <n v="25771949.278000001"/>
    <x v="1"/>
  </r>
  <r>
    <x v="4"/>
    <x v="16"/>
    <x v="1"/>
    <n v="24133102.18"/>
    <x v="1"/>
  </r>
  <r>
    <x v="4"/>
    <x v="21"/>
    <x v="1"/>
    <n v="33881587.523999996"/>
    <x v="1"/>
  </r>
  <r>
    <x v="4"/>
    <x v="0"/>
    <x v="1"/>
    <n v="31298710.285999998"/>
    <x v="1"/>
  </r>
  <r>
    <x v="4"/>
    <x v="2"/>
    <x v="1"/>
    <n v="39727357.975000001"/>
    <x v="1"/>
  </r>
  <r>
    <x v="4"/>
    <x v="17"/>
    <x v="1"/>
    <n v="28825288.767999999"/>
    <x v="1"/>
  </r>
  <r>
    <x v="4"/>
    <x v="13"/>
    <x v="1"/>
    <n v="29176741.506999999"/>
    <x v="1"/>
  </r>
  <r>
    <x v="4"/>
    <x v="18"/>
    <x v="1"/>
    <n v="26001429.537999999"/>
    <x v="1"/>
  </r>
  <r>
    <x v="4"/>
    <x v="19"/>
    <x v="1"/>
    <n v="27889915.285999998"/>
    <x v="1"/>
  </r>
  <r>
    <x v="4"/>
    <x v="20"/>
    <x v="1"/>
    <n v="21182758.445"/>
    <x v="1"/>
  </r>
  <r>
    <x v="4"/>
    <x v="14"/>
    <x v="1"/>
    <n v="30467220.026999999"/>
    <x v="1"/>
  </r>
  <r>
    <x v="4"/>
    <x v="1"/>
    <x v="1"/>
    <n v="38484141.434"/>
    <x v="1"/>
  </r>
  <r>
    <x v="4"/>
    <x v="3"/>
    <x v="1"/>
    <n v="35285636.049999997"/>
    <x v="1"/>
  </r>
  <r>
    <x v="4"/>
    <x v="15"/>
    <x v="1"/>
    <n v="29277082.267999999"/>
    <x v="1"/>
  </r>
  <r>
    <x v="4"/>
    <x v="4"/>
    <x v="1"/>
    <n v="23138463.021000002"/>
    <x v="1"/>
  </r>
  <r>
    <x v="5"/>
    <x v="11"/>
    <x v="1"/>
    <n v="102955419.094"/>
    <x v="1"/>
  </r>
  <r>
    <x v="5"/>
    <x v="12"/>
    <x v="1"/>
    <n v="175745066.461"/>
    <x v="1"/>
  </r>
  <r>
    <x v="5"/>
    <x v="16"/>
    <x v="1"/>
    <n v="126384408.322"/>
    <x v="1"/>
  </r>
  <r>
    <x v="5"/>
    <x v="0"/>
    <x v="1"/>
    <n v="10497101.592"/>
    <x v="1"/>
  </r>
  <r>
    <x v="5"/>
    <x v="2"/>
    <x v="1"/>
    <n v="6312510.1399999997"/>
    <x v="1"/>
  </r>
  <r>
    <x v="5"/>
    <x v="17"/>
    <x v="1"/>
    <n v="571596364.67400002"/>
    <x v="1"/>
  </r>
  <r>
    <x v="5"/>
    <x v="13"/>
    <x v="1"/>
    <n v="463984102.88800001"/>
    <x v="1"/>
  </r>
  <r>
    <x v="5"/>
    <x v="18"/>
    <x v="1"/>
    <n v="487582053.64099997"/>
    <x v="1"/>
  </r>
  <r>
    <x v="5"/>
    <x v="19"/>
    <x v="1"/>
    <n v="466455386.67799997"/>
    <x v="1"/>
  </r>
  <r>
    <x v="5"/>
    <x v="20"/>
    <x v="1"/>
    <n v="570039281.09399998"/>
    <x v="1"/>
  </r>
  <r>
    <x v="5"/>
    <x v="14"/>
    <x v="1"/>
    <n v="445002609.708"/>
    <x v="1"/>
  </r>
  <r>
    <x v="5"/>
    <x v="1"/>
    <x v="1"/>
    <n v="353213561.70599997"/>
    <x v="1"/>
  </r>
  <r>
    <x v="5"/>
    <x v="3"/>
    <x v="1"/>
    <n v="248471909.361"/>
    <x v="1"/>
  </r>
  <r>
    <x v="5"/>
    <x v="15"/>
    <x v="1"/>
    <n v="371962295.74800003"/>
    <x v="1"/>
  </r>
  <r>
    <x v="6"/>
    <x v="11"/>
    <x v="1"/>
    <n v="17550022.879999999"/>
    <x v="1"/>
  </r>
  <r>
    <x v="6"/>
    <x v="0"/>
    <x v="1"/>
    <n v="94916196.980000004"/>
    <x v="1"/>
  </r>
  <r>
    <x v="6"/>
    <x v="2"/>
    <x v="1"/>
    <n v="7708635.7199999997"/>
    <x v="1"/>
  </r>
  <r>
    <x v="6"/>
    <x v="17"/>
    <x v="1"/>
    <n v="54319649.259999998"/>
    <x v="1"/>
  </r>
  <r>
    <x v="6"/>
    <x v="13"/>
    <x v="1"/>
    <n v="8588312.4000000004"/>
    <x v="1"/>
  </r>
  <r>
    <x v="6"/>
    <x v="18"/>
    <x v="1"/>
    <n v="13448890.869999999"/>
    <x v="1"/>
  </r>
  <r>
    <x v="6"/>
    <x v="19"/>
    <x v="1"/>
    <n v="29305305.260000002"/>
    <x v="1"/>
  </r>
  <r>
    <x v="6"/>
    <x v="20"/>
    <x v="1"/>
    <n v="16866236.719999999"/>
    <x v="1"/>
  </r>
  <r>
    <x v="6"/>
    <x v="14"/>
    <x v="1"/>
    <n v="14563717"/>
    <x v="1"/>
  </r>
  <r>
    <x v="6"/>
    <x v="1"/>
    <x v="1"/>
    <n v="10105918.560000001"/>
    <x v="1"/>
  </r>
  <r>
    <x v="6"/>
    <x v="3"/>
    <x v="1"/>
    <n v="13419465.130000001"/>
    <x v="1"/>
  </r>
  <r>
    <x v="6"/>
    <x v="4"/>
    <x v="1"/>
    <n v="7717649.6399999997"/>
    <x v="1"/>
  </r>
  <r>
    <x v="7"/>
    <x v="11"/>
    <x v="1"/>
    <n v="42819593"/>
    <x v="1"/>
  </r>
  <r>
    <x v="7"/>
    <x v="12"/>
    <x v="1"/>
    <n v="67716945"/>
    <x v="1"/>
  </r>
  <r>
    <x v="7"/>
    <x v="16"/>
    <x v="1"/>
    <n v="59530538"/>
    <x v="1"/>
  </r>
  <r>
    <x v="7"/>
    <x v="21"/>
    <x v="1"/>
    <n v="48954474"/>
    <x v="1"/>
  </r>
  <r>
    <x v="7"/>
    <x v="0"/>
    <x v="1"/>
    <n v="40037622"/>
    <x v="1"/>
  </r>
  <r>
    <x v="7"/>
    <x v="2"/>
    <x v="1"/>
    <n v="45940616"/>
    <x v="1"/>
  </r>
  <r>
    <x v="7"/>
    <x v="17"/>
    <x v="1"/>
    <n v="30733246"/>
    <x v="1"/>
  </r>
  <r>
    <x v="7"/>
    <x v="13"/>
    <x v="1"/>
    <n v="33605423"/>
    <x v="1"/>
  </r>
  <r>
    <x v="7"/>
    <x v="18"/>
    <x v="1"/>
    <n v="41592678"/>
    <x v="1"/>
  </r>
  <r>
    <x v="7"/>
    <x v="19"/>
    <x v="1"/>
    <n v="37419136"/>
    <x v="1"/>
  </r>
  <r>
    <x v="7"/>
    <x v="20"/>
    <x v="1"/>
    <n v="40564825"/>
    <x v="1"/>
  </r>
  <r>
    <x v="7"/>
    <x v="14"/>
    <x v="1"/>
    <n v="56383173"/>
    <x v="1"/>
  </r>
  <r>
    <x v="7"/>
    <x v="1"/>
    <x v="1"/>
    <n v="52606434"/>
    <x v="1"/>
  </r>
  <r>
    <x v="7"/>
    <x v="3"/>
    <x v="1"/>
    <n v="55462876"/>
    <x v="1"/>
  </r>
  <r>
    <x v="7"/>
    <x v="15"/>
    <x v="1"/>
    <n v="28026698"/>
    <x v="1"/>
  </r>
  <r>
    <x v="7"/>
    <x v="4"/>
    <x v="1"/>
    <n v="36184905"/>
    <x v="1"/>
  </r>
  <r>
    <x v="9"/>
    <x v="9"/>
    <x v="1"/>
    <n v="15368660.937999999"/>
    <x v="1"/>
  </r>
  <r>
    <x v="9"/>
    <x v="10"/>
    <x v="1"/>
    <n v="27876699.828000002"/>
    <x v="1"/>
  </r>
  <r>
    <x v="9"/>
    <x v="11"/>
    <x v="1"/>
    <n v="4395837.8109999998"/>
    <x v="1"/>
  </r>
  <r>
    <x v="9"/>
    <x v="18"/>
    <x v="1"/>
    <n v="2499257.3119999999"/>
    <x v="1"/>
  </r>
  <r>
    <x v="9"/>
    <x v="19"/>
    <x v="1"/>
    <n v="1861472.0619999999"/>
    <x v="1"/>
  </r>
  <r>
    <x v="52"/>
    <x v="4"/>
    <x v="1"/>
    <n v="6189403.1359999999"/>
    <x v="1"/>
  </r>
  <r>
    <x v="10"/>
    <x v="11"/>
    <x v="1"/>
    <n v="56624555.799999997"/>
    <x v="1"/>
  </r>
  <r>
    <x v="10"/>
    <x v="12"/>
    <x v="1"/>
    <n v="28208992.52"/>
    <x v="1"/>
  </r>
  <r>
    <x v="10"/>
    <x v="16"/>
    <x v="1"/>
    <n v="41978268.489"/>
    <x v="1"/>
  </r>
  <r>
    <x v="10"/>
    <x v="21"/>
    <x v="1"/>
    <n v="61887221.039999999"/>
    <x v="1"/>
  </r>
  <r>
    <x v="10"/>
    <x v="0"/>
    <x v="1"/>
    <n v="61363186.810000002"/>
    <x v="1"/>
  </r>
  <r>
    <x v="10"/>
    <x v="17"/>
    <x v="1"/>
    <n v="54653669.696000002"/>
    <x v="1"/>
  </r>
  <r>
    <x v="10"/>
    <x v="13"/>
    <x v="1"/>
    <n v="74584676.810000002"/>
    <x v="1"/>
  </r>
  <r>
    <x v="10"/>
    <x v="18"/>
    <x v="1"/>
    <n v="92663500.620000005"/>
    <x v="1"/>
  </r>
  <r>
    <x v="10"/>
    <x v="19"/>
    <x v="1"/>
    <n v="63043572.210000001"/>
    <x v="1"/>
  </r>
  <r>
    <x v="10"/>
    <x v="20"/>
    <x v="1"/>
    <n v="50890976.189999998"/>
    <x v="1"/>
  </r>
  <r>
    <x v="10"/>
    <x v="14"/>
    <x v="1"/>
    <n v="59833371.18"/>
    <x v="1"/>
  </r>
  <r>
    <x v="10"/>
    <x v="15"/>
    <x v="1"/>
    <n v="93441673.730000004"/>
    <x v="1"/>
  </r>
  <r>
    <x v="11"/>
    <x v="25"/>
    <x v="1"/>
    <n v="4972543.6900000004"/>
    <x v="1"/>
  </r>
  <r>
    <x v="11"/>
    <x v="5"/>
    <x v="1"/>
    <n v="8458787.0299999993"/>
    <x v="1"/>
  </r>
  <r>
    <x v="11"/>
    <x v="17"/>
    <x v="1"/>
    <n v="8735767.8399999999"/>
    <x v="1"/>
  </r>
  <r>
    <x v="11"/>
    <x v="13"/>
    <x v="1"/>
    <n v="9859805.9000000004"/>
    <x v="1"/>
  </r>
  <r>
    <x v="11"/>
    <x v="18"/>
    <x v="1"/>
    <n v="4351791.46"/>
    <x v="1"/>
  </r>
  <r>
    <x v="11"/>
    <x v="19"/>
    <x v="1"/>
    <n v="3993657.09"/>
    <x v="1"/>
  </r>
  <r>
    <x v="11"/>
    <x v="20"/>
    <x v="1"/>
    <n v="6522559.04"/>
    <x v="1"/>
  </r>
  <r>
    <x v="11"/>
    <x v="14"/>
    <x v="1"/>
    <n v="6727619.6100000003"/>
    <x v="1"/>
  </r>
  <r>
    <x v="11"/>
    <x v="1"/>
    <x v="1"/>
    <n v="5927386.4400000004"/>
    <x v="1"/>
  </r>
  <r>
    <x v="11"/>
    <x v="3"/>
    <x v="1"/>
    <n v="3691271.33"/>
    <x v="1"/>
  </r>
  <r>
    <x v="12"/>
    <x v="0"/>
    <x v="1"/>
    <n v="613939.91200000001"/>
    <x v="1"/>
  </r>
  <r>
    <x v="13"/>
    <x v="0"/>
    <x v="1"/>
    <n v="13882246.25"/>
    <x v="1"/>
  </r>
  <r>
    <x v="13"/>
    <x v="2"/>
    <x v="1"/>
    <n v="208661995.206"/>
    <x v="1"/>
  </r>
  <r>
    <x v="13"/>
    <x v="17"/>
    <x v="1"/>
    <n v="144517920.09400001"/>
    <x v="1"/>
  </r>
  <r>
    <x v="13"/>
    <x v="13"/>
    <x v="1"/>
    <n v="184628802.42699999"/>
    <x v="1"/>
  </r>
  <r>
    <x v="13"/>
    <x v="18"/>
    <x v="1"/>
    <n v="132075831.632"/>
    <x v="1"/>
  </r>
  <r>
    <x v="13"/>
    <x v="19"/>
    <x v="1"/>
    <n v="137159438.664"/>
    <x v="1"/>
  </r>
  <r>
    <x v="13"/>
    <x v="20"/>
    <x v="1"/>
    <n v="104729144.294"/>
    <x v="1"/>
  </r>
  <r>
    <x v="13"/>
    <x v="14"/>
    <x v="1"/>
    <n v="94364077.457000002"/>
    <x v="1"/>
  </r>
  <r>
    <x v="13"/>
    <x v="1"/>
    <x v="1"/>
    <n v="126202314.221"/>
    <x v="1"/>
  </r>
  <r>
    <x v="13"/>
    <x v="3"/>
    <x v="1"/>
    <n v="78570371.895999998"/>
    <x v="1"/>
  </r>
  <r>
    <x v="13"/>
    <x v="15"/>
    <x v="1"/>
    <n v="128970623.42200001"/>
    <x v="1"/>
  </r>
  <r>
    <x v="13"/>
    <x v="4"/>
    <x v="1"/>
    <n v="91047338.520999998"/>
    <x v="1"/>
  </r>
  <r>
    <x v="14"/>
    <x v="23"/>
    <x v="1"/>
    <n v="98771684.297000095"/>
    <x v="1"/>
  </r>
  <r>
    <x v="14"/>
    <x v="24"/>
    <x v="1"/>
    <n v="138772626.16800001"/>
    <x v="1"/>
  </r>
  <r>
    <x v="14"/>
    <x v="25"/>
    <x v="1"/>
    <n v="145171450.44400001"/>
    <x v="1"/>
  </r>
  <r>
    <x v="14"/>
    <x v="5"/>
    <x v="1"/>
    <n v="178281936.93399999"/>
    <x v="1"/>
  </r>
  <r>
    <x v="14"/>
    <x v="22"/>
    <x v="1"/>
    <n v="190901874.00799999"/>
    <x v="1"/>
  </r>
  <r>
    <x v="14"/>
    <x v="6"/>
    <x v="1"/>
    <n v="160746758.96799999"/>
    <x v="1"/>
  </r>
  <r>
    <x v="14"/>
    <x v="7"/>
    <x v="1"/>
    <n v="177526388.45199999"/>
    <x v="1"/>
  </r>
  <r>
    <x v="14"/>
    <x v="8"/>
    <x v="1"/>
    <n v="169645630.528"/>
    <x v="1"/>
  </r>
  <r>
    <x v="14"/>
    <x v="9"/>
    <x v="1"/>
    <n v="293466332.14999998"/>
    <x v="1"/>
  </r>
  <r>
    <x v="14"/>
    <x v="10"/>
    <x v="1"/>
    <n v="145740127.62900001"/>
    <x v="1"/>
  </r>
  <r>
    <x v="14"/>
    <x v="11"/>
    <x v="1"/>
    <n v="140665368.85299999"/>
    <x v="1"/>
  </r>
  <r>
    <x v="14"/>
    <x v="12"/>
    <x v="1"/>
    <n v="149036432.743"/>
    <x v="1"/>
  </r>
  <r>
    <x v="14"/>
    <x v="16"/>
    <x v="1"/>
    <n v="233644626.484"/>
    <x v="1"/>
  </r>
  <r>
    <x v="14"/>
    <x v="21"/>
    <x v="1"/>
    <n v="242658475.33000001"/>
    <x v="1"/>
  </r>
  <r>
    <x v="14"/>
    <x v="0"/>
    <x v="1"/>
    <n v="156006910.80000001"/>
    <x v="1"/>
  </r>
  <r>
    <x v="14"/>
    <x v="2"/>
    <x v="1"/>
    <n v="158056235.44499999"/>
    <x v="1"/>
  </r>
  <r>
    <x v="14"/>
    <x v="17"/>
    <x v="1"/>
    <n v="193230981.833"/>
    <x v="1"/>
  </r>
  <r>
    <x v="14"/>
    <x v="13"/>
    <x v="1"/>
    <n v="226645314.42699999"/>
    <x v="1"/>
  </r>
  <r>
    <x v="14"/>
    <x v="18"/>
    <x v="1"/>
    <n v="225838681.521"/>
    <x v="1"/>
  </r>
  <r>
    <x v="14"/>
    <x v="19"/>
    <x v="1"/>
    <n v="217608678.26499999"/>
    <x v="1"/>
  </r>
  <r>
    <x v="14"/>
    <x v="20"/>
    <x v="1"/>
    <n v="170879455.84200001"/>
    <x v="1"/>
  </r>
  <r>
    <x v="14"/>
    <x v="14"/>
    <x v="1"/>
    <n v="124425502.29799999"/>
    <x v="1"/>
  </r>
  <r>
    <x v="14"/>
    <x v="1"/>
    <x v="1"/>
    <n v="89065225.270999998"/>
    <x v="1"/>
  </r>
  <r>
    <x v="14"/>
    <x v="3"/>
    <x v="1"/>
    <n v="98324323.778999999"/>
    <x v="1"/>
  </r>
  <r>
    <x v="14"/>
    <x v="15"/>
    <x v="1"/>
    <n v="95067389.469999999"/>
    <x v="1"/>
  </r>
  <r>
    <x v="53"/>
    <x v="2"/>
    <x v="1"/>
    <n v="11475192.773"/>
    <x v="1"/>
  </r>
  <r>
    <x v="53"/>
    <x v="14"/>
    <x v="1"/>
    <n v="15195853.166999999"/>
    <x v="1"/>
  </r>
  <r>
    <x v="53"/>
    <x v="1"/>
    <x v="1"/>
    <n v="18679826.605"/>
    <x v="1"/>
  </r>
  <r>
    <x v="15"/>
    <x v="13"/>
    <x v="1"/>
    <n v="23210468.669"/>
    <x v="1"/>
  </r>
  <r>
    <x v="15"/>
    <x v="19"/>
    <x v="1"/>
    <n v="17173613.177999999"/>
    <x v="1"/>
  </r>
  <r>
    <x v="15"/>
    <x v="20"/>
    <x v="1"/>
    <n v="14969024.744999999"/>
    <x v="1"/>
  </r>
  <r>
    <x v="15"/>
    <x v="4"/>
    <x v="1"/>
    <n v="8760971.1270000003"/>
    <x v="1"/>
  </r>
  <r>
    <x v="16"/>
    <x v="11"/>
    <x v="1"/>
    <n v="14119780.286"/>
    <x v="1"/>
  </r>
  <r>
    <x v="16"/>
    <x v="12"/>
    <x v="1"/>
    <n v="12654623.060000001"/>
    <x v="1"/>
  </r>
  <r>
    <x v="16"/>
    <x v="16"/>
    <x v="1"/>
    <n v="38890339.780000001"/>
    <x v="1"/>
  </r>
  <r>
    <x v="16"/>
    <x v="21"/>
    <x v="1"/>
    <n v="24327491.033"/>
    <x v="1"/>
  </r>
  <r>
    <x v="16"/>
    <x v="0"/>
    <x v="1"/>
    <n v="412540897.48100001"/>
    <x v="1"/>
  </r>
  <r>
    <x v="16"/>
    <x v="2"/>
    <x v="1"/>
    <n v="24454534.943"/>
    <x v="1"/>
  </r>
  <r>
    <x v="16"/>
    <x v="17"/>
    <x v="1"/>
    <n v="18376899.022999998"/>
    <x v="1"/>
  </r>
  <r>
    <x v="16"/>
    <x v="13"/>
    <x v="1"/>
    <n v="48309267.189999998"/>
    <x v="1"/>
  </r>
  <r>
    <x v="16"/>
    <x v="18"/>
    <x v="1"/>
    <n v="48921105.229000002"/>
    <x v="1"/>
  </r>
  <r>
    <x v="16"/>
    <x v="19"/>
    <x v="1"/>
    <n v="38738742.840000004"/>
    <x v="1"/>
  </r>
  <r>
    <x v="16"/>
    <x v="20"/>
    <x v="1"/>
    <n v="26898958.032000002"/>
    <x v="1"/>
  </r>
  <r>
    <x v="16"/>
    <x v="14"/>
    <x v="1"/>
    <n v="22267963.686000001"/>
    <x v="1"/>
  </r>
  <r>
    <x v="16"/>
    <x v="1"/>
    <x v="1"/>
    <n v="59364733.585000001"/>
    <x v="1"/>
  </r>
  <r>
    <x v="16"/>
    <x v="3"/>
    <x v="1"/>
    <n v="52721901.899999999"/>
    <x v="1"/>
  </r>
  <r>
    <x v="18"/>
    <x v="20"/>
    <x v="1"/>
    <n v="2647040"/>
    <x v="1"/>
  </r>
  <r>
    <x v="18"/>
    <x v="14"/>
    <x v="1"/>
    <n v="4015255"/>
    <x v="1"/>
  </r>
  <r>
    <x v="18"/>
    <x v="1"/>
    <x v="1"/>
    <n v="12495381"/>
    <x v="1"/>
  </r>
  <r>
    <x v="18"/>
    <x v="3"/>
    <x v="1"/>
    <n v="7741172"/>
    <x v="1"/>
  </r>
  <r>
    <x v="18"/>
    <x v="15"/>
    <x v="1"/>
    <n v="10800075"/>
    <x v="1"/>
  </r>
  <r>
    <x v="20"/>
    <x v="12"/>
    <x v="1"/>
    <n v="26586714.627999999"/>
    <x v="1"/>
  </r>
  <r>
    <x v="20"/>
    <x v="16"/>
    <x v="1"/>
    <n v="42710312.456"/>
    <x v="1"/>
  </r>
  <r>
    <x v="20"/>
    <x v="21"/>
    <x v="1"/>
    <n v="81163241.768999994"/>
    <x v="1"/>
  </r>
  <r>
    <x v="20"/>
    <x v="0"/>
    <x v="1"/>
    <n v="71253175.545000002"/>
    <x v="1"/>
  </r>
  <r>
    <x v="20"/>
    <x v="2"/>
    <x v="1"/>
    <n v="60215483.081"/>
    <x v="1"/>
  </r>
  <r>
    <x v="20"/>
    <x v="17"/>
    <x v="1"/>
    <n v="43688204.597999997"/>
    <x v="1"/>
  </r>
  <r>
    <x v="20"/>
    <x v="13"/>
    <x v="1"/>
    <n v="43312327.971000001"/>
    <x v="1"/>
  </r>
  <r>
    <x v="20"/>
    <x v="18"/>
    <x v="1"/>
    <n v="88159922.672000006"/>
    <x v="1"/>
  </r>
  <r>
    <x v="20"/>
    <x v="19"/>
    <x v="1"/>
    <n v="71243101.743000001"/>
    <x v="1"/>
  </r>
  <r>
    <x v="20"/>
    <x v="20"/>
    <x v="1"/>
    <n v="52794412.829999998"/>
    <x v="1"/>
  </r>
  <r>
    <x v="20"/>
    <x v="14"/>
    <x v="1"/>
    <n v="48596491.277999997"/>
    <x v="1"/>
  </r>
  <r>
    <x v="20"/>
    <x v="1"/>
    <x v="1"/>
    <n v="56424948.152999997"/>
    <x v="1"/>
  </r>
  <r>
    <x v="20"/>
    <x v="3"/>
    <x v="1"/>
    <n v="87926288.022000104"/>
    <x v="1"/>
  </r>
  <r>
    <x v="20"/>
    <x v="15"/>
    <x v="1"/>
    <n v="72767073.019999996"/>
    <x v="1"/>
  </r>
  <r>
    <x v="20"/>
    <x v="4"/>
    <x v="1"/>
    <n v="42166694.022"/>
    <x v="1"/>
  </r>
  <r>
    <x v="21"/>
    <x v="16"/>
    <x v="1"/>
    <n v="33010015"/>
    <x v="1"/>
  </r>
  <r>
    <x v="21"/>
    <x v="21"/>
    <x v="1"/>
    <n v="300692059"/>
    <x v="1"/>
  </r>
  <r>
    <x v="21"/>
    <x v="0"/>
    <x v="1"/>
    <n v="255347272"/>
    <x v="1"/>
  </r>
  <r>
    <x v="21"/>
    <x v="2"/>
    <x v="1"/>
    <n v="237498315.09299999"/>
    <x v="1"/>
  </r>
  <r>
    <x v="21"/>
    <x v="17"/>
    <x v="1"/>
    <n v="230871616.46900001"/>
    <x v="1"/>
  </r>
  <r>
    <x v="21"/>
    <x v="13"/>
    <x v="1"/>
    <n v="301166325.06"/>
    <x v="1"/>
  </r>
  <r>
    <x v="21"/>
    <x v="18"/>
    <x v="1"/>
    <n v="326630592.49000001"/>
    <x v="1"/>
  </r>
  <r>
    <x v="21"/>
    <x v="19"/>
    <x v="1"/>
    <n v="336479014.708"/>
    <x v="1"/>
  </r>
  <r>
    <x v="21"/>
    <x v="20"/>
    <x v="1"/>
    <n v="384170803.33600003"/>
    <x v="1"/>
  </r>
  <r>
    <x v="21"/>
    <x v="14"/>
    <x v="1"/>
    <n v="456588707.66500002"/>
    <x v="1"/>
  </r>
  <r>
    <x v="21"/>
    <x v="1"/>
    <x v="1"/>
    <n v="614056270.23300004"/>
    <x v="1"/>
  </r>
  <r>
    <x v="21"/>
    <x v="3"/>
    <x v="1"/>
    <n v="568614481.54299998"/>
    <x v="1"/>
  </r>
  <r>
    <x v="21"/>
    <x v="15"/>
    <x v="1"/>
    <n v="667418650.05999994"/>
    <x v="1"/>
  </r>
  <r>
    <x v="54"/>
    <x v="24"/>
    <x v="1"/>
    <n v="4417309.7340000002"/>
    <x v="1"/>
  </r>
  <r>
    <x v="54"/>
    <x v="12"/>
    <x v="1"/>
    <n v="12235524.957"/>
    <x v="1"/>
  </r>
  <r>
    <x v="54"/>
    <x v="16"/>
    <x v="1"/>
    <n v="9725802.6380000003"/>
    <x v="1"/>
  </r>
  <r>
    <x v="54"/>
    <x v="21"/>
    <x v="1"/>
    <n v="4979734.1780000003"/>
    <x v="1"/>
  </r>
  <r>
    <x v="54"/>
    <x v="0"/>
    <x v="1"/>
    <n v="12104468.056"/>
    <x v="1"/>
  </r>
  <r>
    <x v="54"/>
    <x v="2"/>
    <x v="1"/>
    <n v="7424799.307"/>
    <x v="1"/>
  </r>
  <r>
    <x v="54"/>
    <x v="17"/>
    <x v="1"/>
    <n v="6598944.176"/>
    <x v="1"/>
  </r>
  <r>
    <x v="54"/>
    <x v="13"/>
    <x v="1"/>
    <n v="6210798.0810000002"/>
    <x v="1"/>
  </r>
  <r>
    <x v="54"/>
    <x v="18"/>
    <x v="1"/>
    <n v="6312821.4709999999"/>
    <x v="1"/>
  </r>
  <r>
    <x v="54"/>
    <x v="19"/>
    <x v="1"/>
    <n v="5910195.7910000002"/>
    <x v="1"/>
  </r>
  <r>
    <x v="54"/>
    <x v="20"/>
    <x v="1"/>
    <n v="5754117.4380000001"/>
    <x v="1"/>
  </r>
  <r>
    <x v="54"/>
    <x v="14"/>
    <x v="1"/>
    <n v="6204346.9189999998"/>
    <x v="1"/>
  </r>
  <r>
    <x v="54"/>
    <x v="1"/>
    <x v="1"/>
    <n v="6843020.2369999997"/>
    <x v="1"/>
  </r>
  <r>
    <x v="54"/>
    <x v="3"/>
    <x v="1"/>
    <n v="4868569.9989999998"/>
    <x v="1"/>
  </r>
  <r>
    <x v="54"/>
    <x v="15"/>
    <x v="1"/>
    <n v="8893808.1239999998"/>
    <x v="1"/>
  </r>
  <r>
    <x v="54"/>
    <x v="4"/>
    <x v="1"/>
    <n v="9267261.3800000008"/>
    <x v="1"/>
  </r>
  <r>
    <x v="22"/>
    <x v="23"/>
    <x v="1"/>
    <n v="28912397.000999998"/>
    <x v="1"/>
  </r>
  <r>
    <x v="22"/>
    <x v="24"/>
    <x v="1"/>
    <n v="17564814.693999998"/>
    <x v="1"/>
  </r>
  <r>
    <x v="22"/>
    <x v="25"/>
    <x v="1"/>
    <n v="25040754.977000002"/>
    <x v="1"/>
  </r>
  <r>
    <x v="22"/>
    <x v="5"/>
    <x v="1"/>
    <n v="22835688.079999998"/>
    <x v="1"/>
  </r>
  <r>
    <x v="22"/>
    <x v="22"/>
    <x v="1"/>
    <n v="32090272.629000001"/>
    <x v="1"/>
  </r>
  <r>
    <x v="22"/>
    <x v="6"/>
    <x v="1"/>
    <n v="43387830.675999999"/>
    <x v="1"/>
  </r>
  <r>
    <x v="22"/>
    <x v="7"/>
    <x v="1"/>
    <n v="54629333.045000002"/>
    <x v="1"/>
  </r>
  <r>
    <x v="22"/>
    <x v="8"/>
    <x v="1"/>
    <n v="58989498.494999997"/>
    <x v="1"/>
  </r>
  <r>
    <x v="22"/>
    <x v="10"/>
    <x v="1"/>
    <n v="25481106.614"/>
    <x v="1"/>
  </r>
  <r>
    <x v="22"/>
    <x v="11"/>
    <x v="1"/>
    <n v="12011675.467"/>
    <x v="1"/>
  </r>
  <r>
    <x v="22"/>
    <x v="12"/>
    <x v="1"/>
    <n v="44718925.347000003"/>
    <x v="1"/>
  </r>
  <r>
    <x v="22"/>
    <x v="16"/>
    <x v="1"/>
    <n v="18469134.638"/>
    <x v="1"/>
  </r>
  <r>
    <x v="22"/>
    <x v="21"/>
    <x v="1"/>
    <n v="21341262.666999999"/>
    <x v="1"/>
  </r>
  <r>
    <x v="22"/>
    <x v="0"/>
    <x v="1"/>
    <n v="21976314.701000001"/>
    <x v="1"/>
  </r>
  <r>
    <x v="22"/>
    <x v="2"/>
    <x v="1"/>
    <n v="19818264.945"/>
    <x v="1"/>
  </r>
  <r>
    <x v="22"/>
    <x v="17"/>
    <x v="1"/>
    <n v="16291145.335999999"/>
    <x v="1"/>
  </r>
  <r>
    <x v="22"/>
    <x v="13"/>
    <x v="1"/>
    <n v="19049437.647"/>
    <x v="1"/>
  </r>
  <r>
    <x v="22"/>
    <x v="18"/>
    <x v="1"/>
    <n v="18400982.328000002"/>
    <x v="1"/>
  </r>
  <r>
    <x v="22"/>
    <x v="19"/>
    <x v="1"/>
    <n v="16069180.726"/>
    <x v="1"/>
  </r>
  <r>
    <x v="22"/>
    <x v="20"/>
    <x v="1"/>
    <n v="13925811.566"/>
    <x v="1"/>
  </r>
  <r>
    <x v="22"/>
    <x v="14"/>
    <x v="1"/>
    <n v="18897112.353"/>
    <x v="1"/>
  </r>
  <r>
    <x v="22"/>
    <x v="1"/>
    <x v="1"/>
    <n v="24408471.846999999"/>
    <x v="1"/>
  </r>
  <r>
    <x v="22"/>
    <x v="3"/>
    <x v="1"/>
    <n v="17613277.357000001"/>
    <x v="1"/>
  </r>
  <r>
    <x v="22"/>
    <x v="15"/>
    <x v="1"/>
    <n v="16212107.216"/>
    <x v="1"/>
  </r>
  <r>
    <x v="22"/>
    <x v="4"/>
    <x v="1"/>
    <n v="9929351.4509999901"/>
    <x v="1"/>
  </r>
  <r>
    <x v="55"/>
    <x v="11"/>
    <x v="1"/>
    <n v="130926382.094"/>
    <x v="1"/>
  </r>
  <r>
    <x v="55"/>
    <x v="12"/>
    <x v="1"/>
    <n v="140571057.553"/>
    <x v="1"/>
  </r>
  <r>
    <x v="55"/>
    <x v="16"/>
    <x v="1"/>
    <n v="161659473.50400001"/>
    <x v="1"/>
  </r>
  <r>
    <x v="55"/>
    <x v="21"/>
    <x v="1"/>
    <n v="168187654.41499999"/>
    <x v="1"/>
  </r>
  <r>
    <x v="55"/>
    <x v="0"/>
    <x v="1"/>
    <n v="142436245.16100001"/>
    <x v="1"/>
  </r>
  <r>
    <x v="55"/>
    <x v="2"/>
    <x v="1"/>
    <n v="102925986.19400001"/>
    <x v="1"/>
  </r>
  <r>
    <x v="55"/>
    <x v="17"/>
    <x v="1"/>
    <n v="78768180.175999999"/>
    <x v="1"/>
  </r>
  <r>
    <x v="55"/>
    <x v="13"/>
    <x v="1"/>
    <n v="113885213.745"/>
    <x v="1"/>
  </r>
  <r>
    <x v="55"/>
    <x v="18"/>
    <x v="1"/>
    <n v="143779342.05899999"/>
    <x v="1"/>
  </r>
  <r>
    <x v="55"/>
    <x v="19"/>
    <x v="1"/>
    <n v="118126541.633"/>
    <x v="1"/>
  </r>
  <r>
    <x v="55"/>
    <x v="20"/>
    <x v="1"/>
    <n v="170446408.37"/>
    <x v="1"/>
  </r>
  <r>
    <x v="55"/>
    <x v="14"/>
    <x v="1"/>
    <n v="151642379.558"/>
    <x v="1"/>
  </r>
  <r>
    <x v="55"/>
    <x v="1"/>
    <x v="1"/>
    <n v="96630522.859999999"/>
    <x v="1"/>
  </r>
  <r>
    <x v="55"/>
    <x v="3"/>
    <x v="1"/>
    <n v="121933369.83499999"/>
    <x v="1"/>
  </r>
  <r>
    <x v="55"/>
    <x v="15"/>
    <x v="1"/>
    <n v="99268172.713"/>
    <x v="1"/>
  </r>
  <r>
    <x v="55"/>
    <x v="4"/>
    <x v="1"/>
    <n v="96448560.426999897"/>
    <x v="1"/>
  </r>
  <r>
    <x v="56"/>
    <x v="13"/>
    <x v="1"/>
    <n v="3385256.6260000002"/>
    <x v="1"/>
  </r>
  <r>
    <x v="56"/>
    <x v="18"/>
    <x v="1"/>
    <n v="3210990.2969999998"/>
    <x v="1"/>
  </r>
  <r>
    <x v="25"/>
    <x v="21"/>
    <x v="1"/>
    <n v="369210.49300000002"/>
    <x v="1"/>
  </r>
  <r>
    <x v="26"/>
    <x v="2"/>
    <x v="1"/>
    <n v="2732065.3820000002"/>
    <x v="1"/>
  </r>
  <r>
    <x v="26"/>
    <x v="17"/>
    <x v="1"/>
    <n v="4895793.2390000001"/>
    <x v="1"/>
  </r>
  <r>
    <x v="26"/>
    <x v="13"/>
    <x v="1"/>
    <n v="9681760.3619999997"/>
    <x v="1"/>
  </r>
  <r>
    <x v="26"/>
    <x v="19"/>
    <x v="1"/>
    <n v="5644482.4649999999"/>
    <x v="1"/>
  </r>
  <r>
    <x v="26"/>
    <x v="20"/>
    <x v="1"/>
    <n v="2894292.787"/>
    <x v="1"/>
  </r>
  <r>
    <x v="26"/>
    <x v="3"/>
    <x v="1"/>
    <n v="2583349.6579999998"/>
    <x v="1"/>
  </r>
  <r>
    <x v="57"/>
    <x v="11"/>
    <x v="1"/>
    <n v="11550156.245999999"/>
    <x v="1"/>
  </r>
  <r>
    <x v="57"/>
    <x v="13"/>
    <x v="1"/>
    <n v="4680615.4989999998"/>
    <x v="1"/>
  </r>
  <r>
    <x v="57"/>
    <x v="18"/>
    <x v="1"/>
    <n v="8004410.2479999997"/>
    <x v="1"/>
  </r>
  <r>
    <x v="57"/>
    <x v="19"/>
    <x v="1"/>
    <n v="10044333.842"/>
    <x v="1"/>
  </r>
  <r>
    <x v="57"/>
    <x v="20"/>
    <x v="1"/>
    <n v="15003412.989"/>
    <x v="1"/>
  </r>
  <r>
    <x v="57"/>
    <x v="14"/>
    <x v="1"/>
    <n v="7170697.6430000002"/>
    <x v="1"/>
  </r>
  <r>
    <x v="57"/>
    <x v="1"/>
    <x v="1"/>
    <n v="8483465.727"/>
    <x v="1"/>
  </r>
  <r>
    <x v="57"/>
    <x v="3"/>
    <x v="1"/>
    <n v="12581455.763"/>
    <x v="1"/>
  </r>
  <r>
    <x v="57"/>
    <x v="15"/>
    <x v="1"/>
    <n v="9321623.8120000008"/>
    <x v="1"/>
  </r>
  <r>
    <x v="57"/>
    <x v="4"/>
    <x v="1"/>
    <n v="18448715.767999999"/>
    <x v="1"/>
  </r>
  <r>
    <x v="27"/>
    <x v="18"/>
    <x v="1"/>
    <n v="94812613.024000004"/>
    <x v="1"/>
  </r>
  <r>
    <x v="58"/>
    <x v="11"/>
    <x v="1"/>
    <n v="80846686.716000006"/>
    <x v="1"/>
  </r>
  <r>
    <x v="58"/>
    <x v="12"/>
    <x v="1"/>
    <n v="53344419.082000002"/>
    <x v="1"/>
  </r>
  <r>
    <x v="58"/>
    <x v="16"/>
    <x v="1"/>
    <n v="89275883.420000002"/>
    <x v="1"/>
  </r>
  <r>
    <x v="58"/>
    <x v="21"/>
    <x v="1"/>
    <n v="123117810.95"/>
    <x v="1"/>
  </r>
  <r>
    <x v="58"/>
    <x v="0"/>
    <x v="1"/>
    <n v="104872217.09900001"/>
    <x v="1"/>
  </r>
  <r>
    <x v="58"/>
    <x v="2"/>
    <x v="1"/>
    <n v="110603348.469"/>
    <x v="1"/>
  </r>
  <r>
    <x v="58"/>
    <x v="17"/>
    <x v="1"/>
    <n v="159145307.322"/>
    <x v="1"/>
  </r>
  <r>
    <x v="58"/>
    <x v="19"/>
    <x v="1"/>
    <n v="198030372.609"/>
    <x v="1"/>
  </r>
  <r>
    <x v="58"/>
    <x v="20"/>
    <x v="1"/>
    <n v="167450541.44499999"/>
    <x v="1"/>
  </r>
  <r>
    <x v="58"/>
    <x v="14"/>
    <x v="1"/>
    <n v="182018459.97099999"/>
    <x v="1"/>
  </r>
  <r>
    <x v="58"/>
    <x v="1"/>
    <x v="1"/>
    <n v="234754940.391"/>
    <x v="1"/>
  </r>
  <r>
    <x v="58"/>
    <x v="3"/>
    <x v="1"/>
    <n v="157097405.65799999"/>
    <x v="1"/>
  </r>
  <r>
    <x v="58"/>
    <x v="15"/>
    <x v="1"/>
    <n v="143933321.495"/>
    <x v="1"/>
  </r>
  <r>
    <x v="28"/>
    <x v="11"/>
    <x v="1"/>
    <n v="13232058.458000001"/>
    <x v="1"/>
  </r>
  <r>
    <x v="28"/>
    <x v="12"/>
    <x v="1"/>
    <n v="22688988.743999999"/>
    <x v="1"/>
  </r>
  <r>
    <x v="28"/>
    <x v="16"/>
    <x v="1"/>
    <n v="42246289.995999999"/>
    <x v="1"/>
  </r>
  <r>
    <x v="28"/>
    <x v="21"/>
    <x v="1"/>
    <n v="28873033.756000001"/>
    <x v="1"/>
  </r>
  <r>
    <x v="28"/>
    <x v="0"/>
    <x v="1"/>
    <n v="56614873.594999999"/>
    <x v="1"/>
  </r>
  <r>
    <x v="28"/>
    <x v="2"/>
    <x v="1"/>
    <n v="34026403.233999997"/>
    <x v="1"/>
  </r>
  <r>
    <x v="28"/>
    <x v="17"/>
    <x v="1"/>
    <n v="50100107.244000003"/>
    <x v="1"/>
  </r>
  <r>
    <x v="28"/>
    <x v="13"/>
    <x v="1"/>
    <n v="32454580.311000001"/>
    <x v="1"/>
  </r>
  <r>
    <x v="28"/>
    <x v="18"/>
    <x v="1"/>
    <n v="26239979.254999999"/>
    <x v="1"/>
  </r>
  <r>
    <x v="28"/>
    <x v="19"/>
    <x v="1"/>
    <n v="30123531.052000001"/>
    <x v="1"/>
  </r>
  <r>
    <x v="28"/>
    <x v="20"/>
    <x v="1"/>
    <n v="29606046.574000001"/>
    <x v="1"/>
  </r>
  <r>
    <x v="28"/>
    <x v="14"/>
    <x v="1"/>
    <n v="40561403.601000004"/>
    <x v="1"/>
  </r>
  <r>
    <x v="28"/>
    <x v="1"/>
    <x v="1"/>
    <n v="49144931.108000003"/>
    <x v="1"/>
  </r>
  <r>
    <x v="28"/>
    <x v="3"/>
    <x v="1"/>
    <n v="52220603.390000001"/>
    <x v="1"/>
  </r>
  <r>
    <x v="28"/>
    <x v="15"/>
    <x v="1"/>
    <n v="44390537.831"/>
    <x v="1"/>
  </r>
  <r>
    <x v="28"/>
    <x v="4"/>
    <x v="1"/>
    <n v="30594394.035999998"/>
    <x v="1"/>
  </r>
  <r>
    <x v="29"/>
    <x v="11"/>
    <x v="1"/>
    <n v="73712040"/>
    <x v="1"/>
  </r>
  <r>
    <x v="29"/>
    <x v="12"/>
    <x v="1"/>
    <n v="146280629"/>
    <x v="1"/>
  </r>
  <r>
    <x v="29"/>
    <x v="16"/>
    <x v="1"/>
    <n v="133990366"/>
    <x v="1"/>
  </r>
  <r>
    <x v="29"/>
    <x v="21"/>
    <x v="1"/>
    <n v="116414065"/>
    <x v="1"/>
  </r>
  <r>
    <x v="29"/>
    <x v="0"/>
    <x v="1"/>
    <n v="54960792"/>
    <x v="1"/>
  </r>
  <r>
    <x v="29"/>
    <x v="2"/>
    <x v="1"/>
    <n v="45647688"/>
    <x v="1"/>
  </r>
  <r>
    <x v="29"/>
    <x v="17"/>
    <x v="1"/>
    <n v="67433734"/>
    <x v="1"/>
  </r>
  <r>
    <x v="29"/>
    <x v="13"/>
    <x v="1"/>
    <n v="21446632"/>
    <x v="1"/>
  </r>
  <r>
    <x v="29"/>
    <x v="18"/>
    <x v="1"/>
    <n v="28668904"/>
    <x v="1"/>
  </r>
  <r>
    <x v="29"/>
    <x v="19"/>
    <x v="1"/>
    <n v="27546282"/>
    <x v="1"/>
  </r>
  <r>
    <x v="29"/>
    <x v="14"/>
    <x v="1"/>
    <n v="27262101"/>
    <x v="1"/>
  </r>
  <r>
    <x v="29"/>
    <x v="1"/>
    <x v="1"/>
    <n v="32641513"/>
    <x v="1"/>
  </r>
  <r>
    <x v="29"/>
    <x v="3"/>
    <x v="1"/>
    <n v="34034082"/>
    <x v="1"/>
  </r>
  <r>
    <x v="29"/>
    <x v="15"/>
    <x v="1"/>
    <n v="56369338"/>
    <x v="1"/>
  </r>
  <r>
    <x v="29"/>
    <x v="4"/>
    <x v="1"/>
    <n v="19755383"/>
    <x v="1"/>
  </r>
  <r>
    <x v="30"/>
    <x v="23"/>
    <x v="1"/>
    <n v="9332600.7799999993"/>
    <x v="1"/>
  </r>
  <r>
    <x v="30"/>
    <x v="24"/>
    <x v="1"/>
    <n v="4060916.9920000001"/>
    <x v="1"/>
  </r>
  <r>
    <x v="30"/>
    <x v="25"/>
    <x v="1"/>
    <n v="36260463.870999999"/>
    <x v="1"/>
  </r>
  <r>
    <x v="30"/>
    <x v="5"/>
    <x v="1"/>
    <n v="14079392.971999999"/>
    <x v="1"/>
  </r>
  <r>
    <x v="30"/>
    <x v="22"/>
    <x v="1"/>
    <n v="62372618.351999998"/>
    <x v="1"/>
  </r>
  <r>
    <x v="30"/>
    <x v="6"/>
    <x v="1"/>
    <n v="8400331.3550000004"/>
    <x v="1"/>
  </r>
  <r>
    <x v="30"/>
    <x v="7"/>
    <x v="1"/>
    <n v="71858797.218999997"/>
    <x v="1"/>
  </r>
  <r>
    <x v="30"/>
    <x v="8"/>
    <x v="1"/>
    <n v="38273122.252999999"/>
    <x v="1"/>
  </r>
  <r>
    <x v="30"/>
    <x v="9"/>
    <x v="1"/>
    <n v="48411646.309"/>
    <x v="1"/>
  </r>
  <r>
    <x v="30"/>
    <x v="10"/>
    <x v="1"/>
    <n v="13633377.364"/>
    <x v="1"/>
  </r>
  <r>
    <x v="30"/>
    <x v="11"/>
    <x v="1"/>
    <n v="265834700.458"/>
    <x v="1"/>
  </r>
  <r>
    <x v="30"/>
    <x v="12"/>
    <x v="1"/>
    <n v="107431591.638"/>
    <x v="1"/>
  </r>
  <r>
    <x v="30"/>
    <x v="16"/>
    <x v="1"/>
    <n v="142874816.61300001"/>
    <x v="1"/>
  </r>
  <r>
    <x v="30"/>
    <x v="21"/>
    <x v="1"/>
    <n v="650587829.78699994"/>
    <x v="1"/>
  </r>
  <r>
    <x v="30"/>
    <x v="0"/>
    <x v="1"/>
    <n v="113767404.234"/>
    <x v="1"/>
  </r>
  <r>
    <x v="30"/>
    <x v="2"/>
    <x v="1"/>
    <n v="101762452.45900001"/>
    <x v="1"/>
  </r>
  <r>
    <x v="30"/>
    <x v="17"/>
    <x v="1"/>
    <n v="72698682.520999998"/>
    <x v="1"/>
  </r>
  <r>
    <x v="30"/>
    <x v="13"/>
    <x v="1"/>
    <n v="79283654.713999897"/>
    <x v="1"/>
  </r>
  <r>
    <x v="30"/>
    <x v="18"/>
    <x v="1"/>
    <n v="92747436.813999996"/>
    <x v="1"/>
  </r>
  <r>
    <x v="30"/>
    <x v="19"/>
    <x v="1"/>
    <n v="86538555.437999994"/>
    <x v="1"/>
  </r>
  <r>
    <x v="30"/>
    <x v="20"/>
    <x v="1"/>
    <n v="84299185.215000004"/>
    <x v="1"/>
  </r>
  <r>
    <x v="30"/>
    <x v="14"/>
    <x v="1"/>
    <n v="76642912.997999996"/>
    <x v="1"/>
  </r>
  <r>
    <x v="30"/>
    <x v="1"/>
    <x v="1"/>
    <n v="74743437.721000001"/>
    <x v="1"/>
  </r>
  <r>
    <x v="30"/>
    <x v="3"/>
    <x v="1"/>
    <n v="79555960.754999995"/>
    <x v="1"/>
  </r>
  <r>
    <x v="30"/>
    <x v="15"/>
    <x v="1"/>
    <n v="91141576.406000003"/>
    <x v="1"/>
  </r>
  <r>
    <x v="30"/>
    <x v="4"/>
    <x v="1"/>
    <n v="35084072.839000002"/>
    <x v="1"/>
  </r>
  <r>
    <x v="31"/>
    <x v="5"/>
    <x v="1"/>
    <n v="65974986.1269999"/>
    <x v="1"/>
  </r>
  <r>
    <x v="31"/>
    <x v="6"/>
    <x v="1"/>
    <n v="108291298.823"/>
    <x v="1"/>
  </r>
  <r>
    <x v="31"/>
    <x v="7"/>
    <x v="1"/>
    <n v="128650999.809"/>
    <x v="1"/>
  </r>
  <r>
    <x v="31"/>
    <x v="8"/>
    <x v="1"/>
    <n v="260820987.866"/>
    <x v="1"/>
  </r>
  <r>
    <x v="31"/>
    <x v="11"/>
    <x v="1"/>
    <n v="1664553363.6830001"/>
    <x v="1"/>
  </r>
  <r>
    <x v="31"/>
    <x v="12"/>
    <x v="1"/>
    <n v="2349768456.9029999"/>
    <x v="1"/>
  </r>
  <r>
    <x v="31"/>
    <x v="16"/>
    <x v="1"/>
    <n v="4376972933.7799997"/>
    <x v="1"/>
  </r>
  <r>
    <x v="31"/>
    <x v="21"/>
    <x v="1"/>
    <n v="3091804344.2049999"/>
    <x v="1"/>
  </r>
  <r>
    <x v="31"/>
    <x v="0"/>
    <x v="1"/>
    <n v="2921464080.3470001"/>
    <x v="1"/>
  </r>
  <r>
    <x v="31"/>
    <x v="2"/>
    <x v="1"/>
    <n v="2392500002.1529999"/>
    <x v="1"/>
  </r>
  <r>
    <x v="31"/>
    <x v="17"/>
    <x v="1"/>
    <n v="2412623995.3070002"/>
    <x v="1"/>
  </r>
  <r>
    <x v="31"/>
    <x v="13"/>
    <x v="1"/>
    <n v="2932554086.4749999"/>
    <x v="1"/>
  </r>
  <r>
    <x v="31"/>
    <x v="18"/>
    <x v="1"/>
    <n v="2672821847.994"/>
    <x v="1"/>
  </r>
  <r>
    <x v="31"/>
    <x v="19"/>
    <x v="1"/>
    <n v="2451483785.776"/>
    <x v="1"/>
  </r>
  <r>
    <x v="31"/>
    <x v="20"/>
    <x v="1"/>
    <n v="2331385627.552"/>
    <x v="1"/>
  </r>
  <r>
    <x v="31"/>
    <x v="14"/>
    <x v="1"/>
    <n v="2524459608.6199999"/>
    <x v="1"/>
  </r>
  <r>
    <x v="31"/>
    <x v="1"/>
    <x v="1"/>
    <n v="3016027586.6350002"/>
    <x v="1"/>
  </r>
  <r>
    <x v="31"/>
    <x v="3"/>
    <x v="1"/>
    <n v="2585383302.138"/>
    <x v="1"/>
  </r>
  <r>
    <x v="31"/>
    <x v="15"/>
    <x v="1"/>
    <n v="2376905163.2010002"/>
    <x v="1"/>
  </r>
  <r>
    <x v="31"/>
    <x v="4"/>
    <x v="1"/>
    <n v="2552740737.8390002"/>
    <x v="1"/>
  </r>
  <r>
    <x v="59"/>
    <x v="23"/>
    <x v="1"/>
    <n v="12771248.818"/>
    <x v="1"/>
  </r>
  <r>
    <x v="59"/>
    <x v="24"/>
    <x v="1"/>
    <n v="24162868.986000001"/>
    <x v="1"/>
  </r>
  <r>
    <x v="59"/>
    <x v="8"/>
    <x v="1"/>
    <n v="24128578.988000002"/>
    <x v="1"/>
  </r>
  <r>
    <x v="59"/>
    <x v="9"/>
    <x v="1"/>
    <n v="29391014.368000001"/>
    <x v="1"/>
  </r>
  <r>
    <x v="59"/>
    <x v="14"/>
    <x v="1"/>
    <n v="21326120.679000001"/>
    <x v="1"/>
  </r>
  <r>
    <x v="59"/>
    <x v="1"/>
    <x v="1"/>
    <n v="29043650.131999999"/>
    <x v="1"/>
  </r>
  <r>
    <x v="59"/>
    <x v="3"/>
    <x v="1"/>
    <n v="48166368.560999997"/>
    <x v="1"/>
  </r>
  <r>
    <x v="60"/>
    <x v="12"/>
    <x v="1"/>
    <n v="22069991.609999999"/>
    <x v="1"/>
  </r>
  <r>
    <x v="60"/>
    <x v="16"/>
    <x v="1"/>
    <n v="105593633.236"/>
    <x v="1"/>
  </r>
  <r>
    <x v="60"/>
    <x v="21"/>
    <x v="1"/>
    <n v="29762280.723000001"/>
    <x v="1"/>
  </r>
  <r>
    <x v="60"/>
    <x v="0"/>
    <x v="1"/>
    <n v="23948924.934999999"/>
    <x v="1"/>
  </r>
  <r>
    <x v="60"/>
    <x v="2"/>
    <x v="1"/>
    <n v="8355707.96"/>
    <x v="1"/>
  </r>
  <r>
    <x v="60"/>
    <x v="17"/>
    <x v="1"/>
    <n v="6612928.4900000002"/>
    <x v="1"/>
  </r>
  <r>
    <x v="60"/>
    <x v="13"/>
    <x v="1"/>
    <n v="22566060.967999998"/>
    <x v="1"/>
  </r>
  <r>
    <x v="60"/>
    <x v="18"/>
    <x v="1"/>
    <n v="18920125.309999999"/>
    <x v="1"/>
  </r>
  <r>
    <x v="60"/>
    <x v="19"/>
    <x v="1"/>
    <n v="11790226.327"/>
    <x v="1"/>
  </r>
  <r>
    <x v="60"/>
    <x v="20"/>
    <x v="1"/>
    <n v="5011202.57"/>
    <x v="1"/>
  </r>
  <r>
    <x v="60"/>
    <x v="14"/>
    <x v="1"/>
    <n v="7931806.5810000002"/>
    <x v="1"/>
  </r>
  <r>
    <x v="60"/>
    <x v="1"/>
    <x v="1"/>
    <n v="14029136.140000001"/>
    <x v="1"/>
  </r>
  <r>
    <x v="60"/>
    <x v="3"/>
    <x v="1"/>
    <n v="26841163.317000002"/>
    <x v="1"/>
  </r>
  <r>
    <x v="60"/>
    <x v="15"/>
    <x v="1"/>
    <n v="7012608.9249999998"/>
    <x v="1"/>
  </r>
  <r>
    <x v="61"/>
    <x v="20"/>
    <x v="1"/>
    <n v="5620397.8059999999"/>
    <x v="1"/>
  </r>
  <r>
    <x v="61"/>
    <x v="14"/>
    <x v="1"/>
    <n v="7003404.6289999997"/>
    <x v="1"/>
  </r>
  <r>
    <x v="61"/>
    <x v="1"/>
    <x v="1"/>
    <n v="7316205.9419999998"/>
    <x v="1"/>
  </r>
  <r>
    <x v="32"/>
    <x v="12"/>
    <x v="1"/>
    <n v="12654042.296"/>
    <x v="1"/>
  </r>
  <r>
    <x v="32"/>
    <x v="16"/>
    <x v="1"/>
    <n v="27043030.954"/>
    <x v="1"/>
  </r>
  <r>
    <x v="32"/>
    <x v="21"/>
    <x v="1"/>
    <n v="31152098.831"/>
    <x v="1"/>
  </r>
  <r>
    <x v="32"/>
    <x v="0"/>
    <x v="1"/>
    <n v="37188920.314999998"/>
    <x v="1"/>
  </r>
  <r>
    <x v="32"/>
    <x v="2"/>
    <x v="1"/>
    <n v="24343565.602000002"/>
    <x v="1"/>
  </r>
  <r>
    <x v="32"/>
    <x v="17"/>
    <x v="1"/>
    <n v="33826592.644000001"/>
    <x v="1"/>
  </r>
  <r>
    <x v="32"/>
    <x v="13"/>
    <x v="1"/>
    <n v="39005590.472000003"/>
    <x v="1"/>
  </r>
  <r>
    <x v="32"/>
    <x v="18"/>
    <x v="1"/>
    <n v="35217973.508000001"/>
    <x v="1"/>
  </r>
  <r>
    <x v="32"/>
    <x v="19"/>
    <x v="1"/>
    <n v="32085922.131999999"/>
    <x v="1"/>
  </r>
  <r>
    <x v="32"/>
    <x v="20"/>
    <x v="1"/>
    <n v="31543058.443999998"/>
    <x v="1"/>
  </r>
  <r>
    <x v="32"/>
    <x v="14"/>
    <x v="1"/>
    <n v="39009084.567000002"/>
    <x v="1"/>
  </r>
  <r>
    <x v="32"/>
    <x v="1"/>
    <x v="1"/>
    <n v="52690887.159000002"/>
    <x v="1"/>
  </r>
  <r>
    <x v="32"/>
    <x v="3"/>
    <x v="1"/>
    <n v="47990782.122000001"/>
    <x v="1"/>
  </r>
  <r>
    <x v="32"/>
    <x v="15"/>
    <x v="1"/>
    <n v="45520971.740999997"/>
    <x v="1"/>
  </r>
  <r>
    <x v="32"/>
    <x v="4"/>
    <x v="1"/>
    <n v="35747670.489"/>
    <x v="1"/>
  </r>
  <r>
    <x v="62"/>
    <x v="11"/>
    <x v="1"/>
    <n v="26347494.794"/>
    <x v="1"/>
  </r>
  <r>
    <x v="62"/>
    <x v="12"/>
    <x v="1"/>
    <n v="43380751.291000001"/>
    <x v="1"/>
  </r>
  <r>
    <x v="62"/>
    <x v="16"/>
    <x v="1"/>
    <n v="56893343.285999998"/>
    <x v="1"/>
  </r>
  <r>
    <x v="62"/>
    <x v="21"/>
    <x v="1"/>
    <n v="52812134.317000002"/>
    <x v="1"/>
  </r>
  <r>
    <x v="62"/>
    <x v="0"/>
    <x v="1"/>
    <n v="36588570.236000001"/>
    <x v="1"/>
  </r>
  <r>
    <x v="62"/>
    <x v="2"/>
    <x v="1"/>
    <n v="33080081.322000001"/>
    <x v="1"/>
  </r>
  <r>
    <x v="62"/>
    <x v="17"/>
    <x v="1"/>
    <n v="25842702.124000002"/>
    <x v="1"/>
  </r>
  <r>
    <x v="62"/>
    <x v="13"/>
    <x v="1"/>
    <n v="25482222.256999999"/>
    <x v="1"/>
  </r>
  <r>
    <x v="62"/>
    <x v="18"/>
    <x v="1"/>
    <n v="26271613.166999999"/>
    <x v="1"/>
  </r>
  <r>
    <x v="62"/>
    <x v="19"/>
    <x v="1"/>
    <n v="28501868.701000001"/>
    <x v="1"/>
  </r>
  <r>
    <x v="62"/>
    <x v="20"/>
    <x v="1"/>
    <n v="33854254.725000001"/>
    <x v="1"/>
  </r>
  <r>
    <x v="62"/>
    <x v="14"/>
    <x v="1"/>
    <n v="25539172.259"/>
    <x v="1"/>
  </r>
  <r>
    <x v="62"/>
    <x v="1"/>
    <x v="1"/>
    <n v="19400137.693999998"/>
    <x v="1"/>
  </r>
  <r>
    <x v="62"/>
    <x v="3"/>
    <x v="1"/>
    <n v="13447409.223999999"/>
    <x v="1"/>
  </r>
  <r>
    <x v="62"/>
    <x v="15"/>
    <x v="1"/>
    <n v="11097374.959000001"/>
    <x v="1"/>
  </r>
  <r>
    <x v="62"/>
    <x v="4"/>
    <x v="1"/>
    <n v="10637961.823000001"/>
    <x v="1"/>
  </r>
  <r>
    <x v="63"/>
    <x v="19"/>
    <x v="1"/>
    <n v="22231762.09"/>
    <x v="1"/>
  </r>
  <r>
    <x v="63"/>
    <x v="20"/>
    <x v="1"/>
    <n v="27788222.329999998"/>
    <x v="1"/>
  </r>
  <r>
    <x v="63"/>
    <x v="14"/>
    <x v="1"/>
    <n v="25214933.43"/>
    <x v="1"/>
  </r>
  <r>
    <x v="63"/>
    <x v="1"/>
    <x v="1"/>
    <n v="34940084.329999998"/>
    <x v="1"/>
  </r>
  <r>
    <x v="63"/>
    <x v="3"/>
    <x v="1"/>
    <n v="38919835.479999997"/>
    <x v="1"/>
  </r>
  <r>
    <x v="33"/>
    <x v="2"/>
    <x v="1"/>
    <n v="2868340.4449999998"/>
    <x v="1"/>
  </r>
  <r>
    <x v="33"/>
    <x v="17"/>
    <x v="1"/>
    <n v="8283362.0630000001"/>
    <x v="1"/>
  </r>
  <r>
    <x v="33"/>
    <x v="18"/>
    <x v="1"/>
    <n v="27773838.850000001"/>
    <x v="1"/>
  </r>
  <r>
    <x v="33"/>
    <x v="1"/>
    <x v="1"/>
    <n v="13855599.452"/>
    <x v="1"/>
  </r>
  <r>
    <x v="33"/>
    <x v="3"/>
    <x v="1"/>
    <n v="10538475.929"/>
    <x v="1"/>
  </r>
  <r>
    <x v="64"/>
    <x v="11"/>
    <x v="1"/>
    <n v="5405105.2759999996"/>
    <x v="1"/>
  </r>
  <r>
    <x v="64"/>
    <x v="12"/>
    <x v="1"/>
    <n v="5305073.0290000001"/>
    <x v="1"/>
  </r>
  <r>
    <x v="64"/>
    <x v="16"/>
    <x v="1"/>
    <n v="8935396.3829999994"/>
    <x v="1"/>
  </r>
  <r>
    <x v="64"/>
    <x v="21"/>
    <x v="1"/>
    <n v="3255866.5950000002"/>
    <x v="1"/>
  </r>
  <r>
    <x v="64"/>
    <x v="0"/>
    <x v="1"/>
    <n v="11436583.987"/>
    <x v="1"/>
  </r>
  <r>
    <x v="64"/>
    <x v="2"/>
    <x v="1"/>
    <n v="5876263.4539999999"/>
    <x v="1"/>
  </r>
  <r>
    <x v="64"/>
    <x v="17"/>
    <x v="1"/>
    <n v="7709067.7939999998"/>
    <x v="1"/>
  </r>
  <r>
    <x v="64"/>
    <x v="19"/>
    <x v="1"/>
    <n v="9696908.8279999997"/>
    <x v="1"/>
  </r>
  <r>
    <x v="64"/>
    <x v="20"/>
    <x v="1"/>
    <n v="3338643.3569999998"/>
    <x v="1"/>
  </r>
  <r>
    <x v="64"/>
    <x v="3"/>
    <x v="1"/>
    <n v="12208681.499"/>
    <x v="1"/>
  </r>
  <r>
    <x v="64"/>
    <x v="15"/>
    <x v="1"/>
    <n v="16997139.964000002"/>
    <x v="1"/>
  </r>
  <r>
    <x v="64"/>
    <x v="4"/>
    <x v="1"/>
    <n v="10250815.347999999"/>
    <x v="1"/>
  </r>
  <r>
    <x v="65"/>
    <x v="11"/>
    <x v="1"/>
    <n v="12953270"/>
    <x v="1"/>
  </r>
  <r>
    <x v="65"/>
    <x v="12"/>
    <x v="1"/>
    <n v="5500141"/>
    <x v="1"/>
  </r>
  <r>
    <x v="65"/>
    <x v="16"/>
    <x v="1"/>
    <n v="6997003"/>
    <x v="1"/>
  </r>
  <r>
    <x v="65"/>
    <x v="21"/>
    <x v="1"/>
    <n v="6211250"/>
    <x v="1"/>
  </r>
  <r>
    <x v="65"/>
    <x v="0"/>
    <x v="1"/>
    <n v="7217008"/>
    <x v="1"/>
  </r>
  <r>
    <x v="65"/>
    <x v="2"/>
    <x v="1"/>
    <n v="6385054"/>
    <x v="1"/>
  </r>
  <r>
    <x v="65"/>
    <x v="17"/>
    <x v="1"/>
    <n v="11229026"/>
    <x v="1"/>
  </r>
  <r>
    <x v="65"/>
    <x v="13"/>
    <x v="1"/>
    <n v="6261956"/>
    <x v="1"/>
  </r>
  <r>
    <x v="65"/>
    <x v="18"/>
    <x v="1"/>
    <n v="16163648"/>
    <x v="1"/>
  </r>
  <r>
    <x v="65"/>
    <x v="19"/>
    <x v="1"/>
    <n v="10714054"/>
    <x v="1"/>
  </r>
  <r>
    <x v="65"/>
    <x v="20"/>
    <x v="1"/>
    <n v="16043482"/>
    <x v="1"/>
  </r>
  <r>
    <x v="65"/>
    <x v="14"/>
    <x v="1"/>
    <n v="13830475"/>
    <x v="1"/>
  </r>
  <r>
    <x v="65"/>
    <x v="1"/>
    <x v="1"/>
    <n v="16115345"/>
    <x v="1"/>
  </r>
  <r>
    <x v="65"/>
    <x v="3"/>
    <x v="1"/>
    <n v="14701272"/>
    <x v="1"/>
  </r>
  <r>
    <x v="65"/>
    <x v="15"/>
    <x v="1"/>
    <n v="21979117"/>
    <x v="1"/>
  </r>
  <r>
    <x v="65"/>
    <x v="4"/>
    <x v="1"/>
    <n v="36218865"/>
    <x v="1"/>
  </r>
  <r>
    <x v="34"/>
    <x v="17"/>
    <x v="1"/>
    <n v="15080299.220000001"/>
    <x v="1"/>
  </r>
  <r>
    <x v="34"/>
    <x v="13"/>
    <x v="1"/>
    <n v="14182672.619999999"/>
    <x v="1"/>
  </r>
  <r>
    <x v="34"/>
    <x v="18"/>
    <x v="1"/>
    <n v="3118502.37"/>
    <x v="1"/>
  </r>
  <r>
    <x v="34"/>
    <x v="15"/>
    <x v="1"/>
    <n v="3212743.96"/>
    <x v="1"/>
  </r>
  <r>
    <x v="34"/>
    <x v="4"/>
    <x v="1"/>
    <n v="1568775.14"/>
    <x v="1"/>
  </r>
  <r>
    <x v="35"/>
    <x v="11"/>
    <x v="1"/>
    <n v="104050419"/>
    <x v="1"/>
  </r>
  <r>
    <x v="35"/>
    <x v="12"/>
    <x v="1"/>
    <n v="82632511"/>
    <x v="1"/>
  </r>
  <r>
    <x v="35"/>
    <x v="16"/>
    <x v="1"/>
    <n v="106455739"/>
    <x v="1"/>
  </r>
  <r>
    <x v="35"/>
    <x v="21"/>
    <x v="1"/>
    <n v="99249006"/>
    <x v="1"/>
  </r>
  <r>
    <x v="35"/>
    <x v="0"/>
    <x v="1"/>
    <n v="89817526"/>
    <x v="1"/>
  </r>
  <r>
    <x v="35"/>
    <x v="2"/>
    <x v="1"/>
    <n v="56902728"/>
    <x v="1"/>
  </r>
  <r>
    <x v="35"/>
    <x v="17"/>
    <x v="1"/>
    <n v="66299911"/>
    <x v="1"/>
  </r>
  <r>
    <x v="35"/>
    <x v="13"/>
    <x v="1"/>
    <n v="115074747"/>
    <x v="1"/>
  </r>
  <r>
    <x v="35"/>
    <x v="18"/>
    <x v="1"/>
    <n v="125069271"/>
    <x v="1"/>
  </r>
  <r>
    <x v="35"/>
    <x v="19"/>
    <x v="1"/>
    <n v="116237204"/>
    <x v="1"/>
  </r>
  <r>
    <x v="35"/>
    <x v="14"/>
    <x v="1"/>
    <n v="41613587"/>
    <x v="1"/>
  </r>
  <r>
    <x v="35"/>
    <x v="1"/>
    <x v="1"/>
    <n v="60505273"/>
    <x v="1"/>
  </r>
  <r>
    <x v="35"/>
    <x v="3"/>
    <x v="1"/>
    <n v="75766709"/>
    <x v="1"/>
  </r>
  <r>
    <x v="35"/>
    <x v="15"/>
    <x v="1"/>
    <n v="63306050"/>
    <x v="1"/>
  </r>
  <r>
    <x v="35"/>
    <x v="4"/>
    <x v="1"/>
    <n v="43307931"/>
    <x v="1"/>
  </r>
  <r>
    <x v="36"/>
    <x v="11"/>
    <x v="1"/>
    <n v="19900172.602000002"/>
    <x v="1"/>
  </r>
  <r>
    <x v="36"/>
    <x v="12"/>
    <x v="1"/>
    <n v="27674479.568999998"/>
    <x v="1"/>
  </r>
  <r>
    <x v="36"/>
    <x v="16"/>
    <x v="1"/>
    <n v="33231041.635000002"/>
    <x v="1"/>
  </r>
  <r>
    <x v="36"/>
    <x v="21"/>
    <x v="1"/>
    <n v="46098513.969999999"/>
    <x v="1"/>
  </r>
  <r>
    <x v="36"/>
    <x v="0"/>
    <x v="1"/>
    <n v="60045516.784000002"/>
    <x v="1"/>
  </r>
  <r>
    <x v="36"/>
    <x v="2"/>
    <x v="1"/>
    <n v="38954647.579999998"/>
    <x v="1"/>
  </r>
  <r>
    <x v="36"/>
    <x v="17"/>
    <x v="1"/>
    <n v="30698594.085000001"/>
    <x v="1"/>
  </r>
  <r>
    <x v="36"/>
    <x v="13"/>
    <x v="1"/>
    <n v="35775176.538999997"/>
    <x v="1"/>
  </r>
  <r>
    <x v="36"/>
    <x v="18"/>
    <x v="1"/>
    <n v="39915729.880999997"/>
    <x v="1"/>
  </r>
  <r>
    <x v="36"/>
    <x v="19"/>
    <x v="1"/>
    <n v="37856235.717"/>
    <x v="1"/>
  </r>
  <r>
    <x v="36"/>
    <x v="20"/>
    <x v="1"/>
    <n v="23759531.295000002"/>
    <x v="1"/>
  </r>
  <r>
    <x v="36"/>
    <x v="14"/>
    <x v="1"/>
    <n v="42103849.340000004"/>
    <x v="1"/>
  </r>
  <r>
    <x v="36"/>
    <x v="1"/>
    <x v="1"/>
    <n v="57026251.586999997"/>
    <x v="1"/>
  </r>
  <r>
    <x v="36"/>
    <x v="3"/>
    <x v="1"/>
    <n v="74439443.638999999"/>
    <x v="1"/>
  </r>
  <r>
    <x v="36"/>
    <x v="15"/>
    <x v="1"/>
    <n v="88065028.334000006"/>
    <x v="1"/>
  </r>
  <r>
    <x v="36"/>
    <x v="4"/>
    <x v="1"/>
    <n v="102487638.465"/>
    <x v="1"/>
  </r>
  <r>
    <x v="37"/>
    <x v="2"/>
    <x v="1"/>
    <n v="448401485"/>
    <x v="1"/>
  </r>
  <r>
    <x v="37"/>
    <x v="17"/>
    <x v="1"/>
    <n v="530452203"/>
    <x v="1"/>
  </r>
  <r>
    <x v="37"/>
    <x v="13"/>
    <x v="1"/>
    <n v="578813697"/>
    <x v="1"/>
  </r>
  <r>
    <x v="37"/>
    <x v="18"/>
    <x v="1"/>
    <n v="567755169"/>
    <x v="1"/>
  </r>
  <r>
    <x v="37"/>
    <x v="19"/>
    <x v="1"/>
    <n v="517276604"/>
    <x v="1"/>
  </r>
  <r>
    <x v="37"/>
    <x v="20"/>
    <x v="1"/>
    <n v="475291067"/>
    <x v="1"/>
  </r>
  <r>
    <x v="37"/>
    <x v="14"/>
    <x v="1"/>
    <n v="517799580"/>
    <x v="1"/>
  </r>
  <r>
    <x v="37"/>
    <x v="1"/>
    <x v="1"/>
    <n v="544906966"/>
    <x v="1"/>
  </r>
  <r>
    <x v="37"/>
    <x v="3"/>
    <x v="1"/>
    <n v="517083689"/>
    <x v="1"/>
  </r>
  <r>
    <x v="37"/>
    <x v="15"/>
    <x v="1"/>
    <n v="543319746"/>
    <x v="1"/>
  </r>
  <r>
    <x v="66"/>
    <x v="18"/>
    <x v="1"/>
    <n v="5846626.5209999997"/>
    <x v="1"/>
  </r>
  <r>
    <x v="38"/>
    <x v="11"/>
    <x v="1"/>
    <n v="12039186.563999999"/>
    <x v="1"/>
  </r>
  <r>
    <x v="38"/>
    <x v="12"/>
    <x v="1"/>
    <n v="19179579.833000001"/>
    <x v="1"/>
  </r>
  <r>
    <x v="38"/>
    <x v="16"/>
    <x v="1"/>
    <n v="9485475.0879999995"/>
    <x v="1"/>
  </r>
  <r>
    <x v="38"/>
    <x v="21"/>
    <x v="1"/>
    <n v="26127218.456"/>
    <x v="1"/>
  </r>
  <r>
    <x v="38"/>
    <x v="0"/>
    <x v="1"/>
    <n v="6075378.2429999998"/>
    <x v="1"/>
  </r>
  <r>
    <x v="38"/>
    <x v="2"/>
    <x v="1"/>
    <n v="7746930.9460000005"/>
    <x v="1"/>
  </r>
  <r>
    <x v="38"/>
    <x v="17"/>
    <x v="1"/>
    <n v="28623256.811999999"/>
    <x v="1"/>
  </r>
  <r>
    <x v="38"/>
    <x v="13"/>
    <x v="1"/>
    <n v="45369342.744999997"/>
    <x v="1"/>
  </r>
  <r>
    <x v="38"/>
    <x v="18"/>
    <x v="1"/>
    <n v="60637151.542000003"/>
    <x v="1"/>
  </r>
  <r>
    <x v="38"/>
    <x v="19"/>
    <x v="1"/>
    <n v="44900657.140000001"/>
    <x v="1"/>
  </r>
  <r>
    <x v="38"/>
    <x v="20"/>
    <x v="1"/>
    <n v="40482798.825999998"/>
    <x v="1"/>
  </r>
  <r>
    <x v="38"/>
    <x v="1"/>
    <x v="1"/>
    <n v="27286250.372000001"/>
    <x v="1"/>
  </r>
  <r>
    <x v="39"/>
    <x v="10"/>
    <x v="1"/>
    <n v="166577728.16600001"/>
    <x v="1"/>
  </r>
  <r>
    <x v="39"/>
    <x v="11"/>
    <x v="1"/>
    <n v="63607714.681000002"/>
    <x v="1"/>
  </r>
  <r>
    <x v="39"/>
    <x v="12"/>
    <x v="1"/>
    <n v="20125073.936000001"/>
    <x v="1"/>
  </r>
  <r>
    <x v="39"/>
    <x v="21"/>
    <x v="1"/>
    <n v="53212737.008000001"/>
    <x v="1"/>
  </r>
  <r>
    <x v="39"/>
    <x v="17"/>
    <x v="1"/>
    <n v="16050915.709000001"/>
    <x v="1"/>
  </r>
  <r>
    <x v="39"/>
    <x v="13"/>
    <x v="1"/>
    <n v="37149758.484999999"/>
    <x v="1"/>
  </r>
  <r>
    <x v="39"/>
    <x v="18"/>
    <x v="1"/>
    <n v="75515465.318000004"/>
    <x v="1"/>
  </r>
  <r>
    <x v="39"/>
    <x v="19"/>
    <x v="1"/>
    <n v="54445716.773999996"/>
    <x v="1"/>
  </r>
  <r>
    <x v="39"/>
    <x v="20"/>
    <x v="1"/>
    <n v="64368619.773999996"/>
    <x v="1"/>
  </r>
  <r>
    <x v="39"/>
    <x v="14"/>
    <x v="1"/>
    <n v="97152628.109999999"/>
    <x v="1"/>
  </r>
  <r>
    <x v="39"/>
    <x v="1"/>
    <x v="1"/>
    <n v="59180453.626000002"/>
    <x v="1"/>
  </r>
  <r>
    <x v="67"/>
    <x v="12"/>
    <x v="1"/>
    <n v="17480956"/>
    <x v="1"/>
  </r>
  <r>
    <x v="67"/>
    <x v="16"/>
    <x v="1"/>
    <n v="36473537"/>
    <x v="1"/>
  </r>
  <r>
    <x v="67"/>
    <x v="21"/>
    <x v="1"/>
    <n v="9189930.7899999991"/>
    <x v="1"/>
  </r>
  <r>
    <x v="67"/>
    <x v="0"/>
    <x v="1"/>
    <n v="8948553.3340000007"/>
    <x v="1"/>
  </r>
  <r>
    <x v="67"/>
    <x v="2"/>
    <x v="1"/>
    <n v="21664149.809999999"/>
    <x v="1"/>
  </r>
  <r>
    <x v="67"/>
    <x v="17"/>
    <x v="1"/>
    <n v="6665392.0899999999"/>
    <x v="1"/>
  </r>
  <r>
    <x v="67"/>
    <x v="19"/>
    <x v="1"/>
    <n v="6311843.7240000004"/>
    <x v="1"/>
  </r>
  <r>
    <x v="67"/>
    <x v="20"/>
    <x v="1"/>
    <n v="7523662.8250000002"/>
    <x v="1"/>
  </r>
  <r>
    <x v="67"/>
    <x v="3"/>
    <x v="1"/>
    <n v="6917568.1239999998"/>
    <x v="1"/>
  </r>
  <r>
    <x v="67"/>
    <x v="15"/>
    <x v="1"/>
    <n v="19307684.395"/>
    <x v="1"/>
  </r>
  <r>
    <x v="67"/>
    <x v="4"/>
    <x v="1"/>
    <n v="4623753.5549999997"/>
    <x v="1"/>
  </r>
  <r>
    <x v="40"/>
    <x v="11"/>
    <x v="1"/>
    <n v="23475727.693"/>
    <x v="1"/>
  </r>
  <r>
    <x v="40"/>
    <x v="12"/>
    <x v="1"/>
    <n v="19946202.072999999"/>
    <x v="1"/>
  </r>
  <r>
    <x v="40"/>
    <x v="16"/>
    <x v="1"/>
    <n v="21004916.046"/>
    <x v="1"/>
  </r>
  <r>
    <x v="40"/>
    <x v="21"/>
    <x v="1"/>
    <n v="13496316.804"/>
    <x v="1"/>
  </r>
  <r>
    <x v="40"/>
    <x v="0"/>
    <x v="1"/>
    <n v="23084127.438999999"/>
    <x v="1"/>
  </r>
  <r>
    <x v="40"/>
    <x v="2"/>
    <x v="1"/>
    <n v="19029320.295000002"/>
    <x v="1"/>
  </r>
  <r>
    <x v="40"/>
    <x v="17"/>
    <x v="1"/>
    <n v="13123667.444"/>
    <x v="1"/>
  </r>
  <r>
    <x v="40"/>
    <x v="13"/>
    <x v="1"/>
    <n v="10584489.143999999"/>
    <x v="1"/>
  </r>
  <r>
    <x v="40"/>
    <x v="18"/>
    <x v="1"/>
    <n v="22025251.136"/>
    <x v="1"/>
  </r>
  <r>
    <x v="40"/>
    <x v="19"/>
    <x v="1"/>
    <n v="28101521.482999999"/>
    <x v="1"/>
  </r>
  <r>
    <x v="40"/>
    <x v="20"/>
    <x v="1"/>
    <n v="25890469.838"/>
    <x v="1"/>
  </r>
  <r>
    <x v="40"/>
    <x v="14"/>
    <x v="1"/>
    <n v="37329188.044"/>
    <x v="1"/>
  </r>
  <r>
    <x v="40"/>
    <x v="1"/>
    <x v="1"/>
    <n v="38660580.914999999"/>
    <x v="1"/>
  </r>
  <r>
    <x v="40"/>
    <x v="3"/>
    <x v="1"/>
    <n v="38051205.792999998"/>
    <x v="1"/>
  </r>
  <r>
    <x v="40"/>
    <x v="15"/>
    <x v="1"/>
    <n v="34028178.002999999"/>
    <x v="1"/>
  </r>
  <r>
    <x v="40"/>
    <x v="4"/>
    <x v="1"/>
    <n v="34596298.163000003"/>
    <x v="1"/>
  </r>
  <r>
    <x v="41"/>
    <x v="25"/>
    <x v="1"/>
    <n v="240306005.11399999"/>
    <x v="1"/>
  </r>
  <r>
    <x v="41"/>
    <x v="5"/>
    <x v="1"/>
    <n v="207998869.097"/>
    <x v="1"/>
  </r>
  <r>
    <x v="41"/>
    <x v="22"/>
    <x v="1"/>
    <n v="321061359.94199997"/>
    <x v="1"/>
  </r>
  <r>
    <x v="41"/>
    <x v="6"/>
    <x v="1"/>
    <n v="258656536.06"/>
    <x v="1"/>
  </r>
  <r>
    <x v="41"/>
    <x v="7"/>
    <x v="1"/>
    <n v="285186320.49299997"/>
    <x v="1"/>
  </r>
  <r>
    <x v="41"/>
    <x v="8"/>
    <x v="1"/>
    <n v="366417696.47100002"/>
    <x v="1"/>
  </r>
  <r>
    <x v="41"/>
    <x v="9"/>
    <x v="1"/>
    <n v="430442101.63200003"/>
    <x v="1"/>
  </r>
  <r>
    <x v="41"/>
    <x v="10"/>
    <x v="1"/>
    <n v="305586580.77700001"/>
    <x v="1"/>
  </r>
  <r>
    <x v="41"/>
    <x v="11"/>
    <x v="1"/>
    <n v="296126414.792"/>
    <x v="1"/>
  </r>
  <r>
    <x v="41"/>
    <x v="12"/>
    <x v="1"/>
    <n v="430839470.236"/>
    <x v="1"/>
  </r>
  <r>
    <x v="41"/>
    <x v="16"/>
    <x v="1"/>
    <n v="557663389.96500003"/>
    <x v="1"/>
  </r>
  <r>
    <x v="41"/>
    <x v="21"/>
    <x v="1"/>
    <n v="614848049.98199999"/>
    <x v="1"/>
  </r>
  <r>
    <x v="41"/>
    <x v="0"/>
    <x v="1"/>
    <n v="489514179.96200001"/>
    <x v="1"/>
  </r>
  <r>
    <x v="41"/>
    <x v="2"/>
    <x v="1"/>
    <n v="391293522.85399997"/>
    <x v="1"/>
  </r>
  <r>
    <x v="41"/>
    <x v="17"/>
    <x v="1"/>
    <n v="422138082.33899999"/>
    <x v="1"/>
  </r>
  <r>
    <x v="41"/>
    <x v="13"/>
    <x v="1"/>
    <n v="536804936.301"/>
    <x v="1"/>
  </r>
  <r>
    <x v="41"/>
    <x v="18"/>
    <x v="1"/>
    <n v="601119815.39499998"/>
    <x v="1"/>
  </r>
  <r>
    <x v="41"/>
    <x v="19"/>
    <x v="1"/>
    <n v="513020338.58600003"/>
    <x v="1"/>
  </r>
  <r>
    <x v="41"/>
    <x v="20"/>
    <x v="1"/>
    <n v="454098989.412"/>
    <x v="1"/>
  </r>
  <r>
    <x v="41"/>
    <x v="14"/>
    <x v="1"/>
    <n v="566047606.31400001"/>
    <x v="1"/>
  </r>
  <r>
    <x v="41"/>
    <x v="1"/>
    <x v="1"/>
    <n v="665065128.646999"/>
    <x v="1"/>
  </r>
  <r>
    <x v="41"/>
    <x v="3"/>
    <x v="1"/>
    <n v="640632178.023"/>
    <x v="1"/>
  </r>
  <r>
    <x v="41"/>
    <x v="15"/>
    <x v="1"/>
    <n v="547260170.18400002"/>
    <x v="1"/>
  </r>
  <r>
    <x v="41"/>
    <x v="4"/>
    <x v="1"/>
    <n v="493763531.69599903"/>
    <x v="1"/>
  </r>
  <r>
    <x v="42"/>
    <x v="11"/>
    <x v="1"/>
    <n v="33955547"/>
    <x v="1"/>
  </r>
  <r>
    <x v="42"/>
    <x v="12"/>
    <x v="1"/>
    <n v="47658370"/>
    <x v="1"/>
  </r>
  <r>
    <x v="42"/>
    <x v="16"/>
    <x v="1"/>
    <n v="91471176"/>
    <x v="1"/>
  </r>
  <r>
    <x v="42"/>
    <x v="21"/>
    <x v="1"/>
    <n v="54667787"/>
    <x v="1"/>
  </r>
  <r>
    <x v="42"/>
    <x v="0"/>
    <x v="1"/>
    <n v="75988600.518000007"/>
    <x v="1"/>
  </r>
  <r>
    <x v="42"/>
    <x v="2"/>
    <x v="1"/>
    <n v="81012506.280000001"/>
    <x v="1"/>
  </r>
  <r>
    <x v="42"/>
    <x v="17"/>
    <x v="1"/>
    <n v="86658488.299999997"/>
    <x v="1"/>
  </r>
  <r>
    <x v="42"/>
    <x v="13"/>
    <x v="1"/>
    <n v="80224212.269999996"/>
    <x v="1"/>
  </r>
  <r>
    <x v="42"/>
    <x v="18"/>
    <x v="1"/>
    <n v="74771306.620000005"/>
    <x v="1"/>
  </r>
  <r>
    <x v="42"/>
    <x v="19"/>
    <x v="1"/>
    <n v="57753542.686999999"/>
    <x v="1"/>
  </r>
  <r>
    <x v="42"/>
    <x v="20"/>
    <x v="1"/>
    <n v="50049451.229999997"/>
    <x v="1"/>
  </r>
  <r>
    <x v="42"/>
    <x v="14"/>
    <x v="1"/>
    <n v="63375347.813000001"/>
    <x v="1"/>
  </r>
  <r>
    <x v="42"/>
    <x v="1"/>
    <x v="1"/>
    <n v="102584879.442"/>
    <x v="1"/>
  </r>
  <r>
    <x v="42"/>
    <x v="3"/>
    <x v="1"/>
    <n v="74526341.474999994"/>
    <x v="1"/>
  </r>
  <r>
    <x v="42"/>
    <x v="15"/>
    <x v="1"/>
    <n v="92755585.702999994"/>
    <x v="1"/>
  </r>
  <r>
    <x v="42"/>
    <x v="4"/>
    <x v="1"/>
    <n v="17194835.074999999"/>
    <x v="1"/>
  </r>
  <r>
    <x v="68"/>
    <x v="16"/>
    <x v="1"/>
    <n v="5535834.4639999997"/>
    <x v="1"/>
  </r>
  <r>
    <x v="68"/>
    <x v="21"/>
    <x v="1"/>
    <n v="3586599.2969999998"/>
    <x v="1"/>
  </r>
  <r>
    <x v="68"/>
    <x v="0"/>
    <x v="1"/>
    <n v="2700992.693"/>
    <x v="1"/>
  </r>
  <r>
    <x v="43"/>
    <x v="0"/>
    <x v="1"/>
    <n v="29833202.338"/>
    <x v="1"/>
  </r>
  <r>
    <x v="43"/>
    <x v="14"/>
    <x v="1"/>
    <n v="62562975.115000002"/>
    <x v="1"/>
  </r>
  <r>
    <x v="43"/>
    <x v="1"/>
    <x v="1"/>
    <n v="57994372.700999998"/>
    <x v="1"/>
  </r>
  <r>
    <x v="44"/>
    <x v="5"/>
    <x v="1"/>
    <n v="25808363"/>
    <x v="1"/>
  </r>
  <r>
    <x v="44"/>
    <x v="6"/>
    <x v="1"/>
    <n v="59861561"/>
    <x v="1"/>
  </r>
  <r>
    <x v="44"/>
    <x v="9"/>
    <x v="1"/>
    <n v="107977722"/>
    <x v="1"/>
  </r>
  <r>
    <x v="44"/>
    <x v="10"/>
    <x v="1"/>
    <n v="66501354"/>
    <x v="1"/>
  </r>
  <r>
    <x v="44"/>
    <x v="11"/>
    <x v="1"/>
    <n v="40835585"/>
    <x v="1"/>
  </r>
  <r>
    <x v="44"/>
    <x v="12"/>
    <x v="1"/>
    <n v="41352791"/>
    <x v="1"/>
  </r>
  <r>
    <x v="44"/>
    <x v="16"/>
    <x v="1"/>
    <n v="40706115"/>
    <x v="1"/>
  </r>
  <r>
    <x v="44"/>
    <x v="21"/>
    <x v="1"/>
    <n v="39471653"/>
    <x v="1"/>
  </r>
  <r>
    <x v="44"/>
    <x v="0"/>
    <x v="1"/>
    <n v="37759983"/>
    <x v="1"/>
  </r>
  <r>
    <x v="44"/>
    <x v="2"/>
    <x v="1"/>
    <n v="44532578"/>
    <x v="1"/>
  </r>
  <r>
    <x v="44"/>
    <x v="17"/>
    <x v="1"/>
    <n v="42784415"/>
    <x v="1"/>
  </r>
  <r>
    <x v="44"/>
    <x v="13"/>
    <x v="1"/>
    <n v="56997529"/>
    <x v="1"/>
  </r>
  <r>
    <x v="44"/>
    <x v="18"/>
    <x v="1"/>
    <n v="77449928"/>
    <x v="1"/>
  </r>
  <r>
    <x v="44"/>
    <x v="19"/>
    <x v="1"/>
    <n v="86704967"/>
    <x v="1"/>
  </r>
  <r>
    <x v="44"/>
    <x v="20"/>
    <x v="1"/>
    <n v="77518404"/>
    <x v="1"/>
  </r>
  <r>
    <x v="44"/>
    <x v="14"/>
    <x v="1"/>
    <n v="72195226"/>
    <x v="1"/>
  </r>
  <r>
    <x v="44"/>
    <x v="1"/>
    <x v="1"/>
    <n v="103201174"/>
    <x v="1"/>
  </r>
  <r>
    <x v="44"/>
    <x v="3"/>
    <x v="1"/>
    <n v="79385081"/>
    <x v="1"/>
  </r>
  <r>
    <x v="44"/>
    <x v="15"/>
    <x v="1"/>
    <n v="128538991"/>
    <x v="1"/>
  </r>
  <r>
    <x v="44"/>
    <x v="4"/>
    <x v="1"/>
    <n v="55607824"/>
    <x v="1"/>
  </r>
  <r>
    <x v="45"/>
    <x v="17"/>
    <x v="1"/>
    <n v="72483797"/>
    <x v="1"/>
  </r>
  <r>
    <x v="45"/>
    <x v="13"/>
    <x v="1"/>
    <n v="64366331"/>
    <x v="1"/>
  </r>
  <r>
    <x v="45"/>
    <x v="18"/>
    <x v="1"/>
    <n v="70800008"/>
    <x v="1"/>
  </r>
  <r>
    <x v="45"/>
    <x v="19"/>
    <x v="1"/>
    <n v="55081875"/>
    <x v="1"/>
  </r>
  <r>
    <x v="45"/>
    <x v="20"/>
    <x v="1"/>
    <n v="50106255"/>
    <x v="1"/>
  </r>
  <r>
    <x v="45"/>
    <x v="14"/>
    <x v="1"/>
    <n v="44848465"/>
    <x v="1"/>
  </r>
  <r>
    <x v="45"/>
    <x v="1"/>
    <x v="1"/>
    <n v="68893394"/>
    <x v="1"/>
  </r>
  <r>
    <x v="45"/>
    <x v="3"/>
    <x v="1"/>
    <n v="50853509"/>
    <x v="1"/>
  </r>
  <r>
    <x v="45"/>
    <x v="15"/>
    <x v="1"/>
    <n v="42218683"/>
    <x v="1"/>
  </r>
  <r>
    <x v="45"/>
    <x v="4"/>
    <x v="1"/>
    <n v="41213475"/>
    <x v="1"/>
  </r>
  <r>
    <x v="46"/>
    <x v="18"/>
    <x v="1"/>
    <n v="6881750.7570000002"/>
    <x v="1"/>
  </r>
  <r>
    <x v="46"/>
    <x v="19"/>
    <x v="1"/>
    <n v="38544160.335000001"/>
    <x v="1"/>
  </r>
  <r>
    <x v="47"/>
    <x v="0"/>
    <x v="1"/>
    <n v="9455650.4849999901"/>
    <x v="1"/>
  </r>
  <r>
    <x v="47"/>
    <x v="2"/>
    <x v="1"/>
    <n v="7725392.307"/>
    <x v="1"/>
  </r>
  <r>
    <x v="47"/>
    <x v="17"/>
    <x v="1"/>
    <n v="7162167.4709999999"/>
    <x v="1"/>
  </r>
  <r>
    <x v="47"/>
    <x v="18"/>
    <x v="1"/>
    <n v="7113151.8559999997"/>
    <x v="1"/>
  </r>
  <r>
    <x v="47"/>
    <x v="1"/>
    <x v="1"/>
    <n v="1999235.477"/>
    <x v="1"/>
  </r>
  <r>
    <x v="48"/>
    <x v="2"/>
    <x v="1"/>
    <n v="217825669.70300001"/>
    <x v="1"/>
  </r>
  <r>
    <x v="48"/>
    <x v="17"/>
    <x v="1"/>
    <n v="246902091.11700001"/>
    <x v="1"/>
  </r>
  <r>
    <x v="48"/>
    <x v="13"/>
    <x v="1"/>
    <n v="286571177.15700001"/>
    <x v="1"/>
  </r>
  <r>
    <x v="48"/>
    <x v="18"/>
    <x v="1"/>
    <n v="308824720.89899999"/>
    <x v="1"/>
  </r>
  <r>
    <x v="48"/>
    <x v="19"/>
    <x v="1"/>
    <n v="371558892.30599999"/>
    <x v="1"/>
  </r>
  <r>
    <x v="48"/>
    <x v="20"/>
    <x v="1"/>
    <n v="265569217.06"/>
    <x v="1"/>
  </r>
  <r>
    <x v="48"/>
    <x v="14"/>
    <x v="1"/>
    <n v="411662097.19099998"/>
    <x v="1"/>
  </r>
  <r>
    <x v="48"/>
    <x v="1"/>
    <x v="1"/>
    <n v="591067067.83299994"/>
    <x v="1"/>
  </r>
  <r>
    <x v="48"/>
    <x v="3"/>
    <x v="1"/>
    <n v="403289194.80400002"/>
    <x v="1"/>
  </r>
  <r>
    <x v="69"/>
    <x v="16"/>
    <x v="1"/>
    <n v="5944190.4469999997"/>
    <x v="1"/>
  </r>
  <r>
    <x v="69"/>
    <x v="2"/>
    <x v="1"/>
    <n v="5374972.75"/>
    <x v="1"/>
  </r>
  <r>
    <x v="0"/>
    <x v="12"/>
    <x v="2"/>
    <n v="18.645376289007299"/>
    <x v="1"/>
  </r>
  <r>
    <x v="0"/>
    <x v="16"/>
    <x v="2"/>
    <n v="19.4425883781999"/>
    <x v="1"/>
  </r>
  <r>
    <x v="0"/>
    <x v="21"/>
    <x v="2"/>
    <n v="13.601570601209399"/>
    <x v="1"/>
  </r>
  <r>
    <x v="0"/>
    <x v="0"/>
    <x v="2"/>
    <n v="13.2320073688474"/>
    <x v="1"/>
  </r>
  <r>
    <x v="0"/>
    <x v="2"/>
    <x v="2"/>
    <n v="9.4813963516623296"/>
    <x v="1"/>
  </r>
  <r>
    <x v="0"/>
    <x v="17"/>
    <x v="2"/>
    <n v="10.985336399595001"/>
    <x v="1"/>
  </r>
  <r>
    <x v="0"/>
    <x v="13"/>
    <x v="2"/>
    <n v="10.849343259770301"/>
    <x v="1"/>
  </r>
  <r>
    <x v="0"/>
    <x v="18"/>
    <x v="2"/>
    <n v="10.580779345310599"/>
    <x v="1"/>
  </r>
  <r>
    <x v="0"/>
    <x v="19"/>
    <x v="2"/>
    <n v="10.8350362082661"/>
    <x v="1"/>
  </r>
  <r>
    <x v="0"/>
    <x v="20"/>
    <x v="2"/>
    <n v="8.8758202990959205"/>
    <x v="1"/>
  </r>
  <r>
    <x v="0"/>
    <x v="14"/>
    <x v="2"/>
    <n v="9.2698256150762894"/>
    <x v="1"/>
  </r>
  <r>
    <x v="0"/>
    <x v="1"/>
    <x v="2"/>
    <n v="10.4520088166714"/>
    <x v="1"/>
  </r>
  <r>
    <x v="0"/>
    <x v="3"/>
    <x v="2"/>
    <n v="9.9670485175849706"/>
    <x v="1"/>
  </r>
  <r>
    <x v="0"/>
    <x v="15"/>
    <x v="2"/>
    <n v="8.4166376293906904"/>
    <x v="1"/>
  </r>
  <r>
    <x v="0"/>
    <x v="4"/>
    <x v="2"/>
    <n v="8.8592404423686002"/>
    <x v="1"/>
  </r>
  <r>
    <x v="3"/>
    <x v="23"/>
    <x v="2"/>
    <n v="1.2838446541236399"/>
    <x v="1"/>
  </r>
  <r>
    <x v="3"/>
    <x v="24"/>
    <x v="2"/>
    <n v="1.3675473559394"/>
    <x v="1"/>
  </r>
  <r>
    <x v="3"/>
    <x v="25"/>
    <x v="2"/>
    <n v="1.4814522084047901"/>
    <x v="1"/>
  </r>
  <r>
    <x v="3"/>
    <x v="5"/>
    <x v="2"/>
    <n v="1.59907825156852"/>
    <x v="1"/>
  </r>
  <r>
    <x v="3"/>
    <x v="22"/>
    <x v="2"/>
    <n v="1.6945969093934401"/>
    <x v="1"/>
  </r>
  <r>
    <x v="3"/>
    <x v="6"/>
    <x v="2"/>
    <n v="1.6968171142536499"/>
    <x v="1"/>
  </r>
  <r>
    <x v="3"/>
    <x v="7"/>
    <x v="2"/>
    <n v="2.0923052229257699"/>
    <x v="1"/>
  </r>
  <r>
    <x v="3"/>
    <x v="8"/>
    <x v="2"/>
    <n v="2.0612066250293601"/>
    <x v="1"/>
  </r>
  <r>
    <x v="3"/>
    <x v="10"/>
    <x v="2"/>
    <n v="2.3962875059823698"/>
    <x v="1"/>
  </r>
  <r>
    <x v="3"/>
    <x v="11"/>
    <x v="2"/>
    <n v="2.2646617403549301"/>
    <x v="1"/>
  </r>
  <r>
    <x v="3"/>
    <x v="12"/>
    <x v="2"/>
    <n v="2.4616484053021299"/>
    <x v="1"/>
  </r>
  <r>
    <x v="3"/>
    <x v="16"/>
    <x v="2"/>
    <n v="2.4421523434277801"/>
    <x v="1"/>
  </r>
  <r>
    <x v="3"/>
    <x v="21"/>
    <x v="2"/>
    <n v="2.67733127923713"/>
    <x v="1"/>
  </r>
  <r>
    <x v="3"/>
    <x v="0"/>
    <x v="2"/>
    <n v="2.7397887532976899"/>
    <x v="1"/>
  </r>
  <r>
    <x v="3"/>
    <x v="2"/>
    <x v="2"/>
    <n v="2.9195988186850701"/>
    <x v="1"/>
  </r>
  <r>
    <x v="3"/>
    <x v="17"/>
    <x v="2"/>
    <n v="2.6666531493760899"/>
    <x v="1"/>
  </r>
  <r>
    <x v="3"/>
    <x v="13"/>
    <x v="2"/>
    <n v="2.7503868924727"/>
    <x v="1"/>
  </r>
  <r>
    <x v="3"/>
    <x v="18"/>
    <x v="2"/>
    <n v="3.2362145471333901"/>
    <x v="1"/>
  </r>
  <r>
    <x v="3"/>
    <x v="19"/>
    <x v="2"/>
    <n v="2.9553222380156199"/>
    <x v="1"/>
  </r>
  <r>
    <x v="3"/>
    <x v="20"/>
    <x v="2"/>
    <n v="2.1412674821692401"/>
    <x v="1"/>
  </r>
  <r>
    <x v="3"/>
    <x v="14"/>
    <x v="2"/>
    <n v="4.7132520061116301"/>
    <x v="1"/>
  </r>
  <r>
    <x v="3"/>
    <x v="1"/>
    <x v="2"/>
    <n v="6.0353739708434002"/>
    <x v="1"/>
  </r>
  <r>
    <x v="3"/>
    <x v="3"/>
    <x v="2"/>
    <n v="5.4897038883983997"/>
    <x v="1"/>
  </r>
  <r>
    <x v="3"/>
    <x v="4"/>
    <x v="2"/>
    <n v="6.4614619100353901"/>
    <x v="1"/>
  </r>
  <r>
    <x v="49"/>
    <x v="19"/>
    <x v="2"/>
    <n v="1.19114838333196"/>
    <x v="1"/>
  </r>
  <r>
    <x v="50"/>
    <x v="11"/>
    <x v="2"/>
    <n v="1.55516786046817"/>
    <x v="1"/>
  </r>
  <r>
    <x v="50"/>
    <x v="12"/>
    <x v="2"/>
    <n v="1.7957047574735301"/>
    <x v="1"/>
  </r>
  <r>
    <x v="50"/>
    <x v="16"/>
    <x v="2"/>
    <n v="1.92660998523418"/>
    <x v="1"/>
  </r>
  <r>
    <x v="50"/>
    <x v="21"/>
    <x v="2"/>
    <n v="2.3064529426191598"/>
    <x v="1"/>
  </r>
  <r>
    <x v="50"/>
    <x v="0"/>
    <x v="2"/>
    <n v="1.7116646283735399"/>
    <x v="1"/>
  </r>
  <r>
    <x v="50"/>
    <x v="2"/>
    <x v="2"/>
    <n v="1.19915608740833"/>
    <x v="1"/>
  </r>
  <r>
    <x v="50"/>
    <x v="19"/>
    <x v="2"/>
    <n v="0.86656032716606501"/>
    <x v="1"/>
  </r>
  <r>
    <x v="51"/>
    <x v="16"/>
    <x v="2"/>
    <n v="0.74230950758307801"/>
    <x v="1"/>
  </r>
  <r>
    <x v="4"/>
    <x v="11"/>
    <x v="2"/>
    <n v="4.9445903373615598"/>
    <x v="1"/>
  </r>
  <r>
    <x v="4"/>
    <x v="12"/>
    <x v="2"/>
    <n v="4.5118524380454996"/>
    <x v="1"/>
  </r>
  <r>
    <x v="4"/>
    <x v="16"/>
    <x v="2"/>
    <n v="7.7500091298979301"/>
    <x v="1"/>
  </r>
  <r>
    <x v="4"/>
    <x v="21"/>
    <x v="2"/>
    <n v="7.3213858993430101"/>
    <x v="1"/>
  </r>
  <r>
    <x v="4"/>
    <x v="0"/>
    <x v="2"/>
    <n v="8.4387961968310403"/>
    <x v="1"/>
  </r>
  <r>
    <x v="4"/>
    <x v="2"/>
    <x v="2"/>
    <n v="8.2092953619045996"/>
    <x v="1"/>
  </r>
  <r>
    <x v="4"/>
    <x v="17"/>
    <x v="2"/>
    <n v="10.0100703139189"/>
    <x v="1"/>
  </r>
  <r>
    <x v="4"/>
    <x v="13"/>
    <x v="2"/>
    <n v="10.067506584291101"/>
    <x v="1"/>
  </r>
  <r>
    <x v="4"/>
    <x v="18"/>
    <x v="2"/>
    <n v="11.914472326951801"/>
    <x v="1"/>
  </r>
  <r>
    <x v="4"/>
    <x v="19"/>
    <x v="2"/>
    <n v="12.1959381525437"/>
    <x v="1"/>
  </r>
  <r>
    <x v="4"/>
    <x v="20"/>
    <x v="2"/>
    <n v="9.7495988571717902"/>
    <x v="1"/>
  </r>
  <r>
    <x v="4"/>
    <x v="14"/>
    <x v="2"/>
    <n v="14.5744234167824"/>
    <x v="1"/>
  </r>
  <r>
    <x v="4"/>
    <x v="1"/>
    <x v="2"/>
    <n v="14.124346730811499"/>
    <x v="1"/>
  </r>
  <r>
    <x v="4"/>
    <x v="3"/>
    <x v="2"/>
    <n v="13.1618620798985"/>
    <x v="1"/>
  </r>
  <r>
    <x v="4"/>
    <x v="15"/>
    <x v="2"/>
    <n v="14.5099363829073"/>
    <x v="1"/>
  </r>
  <r>
    <x v="4"/>
    <x v="4"/>
    <x v="2"/>
    <n v="15.632660121097"/>
    <x v="1"/>
  </r>
  <r>
    <x v="5"/>
    <x v="11"/>
    <x v="2"/>
    <n v="2.7248738722143502"/>
    <x v="1"/>
  </r>
  <r>
    <x v="5"/>
    <x v="12"/>
    <x v="2"/>
    <n v="3.0430285662781"/>
    <x v="1"/>
  </r>
  <r>
    <x v="5"/>
    <x v="16"/>
    <x v="2"/>
    <n v="4.2577986729795896"/>
    <x v="1"/>
  </r>
  <r>
    <x v="5"/>
    <x v="0"/>
    <x v="2"/>
    <n v="5.2994466819332899"/>
    <x v="1"/>
  </r>
  <r>
    <x v="5"/>
    <x v="2"/>
    <x v="2"/>
    <n v="4.0770219348271697"/>
    <x v="1"/>
  </r>
  <r>
    <x v="5"/>
    <x v="17"/>
    <x v="2"/>
    <n v="1.9193754824498099"/>
    <x v="1"/>
  </r>
  <r>
    <x v="5"/>
    <x v="13"/>
    <x v="2"/>
    <n v="2.18270086529744"/>
    <x v="1"/>
  </r>
  <r>
    <x v="5"/>
    <x v="18"/>
    <x v="2"/>
    <n v="4.2715790656379404"/>
    <x v="1"/>
  </r>
  <r>
    <x v="5"/>
    <x v="19"/>
    <x v="2"/>
    <n v="4.1983813460451902"/>
    <x v="1"/>
  </r>
  <r>
    <x v="5"/>
    <x v="20"/>
    <x v="2"/>
    <n v="4.2554064448974804"/>
    <x v="1"/>
  </r>
  <r>
    <x v="5"/>
    <x v="14"/>
    <x v="2"/>
    <n v="5.43785265209178"/>
    <x v="1"/>
  </r>
  <r>
    <x v="5"/>
    <x v="1"/>
    <x v="2"/>
    <n v="5.8377092165890101"/>
    <x v="1"/>
  </r>
  <r>
    <x v="5"/>
    <x v="3"/>
    <x v="2"/>
    <n v="4.8330542299062804"/>
    <x v="1"/>
  </r>
  <r>
    <x v="5"/>
    <x v="15"/>
    <x v="2"/>
    <n v="4.3286499352585901"/>
    <x v="1"/>
  </r>
  <r>
    <x v="6"/>
    <x v="11"/>
    <x v="2"/>
    <n v="1.53843792038528"/>
    <x v="1"/>
  </r>
  <r>
    <x v="6"/>
    <x v="0"/>
    <x v="2"/>
    <n v="1.87399853904391"/>
    <x v="1"/>
  </r>
  <r>
    <x v="6"/>
    <x v="2"/>
    <x v="2"/>
    <n v="1.97805578899262"/>
    <x v="1"/>
  </r>
  <r>
    <x v="6"/>
    <x v="17"/>
    <x v="2"/>
    <n v="1.60233757724463"/>
    <x v="1"/>
  </r>
  <r>
    <x v="6"/>
    <x v="13"/>
    <x v="2"/>
    <n v="0.90746194409147296"/>
    <x v="1"/>
  </r>
  <r>
    <x v="6"/>
    <x v="18"/>
    <x v="2"/>
    <n v="1.12551731995991"/>
    <x v="1"/>
  </r>
  <r>
    <x v="6"/>
    <x v="19"/>
    <x v="2"/>
    <n v="1.24253707527924"/>
    <x v="1"/>
  </r>
  <r>
    <x v="6"/>
    <x v="20"/>
    <x v="2"/>
    <n v="1.1050008428575999"/>
    <x v="1"/>
  </r>
  <r>
    <x v="6"/>
    <x v="14"/>
    <x v="2"/>
    <n v="0.87231343101345205"/>
    <x v="1"/>
  </r>
  <r>
    <x v="6"/>
    <x v="1"/>
    <x v="2"/>
    <n v="0.7518194773122"/>
    <x v="1"/>
  </r>
  <r>
    <x v="6"/>
    <x v="3"/>
    <x v="2"/>
    <n v="1.14010527477144"/>
    <x v="1"/>
  </r>
  <r>
    <x v="6"/>
    <x v="4"/>
    <x v="2"/>
    <n v="1.3761241499355099"/>
    <x v="1"/>
  </r>
  <r>
    <x v="7"/>
    <x v="11"/>
    <x v="2"/>
    <n v="15.5592359405052"/>
    <x v="1"/>
  </r>
  <r>
    <x v="7"/>
    <x v="12"/>
    <x v="2"/>
    <n v="21.1076811486687"/>
    <x v="1"/>
  </r>
  <r>
    <x v="7"/>
    <x v="16"/>
    <x v="2"/>
    <n v="27.827500969957001"/>
    <x v="1"/>
  </r>
  <r>
    <x v="7"/>
    <x v="21"/>
    <x v="2"/>
    <n v="20.042847240788198"/>
    <x v="1"/>
  </r>
  <r>
    <x v="7"/>
    <x v="0"/>
    <x v="2"/>
    <n v="18.1383452624349"/>
    <x v="1"/>
  </r>
  <r>
    <x v="7"/>
    <x v="2"/>
    <x v="2"/>
    <n v="9.5365090409834004"/>
    <x v="1"/>
  </r>
  <r>
    <x v="7"/>
    <x v="17"/>
    <x v="2"/>
    <n v="13.1291878935409"/>
    <x v="1"/>
  </r>
  <r>
    <x v="7"/>
    <x v="13"/>
    <x v="2"/>
    <n v="11.2919355677935"/>
    <x v="1"/>
  </r>
  <r>
    <x v="7"/>
    <x v="18"/>
    <x v="2"/>
    <n v="13.5596612862388"/>
    <x v="1"/>
  </r>
  <r>
    <x v="7"/>
    <x v="19"/>
    <x v="2"/>
    <n v="12.926379891936801"/>
    <x v="1"/>
  </r>
  <r>
    <x v="7"/>
    <x v="20"/>
    <x v="2"/>
    <n v="12.1882336181556"/>
    <x v="1"/>
  </r>
  <r>
    <x v="7"/>
    <x v="14"/>
    <x v="2"/>
    <n v="11.6858084307531"/>
    <x v="1"/>
  </r>
  <r>
    <x v="7"/>
    <x v="1"/>
    <x v="2"/>
    <n v="14.122093846837201"/>
    <x v="1"/>
  </r>
  <r>
    <x v="7"/>
    <x v="3"/>
    <x v="2"/>
    <n v="16.551152856921099"/>
    <x v="1"/>
  </r>
  <r>
    <x v="7"/>
    <x v="15"/>
    <x v="2"/>
    <n v="8.5161931513498299"/>
    <x v="1"/>
  </r>
  <r>
    <x v="7"/>
    <x v="4"/>
    <x v="2"/>
    <n v="10.410214067743"/>
    <x v="1"/>
  </r>
  <r>
    <x v="9"/>
    <x v="9"/>
    <x v="2"/>
    <n v="1.9102507789890899"/>
    <x v="1"/>
  </r>
  <r>
    <x v="9"/>
    <x v="10"/>
    <x v="2"/>
    <n v="1.3275412961841899"/>
    <x v="1"/>
  </r>
  <r>
    <x v="9"/>
    <x v="11"/>
    <x v="2"/>
    <n v="1.06958308589999"/>
    <x v="1"/>
  </r>
  <r>
    <x v="9"/>
    <x v="18"/>
    <x v="2"/>
    <n v="1.3086391198305201"/>
    <x v="1"/>
  </r>
  <r>
    <x v="9"/>
    <x v="19"/>
    <x v="2"/>
    <n v="1.0218604353196299"/>
    <x v="1"/>
  </r>
  <r>
    <x v="52"/>
    <x v="4"/>
    <x v="2"/>
    <n v="4.8371301844929597"/>
    <x v="1"/>
  </r>
  <r>
    <x v="10"/>
    <x v="11"/>
    <x v="2"/>
    <n v="1.38829065031117"/>
    <x v="1"/>
  </r>
  <r>
    <x v="10"/>
    <x v="12"/>
    <x v="2"/>
    <n v="4.1983501960215097"/>
    <x v="1"/>
  </r>
  <r>
    <x v="10"/>
    <x v="16"/>
    <x v="2"/>
    <n v="5.2125273429492003"/>
    <x v="1"/>
  </r>
  <r>
    <x v="10"/>
    <x v="21"/>
    <x v="2"/>
    <n v="5.0422423997162698"/>
    <x v="1"/>
  </r>
  <r>
    <x v="10"/>
    <x v="0"/>
    <x v="2"/>
    <n v="3.3642341330112102"/>
    <x v="1"/>
  </r>
  <r>
    <x v="10"/>
    <x v="17"/>
    <x v="2"/>
    <n v="4.4121435009090497"/>
    <x v="1"/>
  </r>
  <r>
    <x v="10"/>
    <x v="13"/>
    <x v="2"/>
    <n v="3.0496702138334602"/>
    <x v="1"/>
  </r>
  <r>
    <x v="10"/>
    <x v="18"/>
    <x v="2"/>
    <n v="2.9758222685234901"/>
    <x v="1"/>
  </r>
  <r>
    <x v="10"/>
    <x v="19"/>
    <x v="2"/>
    <n v="4.8701739961266401"/>
    <x v="1"/>
  </r>
  <r>
    <x v="10"/>
    <x v="20"/>
    <x v="2"/>
    <n v="5.1575810529985802"/>
    <x v="1"/>
  </r>
  <r>
    <x v="10"/>
    <x v="14"/>
    <x v="2"/>
    <n v="6.9224032083460498"/>
    <x v="1"/>
  </r>
  <r>
    <x v="10"/>
    <x v="15"/>
    <x v="2"/>
    <n v="4.3616125471225597"/>
    <x v="1"/>
  </r>
  <r>
    <x v="11"/>
    <x v="25"/>
    <x v="2"/>
    <n v="0.834514491437928"/>
    <x v="1"/>
  </r>
  <r>
    <x v="11"/>
    <x v="5"/>
    <x v="2"/>
    <n v="1.1157242117304"/>
    <x v="1"/>
  </r>
  <r>
    <x v="11"/>
    <x v="17"/>
    <x v="2"/>
    <n v="1.97405991033336"/>
    <x v="1"/>
  </r>
  <r>
    <x v="11"/>
    <x v="13"/>
    <x v="2"/>
    <n v="2.2572624499288798"/>
    <x v="1"/>
  </r>
  <r>
    <x v="11"/>
    <x v="18"/>
    <x v="2"/>
    <n v="2.11813730295439"/>
    <x v="1"/>
  </r>
  <r>
    <x v="11"/>
    <x v="19"/>
    <x v="2"/>
    <n v="1.71081938826555"/>
    <x v="1"/>
  </r>
  <r>
    <x v="11"/>
    <x v="20"/>
    <x v="2"/>
    <n v="1.69653354710286"/>
    <x v="1"/>
  </r>
  <r>
    <x v="11"/>
    <x v="14"/>
    <x v="2"/>
    <n v="2.0434232585574699"/>
    <x v="1"/>
  </r>
  <r>
    <x v="11"/>
    <x v="1"/>
    <x v="2"/>
    <n v="2.2828388236771202"/>
    <x v="1"/>
  </r>
  <r>
    <x v="11"/>
    <x v="3"/>
    <x v="2"/>
    <n v="2.3411091830567101"/>
    <x v="1"/>
  </r>
  <r>
    <x v="12"/>
    <x v="0"/>
    <x v="2"/>
    <n v="0.14421281844349601"/>
    <x v="1"/>
  </r>
  <r>
    <x v="13"/>
    <x v="0"/>
    <x v="2"/>
    <n v="2.9464102811942601"/>
    <x v="1"/>
  </r>
  <r>
    <x v="13"/>
    <x v="2"/>
    <x v="2"/>
    <n v="3.1281315583752001"/>
    <x v="1"/>
  </r>
  <r>
    <x v="13"/>
    <x v="17"/>
    <x v="2"/>
    <n v="2.5562524201546899"/>
    <x v="1"/>
  </r>
  <r>
    <x v="13"/>
    <x v="13"/>
    <x v="2"/>
    <n v="2.75995567381384"/>
    <x v="1"/>
  </r>
  <r>
    <x v="13"/>
    <x v="18"/>
    <x v="2"/>
    <n v="2.78334164412595"/>
    <x v="1"/>
  </r>
  <r>
    <x v="13"/>
    <x v="19"/>
    <x v="2"/>
    <n v="3.4302321141858099"/>
    <x v="1"/>
  </r>
  <r>
    <x v="13"/>
    <x v="20"/>
    <x v="2"/>
    <n v="3.12180145514612"/>
    <x v="1"/>
  </r>
  <r>
    <x v="13"/>
    <x v="14"/>
    <x v="2"/>
    <n v="4.4803376580411003"/>
    <x v="1"/>
  </r>
  <r>
    <x v="13"/>
    <x v="1"/>
    <x v="2"/>
    <n v="3.7165545772790098"/>
    <x v="1"/>
  </r>
  <r>
    <x v="13"/>
    <x v="3"/>
    <x v="2"/>
    <n v="3.0934468154864301"/>
    <x v="1"/>
  </r>
  <r>
    <x v="13"/>
    <x v="15"/>
    <x v="2"/>
    <n v="2.62384181021309"/>
    <x v="1"/>
  </r>
  <r>
    <x v="13"/>
    <x v="4"/>
    <x v="2"/>
    <n v="2.6989064697910599"/>
    <x v="1"/>
  </r>
  <r>
    <x v="14"/>
    <x v="23"/>
    <x v="2"/>
    <n v="0.690137471399909"/>
    <x v="1"/>
  </r>
  <r>
    <x v="14"/>
    <x v="24"/>
    <x v="2"/>
    <n v="0.87650392866371096"/>
    <x v="1"/>
  </r>
  <r>
    <x v="14"/>
    <x v="25"/>
    <x v="2"/>
    <n v="1.14350294491289"/>
    <x v="1"/>
  </r>
  <r>
    <x v="14"/>
    <x v="5"/>
    <x v="2"/>
    <n v="0.94536730915173095"/>
    <x v="1"/>
  </r>
  <r>
    <x v="14"/>
    <x v="22"/>
    <x v="2"/>
    <n v="1.0955154801067699"/>
    <x v="1"/>
  </r>
  <r>
    <x v="14"/>
    <x v="6"/>
    <x v="2"/>
    <n v="1.2005983825458699"/>
    <x v="1"/>
  </r>
  <r>
    <x v="14"/>
    <x v="7"/>
    <x v="2"/>
    <n v="1.42257256097358"/>
    <x v="1"/>
  </r>
  <r>
    <x v="14"/>
    <x v="8"/>
    <x v="2"/>
    <n v="2.0346450835208101"/>
    <x v="1"/>
  </r>
  <r>
    <x v="14"/>
    <x v="9"/>
    <x v="2"/>
    <n v="2.0478052448142599"/>
    <x v="1"/>
  </r>
  <r>
    <x v="14"/>
    <x v="10"/>
    <x v="2"/>
    <n v="1.53132957404717"/>
    <x v="1"/>
  </r>
  <r>
    <x v="14"/>
    <x v="11"/>
    <x v="2"/>
    <n v="1.7581083352976801"/>
    <x v="1"/>
  </r>
  <r>
    <x v="14"/>
    <x v="12"/>
    <x v="2"/>
    <n v="2.0472206191671898"/>
    <x v="1"/>
  </r>
  <r>
    <x v="14"/>
    <x v="16"/>
    <x v="2"/>
    <n v="2.40738962984181"/>
    <x v="1"/>
  </r>
  <r>
    <x v="14"/>
    <x v="21"/>
    <x v="2"/>
    <n v="2.96319219021894"/>
    <x v="1"/>
  </r>
  <r>
    <x v="14"/>
    <x v="0"/>
    <x v="2"/>
    <n v="2.6543538032227501"/>
    <x v="1"/>
  </r>
  <r>
    <x v="14"/>
    <x v="2"/>
    <x v="2"/>
    <n v="1.9470934711757899"/>
    <x v="1"/>
  </r>
  <r>
    <x v="14"/>
    <x v="17"/>
    <x v="2"/>
    <n v="2.1301227986789701"/>
    <x v="1"/>
  </r>
  <r>
    <x v="14"/>
    <x v="13"/>
    <x v="2"/>
    <n v="2.71217304582995"/>
    <x v="1"/>
  </r>
  <r>
    <x v="14"/>
    <x v="18"/>
    <x v="2"/>
    <n v="2.4374684725936002"/>
    <x v="1"/>
  </r>
  <r>
    <x v="14"/>
    <x v="19"/>
    <x v="2"/>
    <n v="2.6066813149885699"/>
    <x v="1"/>
  </r>
  <r>
    <x v="14"/>
    <x v="20"/>
    <x v="2"/>
    <n v="2.27418462365485"/>
    <x v="1"/>
  </r>
  <r>
    <x v="14"/>
    <x v="14"/>
    <x v="2"/>
    <n v="2.9973972432255298"/>
    <x v="1"/>
  </r>
  <r>
    <x v="14"/>
    <x v="1"/>
    <x v="2"/>
    <n v="3.6264232444984899"/>
    <x v="1"/>
  </r>
  <r>
    <x v="14"/>
    <x v="3"/>
    <x v="2"/>
    <n v="4.0602400382930801"/>
    <x v="1"/>
  </r>
  <r>
    <x v="14"/>
    <x v="15"/>
    <x v="2"/>
    <n v="4.2073579168921498"/>
    <x v="1"/>
  </r>
  <r>
    <x v="53"/>
    <x v="2"/>
    <x v="2"/>
    <n v="7.8381232897297402"/>
    <x v="1"/>
  </r>
  <r>
    <x v="53"/>
    <x v="14"/>
    <x v="2"/>
    <n v="9.0165165458919798"/>
    <x v="1"/>
  </r>
  <r>
    <x v="53"/>
    <x v="1"/>
    <x v="2"/>
    <n v="12.509300014257899"/>
    <x v="1"/>
  </r>
  <r>
    <x v="15"/>
    <x v="13"/>
    <x v="2"/>
    <n v="10.511290958410299"/>
    <x v="1"/>
  </r>
  <r>
    <x v="15"/>
    <x v="19"/>
    <x v="2"/>
    <n v="12.9200979889705"/>
    <x v="1"/>
  </r>
  <r>
    <x v="15"/>
    <x v="20"/>
    <x v="2"/>
    <n v="11.5477470420179"/>
    <x v="1"/>
  </r>
  <r>
    <x v="15"/>
    <x v="4"/>
    <x v="2"/>
    <n v="10.884227758930001"/>
    <x v="1"/>
  </r>
  <r>
    <x v="16"/>
    <x v="11"/>
    <x v="2"/>
    <n v="1.61003924417698"/>
    <x v="1"/>
  </r>
  <r>
    <x v="16"/>
    <x v="12"/>
    <x v="2"/>
    <n v="2.82209439918224"/>
    <x v="1"/>
  </r>
  <r>
    <x v="16"/>
    <x v="16"/>
    <x v="2"/>
    <n v="2.4766091928535601"/>
    <x v="1"/>
  </r>
  <r>
    <x v="16"/>
    <x v="21"/>
    <x v="2"/>
    <n v="3.9809021148557902"/>
    <x v="1"/>
  </r>
  <r>
    <x v="16"/>
    <x v="0"/>
    <x v="2"/>
    <n v="199.00412265322799"/>
    <x v="1"/>
  </r>
  <r>
    <x v="16"/>
    <x v="2"/>
    <x v="2"/>
    <n v="2.1036785688379598"/>
    <x v="1"/>
  </r>
  <r>
    <x v="16"/>
    <x v="17"/>
    <x v="2"/>
    <n v="1.4998576696869199"/>
    <x v="1"/>
  </r>
  <r>
    <x v="16"/>
    <x v="13"/>
    <x v="2"/>
    <n v="1.69187899160991"/>
    <x v="1"/>
  </r>
  <r>
    <x v="16"/>
    <x v="18"/>
    <x v="2"/>
    <n v="1.3277318724461999"/>
    <x v="1"/>
  </r>
  <r>
    <x v="16"/>
    <x v="19"/>
    <x v="2"/>
    <n v="1.3215598461823099"/>
    <x v="1"/>
  </r>
  <r>
    <x v="16"/>
    <x v="20"/>
    <x v="2"/>
    <n v="1.2563761636775601"/>
    <x v="1"/>
  </r>
  <r>
    <x v="16"/>
    <x v="14"/>
    <x v="2"/>
    <n v="1.4924772933331401"/>
    <x v="1"/>
  </r>
  <r>
    <x v="16"/>
    <x v="1"/>
    <x v="2"/>
    <n v="1.26822332517995"/>
    <x v="1"/>
  </r>
  <r>
    <x v="16"/>
    <x v="3"/>
    <x v="2"/>
    <n v="1.3900174012194499"/>
    <x v="1"/>
  </r>
  <r>
    <x v="18"/>
    <x v="20"/>
    <x v="2"/>
    <n v="2.3764737146407202"/>
    <x v="1"/>
  </r>
  <r>
    <x v="18"/>
    <x v="14"/>
    <x v="2"/>
    <n v="2.3985146282179999"/>
    <x v="1"/>
  </r>
  <r>
    <x v="18"/>
    <x v="1"/>
    <x v="2"/>
    <n v="2.85523149520224"/>
    <x v="1"/>
  </r>
  <r>
    <x v="18"/>
    <x v="3"/>
    <x v="2"/>
    <n v="2.83860534838422"/>
    <x v="1"/>
  </r>
  <r>
    <x v="18"/>
    <x v="15"/>
    <x v="2"/>
    <n v="2.5133544298495099"/>
    <x v="1"/>
  </r>
  <r>
    <x v="20"/>
    <x v="12"/>
    <x v="2"/>
    <n v="1.54831717064727"/>
    <x v="1"/>
  </r>
  <r>
    <x v="20"/>
    <x v="16"/>
    <x v="2"/>
    <n v="2.1681670257154102"/>
    <x v="1"/>
  </r>
  <r>
    <x v="20"/>
    <x v="21"/>
    <x v="2"/>
    <n v="2.2172366922553901"/>
    <x v="1"/>
  </r>
  <r>
    <x v="20"/>
    <x v="0"/>
    <x v="2"/>
    <n v="1.96504091653366"/>
    <x v="1"/>
  </r>
  <r>
    <x v="20"/>
    <x v="2"/>
    <x v="2"/>
    <n v="2.0515745339753702"/>
    <x v="1"/>
  </r>
  <r>
    <x v="20"/>
    <x v="17"/>
    <x v="2"/>
    <n v="2.0349931000232102"/>
    <x v="1"/>
  </r>
  <r>
    <x v="20"/>
    <x v="13"/>
    <x v="2"/>
    <n v="1.54545928684759"/>
    <x v="1"/>
  </r>
  <r>
    <x v="20"/>
    <x v="18"/>
    <x v="2"/>
    <n v="1.60754829691268"/>
    <x v="1"/>
  </r>
  <r>
    <x v="20"/>
    <x v="19"/>
    <x v="2"/>
    <n v="1.5598634426382001"/>
    <x v="1"/>
  </r>
  <r>
    <x v="20"/>
    <x v="20"/>
    <x v="2"/>
    <n v="1.30834203724813"/>
    <x v="1"/>
  </r>
  <r>
    <x v="20"/>
    <x v="14"/>
    <x v="2"/>
    <n v="1.2560614314149701"/>
    <x v="1"/>
  </r>
  <r>
    <x v="20"/>
    <x v="1"/>
    <x v="2"/>
    <n v="1.5658731004589601"/>
    <x v="1"/>
  </r>
  <r>
    <x v="20"/>
    <x v="3"/>
    <x v="2"/>
    <n v="1.71235456260706"/>
    <x v="1"/>
  </r>
  <r>
    <x v="20"/>
    <x v="15"/>
    <x v="2"/>
    <n v="1.5756001107458499"/>
    <x v="1"/>
  </r>
  <r>
    <x v="20"/>
    <x v="4"/>
    <x v="2"/>
    <n v="1.4310997810425901"/>
    <x v="1"/>
  </r>
  <r>
    <x v="21"/>
    <x v="16"/>
    <x v="2"/>
    <n v="2.9701229698732901"/>
    <x v="1"/>
  </r>
  <r>
    <x v="21"/>
    <x v="21"/>
    <x v="2"/>
    <n v="0.82147126728514597"/>
    <x v="1"/>
  </r>
  <r>
    <x v="21"/>
    <x v="0"/>
    <x v="2"/>
    <n v="2.4523878906774401"/>
    <x v="1"/>
  </r>
  <r>
    <x v="21"/>
    <x v="2"/>
    <x v="2"/>
    <n v="2.63880870304305"/>
    <x v="1"/>
  </r>
  <r>
    <x v="21"/>
    <x v="17"/>
    <x v="2"/>
    <n v="3.13115500855749"/>
    <x v="1"/>
  </r>
  <r>
    <x v="21"/>
    <x v="13"/>
    <x v="2"/>
    <n v="2.4826779516673398"/>
    <x v="1"/>
  </r>
  <r>
    <x v="21"/>
    <x v="18"/>
    <x v="2"/>
    <n v="3.7892119475857098"/>
    <x v="1"/>
  </r>
  <r>
    <x v="21"/>
    <x v="19"/>
    <x v="2"/>
    <n v="3.8008894982915198"/>
    <x v="1"/>
  </r>
  <r>
    <x v="21"/>
    <x v="20"/>
    <x v="2"/>
    <n v="3.37938528628308"/>
    <x v="1"/>
  </r>
  <r>
    <x v="21"/>
    <x v="14"/>
    <x v="2"/>
    <n v="4.1675646202139998"/>
    <x v="1"/>
  </r>
  <r>
    <x v="21"/>
    <x v="1"/>
    <x v="2"/>
    <n v="5.0782525031838501"/>
    <x v="1"/>
  </r>
  <r>
    <x v="21"/>
    <x v="3"/>
    <x v="2"/>
    <n v="4.3538550793592501"/>
    <x v="1"/>
  </r>
  <r>
    <x v="21"/>
    <x v="15"/>
    <x v="2"/>
    <n v="3.3768796305737698"/>
    <x v="1"/>
  </r>
  <r>
    <x v="54"/>
    <x v="24"/>
    <x v="2"/>
    <n v="2.3209298484171801"/>
    <x v="1"/>
  </r>
  <r>
    <x v="54"/>
    <x v="12"/>
    <x v="2"/>
    <n v="3.8647502698260099"/>
    <x v="1"/>
  </r>
  <r>
    <x v="54"/>
    <x v="16"/>
    <x v="2"/>
    <n v="3.1812039685065501"/>
    <x v="1"/>
  </r>
  <r>
    <x v="54"/>
    <x v="21"/>
    <x v="2"/>
    <n v="2.7744972086399602"/>
    <x v="1"/>
  </r>
  <r>
    <x v="54"/>
    <x v="0"/>
    <x v="2"/>
    <n v="2.0101209689325099"/>
    <x v="1"/>
  </r>
  <r>
    <x v="54"/>
    <x v="2"/>
    <x v="2"/>
    <n v="3.13046763367353"/>
    <x v="1"/>
  </r>
  <r>
    <x v="54"/>
    <x v="17"/>
    <x v="2"/>
    <n v="3.1753416328871702"/>
    <x v="1"/>
  </r>
  <r>
    <x v="54"/>
    <x v="13"/>
    <x v="2"/>
    <n v="3.4072676188234801"/>
    <x v="1"/>
  </r>
  <r>
    <x v="54"/>
    <x v="18"/>
    <x v="2"/>
    <n v="2.8622215833842302"/>
    <x v="1"/>
  </r>
  <r>
    <x v="54"/>
    <x v="19"/>
    <x v="2"/>
    <n v="2.6713244362946398"/>
    <x v="1"/>
  </r>
  <r>
    <x v="54"/>
    <x v="20"/>
    <x v="2"/>
    <n v="2.9757140549197798"/>
    <x v="1"/>
  </r>
  <r>
    <x v="54"/>
    <x v="14"/>
    <x v="2"/>
    <n v="3.2867455881192198"/>
    <x v="1"/>
  </r>
  <r>
    <x v="54"/>
    <x v="1"/>
    <x v="2"/>
    <n v="2.6125058743985101"/>
    <x v="1"/>
  </r>
  <r>
    <x v="54"/>
    <x v="3"/>
    <x v="2"/>
    <n v="2.0926405098602201"/>
    <x v="1"/>
  </r>
  <r>
    <x v="54"/>
    <x v="15"/>
    <x v="2"/>
    <n v="2.7787723097832502"/>
    <x v="1"/>
  </r>
  <r>
    <x v="54"/>
    <x v="4"/>
    <x v="2"/>
    <n v="3.00952421951038"/>
    <x v="1"/>
  </r>
  <r>
    <x v="22"/>
    <x v="23"/>
    <x v="2"/>
    <n v="4.21339690857614"/>
    <x v="1"/>
  </r>
  <r>
    <x v="22"/>
    <x v="24"/>
    <x v="2"/>
    <n v="3.7321197269840098"/>
    <x v="1"/>
  </r>
  <r>
    <x v="22"/>
    <x v="25"/>
    <x v="2"/>
    <n v="5.7370159199682904"/>
    <x v="1"/>
  </r>
  <r>
    <x v="22"/>
    <x v="5"/>
    <x v="2"/>
    <n v="6.0438143034128302"/>
    <x v="1"/>
  </r>
  <r>
    <x v="22"/>
    <x v="22"/>
    <x v="2"/>
    <n v="6.0725162085037203"/>
    <x v="1"/>
  </r>
  <r>
    <x v="22"/>
    <x v="6"/>
    <x v="2"/>
    <n v="6.8013381194323896"/>
    <x v="1"/>
  </r>
  <r>
    <x v="22"/>
    <x v="7"/>
    <x v="2"/>
    <n v="7.8747810977287704"/>
    <x v="1"/>
  </r>
  <r>
    <x v="22"/>
    <x v="8"/>
    <x v="2"/>
    <n v="10.8202193071112"/>
    <x v="1"/>
  </r>
  <r>
    <x v="22"/>
    <x v="10"/>
    <x v="2"/>
    <n v="6.0374458481449302"/>
    <x v="1"/>
  </r>
  <r>
    <x v="22"/>
    <x v="11"/>
    <x v="2"/>
    <n v="4.8220294929746998"/>
    <x v="1"/>
  </r>
  <r>
    <x v="22"/>
    <x v="12"/>
    <x v="2"/>
    <n v="9.6250458119713294"/>
    <x v="1"/>
  </r>
  <r>
    <x v="22"/>
    <x v="16"/>
    <x v="2"/>
    <n v="7.5258280583513297"/>
    <x v="1"/>
  </r>
  <r>
    <x v="22"/>
    <x v="21"/>
    <x v="2"/>
    <n v="6.3351627236025703"/>
    <x v="1"/>
  </r>
  <r>
    <x v="22"/>
    <x v="0"/>
    <x v="2"/>
    <n v="6.16945855775531"/>
    <x v="1"/>
  </r>
  <r>
    <x v="22"/>
    <x v="2"/>
    <x v="2"/>
    <n v="5.8816878731652196"/>
    <x v="1"/>
  </r>
  <r>
    <x v="22"/>
    <x v="17"/>
    <x v="2"/>
    <n v="5.8981930264292197"/>
    <x v="1"/>
  </r>
  <r>
    <x v="22"/>
    <x v="13"/>
    <x v="2"/>
    <n v="6.9975989434599404"/>
    <x v="1"/>
  </r>
  <r>
    <x v="22"/>
    <x v="18"/>
    <x v="2"/>
    <n v="7.9717047004986803"/>
    <x v="1"/>
  </r>
  <r>
    <x v="22"/>
    <x v="19"/>
    <x v="2"/>
    <n v="6.6166790508225599"/>
    <x v="1"/>
  </r>
  <r>
    <x v="22"/>
    <x v="20"/>
    <x v="2"/>
    <n v="5.9714457457697403"/>
    <x v="1"/>
  </r>
  <r>
    <x v="22"/>
    <x v="14"/>
    <x v="2"/>
    <n v="5.8785944941816304"/>
    <x v="1"/>
  </r>
  <r>
    <x v="22"/>
    <x v="1"/>
    <x v="2"/>
    <n v="10.030851359448301"/>
    <x v="1"/>
  </r>
  <r>
    <x v="22"/>
    <x v="3"/>
    <x v="2"/>
    <n v="8.3939941243442995"/>
    <x v="1"/>
  </r>
  <r>
    <x v="22"/>
    <x v="15"/>
    <x v="2"/>
    <n v="6.9731232933982898"/>
    <x v="1"/>
  </r>
  <r>
    <x v="22"/>
    <x v="4"/>
    <x v="2"/>
    <n v="6.7309787950150897"/>
    <x v="1"/>
  </r>
  <r>
    <x v="55"/>
    <x v="11"/>
    <x v="2"/>
    <n v="1.7320876522484701"/>
    <x v="1"/>
  </r>
  <r>
    <x v="55"/>
    <x v="12"/>
    <x v="2"/>
    <n v="2.0958883794188701"/>
    <x v="1"/>
  </r>
  <r>
    <x v="55"/>
    <x v="16"/>
    <x v="2"/>
    <n v="3.1547412759098599"/>
    <x v="1"/>
  </r>
  <r>
    <x v="55"/>
    <x v="21"/>
    <x v="2"/>
    <n v="2.3686477087002902"/>
    <x v="1"/>
  </r>
  <r>
    <x v="55"/>
    <x v="0"/>
    <x v="2"/>
    <n v="2.2651464377056998"/>
    <x v="1"/>
  </r>
  <r>
    <x v="55"/>
    <x v="2"/>
    <x v="2"/>
    <n v="2.5657421647895902"/>
    <x v="1"/>
  </r>
  <r>
    <x v="55"/>
    <x v="17"/>
    <x v="2"/>
    <n v="3.4415340839024902"/>
    <x v="1"/>
  </r>
  <r>
    <x v="55"/>
    <x v="13"/>
    <x v="2"/>
    <n v="3.0728026553163401"/>
    <x v="1"/>
  </r>
  <r>
    <x v="55"/>
    <x v="18"/>
    <x v="2"/>
    <n v="2.5782056216257399"/>
    <x v="1"/>
  </r>
  <r>
    <x v="55"/>
    <x v="19"/>
    <x v="2"/>
    <n v="2.8616621788233401"/>
    <x v="1"/>
  </r>
  <r>
    <x v="55"/>
    <x v="20"/>
    <x v="2"/>
    <n v="2.6820506538558702"/>
    <x v="1"/>
  </r>
  <r>
    <x v="55"/>
    <x v="14"/>
    <x v="2"/>
    <n v="2.6308806965332998"/>
    <x v="1"/>
  </r>
  <r>
    <x v="55"/>
    <x v="1"/>
    <x v="2"/>
    <n v="4.3402460923735697"/>
    <x v="1"/>
  </r>
  <r>
    <x v="55"/>
    <x v="3"/>
    <x v="2"/>
    <n v="3.41614627423133"/>
    <x v="1"/>
  </r>
  <r>
    <x v="55"/>
    <x v="15"/>
    <x v="2"/>
    <n v="2.1164381515903798"/>
    <x v="1"/>
  </r>
  <r>
    <x v="55"/>
    <x v="4"/>
    <x v="2"/>
    <n v="3.0053249864859599"/>
    <x v="1"/>
  </r>
  <r>
    <x v="56"/>
    <x v="13"/>
    <x v="2"/>
    <n v="1.8161301581093701"/>
    <x v="1"/>
  </r>
  <r>
    <x v="56"/>
    <x v="18"/>
    <x v="2"/>
    <n v="1.9966785124594399"/>
    <x v="1"/>
  </r>
  <r>
    <x v="25"/>
    <x v="21"/>
    <x v="2"/>
    <n v="0.16961695910059599"/>
    <x v="1"/>
  </r>
  <r>
    <x v="26"/>
    <x v="2"/>
    <x v="2"/>
    <n v="2.1934051681490598"/>
    <x v="1"/>
  </r>
  <r>
    <x v="26"/>
    <x v="17"/>
    <x v="2"/>
    <n v="2.3400626817230901"/>
    <x v="1"/>
  </r>
  <r>
    <x v="26"/>
    <x v="13"/>
    <x v="2"/>
    <n v="2.4443935893749602"/>
    <x v="1"/>
  </r>
  <r>
    <x v="26"/>
    <x v="19"/>
    <x v="2"/>
    <n v="2.0439209486774601"/>
    <x v="1"/>
  </r>
  <r>
    <x v="26"/>
    <x v="20"/>
    <x v="2"/>
    <n v="2.12415248046005"/>
    <x v="1"/>
  </r>
  <r>
    <x v="26"/>
    <x v="3"/>
    <x v="2"/>
    <n v="0.505539179244612"/>
    <x v="1"/>
  </r>
  <r>
    <x v="57"/>
    <x v="11"/>
    <x v="2"/>
    <n v="6.1777787629998198"/>
    <x v="1"/>
  </r>
  <r>
    <x v="57"/>
    <x v="13"/>
    <x v="2"/>
    <n v="2.6733582642613798"/>
    <x v="1"/>
  </r>
  <r>
    <x v="57"/>
    <x v="18"/>
    <x v="2"/>
    <n v="2.2423820837744501"/>
    <x v="1"/>
  </r>
  <r>
    <x v="57"/>
    <x v="19"/>
    <x v="2"/>
    <n v="2.2219915203799498"/>
    <x v="1"/>
  </r>
  <r>
    <x v="57"/>
    <x v="20"/>
    <x v="2"/>
    <n v="1.7393109490434899"/>
    <x v="1"/>
  </r>
  <r>
    <x v="57"/>
    <x v="14"/>
    <x v="2"/>
    <n v="2.2514781236458301"/>
    <x v="1"/>
  </r>
  <r>
    <x v="57"/>
    <x v="1"/>
    <x v="2"/>
    <n v="2.33152829605263"/>
    <x v="1"/>
  </r>
  <r>
    <x v="57"/>
    <x v="3"/>
    <x v="2"/>
    <n v="1.7642979463510899"/>
    <x v="1"/>
  </r>
  <r>
    <x v="57"/>
    <x v="15"/>
    <x v="2"/>
    <n v="1.3303682438646001"/>
    <x v="1"/>
  </r>
  <r>
    <x v="57"/>
    <x v="4"/>
    <x v="2"/>
    <n v="1.15854306867005"/>
    <x v="1"/>
  </r>
  <r>
    <x v="27"/>
    <x v="18"/>
    <x v="2"/>
    <n v="1.9122118872271401"/>
    <x v="1"/>
  </r>
  <r>
    <x v="58"/>
    <x v="11"/>
    <x v="2"/>
    <n v="15.4028895587563"/>
    <x v="1"/>
  </r>
  <r>
    <x v="58"/>
    <x v="12"/>
    <x v="2"/>
    <n v="27.692684982609101"/>
    <x v="1"/>
  </r>
  <r>
    <x v="58"/>
    <x v="16"/>
    <x v="2"/>
    <n v="26.444278264217999"/>
    <x v="1"/>
  </r>
  <r>
    <x v="58"/>
    <x v="21"/>
    <x v="2"/>
    <n v="22.523061476684401"/>
    <x v="1"/>
  </r>
  <r>
    <x v="58"/>
    <x v="0"/>
    <x v="2"/>
    <n v="17.4757902181303"/>
    <x v="1"/>
  </r>
  <r>
    <x v="58"/>
    <x v="2"/>
    <x v="2"/>
    <n v="14.712145302245601"/>
    <x v="1"/>
  </r>
  <r>
    <x v="58"/>
    <x v="17"/>
    <x v="2"/>
    <n v="14.289835072751901"/>
    <x v="1"/>
  </r>
  <r>
    <x v="58"/>
    <x v="19"/>
    <x v="2"/>
    <n v="15.241925970621301"/>
    <x v="1"/>
  </r>
  <r>
    <x v="58"/>
    <x v="20"/>
    <x v="2"/>
    <n v="15.464487845893901"/>
    <x v="1"/>
  </r>
  <r>
    <x v="58"/>
    <x v="14"/>
    <x v="2"/>
    <n v="17.759260365819301"/>
    <x v="1"/>
  </r>
  <r>
    <x v="58"/>
    <x v="1"/>
    <x v="2"/>
    <n v="22.411618968966899"/>
    <x v="1"/>
  </r>
  <r>
    <x v="58"/>
    <x v="3"/>
    <x v="2"/>
    <n v="12.7898748157507"/>
    <x v="1"/>
  </r>
  <r>
    <x v="58"/>
    <x v="15"/>
    <x v="2"/>
    <n v="13.588327043460501"/>
    <x v="1"/>
  </r>
  <r>
    <x v="28"/>
    <x v="11"/>
    <x v="2"/>
    <n v="2.3847132586011099"/>
    <x v="1"/>
  </r>
  <r>
    <x v="28"/>
    <x v="12"/>
    <x v="2"/>
    <n v="2.0312319405897701"/>
    <x v="1"/>
  </r>
  <r>
    <x v="28"/>
    <x v="16"/>
    <x v="2"/>
    <n v="2.01693996395925"/>
    <x v="1"/>
  </r>
  <r>
    <x v="28"/>
    <x v="21"/>
    <x v="2"/>
    <n v="2.5596819976719698"/>
    <x v="1"/>
  </r>
  <r>
    <x v="28"/>
    <x v="0"/>
    <x v="2"/>
    <n v="3.9144713308499299"/>
    <x v="1"/>
  </r>
  <r>
    <x v="28"/>
    <x v="2"/>
    <x v="2"/>
    <n v="2.9549595231964498"/>
    <x v="1"/>
  </r>
  <r>
    <x v="28"/>
    <x v="17"/>
    <x v="2"/>
    <n v="2.9332026437642398"/>
    <x v="1"/>
  </r>
  <r>
    <x v="28"/>
    <x v="13"/>
    <x v="2"/>
    <n v="3.4636832370291399"/>
    <x v="1"/>
  </r>
  <r>
    <x v="28"/>
    <x v="18"/>
    <x v="2"/>
    <n v="3.3065844121640602"/>
    <x v="1"/>
  </r>
  <r>
    <x v="28"/>
    <x v="19"/>
    <x v="2"/>
    <n v="2.9296915647319302"/>
    <x v="1"/>
  </r>
  <r>
    <x v="28"/>
    <x v="20"/>
    <x v="2"/>
    <n v="2.43635452070771"/>
    <x v="1"/>
  </r>
  <r>
    <x v="28"/>
    <x v="14"/>
    <x v="2"/>
    <n v="2.3665353837890502"/>
    <x v="1"/>
  </r>
  <r>
    <x v="28"/>
    <x v="1"/>
    <x v="2"/>
    <n v="2.1439510898393301"/>
    <x v="1"/>
  </r>
  <r>
    <x v="28"/>
    <x v="3"/>
    <x v="2"/>
    <n v="2.17192547952749"/>
    <x v="1"/>
  </r>
  <r>
    <x v="28"/>
    <x v="15"/>
    <x v="2"/>
    <n v="2.4546350252986402"/>
    <x v="1"/>
  </r>
  <r>
    <x v="28"/>
    <x v="4"/>
    <x v="2"/>
    <n v="4.2433431848714003"/>
    <x v="1"/>
  </r>
  <r>
    <x v="29"/>
    <x v="11"/>
    <x v="2"/>
    <n v="3.0035843088790499"/>
    <x v="1"/>
  </r>
  <r>
    <x v="29"/>
    <x v="12"/>
    <x v="2"/>
    <n v="4.6744099198179301"/>
    <x v="1"/>
  </r>
  <r>
    <x v="29"/>
    <x v="16"/>
    <x v="2"/>
    <n v="4.2018190877063404"/>
    <x v="1"/>
  </r>
  <r>
    <x v="29"/>
    <x v="21"/>
    <x v="2"/>
    <n v="6.7618654990985396"/>
    <x v="1"/>
  </r>
  <r>
    <x v="29"/>
    <x v="0"/>
    <x v="2"/>
    <n v="6.9489469639633503"/>
    <x v="1"/>
  </r>
  <r>
    <x v="29"/>
    <x v="2"/>
    <x v="2"/>
    <n v="9.8500128499008603"/>
    <x v="1"/>
  </r>
  <r>
    <x v="29"/>
    <x v="17"/>
    <x v="2"/>
    <n v="9.2901001368571006"/>
    <x v="1"/>
  </r>
  <r>
    <x v="29"/>
    <x v="13"/>
    <x v="2"/>
    <n v="11.431546000942401"/>
    <x v="1"/>
  </r>
  <r>
    <x v="29"/>
    <x v="18"/>
    <x v="2"/>
    <n v="13.1443494559122"/>
    <x v="1"/>
  </r>
  <r>
    <x v="29"/>
    <x v="19"/>
    <x v="2"/>
    <n v="14.721090929301401"/>
    <x v="1"/>
  </r>
  <r>
    <x v="29"/>
    <x v="14"/>
    <x v="2"/>
    <n v="14.056897171357701"/>
    <x v="1"/>
  </r>
  <r>
    <x v="29"/>
    <x v="1"/>
    <x v="2"/>
    <n v="18.4281541366861"/>
    <x v="1"/>
  </r>
  <r>
    <x v="29"/>
    <x v="3"/>
    <x v="2"/>
    <n v="19.6860113624927"/>
    <x v="1"/>
  </r>
  <r>
    <x v="29"/>
    <x v="15"/>
    <x v="2"/>
    <n v="20.335677176623001"/>
    <x v="1"/>
  </r>
  <r>
    <x v="29"/>
    <x v="4"/>
    <x v="2"/>
    <n v="15.497991693771"/>
    <x v="1"/>
  </r>
  <r>
    <x v="30"/>
    <x v="23"/>
    <x v="2"/>
    <n v="2.9238604111197501"/>
    <x v="1"/>
  </r>
  <r>
    <x v="30"/>
    <x v="24"/>
    <x v="2"/>
    <n v="1.77444745445416"/>
    <x v="1"/>
  </r>
  <r>
    <x v="30"/>
    <x v="25"/>
    <x v="2"/>
    <n v="7.2338345757308504"/>
    <x v="1"/>
  </r>
  <r>
    <x v="30"/>
    <x v="5"/>
    <x v="2"/>
    <n v="2.8003491033082599"/>
    <x v="1"/>
  </r>
  <r>
    <x v="30"/>
    <x v="22"/>
    <x v="2"/>
    <n v="11.927805706163801"/>
    <x v="1"/>
  </r>
  <r>
    <x v="30"/>
    <x v="6"/>
    <x v="2"/>
    <n v="2.0953488328470602"/>
    <x v="1"/>
  </r>
  <r>
    <x v="30"/>
    <x v="7"/>
    <x v="2"/>
    <n v="9.7342681720056294"/>
    <x v="1"/>
  </r>
  <r>
    <x v="30"/>
    <x v="8"/>
    <x v="2"/>
    <n v="12.470951928672701"/>
    <x v="1"/>
  </r>
  <r>
    <x v="30"/>
    <x v="9"/>
    <x v="2"/>
    <n v="7.7046027837328497"/>
    <x v="1"/>
  </r>
  <r>
    <x v="30"/>
    <x v="10"/>
    <x v="2"/>
    <n v="3.90822035032068"/>
    <x v="1"/>
  </r>
  <r>
    <x v="30"/>
    <x v="11"/>
    <x v="2"/>
    <n v="39.703639243303002"/>
    <x v="1"/>
  </r>
  <r>
    <x v="30"/>
    <x v="12"/>
    <x v="2"/>
    <n v="16.609646902026501"/>
    <x v="1"/>
  </r>
  <r>
    <x v="30"/>
    <x v="16"/>
    <x v="2"/>
    <n v="19.040354949554501"/>
    <x v="1"/>
  </r>
  <r>
    <x v="30"/>
    <x v="21"/>
    <x v="2"/>
    <n v="61.378446055580902"/>
    <x v="1"/>
  </r>
  <r>
    <x v="30"/>
    <x v="0"/>
    <x v="2"/>
    <n v="12.7438156920623"/>
    <x v="1"/>
  </r>
  <r>
    <x v="30"/>
    <x v="2"/>
    <x v="2"/>
    <n v="10.263895654980301"/>
    <x v="1"/>
  </r>
  <r>
    <x v="30"/>
    <x v="17"/>
    <x v="2"/>
    <n v="5.2393183650148201"/>
    <x v="1"/>
  </r>
  <r>
    <x v="30"/>
    <x v="13"/>
    <x v="2"/>
    <n v="5.8925796851729704"/>
    <x v="1"/>
  </r>
  <r>
    <x v="30"/>
    <x v="18"/>
    <x v="2"/>
    <n v="6.1681112971865097"/>
    <x v="1"/>
  </r>
  <r>
    <x v="30"/>
    <x v="19"/>
    <x v="2"/>
    <n v="6.4386290685476499"/>
    <x v="1"/>
  </r>
  <r>
    <x v="30"/>
    <x v="20"/>
    <x v="2"/>
    <n v="6.8552936390057502"/>
    <x v="1"/>
  </r>
  <r>
    <x v="30"/>
    <x v="14"/>
    <x v="2"/>
    <n v="6.1214229384159902"/>
    <x v="1"/>
  </r>
  <r>
    <x v="30"/>
    <x v="1"/>
    <x v="2"/>
    <n v="6.9989677467459899"/>
    <x v="1"/>
  </r>
  <r>
    <x v="30"/>
    <x v="3"/>
    <x v="2"/>
    <n v="7.2249973083634096"/>
    <x v="1"/>
  </r>
  <r>
    <x v="30"/>
    <x v="15"/>
    <x v="2"/>
    <n v="7.7382904747983199"/>
    <x v="1"/>
  </r>
  <r>
    <x v="30"/>
    <x v="4"/>
    <x v="2"/>
    <n v="7.8945520665940396"/>
    <x v="1"/>
  </r>
  <r>
    <x v="31"/>
    <x v="5"/>
    <x v="2"/>
    <s v="NA"/>
    <x v="1"/>
  </r>
  <r>
    <x v="31"/>
    <x v="6"/>
    <x v="2"/>
    <s v="NA"/>
    <x v="1"/>
  </r>
  <r>
    <x v="31"/>
    <x v="7"/>
    <x v="2"/>
    <s v="NA"/>
    <x v="1"/>
  </r>
  <r>
    <x v="31"/>
    <x v="8"/>
    <x v="2"/>
    <n v="1.26497657055587"/>
    <x v="1"/>
  </r>
  <r>
    <x v="31"/>
    <x v="11"/>
    <x v="2"/>
    <n v="4.2342354390277599"/>
    <x v="1"/>
  </r>
  <r>
    <x v="31"/>
    <x v="12"/>
    <x v="2"/>
    <n v="3.8354971133098599"/>
    <x v="1"/>
  </r>
  <r>
    <x v="31"/>
    <x v="16"/>
    <x v="2"/>
    <n v="4.1479247166027502"/>
    <x v="1"/>
  </r>
  <r>
    <x v="31"/>
    <x v="21"/>
    <x v="2"/>
    <n v="4.6014166552010503"/>
    <x v="1"/>
  </r>
  <r>
    <x v="31"/>
    <x v="0"/>
    <x v="2"/>
    <n v="2.8965673872664999"/>
    <x v="1"/>
  </r>
  <r>
    <x v="31"/>
    <x v="2"/>
    <x v="2"/>
    <n v="2.66371872443225"/>
    <x v="1"/>
  </r>
  <r>
    <x v="31"/>
    <x v="17"/>
    <x v="2"/>
    <n v="1.74191616821877"/>
    <x v="1"/>
  </r>
  <r>
    <x v="31"/>
    <x v="13"/>
    <x v="2"/>
    <n v="3.7869230780492602"/>
    <x v="1"/>
  </r>
  <r>
    <x v="31"/>
    <x v="18"/>
    <x v="2"/>
    <n v="2.8133225833503799"/>
    <x v="1"/>
  </r>
  <r>
    <x v="31"/>
    <x v="19"/>
    <x v="2"/>
    <n v="2.7103172687558699"/>
    <x v="1"/>
  </r>
  <r>
    <x v="31"/>
    <x v="20"/>
    <x v="2"/>
    <n v="2.4976600599705199"/>
    <x v="1"/>
  </r>
  <r>
    <x v="31"/>
    <x v="14"/>
    <x v="2"/>
    <n v="2.6854592280141598"/>
    <x v="1"/>
  </r>
  <r>
    <x v="31"/>
    <x v="1"/>
    <x v="2"/>
    <n v="3.0427007152402301"/>
    <x v="1"/>
  </r>
  <r>
    <x v="31"/>
    <x v="3"/>
    <x v="2"/>
    <n v="4.0304388758241201"/>
    <x v="1"/>
  </r>
  <r>
    <x v="31"/>
    <x v="15"/>
    <x v="2"/>
    <n v="2.6696558162687398"/>
    <x v="1"/>
  </r>
  <r>
    <x v="31"/>
    <x v="4"/>
    <x v="2"/>
    <n v="4.6675669072482604"/>
    <x v="1"/>
  </r>
  <r>
    <x v="59"/>
    <x v="23"/>
    <x v="2"/>
    <n v="4.8440015421914104"/>
    <x v="1"/>
  </r>
  <r>
    <x v="59"/>
    <x v="24"/>
    <x v="2"/>
    <n v="6.60239630495514"/>
    <x v="1"/>
  </r>
  <r>
    <x v="59"/>
    <x v="8"/>
    <x v="2"/>
    <n v="9.5184962762065002"/>
    <x v="1"/>
  </r>
  <r>
    <x v="59"/>
    <x v="9"/>
    <x v="2"/>
    <n v="8.5241601477508802"/>
    <x v="1"/>
  </r>
  <r>
    <x v="59"/>
    <x v="14"/>
    <x v="2"/>
    <n v="7.2678527607341099"/>
    <x v="1"/>
  </r>
  <r>
    <x v="59"/>
    <x v="1"/>
    <x v="2"/>
    <n v="8.2559396371089395"/>
    <x v="1"/>
  </r>
  <r>
    <x v="59"/>
    <x v="3"/>
    <x v="2"/>
    <n v="10.0331998055458"/>
    <x v="1"/>
  </r>
  <r>
    <x v="60"/>
    <x v="12"/>
    <x v="2"/>
    <n v="5.29738493665098"/>
    <x v="1"/>
  </r>
  <r>
    <x v="60"/>
    <x v="16"/>
    <x v="2"/>
    <n v="5.2741698552558303"/>
    <x v="1"/>
  </r>
  <r>
    <x v="60"/>
    <x v="21"/>
    <x v="2"/>
    <n v="2.3103608699423202"/>
    <x v="1"/>
  </r>
  <r>
    <x v="60"/>
    <x v="0"/>
    <x v="2"/>
    <n v="1.4204887225481599"/>
    <x v="1"/>
  </r>
  <r>
    <x v="60"/>
    <x v="2"/>
    <x v="2"/>
    <n v="1.8883714177629201"/>
    <x v="1"/>
  </r>
  <r>
    <x v="60"/>
    <x v="17"/>
    <x v="2"/>
    <n v="2.1304092979322098"/>
    <x v="1"/>
  </r>
  <r>
    <x v="60"/>
    <x v="13"/>
    <x v="2"/>
    <n v="1.61787709990341"/>
    <x v="1"/>
  </r>
  <r>
    <x v="60"/>
    <x v="18"/>
    <x v="2"/>
    <n v="1.3831793340515199"/>
    <x v="1"/>
  </r>
  <r>
    <x v="60"/>
    <x v="19"/>
    <x v="2"/>
    <n v="1.2341290222749399"/>
    <x v="1"/>
  </r>
  <r>
    <x v="60"/>
    <x v="20"/>
    <x v="2"/>
    <n v="1.0047179475149799"/>
    <x v="1"/>
  </r>
  <r>
    <x v="60"/>
    <x v="14"/>
    <x v="2"/>
    <n v="1.2356569215844999"/>
    <x v="1"/>
  </r>
  <r>
    <x v="60"/>
    <x v="1"/>
    <x v="2"/>
    <n v="1.1679745712532601"/>
    <x v="1"/>
  </r>
  <r>
    <x v="60"/>
    <x v="3"/>
    <x v="2"/>
    <n v="1.2615739726666699"/>
    <x v="1"/>
  </r>
  <r>
    <x v="60"/>
    <x v="15"/>
    <x v="2"/>
    <n v="1.38525321837968"/>
    <x v="1"/>
  </r>
  <r>
    <x v="61"/>
    <x v="20"/>
    <x v="2"/>
    <n v="2.85847002930843"/>
    <x v="1"/>
  </r>
  <r>
    <x v="61"/>
    <x v="14"/>
    <x v="2"/>
    <n v="3.2758970869429298"/>
    <x v="1"/>
  </r>
  <r>
    <x v="61"/>
    <x v="1"/>
    <x v="2"/>
    <n v="3.7187054115450602"/>
    <x v="1"/>
  </r>
  <r>
    <x v="32"/>
    <x v="12"/>
    <x v="2"/>
    <n v="7.5987384642269999"/>
    <x v="1"/>
  </r>
  <r>
    <x v="32"/>
    <x v="16"/>
    <x v="2"/>
    <n v="13.0153637301255"/>
    <x v="1"/>
  </r>
  <r>
    <x v="32"/>
    <x v="21"/>
    <x v="2"/>
    <n v="9.1879144071521406"/>
    <x v="1"/>
  </r>
  <r>
    <x v="32"/>
    <x v="0"/>
    <x v="2"/>
    <n v="8.0408401216192509"/>
    <x v="1"/>
  </r>
  <r>
    <x v="32"/>
    <x v="2"/>
    <x v="2"/>
    <n v="7.9365335055504103"/>
    <x v="1"/>
  </r>
  <r>
    <x v="32"/>
    <x v="17"/>
    <x v="2"/>
    <n v="6.5255417731844201"/>
    <x v="1"/>
  </r>
  <r>
    <x v="32"/>
    <x v="13"/>
    <x v="2"/>
    <n v="4.7477832591371296"/>
    <x v="1"/>
  </r>
  <r>
    <x v="32"/>
    <x v="18"/>
    <x v="2"/>
    <n v="7.9045860638058896"/>
    <x v="1"/>
  </r>
  <r>
    <x v="32"/>
    <x v="19"/>
    <x v="2"/>
    <n v="12.0227603673932"/>
    <x v="1"/>
  </r>
  <r>
    <x v="32"/>
    <x v="20"/>
    <x v="2"/>
    <n v="13.1113440340502"/>
    <x v="1"/>
  </r>
  <r>
    <x v="32"/>
    <x v="14"/>
    <x v="2"/>
    <n v="14.210534488740199"/>
    <x v="1"/>
  </r>
  <r>
    <x v="32"/>
    <x v="1"/>
    <x v="2"/>
    <n v="15.592120413414399"/>
    <x v="1"/>
  </r>
  <r>
    <x v="32"/>
    <x v="3"/>
    <x v="2"/>
    <n v="14.997964539052999"/>
    <x v="1"/>
  </r>
  <r>
    <x v="32"/>
    <x v="15"/>
    <x v="2"/>
    <n v="13.603163317798099"/>
    <x v="1"/>
  </r>
  <r>
    <x v="32"/>
    <x v="4"/>
    <x v="2"/>
    <n v="13.828964506490401"/>
    <x v="1"/>
  </r>
  <r>
    <x v="62"/>
    <x v="11"/>
    <x v="2"/>
    <n v="1.9842651111260201"/>
    <x v="1"/>
  </r>
  <r>
    <x v="62"/>
    <x v="12"/>
    <x v="2"/>
    <n v="2.3107868940595"/>
    <x v="1"/>
  </r>
  <r>
    <x v="62"/>
    <x v="16"/>
    <x v="2"/>
    <n v="3.2554473202416601"/>
    <x v="1"/>
  </r>
  <r>
    <x v="62"/>
    <x v="21"/>
    <x v="2"/>
    <n v="2.73411664949694"/>
    <x v="1"/>
  </r>
  <r>
    <x v="62"/>
    <x v="0"/>
    <x v="2"/>
    <n v="1.9523812851365001"/>
    <x v="1"/>
  </r>
  <r>
    <x v="62"/>
    <x v="2"/>
    <x v="2"/>
    <n v="1.6885310648882801"/>
    <x v="1"/>
  </r>
  <r>
    <x v="62"/>
    <x v="17"/>
    <x v="2"/>
    <n v="2.8216056187754299"/>
    <x v="1"/>
  </r>
  <r>
    <x v="62"/>
    <x v="13"/>
    <x v="2"/>
    <n v="2.8358705287602599"/>
    <x v="1"/>
  </r>
  <r>
    <x v="62"/>
    <x v="18"/>
    <x v="2"/>
    <n v="3.2105072787397302"/>
    <x v="1"/>
  </r>
  <r>
    <x v="62"/>
    <x v="19"/>
    <x v="2"/>
    <n v="2.7571490801109202"/>
    <x v="1"/>
  </r>
  <r>
    <x v="62"/>
    <x v="20"/>
    <x v="2"/>
    <n v="3.0068362266238999"/>
    <x v="1"/>
  </r>
  <r>
    <x v="62"/>
    <x v="14"/>
    <x v="2"/>
    <n v="2.7314643186363901"/>
    <x v="1"/>
  </r>
  <r>
    <x v="62"/>
    <x v="1"/>
    <x v="2"/>
    <n v="4.0717704675324802"/>
    <x v="1"/>
  </r>
  <r>
    <x v="62"/>
    <x v="3"/>
    <x v="2"/>
    <n v="6.3007302870968998"/>
    <x v="1"/>
  </r>
  <r>
    <x v="62"/>
    <x v="15"/>
    <x v="2"/>
    <n v="3.7778310593467399"/>
    <x v="1"/>
  </r>
  <r>
    <x v="62"/>
    <x v="4"/>
    <x v="2"/>
    <n v="5.40331037654677"/>
    <x v="1"/>
  </r>
  <r>
    <x v="63"/>
    <x v="19"/>
    <x v="2"/>
    <n v="1.8569176620144301"/>
    <x v="1"/>
  </r>
  <r>
    <x v="63"/>
    <x v="20"/>
    <x v="2"/>
    <n v="1.53896772108155"/>
    <x v="1"/>
  </r>
  <r>
    <x v="63"/>
    <x v="14"/>
    <x v="2"/>
    <n v="1.77161872338508"/>
    <x v="1"/>
  </r>
  <r>
    <x v="63"/>
    <x v="1"/>
    <x v="2"/>
    <n v="1.7233644710376901"/>
    <x v="1"/>
  </r>
  <r>
    <x v="63"/>
    <x v="3"/>
    <x v="2"/>
    <n v="1.85957484738004"/>
    <x v="1"/>
  </r>
  <r>
    <x v="33"/>
    <x v="2"/>
    <x v="2"/>
    <n v="0.20459982869294699"/>
    <x v="1"/>
  </r>
  <r>
    <x v="33"/>
    <x v="17"/>
    <x v="2"/>
    <n v="3.26319217206904"/>
    <x v="1"/>
  </r>
  <r>
    <x v="33"/>
    <x v="18"/>
    <x v="2"/>
    <n v="1.5383679950025699"/>
    <x v="1"/>
  </r>
  <r>
    <x v="33"/>
    <x v="1"/>
    <x v="2"/>
    <n v="6.3415379138284802"/>
    <x v="1"/>
  </r>
  <r>
    <x v="33"/>
    <x v="3"/>
    <x v="2"/>
    <n v="3.2312678832869"/>
    <x v="1"/>
  </r>
  <r>
    <x v="64"/>
    <x v="11"/>
    <x v="2"/>
    <n v="1.86534998736901"/>
    <x v="1"/>
  </r>
  <r>
    <x v="64"/>
    <x v="12"/>
    <x v="2"/>
    <n v="1.9107010858251301"/>
    <x v="1"/>
  </r>
  <r>
    <x v="64"/>
    <x v="16"/>
    <x v="2"/>
    <n v="2.0395419355501399"/>
    <x v="1"/>
  </r>
  <r>
    <x v="64"/>
    <x v="21"/>
    <x v="2"/>
    <n v="2.1473576360950299"/>
    <x v="1"/>
  </r>
  <r>
    <x v="64"/>
    <x v="0"/>
    <x v="2"/>
    <n v="2.2674678374445798"/>
    <x v="1"/>
  </r>
  <r>
    <x v="64"/>
    <x v="2"/>
    <x v="2"/>
    <n v="3.4747987586843898"/>
    <x v="1"/>
  </r>
  <r>
    <x v="64"/>
    <x v="17"/>
    <x v="2"/>
    <n v="3.2920001955795599"/>
    <x v="1"/>
  </r>
  <r>
    <x v="64"/>
    <x v="19"/>
    <x v="2"/>
    <n v="2.2268539078702601"/>
    <x v="1"/>
  </r>
  <r>
    <x v="64"/>
    <x v="20"/>
    <x v="2"/>
    <n v="1.9611933347549"/>
    <x v="1"/>
  </r>
  <r>
    <x v="64"/>
    <x v="3"/>
    <x v="2"/>
    <n v="1.6420089680049399"/>
    <x v="1"/>
  </r>
  <r>
    <x v="64"/>
    <x v="15"/>
    <x v="2"/>
    <n v="1.7282354110353999"/>
    <x v="1"/>
  </r>
  <r>
    <x v="64"/>
    <x v="4"/>
    <x v="2"/>
    <n v="1.78455864115537"/>
    <x v="1"/>
  </r>
  <r>
    <x v="65"/>
    <x v="11"/>
    <x v="2"/>
    <n v="3.06843294300243"/>
    <x v="1"/>
  </r>
  <r>
    <x v="65"/>
    <x v="12"/>
    <x v="2"/>
    <n v="3.2485048401481298"/>
    <x v="1"/>
  </r>
  <r>
    <x v="65"/>
    <x v="16"/>
    <x v="2"/>
    <n v="2.9361126170961702"/>
    <x v="1"/>
  </r>
  <r>
    <x v="65"/>
    <x v="21"/>
    <x v="2"/>
    <n v="2.9480600352936599"/>
    <x v="1"/>
  </r>
  <r>
    <x v="65"/>
    <x v="0"/>
    <x v="2"/>
    <n v="2.5850817629256602"/>
    <x v="1"/>
  </r>
  <r>
    <x v="65"/>
    <x v="2"/>
    <x v="2"/>
    <n v="1.7602079481331601"/>
    <x v="1"/>
  </r>
  <r>
    <x v="65"/>
    <x v="17"/>
    <x v="2"/>
    <n v="2.0043574905837902"/>
    <x v="1"/>
  </r>
  <r>
    <x v="65"/>
    <x v="13"/>
    <x v="2"/>
    <n v="2.3956032605223498"/>
    <x v="1"/>
  </r>
  <r>
    <x v="65"/>
    <x v="18"/>
    <x v="2"/>
    <n v="2.1548982140378898"/>
    <x v="1"/>
  </r>
  <r>
    <x v="65"/>
    <x v="19"/>
    <x v="2"/>
    <n v="2.5193580912984102"/>
    <x v="1"/>
  </r>
  <r>
    <x v="65"/>
    <x v="20"/>
    <x v="2"/>
    <n v="2.51394742132653"/>
    <x v="1"/>
  </r>
  <r>
    <x v="65"/>
    <x v="14"/>
    <x v="2"/>
    <n v="2.4513756300155798"/>
    <x v="1"/>
  </r>
  <r>
    <x v="65"/>
    <x v="1"/>
    <x v="2"/>
    <n v="3.30369095252914"/>
    <x v="1"/>
  </r>
  <r>
    <x v="65"/>
    <x v="3"/>
    <x v="2"/>
    <n v="2.8680400203281602"/>
    <x v="1"/>
  </r>
  <r>
    <x v="65"/>
    <x v="15"/>
    <x v="2"/>
    <n v="3.12796435628234"/>
    <x v="1"/>
  </r>
  <r>
    <x v="65"/>
    <x v="4"/>
    <x v="2"/>
    <n v="3.4053959446875699"/>
    <x v="1"/>
  </r>
  <r>
    <x v="34"/>
    <x v="17"/>
    <x v="2"/>
    <n v="1.44333895891925"/>
    <x v="1"/>
  </r>
  <r>
    <x v="34"/>
    <x v="13"/>
    <x v="2"/>
    <n v="1.7078678662298801"/>
    <x v="1"/>
  </r>
  <r>
    <x v="34"/>
    <x v="18"/>
    <x v="2"/>
    <n v="2.0554062019371599"/>
    <x v="1"/>
  </r>
  <r>
    <x v="34"/>
    <x v="15"/>
    <x v="2"/>
    <n v="1.37074792421196"/>
    <x v="1"/>
  </r>
  <r>
    <x v="34"/>
    <x v="4"/>
    <x v="2"/>
    <n v="1.1263632762073099"/>
    <x v="1"/>
  </r>
  <r>
    <x v="35"/>
    <x v="11"/>
    <x v="2"/>
    <n v="3.5099911216641702"/>
    <x v="1"/>
  </r>
  <r>
    <x v="35"/>
    <x v="12"/>
    <x v="2"/>
    <n v="4.9026303595489198"/>
    <x v="1"/>
  </r>
  <r>
    <x v="35"/>
    <x v="16"/>
    <x v="2"/>
    <n v="5.9430732288949697"/>
    <x v="1"/>
  </r>
  <r>
    <x v="35"/>
    <x v="21"/>
    <x v="2"/>
    <n v="5.47759451001005"/>
    <x v="1"/>
  </r>
  <r>
    <x v="35"/>
    <x v="0"/>
    <x v="2"/>
    <n v="3.9459315066024598"/>
    <x v="1"/>
  </r>
  <r>
    <x v="35"/>
    <x v="2"/>
    <x v="2"/>
    <n v="2.9312231663408799"/>
    <x v="1"/>
  </r>
  <r>
    <x v="35"/>
    <x v="17"/>
    <x v="2"/>
    <n v="3.6578411088471401"/>
    <x v="1"/>
  </r>
  <r>
    <x v="35"/>
    <x v="13"/>
    <x v="2"/>
    <n v="3.8295629438147101"/>
    <x v="1"/>
  </r>
  <r>
    <x v="35"/>
    <x v="18"/>
    <x v="2"/>
    <n v="4.0915842365785"/>
    <x v="1"/>
  </r>
  <r>
    <x v="35"/>
    <x v="19"/>
    <x v="2"/>
    <n v="2.3900744649573298"/>
    <x v="1"/>
  </r>
  <r>
    <x v="35"/>
    <x v="14"/>
    <x v="2"/>
    <n v="3.73195785937867"/>
    <x v="1"/>
  </r>
  <r>
    <x v="35"/>
    <x v="1"/>
    <x v="2"/>
    <n v="4.4318505315242103"/>
    <x v="1"/>
  </r>
  <r>
    <x v="35"/>
    <x v="3"/>
    <x v="2"/>
    <n v="3.9454721046525898"/>
    <x v="1"/>
  </r>
  <r>
    <x v="35"/>
    <x v="15"/>
    <x v="2"/>
    <n v="3.1212615033095599"/>
    <x v="1"/>
  </r>
  <r>
    <x v="35"/>
    <x v="4"/>
    <x v="2"/>
    <n v="2.9339447584229199"/>
    <x v="1"/>
  </r>
  <r>
    <x v="36"/>
    <x v="11"/>
    <x v="2"/>
    <n v="3.6890359839166802"/>
    <x v="1"/>
  </r>
  <r>
    <x v="36"/>
    <x v="12"/>
    <x v="2"/>
    <n v="5.2209576423805997"/>
    <x v="1"/>
  </r>
  <r>
    <x v="36"/>
    <x v="16"/>
    <x v="2"/>
    <n v="5.3654098742728404"/>
    <x v="1"/>
  </r>
  <r>
    <x v="36"/>
    <x v="21"/>
    <x v="2"/>
    <n v="4.3665804660740797"/>
    <x v="1"/>
  </r>
  <r>
    <x v="36"/>
    <x v="0"/>
    <x v="2"/>
    <n v="3.6787195203449299"/>
    <x v="1"/>
  </r>
  <r>
    <x v="36"/>
    <x v="2"/>
    <x v="2"/>
    <n v="3.9948694951343802"/>
    <x v="1"/>
  </r>
  <r>
    <x v="36"/>
    <x v="17"/>
    <x v="2"/>
    <n v="4.4988539157695797"/>
    <x v="1"/>
  </r>
  <r>
    <x v="36"/>
    <x v="13"/>
    <x v="2"/>
    <n v="4.9398167140887104"/>
    <x v="1"/>
  </r>
  <r>
    <x v="36"/>
    <x v="18"/>
    <x v="2"/>
    <n v="4.5908160522024204"/>
    <x v="1"/>
  </r>
  <r>
    <x v="36"/>
    <x v="19"/>
    <x v="2"/>
    <n v="4.5669076594050404"/>
    <x v="1"/>
  </r>
  <r>
    <x v="36"/>
    <x v="20"/>
    <x v="2"/>
    <n v="5.1409148523525499"/>
    <x v="1"/>
  </r>
  <r>
    <x v="36"/>
    <x v="14"/>
    <x v="2"/>
    <n v="4.9610799493372797"/>
    <x v="1"/>
  </r>
  <r>
    <x v="36"/>
    <x v="1"/>
    <x v="2"/>
    <n v="6.77616836731079"/>
    <x v="1"/>
  </r>
  <r>
    <x v="36"/>
    <x v="3"/>
    <x v="2"/>
    <n v="6.8484276916458597"/>
    <x v="1"/>
  </r>
  <r>
    <x v="36"/>
    <x v="15"/>
    <x v="2"/>
    <n v="6.3187395452697599"/>
    <x v="1"/>
  </r>
  <r>
    <x v="36"/>
    <x v="4"/>
    <x v="2"/>
    <n v="6.1288817373654103"/>
    <x v="1"/>
  </r>
  <r>
    <x v="37"/>
    <x v="2"/>
    <x v="2"/>
    <n v="2.0762079003951399"/>
    <x v="1"/>
  </r>
  <r>
    <x v="37"/>
    <x v="17"/>
    <x v="2"/>
    <n v="2.4416330318192201"/>
    <x v="1"/>
  </r>
  <r>
    <x v="37"/>
    <x v="13"/>
    <x v="2"/>
    <n v="3.1097887912220701"/>
    <x v="1"/>
  </r>
  <r>
    <x v="37"/>
    <x v="18"/>
    <x v="2"/>
    <n v="2.7180808524625801"/>
    <x v="1"/>
  </r>
  <r>
    <x v="37"/>
    <x v="19"/>
    <x v="2"/>
    <n v="2.2460569344107699"/>
    <x v="1"/>
  </r>
  <r>
    <x v="37"/>
    <x v="20"/>
    <x v="2"/>
    <n v="2.3007587653899502"/>
    <x v="1"/>
  </r>
  <r>
    <x v="37"/>
    <x v="14"/>
    <x v="2"/>
    <n v="3.0943467957557398"/>
    <x v="1"/>
  </r>
  <r>
    <x v="37"/>
    <x v="1"/>
    <x v="2"/>
    <n v="3.3052694887870899"/>
    <x v="1"/>
  </r>
  <r>
    <x v="37"/>
    <x v="3"/>
    <x v="2"/>
    <n v="2.9394947167194601"/>
    <x v="1"/>
  </r>
  <r>
    <x v="37"/>
    <x v="15"/>
    <x v="2"/>
    <n v="2.4099148462546198"/>
    <x v="1"/>
  </r>
  <r>
    <x v="66"/>
    <x v="18"/>
    <x v="2"/>
    <n v="2.82124356026429"/>
    <x v="1"/>
  </r>
  <r>
    <x v="38"/>
    <x v="11"/>
    <x v="2"/>
    <n v="1.3541382193881399"/>
    <x v="1"/>
  </r>
  <r>
    <x v="38"/>
    <x v="12"/>
    <x v="2"/>
    <n v="1.3890580265992301"/>
    <x v="1"/>
  </r>
  <r>
    <x v="38"/>
    <x v="16"/>
    <x v="2"/>
    <n v="1.4589162368705999"/>
    <x v="1"/>
  </r>
  <r>
    <x v="38"/>
    <x v="21"/>
    <x v="2"/>
    <n v="0.97491818308143996"/>
    <x v="1"/>
  </r>
  <r>
    <x v="38"/>
    <x v="0"/>
    <x v="2"/>
    <n v="1.19578853614285"/>
    <x v="1"/>
  </r>
  <r>
    <x v="38"/>
    <x v="2"/>
    <x v="2"/>
    <n v="1.14429804451355"/>
    <x v="1"/>
  </r>
  <r>
    <x v="38"/>
    <x v="17"/>
    <x v="2"/>
    <n v="1.3026505062328499"/>
    <x v="1"/>
  </r>
  <r>
    <x v="38"/>
    <x v="13"/>
    <x v="2"/>
    <n v="1.5150167397248999"/>
    <x v="1"/>
  </r>
  <r>
    <x v="38"/>
    <x v="18"/>
    <x v="2"/>
    <n v="1.4899414532142501"/>
    <x v="1"/>
  </r>
  <r>
    <x v="38"/>
    <x v="19"/>
    <x v="2"/>
    <n v="1.21961106819145"/>
    <x v="1"/>
  </r>
  <r>
    <x v="38"/>
    <x v="20"/>
    <x v="2"/>
    <n v="1.10820093682681"/>
    <x v="1"/>
  </r>
  <r>
    <x v="38"/>
    <x v="1"/>
    <x v="2"/>
    <n v="1.4021170288854701"/>
    <x v="1"/>
  </r>
  <r>
    <x v="39"/>
    <x v="10"/>
    <x v="2"/>
    <n v="9.2476797819441803"/>
    <x v="1"/>
  </r>
  <r>
    <x v="39"/>
    <x v="11"/>
    <x v="2"/>
    <n v="2.7233116099036199"/>
    <x v="1"/>
  </r>
  <r>
    <x v="39"/>
    <x v="12"/>
    <x v="2"/>
    <n v="2.9516716841315001"/>
    <x v="1"/>
  </r>
  <r>
    <x v="39"/>
    <x v="21"/>
    <x v="2"/>
    <n v="6.9883135310220004"/>
    <x v="1"/>
  </r>
  <r>
    <x v="39"/>
    <x v="17"/>
    <x v="2"/>
    <n v="1.25106395137738"/>
    <x v="1"/>
  </r>
  <r>
    <x v="39"/>
    <x v="13"/>
    <x v="2"/>
    <n v="1.4376170172957199"/>
    <x v="1"/>
  </r>
  <r>
    <x v="39"/>
    <x v="18"/>
    <x v="2"/>
    <n v="1.68041779874576"/>
    <x v="1"/>
  </r>
  <r>
    <x v="39"/>
    <x v="19"/>
    <x v="2"/>
    <n v="1.8003191315212701"/>
    <x v="1"/>
  </r>
  <r>
    <x v="39"/>
    <x v="20"/>
    <x v="2"/>
    <n v="1.1348510115300701"/>
    <x v="1"/>
  </r>
  <r>
    <x v="39"/>
    <x v="14"/>
    <x v="2"/>
    <n v="0.91018443197992804"/>
    <x v="1"/>
  </r>
  <r>
    <x v="39"/>
    <x v="1"/>
    <x v="2"/>
    <n v="1.80126345944958"/>
    <x v="1"/>
  </r>
  <r>
    <x v="67"/>
    <x v="12"/>
    <x v="2"/>
    <n v="3.2577317512705002"/>
    <x v="1"/>
  </r>
  <r>
    <x v="67"/>
    <x v="16"/>
    <x v="2"/>
    <n v="5.8430393353646597"/>
    <x v="1"/>
  </r>
  <r>
    <x v="67"/>
    <x v="21"/>
    <x v="2"/>
    <n v="3.7817555831725"/>
    <x v="1"/>
  </r>
  <r>
    <x v="67"/>
    <x v="0"/>
    <x v="2"/>
    <n v="4.1597574092840404"/>
    <x v="1"/>
  </r>
  <r>
    <x v="67"/>
    <x v="2"/>
    <x v="2"/>
    <n v="3.9197580221136201"/>
    <x v="1"/>
  </r>
  <r>
    <x v="67"/>
    <x v="17"/>
    <x v="2"/>
    <n v="3.8279283408023801"/>
    <x v="1"/>
  </r>
  <r>
    <x v="67"/>
    <x v="19"/>
    <x v="2"/>
    <n v="2.7509600110774399"/>
    <x v="1"/>
  </r>
  <r>
    <x v="67"/>
    <x v="20"/>
    <x v="2"/>
    <n v="2.4604796563263598"/>
    <x v="1"/>
  </r>
  <r>
    <x v="67"/>
    <x v="3"/>
    <x v="2"/>
    <n v="2.5611559670633"/>
    <x v="1"/>
  </r>
  <r>
    <x v="67"/>
    <x v="15"/>
    <x v="2"/>
    <n v="2.79363223554425"/>
    <x v="1"/>
  </r>
  <r>
    <x v="67"/>
    <x v="4"/>
    <x v="2"/>
    <n v="2.6767735849462202"/>
    <x v="1"/>
  </r>
  <r>
    <x v="40"/>
    <x v="11"/>
    <x v="2"/>
    <n v="3.0369450059309"/>
    <x v="1"/>
  </r>
  <r>
    <x v="40"/>
    <x v="12"/>
    <x v="2"/>
    <n v="4.7970661879576904"/>
    <x v="1"/>
  </r>
  <r>
    <x v="40"/>
    <x v="16"/>
    <x v="2"/>
    <n v="3.4614257259385699"/>
    <x v="1"/>
  </r>
  <r>
    <x v="40"/>
    <x v="21"/>
    <x v="2"/>
    <n v="3.5133894035356801"/>
    <x v="1"/>
  </r>
  <r>
    <x v="40"/>
    <x v="0"/>
    <x v="2"/>
    <n v="3.15176818147732"/>
    <x v="1"/>
  </r>
  <r>
    <x v="40"/>
    <x v="2"/>
    <x v="2"/>
    <n v="3.3572309725446399"/>
    <x v="1"/>
  </r>
  <r>
    <x v="40"/>
    <x v="17"/>
    <x v="2"/>
    <n v="3.4763279652390602"/>
    <x v="1"/>
  </r>
  <r>
    <x v="40"/>
    <x v="13"/>
    <x v="2"/>
    <n v="3.83356575026369"/>
    <x v="1"/>
  </r>
  <r>
    <x v="40"/>
    <x v="18"/>
    <x v="2"/>
    <n v="4.8648979860415702"/>
    <x v="1"/>
  </r>
  <r>
    <x v="40"/>
    <x v="19"/>
    <x v="2"/>
    <n v="4.8814913687424397"/>
    <x v="1"/>
  </r>
  <r>
    <x v="40"/>
    <x v="20"/>
    <x v="2"/>
    <n v="4.38906753906116"/>
    <x v="1"/>
  </r>
  <r>
    <x v="40"/>
    <x v="14"/>
    <x v="2"/>
    <n v="4.9199944636535102"/>
    <x v="1"/>
  </r>
  <r>
    <x v="40"/>
    <x v="1"/>
    <x v="2"/>
    <n v="5.60402126390579"/>
    <x v="1"/>
  </r>
  <r>
    <x v="40"/>
    <x v="3"/>
    <x v="2"/>
    <n v="6.4390918448133698"/>
    <x v="1"/>
  </r>
  <r>
    <x v="40"/>
    <x v="15"/>
    <x v="2"/>
    <n v="5.0482675307460996"/>
    <x v="1"/>
  </r>
  <r>
    <x v="40"/>
    <x v="4"/>
    <x v="2"/>
    <n v="4.9361030861802604"/>
    <x v="1"/>
  </r>
  <r>
    <x v="41"/>
    <x v="25"/>
    <x v="2"/>
    <n v="1.7241047495967701"/>
    <x v="1"/>
  </r>
  <r>
    <x v="41"/>
    <x v="5"/>
    <x v="2"/>
    <n v="1.38682411923959"/>
    <x v="1"/>
  </r>
  <r>
    <x v="41"/>
    <x v="22"/>
    <x v="2"/>
    <n v="1.78686395612326"/>
    <x v="1"/>
  </r>
  <r>
    <x v="41"/>
    <x v="6"/>
    <x v="2"/>
    <n v="1.4410959010672599"/>
    <x v="1"/>
  </r>
  <r>
    <x v="41"/>
    <x v="7"/>
    <x v="2"/>
    <n v="1.5868507911910401"/>
    <x v="1"/>
  </r>
  <r>
    <x v="41"/>
    <x v="8"/>
    <x v="2"/>
    <n v="2.1809622028881601"/>
    <x v="1"/>
  </r>
  <r>
    <x v="41"/>
    <x v="9"/>
    <x v="2"/>
    <n v="2.4824045228139999"/>
    <x v="1"/>
  </r>
  <r>
    <x v="41"/>
    <x v="10"/>
    <x v="2"/>
    <n v="1.5535068716704501"/>
    <x v="1"/>
  </r>
  <r>
    <x v="41"/>
    <x v="11"/>
    <x v="2"/>
    <n v="1.6325737138949099"/>
    <x v="1"/>
  </r>
  <r>
    <x v="41"/>
    <x v="12"/>
    <x v="2"/>
    <n v="2.10934122336799"/>
    <x v="1"/>
  </r>
  <r>
    <x v="41"/>
    <x v="16"/>
    <x v="2"/>
    <n v="2.6426060526891302"/>
    <x v="1"/>
  </r>
  <r>
    <x v="41"/>
    <x v="21"/>
    <x v="2"/>
    <n v="2.79250702875501"/>
    <x v="1"/>
  </r>
  <r>
    <x v="41"/>
    <x v="0"/>
    <x v="2"/>
    <n v="2.0805356057970399"/>
    <x v="1"/>
  </r>
  <r>
    <x v="41"/>
    <x v="2"/>
    <x v="2"/>
    <n v="2.0033040302342302"/>
    <x v="1"/>
  </r>
  <r>
    <x v="41"/>
    <x v="17"/>
    <x v="2"/>
    <n v="2.1542055101099198"/>
    <x v="1"/>
  </r>
  <r>
    <x v="41"/>
    <x v="13"/>
    <x v="2"/>
    <n v="2.7179596070146701"/>
    <x v="1"/>
  </r>
  <r>
    <x v="41"/>
    <x v="18"/>
    <x v="2"/>
    <n v="2.46161151630209"/>
    <x v="1"/>
  </r>
  <r>
    <x v="41"/>
    <x v="19"/>
    <x v="2"/>
    <n v="2.2402974738889201"/>
    <x v="1"/>
  </r>
  <r>
    <x v="41"/>
    <x v="20"/>
    <x v="2"/>
    <n v="2.3463007908246398"/>
    <x v="1"/>
  </r>
  <r>
    <x v="41"/>
    <x v="14"/>
    <x v="2"/>
    <n v="2.7676481379903501"/>
    <x v="1"/>
  </r>
  <r>
    <x v="41"/>
    <x v="1"/>
    <x v="2"/>
    <n v="3.1352436908996899"/>
    <x v="1"/>
  </r>
  <r>
    <x v="41"/>
    <x v="3"/>
    <x v="2"/>
    <n v="2.9293714724059599"/>
    <x v="1"/>
  </r>
  <r>
    <x v="41"/>
    <x v="15"/>
    <x v="2"/>
    <n v="2.8092076409665299"/>
    <x v="1"/>
  </r>
  <r>
    <x v="41"/>
    <x v="4"/>
    <x v="2"/>
    <n v="2.8250369707820102"/>
    <x v="1"/>
  </r>
  <r>
    <x v="42"/>
    <x v="11"/>
    <x v="2"/>
    <n v="1.90119824231441"/>
    <x v="1"/>
  </r>
  <r>
    <x v="42"/>
    <x v="12"/>
    <x v="2"/>
    <n v="2.5171537802224599"/>
    <x v="1"/>
  </r>
  <r>
    <x v="42"/>
    <x v="16"/>
    <x v="2"/>
    <n v="4.2950638532129704"/>
    <x v="1"/>
  </r>
  <r>
    <x v="42"/>
    <x v="21"/>
    <x v="2"/>
    <n v="3.8257931178984701"/>
    <x v="1"/>
  </r>
  <r>
    <x v="42"/>
    <x v="0"/>
    <x v="2"/>
    <n v="3.3720963899487901"/>
    <x v="1"/>
  </r>
  <r>
    <x v="42"/>
    <x v="2"/>
    <x v="2"/>
    <n v="3.64130428135763"/>
    <x v="1"/>
  </r>
  <r>
    <x v="42"/>
    <x v="17"/>
    <x v="2"/>
    <n v="3.0537645588420701"/>
    <x v="1"/>
  </r>
  <r>
    <x v="42"/>
    <x v="13"/>
    <x v="2"/>
    <n v="2.9212522783018802"/>
    <x v="1"/>
  </r>
  <r>
    <x v="42"/>
    <x v="18"/>
    <x v="2"/>
    <n v="3.1137348127916802"/>
    <x v="1"/>
  </r>
  <r>
    <x v="42"/>
    <x v="19"/>
    <x v="2"/>
    <n v="3.2333431437658602"/>
    <x v="1"/>
  </r>
  <r>
    <x v="42"/>
    <x v="20"/>
    <x v="2"/>
    <n v="2.4547439921627801"/>
    <x v="1"/>
  </r>
  <r>
    <x v="42"/>
    <x v="14"/>
    <x v="2"/>
    <n v="2.5787349189797499"/>
    <x v="1"/>
  </r>
  <r>
    <x v="42"/>
    <x v="1"/>
    <x v="2"/>
    <n v="2.8494154307588699"/>
    <x v="1"/>
  </r>
  <r>
    <x v="42"/>
    <x v="3"/>
    <x v="2"/>
    <n v="2.6809363468853702"/>
    <x v="1"/>
  </r>
  <r>
    <x v="42"/>
    <x v="15"/>
    <x v="2"/>
    <n v="2.3844163397619398"/>
    <x v="1"/>
  </r>
  <r>
    <x v="42"/>
    <x v="4"/>
    <x v="2"/>
    <n v="2.3745813474190198"/>
    <x v="1"/>
  </r>
  <r>
    <x v="68"/>
    <x v="16"/>
    <x v="2"/>
    <n v="2.8975128400400498"/>
    <x v="1"/>
  </r>
  <r>
    <x v="68"/>
    <x v="21"/>
    <x v="2"/>
    <n v="2.6364435108090101"/>
    <x v="1"/>
  </r>
  <r>
    <x v="68"/>
    <x v="0"/>
    <x v="2"/>
    <n v="2.4502444744615102"/>
    <x v="1"/>
  </r>
  <r>
    <x v="43"/>
    <x v="0"/>
    <x v="2"/>
    <n v="17.5149943714976"/>
    <x v="1"/>
  </r>
  <r>
    <x v="43"/>
    <x v="14"/>
    <x v="2"/>
    <n v="12.554995754662601"/>
    <x v="1"/>
  </r>
  <r>
    <x v="43"/>
    <x v="1"/>
    <x v="2"/>
    <n v="15.7065229563628"/>
    <x v="1"/>
  </r>
  <r>
    <x v="44"/>
    <x v="5"/>
    <x v="2"/>
    <n v="7.2990197312285803"/>
    <x v="1"/>
  </r>
  <r>
    <x v="44"/>
    <x v="6"/>
    <x v="2"/>
    <n v="13.640147608707"/>
    <x v="1"/>
  </r>
  <r>
    <x v="44"/>
    <x v="9"/>
    <x v="2"/>
    <n v="20.770346828636999"/>
    <x v="1"/>
  </r>
  <r>
    <x v="44"/>
    <x v="10"/>
    <x v="2"/>
    <n v="17.590456485535402"/>
    <x v="1"/>
  </r>
  <r>
    <x v="44"/>
    <x v="11"/>
    <x v="2"/>
    <n v="17.779145124247599"/>
    <x v="1"/>
  </r>
  <r>
    <x v="44"/>
    <x v="12"/>
    <x v="2"/>
    <n v="20.388178021400499"/>
    <x v="1"/>
  </r>
  <r>
    <x v="44"/>
    <x v="16"/>
    <x v="2"/>
    <n v="22.8788994373311"/>
    <x v="1"/>
  </r>
  <r>
    <x v="44"/>
    <x v="21"/>
    <x v="2"/>
    <n v="18.817396424034001"/>
    <x v="1"/>
  </r>
  <r>
    <x v="44"/>
    <x v="0"/>
    <x v="2"/>
    <n v="17.050098232270699"/>
    <x v="1"/>
  </r>
  <r>
    <x v="44"/>
    <x v="2"/>
    <x v="2"/>
    <n v="16.7288919375391"/>
    <x v="1"/>
  </r>
  <r>
    <x v="44"/>
    <x v="17"/>
    <x v="2"/>
    <n v="14.204737943321"/>
    <x v="1"/>
  </r>
  <r>
    <x v="44"/>
    <x v="13"/>
    <x v="2"/>
    <n v="13.9294778614343"/>
    <x v="1"/>
  </r>
  <r>
    <x v="44"/>
    <x v="18"/>
    <x v="2"/>
    <n v="14.040767756058401"/>
    <x v="1"/>
  </r>
  <r>
    <x v="44"/>
    <x v="19"/>
    <x v="2"/>
    <n v="12.7067892427876"/>
    <x v="1"/>
  </r>
  <r>
    <x v="44"/>
    <x v="20"/>
    <x v="2"/>
    <n v="10.930131306686601"/>
    <x v="1"/>
  </r>
  <r>
    <x v="44"/>
    <x v="14"/>
    <x v="2"/>
    <n v="12.159728426002699"/>
    <x v="1"/>
  </r>
  <r>
    <x v="44"/>
    <x v="1"/>
    <x v="2"/>
    <n v="16.5586739990379"/>
    <x v="1"/>
  </r>
  <r>
    <x v="44"/>
    <x v="3"/>
    <x v="2"/>
    <n v="17.762573801813399"/>
    <x v="1"/>
  </r>
  <r>
    <x v="44"/>
    <x v="15"/>
    <x v="2"/>
    <n v="10.3534465149352"/>
    <x v="1"/>
  </r>
  <r>
    <x v="44"/>
    <x v="4"/>
    <x v="2"/>
    <n v="13.1485381875824"/>
    <x v="1"/>
  </r>
  <r>
    <x v="45"/>
    <x v="17"/>
    <x v="2"/>
    <n v="3.67080901881971"/>
    <x v="1"/>
  </r>
  <r>
    <x v="45"/>
    <x v="13"/>
    <x v="2"/>
    <n v="4.97955577016186"/>
    <x v="1"/>
  </r>
  <r>
    <x v="45"/>
    <x v="18"/>
    <x v="2"/>
    <n v="4.9894209488707704"/>
    <x v="1"/>
  </r>
  <r>
    <x v="45"/>
    <x v="19"/>
    <x v="2"/>
    <n v="5.5830671273341697"/>
    <x v="1"/>
  </r>
  <r>
    <x v="45"/>
    <x v="20"/>
    <x v="2"/>
    <n v="4.62792352890812"/>
    <x v="1"/>
  </r>
  <r>
    <x v="45"/>
    <x v="14"/>
    <x v="2"/>
    <n v="5.9945691488195703"/>
    <x v="1"/>
  </r>
  <r>
    <x v="45"/>
    <x v="1"/>
    <x v="2"/>
    <n v="5.5317455888529699"/>
    <x v="1"/>
  </r>
  <r>
    <x v="45"/>
    <x v="3"/>
    <x v="2"/>
    <n v="5.8197218078825497"/>
    <x v="1"/>
  </r>
  <r>
    <x v="45"/>
    <x v="15"/>
    <x v="2"/>
    <n v="5.7141770529792302"/>
    <x v="1"/>
  </r>
  <r>
    <x v="45"/>
    <x v="4"/>
    <x v="2"/>
    <n v="5.7131632245514403"/>
    <x v="1"/>
  </r>
  <r>
    <x v="46"/>
    <x v="18"/>
    <x v="2"/>
    <n v="2.2874648498950898"/>
    <x v="1"/>
  </r>
  <r>
    <x v="46"/>
    <x v="19"/>
    <x v="2"/>
    <n v="1.7306588448929201"/>
    <x v="1"/>
  </r>
  <r>
    <x v="47"/>
    <x v="0"/>
    <x v="2"/>
    <n v="6.7416843319204398"/>
    <x v="1"/>
  </r>
  <r>
    <x v="47"/>
    <x v="2"/>
    <x v="2"/>
    <n v="5.5865486406393696"/>
    <x v="1"/>
  </r>
  <r>
    <x v="47"/>
    <x v="17"/>
    <x v="2"/>
    <n v="4.0530124524509397"/>
    <x v="1"/>
  </r>
  <r>
    <x v="47"/>
    <x v="18"/>
    <x v="2"/>
    <n v="3.9636507915987802"/>
    <x v="1"/>
  </r>
  <r>
    <x v="47"/>
    <x v="1"/>
    <x v="2"/>
    <n v="1.80136933338139"/>
    <x v="1"/>
  </r>
  <r>
    <x v="48"/>
    <x v="2"/>
    <x v="2"/>
    <n v="6.0438936462200799"/>
    <x v="1"/>
  </r>
  <r>
    <x v="48"/>
    <x v="17"/>
    <x v="2"/>
    <n v="5.6452978188910103"/>
    <x v="1"/>
  </r>
  <r>
    <x v="48"/>
    <x v="13"/>
    <x v="2"/>
    <n v="5.6420222401539997"/>
    <x v="1"/>
  </r>
  <r>
    <x v="48"/>
    <x v="18"/>
    <x v="2"/>
    <n v="9.3537094728779504"/>
    <x v="1"/>
  </r>
  <r>
    <x v="48"/>
    <x v="19"/>
    <x v="2"/>
    <n v="6.4958520611169703"/>
    <x v="1"/>
  </r>
  <r>
    <x v="48"/>
    <x v="20"/>
    <x v="2"/>
    <n v="6.5387464818734298"/>
    <x v="1"/>
  </r>
  <r>
    <x v="48"/>
    <x v="14"/>
    <x v="2"/>
    <n v="7.30520730906232"/>
    <x v="1"/>
  </r>
  <r>
    <x v="48"/>
    <x v="1"/>
    <x v="2"/>
    <n v="10.6712842022717"/>
    <x v="1"/>
  </r>
  <r>
    <x v="48"/>
    <x v="3"/>
    <x v="2"/>
    <n v="8.8704748291230402"/>
    <x v="1"/>
  </r>
  <r>
    <x v="69"/>
    <x v="16"/>
    <x v="2"/>
    <n v="2.84692176723807"/>
    <x v="1"/>
  </r>
  <r>
    <x v="69"/>
    <x v="2"/>
    <x v="2"/>
    <n v="4.5061168226140298"/>
    <x v="1"/>
  </r>
  <r>
    <x v="70"/>
    <x v="11"/>
    <x v="0"/>
    <n v="2327279"/>
    <x v="2"/>
  </r>
  <r>
    <x v="70"/>
    <x v="16"/>
    <x v="0"/>
    <n v="2846475"/>
    <x v="2"/>
  </r>
  <r>
    <x v="70"/>
    <x v="21"/>
    <x v="0"/>
    <n v="2081651"/>
    <x v="2"/>
  </r>
  <r>
    <x v="70"/>
    <x v="0"/>
    <x v="0"/>
    <n v="5551129"/>
    <x v="2"/>
  </r>
  <r>
    <x v="70"/>
    <x v="2"/>
    <x v="0"/>
    <n v="11915370.91"/>
    <x v="2"/>
  </r>
  <r>
    <x v="70"/>
    <x v="17"/>
    <x v="0"/>
    <n v="6659497"/>
    <x v="2"/>
  </r>
  <r>
    <x v="0"/>
    <x v="4"/>
    <x v="0"/>
    <n v="1155383.77"/>
    <x v="2"/>
  </r>
  <r>
    <x v="2"/>
    <x v="21"/>
    <x v="0"/>
    <n v="1806792.75"/>
    <x v="2"/>
  </r>
  <r>
    <x v="2"/>
    <x v="1"/>
    <x v="0"/>
    <n v="1491235.88"/>
    <x v="2"/>
  </r>
  <r>
    <x v="2"/>
    <x v="3"/>
    <x v="0"/>
    <n v="1356556.18"/>
    <x v="2"/>
  </r>
  <r>
    <x v="2"/>
    <x v="15"/>
    <x v="0"/>
    <n v="3154072.06"/>
    <x v="2"/>
  </r>
  <r>
    <x v="2"/>
    <x v="4"/>
    <x v="0"/>
    <n v="1075269.3899999999"/>
    <x v="2"/>
  </r>
  <r>
    <x v="71"/>
    <x v="17"/>
    <x v="0"/>
    <n v="3447593"/>
    <x v="2"/>
  </r>
  <r>
    <x v="3"/>
    <x v="5"/>
    <x v="0"/>
    <n v="3197330"/>
    <x v="2"/>
  </r>
  <r>
    <x v="3"/>
    <x v="2"/>
    <x v="0"/>
    <n v="1925057"/>
    <x v="2"/>
  </r>
  <r>
    <x v="3"/>
    <x v="17"/>
    <x v="0"/>
    <n v="2796524"/>
    <x v="2"/>
  </r>
  <r>
    <x v="3"/>
    <x v="13"/>
    <x v="0"/>
    <n v="2283083"/>
    <x v="2"/>
  </r>
  <r>
    <x v="51"/>
    <x v="12"/>
    <x v="0"/>
    <n v="6494024"/>
    <x v="2"/>
  </r>
  <r>
    <x v="51"/>
    <x v="16"/>
    <x v="0"/>
    <n v="3645271"/>
    <x v="2"/>
  </r>
  <r>
    <x v="51"/>
    <x v="21"/>
    <x v="0"/>
    <n v="2994501"/>
    <x v="2"/>
  </r>
  <r>
    <x v="51"/>
    <x v="1"/>
    <x v="0"/>
    <n v="13118856.109999999"/>
    <x v="2"/>
  </r>
  <r>
    <x v="51"/>
    <x v="3"/>
    <x v="0"/>
    <n v="5790951.1600000001"/>
    <x v="2"/>
  </r>
  <r>
    <x v="4"/>
    <x v="11"/>
    <x v="0"/>
    <n v="5628754"/>
    <x v="2"/>
  </r>
  <r>
    <x v="4"/>
    <x v="12"/>
    <x v="0"/>
    <n v="7117707"/>
    <x v="2"/>
  </r>
  <r>
    <x v="4"/>
    <x v="16"/>
    <x v="0"/>
    <n v="6916148"/>
    <x v="2"/>
  </r>
  <r>
    <x v="4"/>
    <x v="21"/>
    <x v="0"/>
    <n v="7765623"/>
    <x v="2"/>
  </r>
  <r>
    <x v="4"/>
    <x v="0"/>
    <x v="0"/>
    <n v="6183720"/>
    <x v="2"/>
  </r>
  <r>
    <x v="4"/>
    <x v="2"/>
    <x v="0"/>
    <n v="5452596"/>
    <x v="2"/>
  </r>
  <r>
    <x v="4"/>
    <x v="17"/>
    <x v="0"/>
    <n v="7358500"/>
    <x v="2"/>
  </r>
  <r>
    <x v="4"/>
    <x v="13"/>
    <x v="0"/>
    <n v="9344693"/>
    <x v="2"/>
  </r>
  <r>
    <x v="4"/>
    <x v="18"/>
    <x v="0"/>
    <n v="7784465"/>
    <x v="2"/>
  </r>
  <r>
    <x v="4"/>
    <x v="19"/>
    <x v="0"/>
    <n v="6533602"/>
    <x v="2"/>
  </r>
  <r>
    <x v="4"/>
    <x v="20"/>
    <x v="0"/>
    <n v="4077662.4419999998"/>
    <x v="2"/>
  </r>
  <r>
    <x v="4"/>
    <x v="14"/>
    <x v="0"/>
    <n v="5263752.6900000004"/>
    <x v="2"/>
  </r>
  <r>
    <x v="4"/>
    <x v="1"/>
    <x v="0"/>
    <n v="8855302.9529999997"/>
    <x v="2"/>
  </r>
  <r>
    <x v="4"/>
    <x v="3"/>
    <x v="0"/>
    <n v="3947577.0809999998"/>
    <x v="2"/>
  </r>
  <r>
    <x v="4"/>
    <x v="15"/>
    <x v="0"/>
    <n v="5092228.4079999998"/>
    <x v="2"/>
  </r>
  <r>
    <x v="4"/>
    <x v="4"/>
    <x v="0"/>
    <n v="6792305.7479999997"/>
    <x v="2"/>
  </r>
  <r>
    <x v="72"/>
    <x v="4"/>
    <x v="0"/>
    <n v="1363587.7420000001"/>
    <x v="2"/>
  </r>
  <r>
    <x v="5"/>
    <x v="11"/>
    <x v="0"/>
    <n v="23939463"/>
    <x v="2"/>
  </r>
  <r>
    <x v="5"/>
    <x v="12"/>
    <x v="0"/>
    <n v="30920721"/>
    <x v="2"/>
  </r>
  <r>
    <x v="5"/>
    <x v="16"/>
    <x v="0"/>
    <n v="38815882"/>
    <x v="2"/>
  </r>
  <r>
    <x v="5"/>
    <x v="2"/>
    <x v="0"/>
    <n v="2750335"/>
    <x v="2"/>
  </r>
  <r>
    <x v="5"/>
    <x v="17"/>
    <x v="0"/>
    <n v="81584453.637999997"/>
    <x v="2"/>
  </r>
  <r>
    <x v="5"/>
    <x v="13"/>
    <x v="0"/>
    <n v="75722846.191"/>
    <x v="2"/>
  </r>
  <r>
    <x v="5"/>
    <x v="18"/>
    <x v="0"/>
    <n v="114685293"/>
    <x v="2"/>
  </r>
  <r>
    <x v="5"/>
    <x v="19"/>
    <x v="0"/>
    <n v="97685527.425999999"/>
    <x v="2"/>
  </r>
  <r>
    <x v="5"/>
    <x v="20"/>
    <x v="0"/>
    <n v="46535917"/>
    <x v="2"/>
  </r>
  <r>
    <x v="5"/>
    <x v="14"/>
    <x v="0"/>
    <n v="23093997.502999999"/>
    <x v="2"/>
  </r>
  <r>
    <x v="5"/>
    <x v="1"/>
    <x v="0"/>
    <n v="3325503"/>
    <x v="2"/>
  </r>
  <r>
    <x v="5"/>
    <x v="3"/>
    <x v="0"/>
    <n v="33891190"/>
    <x v="2"/>
  </r>
  <r>
    <x v="5"/>
    <x v="15"/>
    <x v="0"/>
    <n v="145866853"/>
    <x v="2"/>
  </r>
  <r>
    <x v="5"/>
    <x v="4"/>
    <x v="0"/>
    <n v="1121610"/>
    <x v="2"/>
  </r>
  <r>
    <x v="6"/>
    <x v="11"/>
    <x v="0"/>
    <n v="1877419"/>
    <x v="2"/>
  </r>
  <r>
    <x v="6"/>
    <x v="0"/>
    <x v="0"/>
    <n v="22461454.66"/>
    <x v="2"/>
  </r>
  <r>
    <x v="6"/>
    <x v="17"/>
    <x v="0"/>
    <n v="13266736.84"/>
    <x v="2"/>
  </r>
  <r>
    <x v="6"/>
    <x v="13"/>
    <x v="0"/>
    <n v="7129725.7999999998"/>
    <x v="2"/>
  </r>
  <r>
    <x v="6"/>
    <x v="18"/>
    <x v="0"/>
    <n v="18883952.579999998"/>
    <x v="2"/>
  </r>
  <r>
    <x v="6"/>
    <x v="19"/>
    <x v="0"/>
    <n v="13523723.57"/>
    <x v="2"/>
  </r>
  <r>
    <x v="6"/>
    <x v="20"/>
    <x v="0"/>
    <n v="12640983.48"/>
    <x v="2"/>
  </r>
  <r>
    <x v="6"/>
    <x v="14"/>
    <x v="0"/>
    <n v="18394311.780000001"/>
    <x v="2"/>
  </r>
  <r>
    <x v="6"/>
    <x v="1"/>
    <x v="0"/>
    <n v="11152511.890000001"/>
    <x v="2"/>
  </r>
  <r>
    <x v="6"/>
    <x v="3"/>
    <x v="0"/>
    <n v="11562746.689999999"/>
    <x v="2"/>
  </r>
  <r>
    <x v="6"/>
    <x v="15"/>
    <x v="0"/>
    <n v="2984715.56"/>
    <x v="2"/>
  </r>
  <r>
    <x v="6"/>
    <x v="4"/>
    <x v="0"/>
    <n v="13246128.359999999"/>
    <x v="2"/>
  </r>
  <r>
    <x v="73"/>
    <x v="18"/>
    <x v="0"/>
    <n v="2123874.96"/>
    <x v="2"/>
  </r>
  <r>
    <x v="73"/>
    <x v="20"/>
    <x v="0"/>
    <n v="3791155.25"/>
    <x v="2"/>
  </r>
  <r>
    <x v="7"/>
    <x v="2"/>
    <x v="0"/>
    <n v="18357444"/>
    <x v="2"/>
  </r>
  <r>
    <x v="7"/>
    <x v="4"/>
    <x v="0"/>
    <n v="1648710.8130000001"/>
    <x v="2"/>
  </r>
  <r>
    <x v="9"/>
    <x v="9"/>
    <x v="0"/>
    <n v="64417099"/>
    <x v="2"/>
  </r>
  <r>
    <x v="9"/>
    <x v="10"/>
    <x v="0"/>
    <n v="68641225"/>
    <x v="2"/>
  </r>
  <r>
    <x v="9"/>
    <x v="11"/>
    <x v="0"/>
    <n v="16952097"/>
    <x v="2"/>
  </r>
  <r>
    <x v="9"/>
    <x v="12"/>
    <x v="0"/>
    <n v="20502950"/>
    <x v="2"/>
  </r>
  <r>
    <x v="9"/>
    <x v="16"/>
    <x v="0"/>
    <n v="17127669"/>
    <x v="2"/>
  </r>
  <r>
    <x v="9"/>
    <x v="21"/>
    <x v="0"/>
    <n v="21822855"/>
    <x v="2"/>
  </r>
  <r>
    <x v="9"/>
    <x v="0"/>
    <x v="0"/>
    <n v="30567756"/>
    <x v="2"/>
  </r>
  <r>
    <x v="9"/>
    <x v="2"/>
    <x v="0"/>
    <n v="35203617"/>
    <x v="2"/>
  </r>
  <r>
    <x v="9"/>
    <x v="17"/>
    <x v="0"/>
    <n v="32695528"/>
    <x v="2"/>
  </r>
  <r>
    <x v="9"/>
    <x v="13"/>
    <x v="0"/>
    <n v="40957835"/>
    <x v="2"/>
  </r>
  <r>
    <x v="9"/>
    <x v="18"/>
    <x v="0"/>
    <n v="78480389"/>
    <x v="2"/>
  </r>
  <r>
    <x v="9"/>
    <x v="19"/>
    <x v="0"/>
    <n v="64518796"/>
    <x v="2"/>
  </r>
  <r>
    <x v="74"/>
    <x v="2"/>
    <x v="0"/>
    <n v="6514130"/>
    <x v="2"/>
  </r>
  <r>
    <x v="52"/>
    <x v="4"/>
    <x v="0"/>
    <n v="914615"/>
    <x v="2"/>
  </r>
  <r>
    <x v="10"/>
    <x v="11"/>
    <x v="0"/>
    <n v="144722496.44999999"/>
    <x v="2"/>
  </r>
  <r>
    <x v="10"/>
    <x v="12"/>
    <x v="0"/>
    <n v="161838599.81"/>
    <x v="2"/>
  </r>
  <r>
    <x v="10"/>
    <x v="16"/>
    <x v="0"/>
    <n v="81380031.738999993"/>
    <x v="2"/>
  </r>
  <r>
    <x v="10"/>
    <x v="21"/>
    <x v="0"/>
    <n v="48913371.75"/>
    <x v="2"/>
  </r>
  <r>
    <x v="10"/>
    <x v="0"/>
    <x v="0"/>
    <n v="70915484.25"/>
    <x v="2"/>
  </r>
  <r>
    <x v="10"/>
    <x v="2"/>
    <x v="0"/>
    <n v="54633093.788999997"/>
    <x v="2"/>
  </r>
  <r>
    <x v="10"/>
    <x v="17"/>
    <x v="0"/>
    <n v="47463369.035999998"/>
    <x v="2"/>
  </r>
  <r>
    <x v="10"/>
    <x v="13"/>
    <x v="0"/>
    <n v="44402795.942000002"/>
    <x v="2"/>
  </r>
  <r>
    <x v="10"/>
    <x v="18"/>
    <x v="0"/>
    <n v="62816966.090000004"/>
    <x v="2"/>
  </r>
  <r>
    <x v="10"/>
    <x v="19"/>
    <x v="0"/>
    <n v="181419504.09"/>
    <x v="2"/>
  </r>
  <r>
    <x v="10"/>
    <x v="20"/>
    <x v="0"/>
    <n v="62665284.740000002"/>
    <x v="2"/>
  </r>
  <r>
    <x v="10"/>
    <x v="14"/>
    <x v="0"/>
    <n v="85726515.355000004"/>
    <x v="2"/>
  </r>
  <r>
    <x v="10"/>
    <x v="1"/>
    <x v="0"/>
    <n v="5007028.8499999996"/>
    <x v="2"/>
  </r>
  <r>
    <x v="10"/>
    <x v="15"/>
    <x v="0"/>
    <n v="64302791.093999997"/>
    <x v="2"/>
  </r>
  <r>
    <x v="11"/>
    <x v="22"/>
    <x v="0"/>
    <n v="4217102.5199999996"/>
    <x v="2"/>
  </r>
  <r>
    <x v="11"/>
    <x v="6"/>
    <x v="0"/>
    <n v="23308580.300000001"/>
    <x v="2"/>
  </r>
  <r>
    <x v="11"/>
    <x v="7"/>
    <x v="0"/>
    <n v="11610014.119999999"/>
    <x v="2"/>
  </r>
  <r>
    <x v="11"/>
    <x v="8"/>
    <x v="0"/>
    <n v="26323589.719999999"/>
    <x v="2"/>
  </r>
  <r>
    <x v="11"/>
    <x v="9"/>
    <x v="0"/>
    <n v="8148906.5800000001"/>
    <x v="2"/>
  </r>
  <r>
    <x v="11"/>
    <x v="10"/>
    <x v="0"/>
    <n v="30570609"/>
    <x v="2"/>
  </r>
  <r>
    <x v="11"/>
    <x v="11"/>
    <x v="0"/>
    <n v="16761216"/>
    <x v="2"/>
  </r>
  <r>
    <x v="11"/>
    <x v="12"/>
    <x v="0"/>
    <n v="11348763.1"/>
    <x v="2"/>
  </r>
  <r>
    <x v="11"/>
    <x v="16"/>
    <x v="0"/>
    <n v="13153851.51"/>
    <x v="2"/>
  </r>
  <r>
    <x v="11"/>
    <x v="21"/>
    <x v="0"/>
    <n v="18830795.300000001"/>
    <x v="2"/>
  </r>
  <r>
    <x v="11"/>
    <x v="0"/>
    <x v="0"/>
    <n v="16924718.100000001"/>
    <x v="2"/>
  </r>
  <r>
    <x v="11"/>
    <x v="2"/>
    <x v="0"/>
    <n v="15565174.84"/>
    <x v="2"/>
  </r>
  <r>
    <x v="11"/>
    <x v="17"/>
    <x v="0"/>
    <n v="13491447.67"/>
    <x v="2"/>
  </r>
  <r>
    <x v="11"/>
    <x v="13"/>
    <x v="0"/>
    <n v="18336787.129999999"/>
    <x v="2"/>
  </r>
  <r>
    <x v="11"/>
    <x v="18"/>
    <x v="0"/>
    <n v="16726275.289999999"/>
    <x v="2"/>
  </r>
  <r>
    <x v="11"/>
    <x v="19"/>
    <x v="0"/>
    <n v="15838428.800000001"/>
    <x v="2"/>
  </r>
  <r>
    <x v="11"/>
    <x v="20"/>
    <x v="0"/>
    <n v="5122657"/>
    <x v="2"/>
  </r>
  <r>
    <x v="11"/>
    <x v="14"/>
    <x v="0"/>
    <n v="5676950.7800000003"/>
    <x v="2"/>
  </r>
  <r>
    <x v="11"/>
    <x v="1"/>
    <x v="0"/>
    <n v="12872359.279999999"/>
    <x v="2"/>
  </r>
  <r>
    <x v="11"/>
    <x v="3"/>
    <x v="0"/>
    <n v="13852207.289999999"/>
    <x v="2"/>
  </r>
  <r>
    <x v="11"/>
    <x v="15"/>
    <x v="0"/>
    <n v="11182196.619999999"/>
    <x v="2"/>
  </r>
  <r>
    <x v="11"/>
    <x v="4"/>
    <x v="0"/>
    <n v="62202011.560000002"/>
    <x v="2"/>
  </r>
  <r>
    <x v="13"/>
    <x v="0"/>
    <x v="0"/>
    <n v="77946760.290000007"/>
    <x v="2"/>
  </r>
  <r>
    <x v="13"/>
    <x v="2"/>
    <x v="0"/>
    <n v="51910138.883000001"/>
    <x v="2"/>
  </r>
  <r>
    <x v="13"/>
    <x v="17"/>
    <x v="0"/>
    <n v="19291646.100000001"/>
    <x v="2"/>
  </r>
  <r>
    <x v="13"/>
    <x v="13"/>
    <x v="0"/>
    <n v="19211253.359999999"/>
    <x v="2"/>
  </r>
  <r>
    <x v="13"/>
    <x v="20"/>
    <x v="0"/>
    <n v="3863869.6"/>
    <x v="2"/>
  </r>
  <r>
    <x v="13"/>
    <x v="1"/>
    <x v="0"/>
    <n v="1748501"/>
    <x v="2"/>
  </r>
  <r>
    <x v="13"/>
    <x v="3"/>
    <x v="0"/>
    <n v="1349268"/>
    <x v="2"/>
  </r>
  <r>
    <x v="14"/>
    <x v="23"/>
    <x v="0"/>
    <n v="13538774.972999999"/>
    <x v="2"/>
  </r>
  <r>
    <x v="14"/>
    <x v="24"/>
    <x v="0"/>
    <n v="15533501.385"/>
    <x v="2"/>
  </r>
  <r>
    <x v="14"/>
    <x v="25"/>
    <x v="0"/>
    <n v="16285464.23"/>
    <x v="2"/>
  </r>
  <r>
    <x v="14"/>
    <x v="5"/>
    <x v="0"/>
    <n v="17232206.324000001"/>
    <x v="2"/>
  </r>
  <r>
    <x v="14"/>
    <x v="22"/>
    <x v="0"/>
    <n v="13239613.075999999"/>
    <x v="2"/>
  </r>
  <r>
    <x v="14"/>
    <x v="6"/>
    <x v="0"/>
    <n v="14993371.854"/>
    <x v="2"/>
  </r>
  <r>
    <x v="14"/>
    <x v="7"/>
    <x v="0"/>
    <n v="17317360.039000001"/>
    <x v="2"/>
  </r>
  <r>
    <x v="14"/>
    <x v="8"/>
    <x v="0"/>
    <n v="16110823.718"/>
    <x v="2"/>
  </r>
  <r>
    <x v="14"/>
    <x v="9"/>
    <x v="0"/>
    <n v="15582381.312000001"/>
    <x v="2"/>
  </r>
  <r>
    <x v="14"/>
    <x v="10"/>
    <x v="0"/>
    <n v="15154892.736"/>
    <x v="2"/>
  </r>
  <r>
    <x v="14"/>
    <x v="11"/>
    <x v="0"/>
    <n v="13708700"/>
    <x v="2"/>
  </r>
  <r>
    <x v="14"/>
    <x v="12"/>
    <x v="0"/>
    <n v="14173200"/>
    <x v="2"/>
  </r>
  <r>
    <x v="14"/>
    <x v="16"/>
    <x v="0"/>
    <n v="16133000"/>
    <x v="2"/>
  </r>
  <r>
    <x v="14"/>
    <x v="21"/>
    <x v="0"/>
    <n v="15100900"/>
    <x v="2"/>
  </r>
  <r>
    <x v="14"/>
    <x v="0"/>
    <x v="0"/>
    <n v="17810196"/>
    <x v="2"/>
  </r>
  <r>
    <x v="14"/>
    <x v="2"/>
    <x v="0"/>
    <n v="19592723"/>
    <x v="2"/>
  </r>
  <r>
    <x v="14"/>
    <x v="17"/>
    <x v="0"/>
    <n v="18643414"/>
    <x v="2"/>
  </r>
  <r>
    <x v="14"/>
    <x v="13"/>
    <x v="0"/>
    <n v="22037533.298999999"/>
    <x v="2"/>
  </r>
  <r>
    <x v="14"/>
    <x v="18"/>
    <x v="0"/>
    <n v="17636799.576000001"/>
    <x v="2"/>
  </r>
  <r>
    <x v="14"/>
    <x v="19"/>
    <x v="0"/>
    <n v="19451272"/>
    <x v="2"/>
  </r>
  <r>
    <x v="14"/>
    <x v="20"/>
    <x v="0"/>
    <n v="18050116"/>
    <x v="2"/>
  </r>
  <r>
    <x v="14"/>
    <x v="14"/>
    <x v="0"/>
    <n v="17662372"/>
    <x v="2"/>
  </r>
  <r>
    <x v="14"/>
    <x v="1"/>
    <x v="0"/>
    <n v="16631036.58"/>
    <x v="2"/>
  </r>
  <r>
    <x v="14"/>
    <x v="3"/>
    <x v="0"/>
    <n v="14275917.505999999"/>
    <x v="2"/>
  </r>
  <r>
    <x v="14"/>
    <x v="15"/>
    <x v="0"/>
    <n v="14903209.319"/>
    <x v="2"/>
  </r>
  <r>
    <x v="15"/>
    <x v="2"/>
    <x v="0"/>
    <n v="2006682"/>
    <x v="2"/>
  </r>
  <r>
    <x v="15"/>
    <x v="13"/>
    <x v="0"/>
    <n v="4349493.1639999999"/>
    <x v="2"/>
  </r>
  <r>
    <x v="15"/>
    <x v="18"/>
    <x v="0"/>
    <n v="3016709.6860000002"/>
    <x v="2"/>
  </r>
  <r>
    <x v="15"/>
    <x v="19"/>
    <x v="0"/>
    <n v="2424115.182"/>
    <x v="2"/>
  </r>
  <r>
    <x v="15"/>
    <x v="20"/>
    <x v="0"/>
    <n v="3239203.8560000001"/>
    <x v="2"/>
  </r>
  <r>
    <x v="15"/>
    <x v="14"/>
    <x v="0"/>
    <n v="3031809.199"/>
    <x v="2"/>
  </r>
  <r>
    <x v="15"/>
    <x v="1"/>
    <x v="0"/>
    <n v="2409261.048"/>
    <x v="2"/>
  </r>
  <r>
    <x v="15"/>
    <x v="3"/>
    <x v="0"/>
    <n v="2032779"/>
    <x v="2"/>
  </r>
  <r>
    <x v="15"/>
    <x v="15"/>
    <x v="0"/>
    <n v="2194709.3859999999"/>
    <x v="2"/>
  </r>
  <r>
    <x v="15"/>
    <x v="4"/>
    <x v="0"/>
    <n v="2053698.794"/>
    <x v="2"/>
  </r>
  <r>
    <x v="16"/>
    <x v="12"/>
    <x v="0"/>
    <n v="3839572.48"/>
    <x v="2"/>
  </r>
  <r>
    <x v="16"/>
    <x v="21"/>
    <x v="0"/>
    <n v="2483177.6"/>
    <x v="2"/>
  </r>
  <r>
    <x v="16"/>
    <x v="0"/>
    <x v="0"/>
    <n v="2938348.92"/>
    <x v="2"/>
  </r>
  <r>
    <x v="16"/>
    <x v="2"/>
    <x v="0"/>
    <n v="3931610.91"/>
    <x v="2"/>
  </r>
  <r>
    <x v="16"/>
    <x v="17"/>
    <x v="0"/>
    <n v="2713515.65"/>
    <x v="2"/>
  </r>
  <r>
    <x v="16"/>
    <x v="20"/>
    <x v="0"/>
    <n v="12301143.439999999"/>
    <x v="2"/>
  </r>
  <r>
    <x v="16"/>
    <x v="14"/>
    <x v="0"/>
    <n v="32589126.278999999"/>
    <x v="2"/>
  </r>
  <r>
    <x v="16"/>
    <x v="1"/>
    <x v="0"/>
    <n v="20938153.844999999"/>
    <x v="2"/>
  </r>
  <r>
    <x v="16"/>
    <x v="3"/>
    <x v="0"/>
    <n v="10201670.124"/>
    <x v="2"/>
  </r>
  <r>
    <x v="18"/>
    <x v="11"/>
    <x v="0"/>
    <n v="10551953"/>
    <x v="2"/>
  </r>
  <r>
    <x v="18"/>
    <x v="12"/>
    <x v="0"/>
    <n v="16623698"/>
    <x v="2"/>
  </r>
  <r>
    <x v="18"/>
    <x v="16"/>
    <x v="0"/>
    <n v="13328645"/>
    <x v="2"/>
  </r>
  <r>
    <x v="18"/>
    <x v="13"/>
    <x v="0"/>
    <n v="11638819"/>
    <x v="2"/>
  </r>
  <r>
    <x v="18"/>
    <x v="19"/>
    <x v="0"/>
    <n v="9412001"/>
    <x v="2"/>
  </r>
  <r>
    <x v="18"/>
    <x v="20"/>
    <x v="0"/>
    <n v="16074620"/>
    <x v="2"/>
  </r>
  <r>
    <x v="18"/>
    <x v="14"/>
    <x v="0"/>
    <n v="21157312"/>
    <x v="2"/>
  </r>
  <r>
    <x v="18"/>
    <x v="1"/>
    <x v="0"/>
    <n v="21132631"/>
    <x v="2"/>
  </r>
  <r>
    <x v="18"/>
    <x v="3"/>
    <x v="0"/>
    <n v="16074716"/>
    <x v="2"/>
  </r>
  <r>
    <x v="18"/>
    <x v="15"/>
    <x v="0"/>
    <n v="23325599"/>
    <x v="2"/>
  </r>
  <r>
    <x v="18"/>
    <x v="4"/>
    <x v="0"/>
    <n v="17105651"/>
    <x v="2"/>
  </r>
  <r>
    <x v="21"/>
    <x v="21"/>
    <x v="0"/>
    <n v="3395856"/>
    <x v="2"/>
  </r>
  <r>
    <x v="21"/>
    <x v="0"/>
    <x v="0"/>
    <n v="5519525"/>
    <x v="2"/>
  </r>
  <r>
    <x v="21"/>
    <x v="2"/>
    <x v="0"/>
    <n v="9703051.6950000003"/>
    <x v="2"/>
  </r>
  <r>
    <x v="21"/>
    <x v="17"/>
    <x v="0"/>
    <n v="13269219.16"/>
    <x v="2"/>
  </r>
  <r>
    <x v="21"/>
    <x v="13"/>
    <x v="0"/>
    <n v="5847551"/>
    <x v="2"/>
  </r>
  <r>
    <x v="21"/>
    <x v="18"/>
    <x v="0"/>
    <n v="15952700"/>
    <x v="2"/>
  </r>
  <r>
    <x v="21"/>
    <x v="19"/>
    <x v="0"/>
    <n v="27972115"/>
    <x v="2"/>
  </r>
  <r>
    <x v="21"/>
    <x v="20"/>
    <x v="0"/>
    <n v="38201579"/>
    <x v="2"/>
  </r>
  <r>
    <x v="21"/>
    <x v="14"/>
    <x v="0"/>
    <n v="25591852"/>
    <x v="2"/>
  </r>
  <r>
    <x v="21"/>
    <x v="1"/>
    <x v="0"/>
    <n v="28830380"/>
    <x v="2"/>
  </r>
  <r>
    <x v="21"/>
    <x v="3"/>
    <x v="0"/>
    <n v="16775234"/>
    <x v="2"/>
  </r>
  <r>
    <x v="21"/>
    <x v="15"/>
    <x v="0"/>
    <n v="16598409"/>
    <x v="2"/>
  </r>
  <r>
    <x v="75"/>
    <x v="11"/>
    <x v="0"/>
    <n v="5749196"/>
    <x v="2"/>
  </r>
  <r>
    <x v="54"/>
    <x v="24"/>
    <x v="0"/>
    <n v="427438"/>
    <x v="2"/>
  </r>
  <r>
    <x v="76"/>
    <x v="13"/>
    <x v="0"/>
    <n v="2684121.06"/>
    <x v="2"/>
  </r>
  <r>
    <x v="76"/>
    <x v="18"/>
    <x v="0"/>
    <n v="2165425.969"/>
    <x v="2"/>
  </r>
  <r>
    <x v="76"/>
    <x v="19"/>
    <x v="0"/>
    <n v="2914814.094"/>
    <x v="2"/>
  </r>
  <r>
    <x v="76"/>
    <x v="20"/>
    <x v="0"/>
    <n v="2183466.3319999999"/>
    <x v="2"/>
  </r>
  <r>
    <x v="76"/>
    <x v="14"/>
    <x v="0"/>
    <n v="2610085.3250000002"/>
    <x v="2"/>
  </r>
  <r>
    <x v="76"/>
    <x v="1"/>
    <x v="0"/>
    <n v="2871591.9330000002"/>
    <x v="2"/>
  </r>
  <r>
    <x v="76"/>
    <x v="3"/>
    <x v="0"/>
    <n v="2995552.0150000001"/>
    <x v="2"/>
  </r>
  <r>
    <x v="76"/>
    <x v="15"/>
    <x v="0"/>
    <n v="3274311.7629999998"/>
    <x v="2"/>
  </r>
  <r>
    <x v="76"/>
    <x v="4"/>
    <x v="0"/>
    <n v="2204070.7599999998"/>
    <x v="2"/>
  </r>
  <r>
    <x v="22"/>
    <x v="23"/>
    <x v="0"/>
    <n v="43129968"/>
    <x v="2"/>
  </r>
  <r>
    <x v="22"/>
    <x v="24"/>
    <x v="0"/>
    <n v="38667000"/>
    <x v="2"/>
  </r>
  <r>
    <x v="22"/>
    <x v="25"/>
    <x v="0"/>
    <n v="40346403"/>
    <x v="2"/>
  </r>
  <r>
    <x v="22"/>
    <x v="5"/>
    <x v="0"/>
    <n v="42862137"/>
    <x v="2"/>
  </r>
  <r>
    <x v="22"/>
    <x v="22"/>
    <x v="0"/>
    <n v="34456182"/>
    <x v="2"/>
  </r>
  <r>
    <x v="22"/>
    <x v="6"/>
    <x v="0"/>
    <n v="28266991"/>
    <x v="2"/>
  </r>
  <r>
    <x v="22"/>
    <x v="7"/>
    <x v="0"/>
    <n v="21987711"/>
    <x v="2"/>
  </r>
  <r>
    <x v="22"/>
    <x v="8"/>
    <x v="0"/>
    <n v="22839310"/>
    <x v="2"/>
  </r>
  <r>
    <x v="22"/>
    <x v="9"/>
    <x v="0"/>
    <n v="19770771"/>
    <x v="2"/>
  </r>
  <r>
    <x v="22"/>
    <x v="10"/>
    <x v="0"/>
    <n v="19167398"/>
    <x v="2"/>
  </r>
  <r>
    <x v="22"/>
    <x v="11"/>
    <x v="0"/>
    <n v="23613700"/>
    <x v="2"/>
  </r>
  <r>
    <x v="22"/>
    <x v="12"/>
    <x v="0"/>
    <n v="24805100"/>
    <x v="2"/>
  </r>
  <r>
    <x v="22"/>
    <x v="16"/>
    <x v="0"/>
    <n v="30807400"/>
    <x v="2"/>
  </r>
  <r>
    <x v="22"/>
    <x v="21"/>
    <x v="0"/>
    <n v="30725300"/>
    <x v="2"/>
  </r>
  <r>
    <x v="22"/>
    <x v="0"/>
    <x v="0"/>
    <n v="30149900"/>
    <x v="2"/>
  </r>
  <r>
    <x v="22"/>
    <x v="2"/>
    <x v="0"/>
    <n v="30945587"/>
    <x v="2"/>
  </r>
  <r>
    <x v="22"/>
    <x v="17"/>
    <x v="0"/>
    <n v="39755107"/>
    <x v="2"/>
  </r>
  <r>
    <x v="22"/>
    <x v="13"/>
    <x v="0"/>
    <n v="37879296.516000003"/>
    <x v="2"/>
  </r>
  <r>
    <x v="22"/>
    <x v="18"/>
    <x v="0"/>
    <n v="39724649"/>
    <x v="2"/>
  </r>
  <r>
    <x v="22"/>
    <x v="19"/>
    <x v="0"/>
    <n v="42736822"/>
    <x v="2"/>
  </r>
  <r>
    <x v="22"/>
    <x v="20"/>
    <x v="0"/>
    <n v="42239922"/>
    <x v="2"/>
  </r>
  <r>
    <x v="22"/>
    <x v="14"/>
    <x v="0"/>
    <n v="48087097"/>
    <x v="2"/>
  </r>
  <r>
    <x v="22"/>
    <x v="1"/>
    <x v="0"/>
    <n v="50029139.012999997"/>
    <x v="2"/>
  </r>
  <r>
    <x v="22"/>
    <x v="3"/>
    <x v="0"/>
    <n v="39112610.409000002"/>
    <x v="2"/>
  </r>
  <r>
    <x v="22"/>
    <x v="15"/>
    <x v="0"/>
    <n v="37544159.873999998"/>
    <x v="2"/>
  </r>
  <r>
    <x v="22"/>
    <x v="4"/>
    <x v="0"/>
    <n v="27604082.537"/>
    <x v="2"/>
  </r>
  <r>
    <x v="55"/>
    <x v="11"/>
    <x v="0"/>
    <n v="249329317"/>
    <x v="2"/>
  </r>
  <r>
    <x v="55"/>
    <x v="12"/>
    <x v="0"/>
    <n v="210508395"/>
    <x v="2"/>
  </r>
  <r>
    <x v="55"/>
    <x v="16"/>
    <x v="0"/>
    <n v="247563908"/>
    <x v="2"/>
  </r>
  <r>
    <x v="55"/>
    <x v="21"/>
    <x v="0"/>
    <n v="226892836"/>
    <x v="2"/>
  </r>
  <r>
    <x v="55"/>
    <x v="0"/>
    <x v="0"/>
    <n v="235572282"/>
    <x v="2"/>
  </r>
  <r>
    <x v="55"/>
    <x v="2"/>
    <x v="0"/>
    <n v="245859417"/>
    <x v="2"/>
  </r>
  <r>
    <x v="55"/>
    <x v="17"/>
    <x v="0"/>
    <n v="238069077"/>
    <x v="2"/>
  </r>
  <r>
    <x v="55"/>
    <x v="13"/>
    <x v="0"/>
    <n v="247224949"/>
    <x v="2"/>
  </r>
  <r>
    <x v="55"/>
    <x v="18"/>
    <x v="0"/>
    <n v="221002299"/>
    <x v="2"/>
  </r>
  <r>
    <x v="55"/>
    <x v="19"/>
    <x v="0"/>
    <n v="219300419"/>
    <x v="2"/>
  </r>
  <r>
    <x v="55"/>
    <x v="20"/>
    <x v="0"/>
    <n v="210341830"/>
    <x v="2"/>
  </r>
  <r>
    <x v="55"/>
    <x v="14"/>
    <x v="0"/>
    <n v="198559375"/>
    <x v="2"/>
  </r>
  <r>
    <x v="55"/>
    <x v="1"/>
    <x v="0"/>
    <n v="201416523"/>
    <x v="2"/>
  </r>
  <r>
    <x v="55"/>
    <x v="3"/>
    <x v="0"/>
    <n v="197686624"/>
    <x v="2"/>
  </r>
  <r>
    <x v="55"/>
    <x v="15"/>
    <x v="0"/>
    <n v="208828326"/>
    <x v="2"/>
  </r>
  <r>
    <x v="55"/>
    <x v="4"/>
    <x v="0"/>
    <n v="201455851"/>
    <x v="2"/>
  </r>
  <r>
    <x v="77"/>
    <x v="12"/>
    <x v="0"/>
    <n v="3285385"/>
    <x v="2"/>
  </r>
  <r>
    <x v="25"/>
    <x v="21"/>
    <x v="0"/>
    <n v="23352684"/>
    <x v="2"/>
  </r>
  <r>
    <x v="26"/>
    <x v="5"/>
    <x v="0"/>
    <n v="30592782"/>
    <x v="2"/>
  </r>
  <r>
    <x v="26"/>
    <x v="22"/>
    <x v="0"/>
    <n v="33827645"/>
    <x v="2"/>
  </r>
  <r>
    <x v="26"/>
    <x v="6"/>
    <x v="0"/>
    <n v="14445683"/>
    <x v="2"/>
  </r>
  <r>
    <x v="26"/>
    <x v="7"/>
    <x v="0"/>
    <n v="29481137"/>
    <x v="2"/>
  </r>
  <r>
    <x v="26"/>
    <x v="8"/>
    <x v="0"/>
    <n v="21421093"/>
    <x v="2"/>
  </r>
  <r>
    <x v="26"/>
    <x v="9"/>
    <x v="0"/>
    <n v="13500887.310000001"/>
    <x v="2"/>
  </r>
  <r>
    <x v="26"/>
    <x v="10"/>
    <x v="0"/>
    <n v="14207958"/>
    <x v="2"/>
  </r>
  <r>
    <x v="26"/>
    <x v="11"/>
    <x v="0"/>
    <n v="16977669"/>
    <x v="2"/>
  </r>
  <r>
    <x v="26"/>
    <x v="12"/>
    <x v="0"/>
    <n v="19585029"/>
    <x v="2"/>
  </r>
  <r>
    <x v="26"/>
    <x v="16"/>
    <x v="0"/>
    <n v="13754764"/>
    <x v="2"/>
  </r>
  <r>
    <x v="26"/>
    <x v="21"/>
    <x v="0"/>
    <n v="16325443"/>
    <x v="2"/>
  </r>
  <r>
    <x v="26"/>
    <x v="0"/>
    <x v="0"/>
    <n v="19825671"/>
    <x v="2"/>
  </r>
  <r>
    <x v="26"/>
    <x v="2"/>
    <x v="0"/>
    <n v="14731139.4"/>
    <x v="2"/>
  </r>
  <r>
    <x v="26"/>
    <x v="17"/>
    <x v="0"/>
    <n v="13297972.300000001"/>
    <x v="2"/>
  </r>
  <r>
    <x v="26"/>
    <x v="13"/>
    <x v="0"/>
    <n v="12632344.199999999"/>
    <x v="2"/>
  </r>
  <r>
    <x v="26"/>
    <x v="18"/>
    <x v="0"/>
    <n v="5886020"/>
    <x v="2"/>
  </r>
  <r>
    <x v="26"/>
    <x v="19"/>
    <x v="0"/>
    <n v="20736384"/>
    <x v="2"/>
  </r>
  <r>
    <x v="26"/>
    <x v="20"/>
    <x v="0"/>
    <n v="9384160.8699999992"/>
    <x v="2"/>
  </r>
  <r>
    <x v="26"/>
    <x v="14"/>
    <x v="0"/>
    <n v="19912187.68"/>
    <x v="2"/>
  </r>
  <r>
    <x v="26"/>
    <x v="1"/>
    <x v="0"/>
    <n v="16020584"/>
    <x v="2"/>
  </r>
  <r>
    <x v="26"/>
    <x v="3"/>
    <x v="0"/>
    <n v="21924074"/>
    <x v="2"/>
  </r>
  <r>
    <x v="57"/>
    <x v="11"/>
    <x v="0"/>
    <n v="1660697.46"/>
    <x v="2"/>
  </r>
  <r>
    <x v="57"/>
    <x v="12"/>
    <x v="0"/>
    <n v="3124017.76"/>
    <x v="2"/>
  </r>
  <r>
    <x v="57"/>
    <x v="16"/>
    <x v="0"/>
    <n v="3108619.42"/>
    <x v="2"/>
  </r>
  <r>
    <x v="57"/>
    <x v="21"/>
    <x v="0"/>
    <n v="3012759.01"/>
    <x v="2"/>
  </r>
  <r>
    <x v="57"/>
    <x v="0"/>
    <x v="0"/>
    <n v="2439699.59"/>
    <x v="2"/>
  </r>
  <r>
    <x v="57"/>
    <x v="2"/>
    <x v="0"/>
    <n v="2291545.1800000002"/>
    <x v="2"/>
  </r>
  <r>
    <x v="57"/>
    <x v="13"/>
    <x v="0"/>
    <n v="3544774.51"/>
    <x v="2"/>
  </r>
  <r>
    <x v="57"/>
    <x v="19"/>
    <x v="0"/>
    <n v="3326640.58"/>
    <x v="2"/>
  </r>
  <r>
    <x v="57"/>
    <x v="20"/>
    <x v="0"/>
    <n v="2165631.5"/>
    <x v="2"/>
  </r>
  <r>
    <x v="57"/>
    <x v="14"/>
    <x v="0"/>
    <n v="4091149.73"/>
    <x v="2"/>
  </r>
  <r>
    <x v="57"/>
    <x v="1"/>
    <x v="0"/>
    <n v="3752867.62"/>
    <x v="2"/>
  </r>
  <r>
    <x v="57"/>
    <x v="3"/>
    <x v="0"/>
    <n v="1834418.9029999999"/>
    <x v="2"/>
  </r>
  <r>
    <x v="57"/>
    <x v="15"/>
    <x v="0"/>
    <n v="2504093.605"/>
    <x v="2"/>
  </r>
  <r>
    <x v="57"/>
    <x v="4"/>
    <x v="0"/>
    <n v="3686455.19"/>
    <x v="2"/>
  </r>
  <r>
    <x v="58"/>
    <x v="16"/>
    <x v="0"/>
    <n v="2175600"/>
    <x v="2"/>
  </r>
  <r>
    <x v="58"/>
    <x v="0"/>
    <x v="0"/>
    <n v="2494700"/>
    <x v="2"/>
  </r>
  <r>
    <x v="58"/>
    <x v="17"/>
    <x v="0"/>
    <n v="4995378"/>
    <x v="2"/>
  </r>
  <r>
    <x v="58"/>
    <x v="13"/>
    <x v="0"/>
    <n v="3396768"/>
    <x v="2"/>
  </r>
  <r>
    <x v="58"/>
    <x v="19"/>
    <x v="0"/>
    <n v="7262730"/>
    <x v="2"/>
  </r>
  <r>
    <x v="58"/>
    <x v="20"/>
    <x v="0"/>
    <n v="11443060"/>
    <x v="2"/>
  </r>
  <r>
    <x v="58"/>
    <x v="14"/>
    <x v="0"/>
    <n v="9408999"/>
    <x v="2"/>
  </r>
  <r>
    <x v="58"/>
    <x v="1"/>
    <x v="0"/>
    <n v="8458959"/>
    <x v="2"/>
  </r>
  <r>
    <x v="58"/>
    <x v="3"/>
    <x v="0"/>
    <n v="10865084"/>
    <x v="2"/>
  </r>
  <r>
    <x v="58"/>
    <x v="15"/>
    <x v="0"/>
    <n v="10312082"/>
    <x v="2"/>
  </r>
  <r>
    <x v="28"/>
    <x v="11"/>
    <x v="0"/>
    <n v="105416221"/>
    <x v="2"/>
  </r>
  <r>
    <x v="28"/>
    <x v="12"/>
    <x v="0"/>
    <n v="115496333"/>
    <x v="2"/>
  </r>
  <r>
    <x v="28"/>
    <x v="16"/>
    <x v="0"/>
    <n v="106001456"/>
    <x v="2"/>
  </r>
  <r>
    <x v="28"/>
    <x v="21"/>
    <x v="0"/>
    <n v="102064038"/>
    <x v="2"/>
  </r>
  <r>
    <x v="28"/>
    <x v="0"/>
    <x v="0"/>
    <n v="116977606"/>
    <x v="2"/>
  </r>
  <r>
    <x v="28"/>
    <x v="2"/>
    <x v="0"/>
    <n v="95194159"/>
    <x v="2"/>
  </r>
  <r>
    <x v="28"/>
    <x v="17"/>
    <x v="0"/>
    <n v="109847162"/>
    <x v="2"/>
  </r>
  <r>
    <x v="28"/>
    <x v="13"/>
    <x v="0"/>
    <n v="114124864"/>
    <x v="2"/>
  </r>
  <r>
    <x v="28"/>
    <x v="18"/>
    <x v="0"/>
    <n v="98009820"/>
    <x v="2"/>
  </r>
  <r>
    <x v="28"/>
    <x v="19"/>
    <x v="0"/>
    <n v="112100304"/>
    <x v="2"/>
  </r>
  <r>
    <x v="28"/>
    <x v="20"/>
    <x v="0"/>
    <n v="96524252"/>
    <x v="2"/>
  </r>
  <r>
    <x v="28"/>
    <x v="14"/>
    <x v="0"/>
    <n v="95759480"/>
    <x v="2"/>
  </r>
  <r>
    <x v="28"/>
    <x v="1"/>
    <x v="0"/>
    <n v="100400742"/>
    <x v="2"/>
  </r>
  <r>
    <x v="28"/>
    <x v="3"/>
    <x v="0"/>
    <n v="84864709"/>
    <x v="2"/>
  </r>
  <r>
    <x v="28"/>
    <x v="15"/>
    <x v="0"/>
    <n v="85235957"/>
    <x v="2"/>
  </r>
  <r>
    <x v="28"/>
    <x v="4"/>
    <x v="0"/>
    <n v="74958176"/>
    <x v="2"/>
  </r>
  <r>
    <x v="29"/>
    <x v="11"/>
    <x v="0"/>
    <n v="31017693.079999998"/>
    <x v="2"/>
  </r>
  <r>
    <x v="29"/>
    <x v="12"/>
    <x v="0"/>
    <n v="37078245.868000001"/>
    <x v="2"/>
  </r>
  <r>
    <x v="29"/>
    <x v="16"/>
    <x v="0"/>
    <n v="41238699.685999997"/>
    <x v="2"/>
  </r>
  <r>
    <x v="29"/>
    <x v="21"/>
    <x v="0"/>
    <n v="24138470.758000001"/>
    <x v="2"/>
  </r>
  <r>
    <x v="29"/>
    <x v="15"/>
    <x v="0"/>
    <n v="1528781"/>
    <x v="2"/>
  </r>
  <r>
    <x v="29"/>
    <x v="4"/>
    <x v="0"/>
    <n v="1211032"/>
    <x v="2"/>
  </r>
  <r>
    <x v="30"/>
    <x v="23"/>
    <x v="0"/>
    <n v="1694564.871"/>
    <x v="2"/>
  </r>
  <r>
    <x v="30"/>
    <x v="24"/>
    <x v="0"/>
    <n v="709860.35"/>
    <x v="2"/>
  </r>
  <r>
    <x v="30"/>
    <x v="25"/>
    <x v="0"/>
    <n v="3207822.037"/>
    <x v="2"/>
  </r>
  <r>
    <x v="30"/>
    <x v="5"/>
    <x v="0"/>
    <n v="3562252.9530000002"/>
    <x v="2"/>
  </r>
  <r>
    <x v="30"/>
    <x v="22"/>
    <x v="0"/>
    <n v="4418388.9740000004"/>
    <x v="2"/>
  </r>
  <r>
    <x v="30"/>
    <x v="6"/>
    <x v="0"/>
    <n v="6503782.6069999998"/>
    <x v="2"/>
  </r>
  <r>
    <x v="30"/>
    <x v="7"/>
    <x v="0"/>
    <n v="10196888.686000001"/>
    <x v="2"/>
  </r>
  <r>
    <x v="30"/>
    <x v="8"/>
    <x v="0"/>
    <n v="6185937.5489999996"/>
    <x v="2"/>
  </r>
  <r>
    <x v="30"/>
    <x v="9"/>
    <x v="0"/>
    <n v="4558159.79"/>
    <x v="2"/>
  </r>
  <r>
    <x v="30"/>
    <x v="10"/>
    <x v="0"/>
    <n v="7574745.1289999997"/>
    <x v="2"/>
  </r>
  <r>
    <x v="30"/>
    <x v="11"/>
    <x v="0"/>
    <n v="10740377.908"/>
    <x v="2"/>
  </r>
  <r>
    <x v="30"/>
    <x v="12"/>
    <x v="0"/>
    <n v="14476268.043"/>
    <x v="2"/>
  </r>
  <r>
    <x v="30"/>
    <x v="16"/>
    <x v="0"/>
    <n v="17717108.190000001"/>
    <x v="2"/>
  </r>
  <r>
    <x v="30"/>
    <x v="21"/>
    <x v="0"/>
    <n v="16852930.366"/>
    <x v="2"/>
  </r>
  <r>
    <x v="30"/>
    <x v="0"/>
    <x v="0"/>
    <n v="18430543.583999999"/>
    <x v="2"/>
  </r>
  <r>
    <x v="30"/>
    <x v="2"/>
    <x v="0"/>
    <n v="19877299.454"/>
    <x v="2"/>
  </r>
  <r>
    <x v="30"/>
    <x v="17"/>
    <x v="0"/>
    <n v="28110591.197999999"/>
    <x v="2"/>
  </r>
  <r>
    <x v="30"/>
    <x v="13"/>
    <x v="0"/>
    <n v="21394922.234999999"/>
    <x v="2"/>
  </r>
  <r>
    <x v="30"/>
    <x v="18"/>
    <x v="0"/>
    <n v="24070599.519000001"/>
    <x v="2"/>
  </r>
  <r>
    <x v="30"/>
    <x v="19"/>
    <x v="0"/>
    <n v="22781302.085999999"/>
    <x v="2"/>
  </r>
  <r>
    <x v="30"/>
    <x v="20"/>
    <x v="0"/>
    <n v="22314649.175000001"/>
    <x v="2"/>
  </r>
  <r>
    <x v="30"/>
    <x v="14"/>
    <x v="0"/>
    <n v="21965657.741999999"/>
    <x v="2"/>
  </r>
  <r>
    <x v="30"/>
    <x v="1"/>
    <x v="0"/>
    <n v="21387280.936999999"/>
    <x v="2"/>
  </r>
  <r>
    <x v="30"/>
    <x v="3"/>
    <x v="0"/>
    <n v="17833268.592999998"/>
    <x v="2"/>
  </r>
  <r>
    <x v="30"/>
    <x v="15"/>
    <x v="0"/>
    <n v="20862330.614999998"/>
    <x v="2"/>
  </r>
  <r>
    <x v="30"/>
    <x v="4"/>
    <x v="0"/>
    <n v="9875472.0329999998"/>
    <x v="2"/>
  </r>
  <r>
    <x v="78"/>
    <x v="23"/>
    <x v="0"/>
    <n v="83174998.883000001"/>
    <x v="2"/>
  </r>
  <r>
    <x v="78"/>
    <x v="24"/>
    <x v="0"/>
    <n v="125283917.85699999"/>
    <x v="2"/>
  </r>
  <r>
    <x v="78"/>
    <x v="25"/>
    <x v="0"/>
    <n v="21182368.287999999"/>
    <x v="2"/>
  </r>
  <r>
    <x v="78"/>
    <x v="5"/>
    <x v="0"/>
    <n v="34814574.283000097"/>
    <x v="2"/>
  </r>
  <r>
    <x v="78"/>
    <x v="22"/>
    <x v="0"/>
    <n v="60755015.591999903"/>
    <x v="2"/>
  </r>
  <r>
    <x v="78"/>
    <x v="6"/>
    <x v="0"/>
    <n v="10656197.226"/>
    <x v="2"/>
  </r>
  <r>
    <x v="78"/>
    <x v="7"/>
    <x v="0"/>
    <n v="33265856.1879999"/>
    <x v="2"/>
  </r>
  <r>
    <x v="78"/>
    <x v="9"/>
    <x v="0"/>
    <n v="20424309.706"/>
    <x v="2"/>
  </r>
  <r>
    <x v="78"/>
    <x v="10"/>
    <x v="0"/>
    <n v="27839324.487999901"/>
    <x v="2"/>
  </r>
  <r>
    <x v="59"/>
    <x v="24"/>
    <x v="0"/>
    <n v="1645461"/>
    <x v="2"/>
  </r>
  <r>
    <x v="59"/>
    <x v="2"/>
    <x v="0"/>
    <n v="3856009.65"/>
    <x v="2"/>
  </r>
  <r>
    <x v="59"/>
    <x v="18"/>
    <x v="0"/>
    <n v="16213393.6"/>
    <x v="2"/>
  </r>
  <r>
    <x v="59"/>
    <x v="19"/>
    <x v="0"/>
    <n v="12775664"/>
    <x v="2"/>
  </r>
  <r>
    <x v="59"/>
    <x v="20"/>
    <x v="0"/>
    <n v="17371863.370000001"/>
    <x v="2"/>
  </r>
  <r>
    <x v="59"/>
    <x v="14"/>
    <x v="0"/>
    <n v="19502447.23"/>
    <x v="2"/>
  </r>
  <r>
    <x v="59"/>
    <x v="1"/>
    <x v="0"/>
    <n v="16358632.4"/>
    <x v="2"/>
  </r>
  <r>
    <x v="59"/>
    <x v="3"/>
    <x v="0"/>
    <n v="16690604.939999999"/>
    <x v="2"/>
  </r>
  <r>
    <x v="59"/>
    <x v="15"/>
    <x v="0"/>
    <n v="3448550.27"/>
    <x v="2"/>
  </r>
  <r>
    <x v="59"/>
    <x v="4"/>
    <x v="0"/>
    <n v="1430844.81"/>
    <x v="2"/>
  </r>
  <r>
    <x v="32"/>
    <x v="17"/>
    <x v="0"/>
    <n v="3377599.3569999998"/>
    <x v="2"/>
  </r>
  <r>
    <x v="32"/>
    <x v="13"/>
    <x v="0"/>
    <n v="4637002.3269999996"/>
    <x v="2"/>
  </r>
  <r>
    <x v="32"/>
    <x v="18"/>
    <x v="0"/>
    <n v="4275276.3880000003"/>
    <x v="2"/>
  </r>
  <r>
    <x v="32"/>
    <x v="19"/>
    <x v="0"/>
    <n v="4131618.8470000001"/>
    <x v="2"/>
  </r>
  <r>
    <x v="32"/>
    <x v="20"/>
    <x v="0"/>
    <n v="4487217.28"/>
    <x v="2"/>
  </r>
  <r>
    <x v="32"/>
    <x v="14"/>
    <x v="0"/>
    <n v="4127427.85"/>
    <x v="2"/>
  </r>
  <r>
    <x v="32"/>
    <x v="1"/>
    <x v="0"/>
    <n v="4292631.7560000001"/>
    <x v="2"/>
  </r>
  <r>
    <x v="32"/>
    <x v="3"/>
    <x v="0"/>
    <n v="3743187.344"/>
    <x v="2"/>
  </r>
  <r>
    <x v="32"/>
    <x v="15"/>
    <x v="0"/>
    <n v="3609613.301"/>
    <x v="2"/>
  </r>
  <r>
    <x v="32"/>
    <x v="4"/>
    <x v="0"/>
    <n v="2602358.1239999998"/>
    <x v="2"/>
  </r>
  <r>
    <x v="62"/>
    <x v="18"/>
    <x v="0"/>
    <n v="2261334"/>
    <x v="2"/>
  </r>
  <r>
    <x v="62"/>
    <x v="19"/>
    <x v="0"/>
    <n v="2231058"/>
    <x v="2"/>
  </r>
  <r>
    <x v="33"/>
    <x v="18"/>
    <x v="0"/>
    <n v="4027841"/>
    <x v="2"/>
  </r>
  <r>
    <x v="34"/>
    <x v="11"/>
    <x v="0"/>
    <n v="12075817.77"/>
    <x v="2"/>
  </r>
  <r>
    <x v="34"/>
    <x v="12"/>
    <x v="0"/>
    <n v="8155254.9500000002"/>
    <x v="2"/>
  </r>
  <r>
    <x v="34"/>
    <x v="16"/>
    <x v="0"/>
    <n v="8888713.6199999992"/>
    <x v="2"/>
  </r>
  <r>
    <x v="34"/>
    <x v="21"/>
    <x v="0"/>
    <n v="12638897.109999999"/>
    <x v="2"/>
  </r>
  <r>
    <x v="34"/>
    <x v="0"/>
    <x v="0"/>
    <n v="16359989.449999999"/>
    <x v="2"/>
  </r>
  <r>
    <x v="34"/>
    <x v="2"/>
    <x v="0"/>
    <n v="18584255.02"/>
    <x v="2"/>
  </r>
  <r>
    <x v="34"/>
    <x v="17"/>
    <x v="0"/>
    <n v="30744951.859999999"/>
    <x v="2"/>
  </r>
  <r>
    <x v="34"/>
    <x v="13"/>
    <x v="0"/>
    <n v="16570543.25"/>
    <x v="2"/>
  </r>
  <r>
    <x v="34"/>
    <x v="18"/>
    <x v="0"/>
    <n v="30339726.300000001"/>
    <x v="2"/>
  </r>
  <r>
    <x v="34"/>
    <x v="19"/>
    <x v="0"/>
    <n v="24270221.02"/>
    <x v="2"/>
  </r>
  <r>
    <x v="34"/>
    <x v="20"/>
    <x v="0"/>
    <n v="9792930.4000000004"/>
    <x v="2"/>
  </r>
  <r>
    <x v="34"/>
    <x v="15"/>
    <x v="0"/>
    <n v="27060350.028000001"/>
    <x v="2"/>
  </r>
  <r>
    <x v="34"/>
    <x v="4"/>
    <x v="0"/>
    <n v="11294050"/>
    <x v="2"/>
  </r>
  <r>
    <x v="35"/>
    <x v="11"/>
    <x v="0"/>
    <n v="55146844"/>
    <x v="2"/>
  </r>
  <r>
    <x v="35"/>
    <x v="12"/>
    <x v="0"/>
    <n v="52290065"/>
    <x v="2"/>
  </r>
  <r>
    <x v="35"/>
    <x v="16"/>
    <x v="0"/>
    <n v="56433369"/>
    <x v="2"/>
  </r>
  <r>
    <x v="35"/>
    <x v="21"/>
    <x v="0"/>
    <n v="64538224"/>
    <x v="2"/>
  </r>
  <r>
    <x v="35"/>
    <x v="0"/>
    <x v="0"/>
    <n v="87330164.819999993"/>
    <x v="2"/>
  </r>
  <r>
    <x v="35"/>
    <x v="2"/>
    <x v="0"/>
    <n v="136157253.63"/>
    <x v="2"/>
  </r>
  <r>
    <x v="35"/>
    <x v="17"/>
    <x v="0"/>
    <n v="730735446.71500003"/>
    <x v="2"/>
  </r>
  <r>
    <x v="35"/>
    <x v="13"/>
    <x v="0"/>
    <n v="131494241.55"/>
    <x v="2"/>
  </r>
  <r>
    <x v="35"/>
    <x v="18"/>
    <x v="0"/>
    <n v="144782166.46000001"/>
    <x v="2"/>
  </r>
  <r>
    <x v="35"/>
    <x v="19"/>
    <x v="0"/>
    <n v="161124444.324"/>
    <x v="2"/>
  </r>
  <r>
    <x v="35"/>
    <x v="20"/>
    <x v="0"/>
    <n v="160311297.25099999"/>
    <x v="2"/>
  </r>
  <r>
    <x v="35"/>
    <x v="14"/>
    <x v="0"/>
    <n v="147951301.39500001"/>
    <x v="2"/>
  </r>
  <r>
    <x v="35"/>
    <x v="1"/>
    <x v="0"/>
    <n v="147066857.09200001"/>
    <x v="2"/>
  </r>
  <r>
    <x v="35"/>
    <x v="3"/>
    <x v="0"/>
    <n v="121530526.127"/>
    <x v="2"/>
  </r>
  <r>
    <x v="35"/>
    <x v="15"/>
    <x v="0"/>
    <n v="159922325.46000001"/>
    <x v="2"/>
  </r>
  <r>
    <x v="35"/>
    <x v="4"/>
    <x v="0"/>
    <n v="118776356.97"/>
    <x v="2"/>
  </r>
  <r>
    <x v="79"/>
    <x v="11"/>
    <x v="0"/>
    <n v="1321200"/>
    <x v="2"/>
  </r>
  <r>
    <x v="36"/>
    <x v="11"/>
    <x v="0"/>
    <n v="13835383"/>
    <x v="2"/>
  </r>
  <r>
    <x v="36"/>
    <x v="12"/>
    <x v="0"/>
    <n v="13361795"/>
    <x v="2"/>
  </r>
  <r>
    <x v="36"/>
    <x v="16"/>
    <x v="0"/>
    <n v="14490939"/>
    <x v="2"/>
  </r>
  <r>
    <x v="36"/>
    <x v="21"/>
    <x v="0"/>
    <n v="22173982"/>
    <x v="2"/>
  </r>
  <r>
    <x v="36"/>
    <x v="0"/>
    <x v="0"/>
    <n v="22637373"/>
    <x v="2"/>
  </r>
  <r>
    <x v="36"/>
    <x v="2"/>
    <x v="0"/>
    <n v="22216429"/>
    <x v="2"/>
  </r>
  <r>
    <x v="36"/>
    <x v="17"/>
    <x v="0"/>
    <n v="27760467.734999999"/>
    <x v="2"/>
  </r>
  <r>
    <x v="36"/>
    <x v="13"/>
    <x v="0"/>
    <n v="31222363"/>
    <x v="2"/>
  </r>
  <r>
    <x v="36"/>
    <x v="18"/>
    <x v="0"/>
    <n v="26626989"/>
    <x v="2"/>
  </r>
  <r>
    <x v="36"/>
    <x v="19"/>
    <x v="0"/>
    <n v="24434268"/>
    <x v="2"/>
  </r>
  <r>
    <x v="36"/>
    <x v="20"/>
    <x v="0"/>
    <n v="25742507"/>
    <x v="2"/>
  </r>
  <r>
    <x v="36"/>
    <x v="14"/>
    <x v="0"/>
    <n v="28282621.91"/>
    <x v="2"/>
  </r>
  <r>
    <x v="36"/>
    <x v="1"/>
    <x v="0"/>
    <n v="27816104.18"/>
    <x v="2"/>
  </r>
  <r>
    <x v="36"/>
    <x v="3"/>
    <x v="0"/>
    <n v="27833269.519000001"/>
    <x v="2"/>
  </r>
  <r>
    <x v="36"/>
    <x v="15"/>
    <x v="0"/>
    <n v="34345183"/>
    <x v="2"/>
  </r>
  <r>
    <x v="36"/>
    <x v="4"/>
    <x v="0"/>
    <n v="35836380.343000002"/>
    <x v="2"/>
  </r>
  <r>
    <x v="80"/>
    <x v="21"/>
    <x v="0"/>
    <n v="2076798.9"/>
    <x v="2"/>
  </r>
  <r>
    <x v="37"/>
    <x v="2"/>
    <x v="0"/>
    <n v="14441475"/>
    <x v="2"/>
  </r>
  <r>
    <x v="37"/>
    <x v="17"/>
    <x v="0"/>
    <n v="12860352.220000001"/>
    <x v="2"/>
  </r>
  <r>
    <x v="37"/>
    <x v="13"/>
    <x v="0"/>
    <n v="16627830.73"/>
    <x v="2"/>
  </r>
  <r>
    <x v="37"/>
    <x v="18"/>
    <x v="0"/>
    <n v="17002884.77"/>
    <x v="2"/>
  </r>
  <r>
    <x v="37"/>
    <x v="19"/>
    <x v="0"/>
    <n v="12923785.470000001"/>
    <x v="2"/>
  </r>
  <r>
    <x v="37"/>
    <x v="20"/>
    <x v="0"/>
    <n v="12412329.1"/>
    <x v="2"/>
  </r>
  <r>
    <x v="37"/>
    <x v="14"/>
    <x v="0"/>
    <n v="13264604.92"/>
    <x v="2"/>
  </r>
  <r>
    <x v="37"/>
    <x v="1"/>
    <x v="0"/>
    <n v="15227120.567"/>
    <x v="2"/>
  </r>
  <r>
    <x v="37"/>
    <x v="3"/>
    <x v="0"/>
    <n v="12627552.779999999"/>
    <x v="2"/>
  </r>
  <r>
    <x v="37"/>
    <x v="15"/>
    <x v="0"/>
    <n v="10549212.419"/>
    <x v="2"/>
  </r>
  <r>
    <x v="81"/>
    <x v="21"/>
    <x v="0"/>
    <n v="1837857"/>
    <x v="2"/>
  </r>
  <r>
    <x v="81"/>
    <x v="2"/>
    <x v="0"/>
    <n v="1954218"/>
    <x v="2"/>
  </r>
  <r>
    <x v="81"/>
    <x v="13"/>
    <x v="0"/>
    <n v="2680641.19"/>
    <x v="2"/>
  </r>
  <r>
    <x v="81"/>
    <x v="18"/>
    <x v="0"/>
    <n v="3464304.86"/>
    <x v="2"/>
  </r>
  <r>
    <x v="81"/>
    <x v="19"/>
    <x v="0"/>
    <n v="6110446.3899999997"/>
    <x v="2"/>
  </r>
  <r>
    <x v="81"/>
    <x v="20"/>
    <x v="0"/>
    <n v="3879046.53"/>
    <x v="2"/>
  </r>
  <r>
    <x v="81"/>
    <x v="14"/>
    <x v="0"/>
    <n v="5973533.5099999998"/>
    <x v="2"/>
  </r>
  <r>
    <x v="82"/>
    <x v="14"/>
    <x v="0"/>
    <n v="2454440"/>
    <x v="2"/>
  </r>
  <r>
    <x v="82"/>
    <x v="1"/>
    <x v="0"/>
    <n v="7236203"/>
    <x v="2"/>
  </r>
  <r>
    <x v="82"/>
    <x v="3"/>
    <x v="0"/>
    <n v="4583862"/>
    <x v="2"/>
  </r>
  <r>
    <x v="82"/>
    <x v="15"/>
    <x v="0"/>
    <n v="5186567"/>
    <x v="2"/>
  </r>
  <r>
    <x v="82"/>
    <x v="4"/>
    <x v="0"/>
    <n v="2051480"/>
    <x v="2"/>
  </r>
  <r>
    <x v="38"/>
    <x v="11"/>
    <x v="0"/>
    <n v="5524528"/>
    <x v="2"/>
  </r>
  <r>
    <x v="38"/>
    <x v="12"/>
    <x v="0"/>
    <n v="13071135"/>
    <x v="2"/>
  </r>
  <r>
    <x v="38"/>
    <x v="16"/>
    <x v="0"/>
    <n v="7480530"/>
    <x v="2"/>
  </r>
  <r>
    <x v="38"/>
    <x v="21"/>
    <x v="0"/>
    <n v="7021836"/>
    <x v="2"/>
  </r>
  <r>
    <x v="38"/>
    <x v="0"/>
    <x v="0"/>
    <n v="7041583"/>
    <x v="2"/>
  </r>
  <r>
    <x v="38"/>
    <x v="2"/>
    <x v="0"/>
    <n v="5974169"/>
    <x v="2"/>
  </r>
  <r>
    <x v="38"/>
    <x v="17"/>
    <x v="0"/>
    <n v="6953302"/>
    <x v="2"/>
  </r>
  <r>
    <x v="38"/>
    <x v="13"/>
    <x v="0"/>
    <n v="10253805"/>
    <x v="2"/>
  </r>
  <r>
    <x v="38"/>
    <x v="18"/>
    <x v="0"/>
    <n v="11310159"/>
    <x v="2"/>
  </r>
  <r>
    <x v="38"/>
    <x v="19"/>
    <x v="0"/>
    <n v="3638831"/>
    <x v="2"/>
  </r>
  <r>
    <x v="38"/>
    <x v="1"/>
    <x v="0"/>
    <n v="2005004"/>
    <x v="2"/>
  </r>
  <r>
    <x v="39"/>
    <x v="5"/>
    <x v="0"/>
    <n v="72000000"/>
    <x v="2"/>
  </r>
  <r>
    <x v="39"/>
    <x v="22"/>
    <x v="0"/>
    <n v="81561471"/>
    <x v="2"/>
  </r>
  <r>
    <x v="39"/>
    <x v="6"/>
    <x v="0"/>
    <n v="69528017.906000003"/>
    <x v="2"/>
  </r>
  <r>
    <x v="39"/>
    <x v="7"/>
    <x v="0"/>
    <n v="48029189"/>
    <x v="2"/>
  </r>
  <r>
    <x v="39"/>
    <x v="8"/>
    <x v="0"/>
    <n v="211424320.002"/>
    <x v="2"/>
  </r>
  <r>
    <x v="39"/>
    <x v="9"/>
    <x v="0"/>
    <n v="35406884.890000001"/>
    <x v="2"/>
  </r>
  <r>
    <x v="39"/>
    <x v="11"/>
    <x v="0"/>
    <n v="69702217"/>
    <x v="2"/>
  </r>
  <r>
    <x v="39"/>
    <x v="12"/>
    <x v="0"/>
    <n v="69635330.010000005"/>
    <x v="2"/>
  </r>
  <r>
    <x v="39"/>
    <x v="16"/>
    <x v="0"/>
    <n v="62810848.560000002"/>
    <x v="2"/>
  </r>
  <r>
    <x v="39"/>
    <x v="21"/>
    <x v="0"/>
    <n v="56045262.219999999"/>
    <x v="2"/>
  </r>
  <r>
    <x v="39"/>
    <x v="0"/>
    <x v="0"/>
    <n v="66971603.266999997"/>
    <x v="2"/>
  </r>
  <r>
    <x v="39"/>
    <x v="2"/>
    <x v="0"/>
    <n v="54222621.359999999"/>
    <x v="2"/>
  </r>
  <r>
    <x v="39"/>
    <x v="17"/>
    <x v="0"/>
    <n v="68231708.984999999"/>
    <x v="2"/>
  </r>
  <r>
    <x v="39"/>
    <x v="13"/>
    <x v="0"/>
    <n v="76686726.946999997"/>
    <x v="2"/>
  </r>
  <r>
    <x v="39"/>
    <x v="18"/>
    <x v="0"/>
    <n v="78393665.490999997"/>
    <x v="2"/>
  </r>
  <r>
    <x v="39"/>
    <x v="19"/>
    <x v="0"/>
    <n v="63881087.229999997"/>
    <x v="2"/>
  </r>
  <r>
    <x v="39"/>
    <x v="20"/>
    <x v="0"/>
    <n v="76641630.899000004"/>
    <x v="2"/>
  </r>
  <r>
    <x v="39"/>
    <x v="14"/>
    <x v="0"/>
    <n v="72131927.180000007"/>
    <x v="2"/>
  </r>
  <r>
    <x v="39"/>
    <x v="1"/>
    <x v="0"/>
    <n v="68879978.137999997"/>
    <x v="2"/>
  </r>
  <r>
    <x v="67"/>
    <x v="12"/>
    <x v="0"/>
    <n v="6652770"/>
    <x v="2"/>
  </r>
  <r>
    <x v="67"/>
    <x v="16"/>
    <x v="0"/>
    <n v="6880660"/>
    <x v="2"/>
  </r>
  <r>
    <x v="67"/>
    <x v="21"/>
    <x v="0"/>
    <n v="3249390"/>
    <x v="2"/>
  </r>
  <r>
    <x v="67"/>
    <x v="0"/>
    <x v="0"/>
    <n v="3121830"/>
    <x v="2"/>
  </r>
  <r>
    <x v="67"/>
    <x v="2"/>
    <x v="0"/>
    <n v="6196690"/>
    <x v="2"/>
  </r>
  <r>
    <x v="67"/>
    <x v="13"/>
    <x v="0"/>
    <n v="2510830.0010000002"/>
    <x v="2"/>
  </r>
  <r>
    <x v="67"/>
    <x v="18"/>
    <x v="0"/>
    <n v="2180780.5019999999"/>
    <x v="2"/>
  </r>
  <r>
    <x v="67"/>
    <x v="19"/>
    <x v="0"/>
    <n v="3552811.8050000002"/>
    <x v="2"/>
  </r>
  <r>
    <x v="67"/>
    <x v="20"/>
    <x v="0"/>
    <n v="4290854.6880000001"/>
    <x v="2"/>
  </r>
  <r>
    <x v="67"/>
    <x v="14"/>
    <x v="0"/>
    <n v="2061393.3189999999"/>
    <x v="2"/>
  </r>
  <r>
    <x v="67"/>
    <x v="1"/>
    <x v="0"/>
    <n v="2061370.108"/>
    <x v="2"/>
  </r>
  <r>
    <x v="67"/>
    <x v="3"/>
    <x v="0"/>
    <n v="3748394.4130000002"/>
    <x v="2"/>
  </r>
  <r>
    <x v="67"/>
    <x v="15"/>
    <x v="0"/>
    <n v="8028130.7029999997"/>
    <x v="2"/>
  </r>
  <r>
    <x v="67"/>
    <x v="4"/>
    <x v="0"/>
    <n v="1952365.7180000001"/>
    <x v="2"/>
  </r>
  <r>
    <x v="83"/>
    <x v="3"/>
    <x v="0"/>
    <n v="1262453.8589999999"/>
    <x v="2"/>
  </r>
  <r>
    <x v="83"/>
    <x v="4"/>
    <x v="0"/>
    <n v="1127138.3060000001"/>
    <x v="2"/>
  </r>
  <r>
    <x v="41"/>
    <x v="25"/>
    <x v="0"/>
    <n v="206176080.36000001"/>
    <x v="2"/>
  </r>
  <r>
    <x v="41"/>
    <x v="5"/>
    <x v="0"/>
    <n v="153583177.22999999"/>
    <x v="2"/>
  </r>
  <r>
    <x v="41"/>
    <x v="22"/>
    <x v="0"/>
    <n v="128723629.23"/>
    <x v="2"/>
  </r>
  <r>
    <x v="41"/>
    <x v="6"/>
    <x v="0"/>
    <n v="159301638.81200001"/>
    <x v="2"/>
  </r>
  <r>
    <x v="41"/>
    <x v="7"/>
    <x v="0"/>
    <n v="143303939.81999999"/>
    <x v="2"/>
  </r>
  <r>
    <x v="41"/>
    <x v="8"/>
    <x v="0"/>
    <n v="158404791.97999999"/>
    <x v="2"/>
  </r>
  <r>
    <x v="41"/>
    <x v="9"/>
    <x v="0"/>
    <n v="147888570.11000001"/>
    <x v="2"/>
  </r>
  <r>
    <x v="41"/>
    <x v="10"/>
    <x v="0"/>
    <n v="148941721.67399999"/>
    <x v="2"/>
  </r>
  <r>
    <x v="41"/>
    <x v="11"/>
    <x v="0"/>
    <n v="151491829.41"/>
    <x v="2"/>
  </r>
  <r>
    <x v="41"/>
    <x v="12"/>
    <x v="0"/>
    <n v="173283630.22099999"/>
    <x v="2"/>
  </r>
  <r>
    <x v="41"/>
    <x v="16"/>
    <x v="0"/>
    <n v="168298294.56799999"/>
    <x v="2"/>
  </r>
  <r>
    <x v="41"/>
    <x v="21"/>
    <x v="0"/>
    <n v="167528449.472"/>
    <x v="2"/>
  </r>
  <r>
    <x v="41"/>
    <x v="0"/>
    <x v="0"/>
    <n v="181148372.08000001"/>
    <x v="2"/>
  </r>
  <r>
    <x v="41"/>
    <x v="2"/>
    <x v="0"/>
    <n v="180751703.43099999"/>
    <x v="2"/>
  </r>
  <r>
    <x v="41"/>
    <x v="17"/>
    <x v="0"/>
    <n v="208788008.98300001"/>
    <x v="2"/>
  </r>
  <r>
    <x v="41"/>
    <x v="13"/>
    <x v="0"/>
    <n v="203591905.26300001"/>
    <x v="2"/>
  </r>
  <r>
    <x v="41"/>
    <x v="18"/>
    <x v="0"/>
    <n v="198543899.46700001"/>
    <x v="2"/>
  </r>
  <r>
    <x v="41"/>
    <x v="19"/>
    <x v="0"/>
    <n v="195378846.169"/>
    <x v="2"/>
  </r>
  <r>
    <x v="41"/>
    <x v="20"/>
    <x v="0"/>
    <n v="175343895.37"/>
    <x v="2"/>
  </r>
  <r>
    <x v="41"/>
    <x v="14"/>
    <x v="0"/>
    <n v="158998960.83700001"/>
    <x v="2"/>
  </r>
  <r>
    <x v="41"/>
    <x v="1"/>
    <x v="0"/>
    <n v="143254497.745"/>
    <x v="2"/>
  </r>
  <r>
    <x v="41"/>
    <x v="3"/>
    <x v="0"/>
    <n v="101350727.42"/>
    <x v="2"/>
  </r>
  <r>
    <x v="41"/>
    <x v="15"/>
    <x v="0"/>
    <n v="138828824.67399999"/>
    <x v="2"/>
  </r>
  <r>
    <x v="41"/>
    <x v="4"/>
    <x v="0"/>
    <n v="111446630.677"/>
    <x v="2"/>
  </r>
  <r>
    <x v="42"/>
    <x v="11"/>
    <x v="0"/>
    <n v="17860077"/>
    <x v="2"/>
  </r>
  <r>
    <x v="42"/>
    <x v="12"/>
    <x v="0"/>
    <n v="200064625"/>
    <x v="2"/>
  </r>
  <r>
    <x v="42"/>
    <x v="16"/>
    <x v="0"/>
    <n v="729053795"/>
    <x v="2"/>
  </r>
  <r>
    <x v="42"/>
    <x v="21"/>
    <x v="0"/>
    <n v="761761277"/>
    <x v="2"/>
  </r>
  <r>
    <x v="42"/>
    <x v="0"/>
    <x v="0"/>
    <n v="700347005"/>
    <x v="2"/>
  </r>
  <r>
    <x v="42"/>
    <x v="2"/>
    <x v="0"/>
    <n v="671747340"/>
    <x v="2"/>
  </r>
  <r>
    <x v="42"/>
    <x v="17"/>
    <x v="0"/>
    <n v="762617251"/>
    <x v="2"/>
  </r>
  <r>
    <x v="42"/>
    <x v="13"/>
    <x v="0"/>
    <n v="712568985"/>
    <x v="2"/>
  </r>
  <r>
    <x v="42"/>
    <x v="18"/>
    <x v="0"/>
    <n v="851774040"/>
    <x v="2"/>
  </r>
  <r>
    <x v="42"/>
    <x v="19"/>
    <x v="0"/>
    <n v="602552090.65000105"/>
    <x v="2"/>
  </r>
  <r>
    <x v="42"/>
    <x v="20"/>
    <x v="0"/>
    <n v="841093384"/>
    <x v="2"/>
  </r>
  <r>
    <x v="42"/>
    <x v="14"/>
    <x v="0"/>
    <n v="697231887"/>
    <x v="2"/>
  </r>
  <r>
    <x v="42"/>
    <x v="1"/>
    <x v="0"/>
    <n v="729698051"/>
    <x v="2"/>
  </r>
  <r>
    <x v="42"/>
    <x v="3"/>
    <x v="0"/>
    <n v="668826782.222"/>
    <x v="2"/>
  </r>
  <r>
    <x v="42"/>
    <x v="15"/>
    <x v="0"/>
    <n v="828732066"/>
    <x v="2"/>
  </r>
  <r>
    <x v="42"/>
    <x v="4"/>
    <x v="0"/>
    <n v="147048811"/>
    <x v="2"/>
  </r>
  <r>
    <x v="84"/>
    <x v="16"/>
    <x v="0"/>
    <n v="2620000"/>
    <x v="2"/>
  </r>
  <r>
    <x v="43"/>
    <x v="0"/>
    <x v="0"/>
    <n v="13126353"/>
    <x v="2"/>
  </r>
  <r>
    <x v="43"/>
    <x v="14"/>
    <x v="0"/>
    <n v="43579289"/>
    <x v="2"/>
  </r>
  <r>
    <x v="43"/>
    <x v="1"/>
    <x v="0"/>
    <n v="49052055"/>
    <x v="2"/>
  </r>
  <r>
    <x v="44"/>
    <x v="23"/>
    <x v="0"/>
    <n v="26784032"/>
    <x v="2"/>
  </r>
  <r>
    <x v="44"/>
    <x v="24"/>
    <x v="0"/>
    <n v="2641532"/>
    <x v="2"/>
  </r>
  <r>
    <x v="44"/>
    <x v="25"/>
    <x v="0"/>
    <n v="5366160"/>
    <x v="2"/>
  </r>
  <r>
    <x v="44"/>
    <x v="5"/>
    <x v="0"/>
    <n v="7343618"/>
    <x v="2"/>
  </r>
  <r>
    <x v="44"/>
    <x v="22"/>
    <x v="0"/>
    <n v="11202090"/>
    <x v="2"/>
  </r>
  <r>
    <x v="44"/>
    <x v="6"/>
    <x v="0"/>
    <n v="9216923"/>
    <x v="2"/>
  </r>
  <r>
    <x v="44"/>
    <x v="7"/>
    <x v="0"/>
    <n v="9270177"/>
    <x v="2"/>
  </r>
  <r>
    <x v="44"/>
    <x v="8"/>
    <x v="0"/>
    <n v="10664623"/>
    <x v="2"/>
  </r>
  <r>
    <x v="44"/>
    <x v="9"/>
    <x v="0"/>
    <n v="9982457"/>
    <x v="2"/>
  </r>
  <r>
    <x v="44"/>
    <x v="10"/>
    <x v="0"/>
    <n v="13043279"/>
    <x v="2"/>
  </r>
  <r>
    <x v="44"/>
    <x v="11"/>
    <x v="0"/>
    <n v="7848737"/>
    <x v="2"/>
  </r>
  <r>
    <x v="44"/>
    <x v="12"/>
    <x v="0"/>
    <n v="9084777"/>
    <x v="2"/>
  </r>
  <r>
    <x v="44"/>
    <x v="16"/>
    <x v="0"/>
    <n v="9901349"/>
    <x v="2"/>
  </r>
  <r>
    <x v="44"/>
    <x v="21"/>
    <x v="0"/>
    <n v="13135179"/>
    <x v="2"/>
  </r>
  <r>
    <x v="44"/>
    <x v="0"/>
    <x v="0"/>
    <n v="17883271"/>
    <x v="2"/>
  </r>
  <r>
    <x v="44"/>
    <x v="2"/>
    <x v="0"/>
    <n v="20658360"/>
    <x v="2"/>
  </r>
  <r>
    <x v="44"/>
    <x v="17"/>
    <x v="0"/>
    <n v="23258621"/>
    <x v="2"/>
  </r>
  <r>
    <x v="44"/>
    <x v="13"/>
    <x v="0"/>
    <n v="26857945"/>
    <x v="2"/>
  </r>
  <r>
    <x v="44"/>
    <x v="18"/>
    <x v="0"/>
    <n v="25321410"/>
    <x v="2"/>
  </r>
  <r>
    <x v="44"/>
    <x v="19"/>
    <x v="0"/>
    <n v="21920062"/>
    <x v="2"/>
  </r>
  <r>
    <x v="44"/>
    <x v="20"/>
    <x v="0"/>
    <n v="25464286"/>
    <x v="2"/>
  </r>
  <r>
    <x v="44"/>
    <x v="14"/>
    <x v="0"/>
    <n v="29967280"/>
    <x v="2"/>
  </r>
  <r>
    <x v="44"/>
    <x v="1"/>
    <x v="0"/>
    <n v="31226315"/>
    <x v="2"/>
  </r>
  <r>
    <x v="44"/>
    <x v="3"/>
    <x v="0"/>
    <n v="35964071"/>
    <x v="2"/>
  </r>
  <r>
    <x v="44"/>
    <x v="15"/>
    <x v="0"/>
    <n v="37571036"/>
    <x v="2"/>
  </r>
  <r>
    <x v="44"/>
    <x v="4"/>
    <x v="0"/>
    <n v="35664304"/>
    <x v="2"/>
  </r>
  <r>
    <x v="45"/>
    <x v="11"/>
    <x v="0"/>
    <n v="2035000"/>
    <x v="2"/>
  </r>
  <r>
    <x v="45"/>
    <x v="17"/>
    <x v="0"/>
    <n v="59102162"/>
    <x v="2"/>
  </r>
  <r>
    <x v="45"/>
    <x v="13"/>
    <x v="0"/>
    <n v="60326765"/>
    <x v="2"/>
  </r>
  <r>
    <x v="45"/>
    <x v="18"/>
    <x v="0"/>
    <n v="62295273"/>
    <x v="2"/>
  </r>
  <r>
    <x v="45"/>
    <x v="19"/>
    <x v="0"/>
    <n v="69639328"/>
    <x v="2"/>
  </r>
  <r>
    <x v="45"/>
    <x v="20"/>
    <x v="0"/>
    <n v="52545122"/>
    <x v="2"/>
  </r>
  <r>
    <x v="45"/>
    <x v="14"/>
    <x v="0"/>
    <n v="63811845"/>
    <x v="2"/>
  </r>
  <r>
    <x v="45"/>
    <x v="1"/>
    <x v="0"/>
    <n v="112239079.443"/>
    <x v="2"/>
  </r>
  <r>
    <x v="45"/>
    <x v="3"/>
    <x v="0"/>
    <n v="65037758"/>
    <x v="2"/>
  </r>
  <r>
    <x v="45"/>
    <x v="15"/>
    <x v="0"/>
    <n v="70749284"/>
    <x v="2"/>
  </r>
  <r>
    <x v="45"/>
    <x v="4"/>
    <x v="0"/>
    <n v="54020288"/>
    <x v="2"/>
  </r>
  <r>
    <x v="85"/>
    <x v="3"/>
    <x v="0"/>
    <n v="1333783"/>
    <x v="2"/>
  </r>
  <r>
    <x v="85"/>
    <x v="15"/>
    <x v="0"/>
    <n v="1681708.2320000001"/>
    <x v="2"/>
  </r>
  <r>
    <x v="85"/>
    <x v="4"/>
    <x v="0"/>
    <n v="1545501.2960000001"/>
    <x v="2"/>
  </r>
  <r>
    <x v="46"/>
    <x v="18"/>
    <x v="0"/>
    <n v="2651484.21"/>
    <x v="2"/>
  </r>
  <r>
    <x v="46"/>
    <x v="19"/>
    <x v="0"/>
    <n v="11927793.939999999"/>
    <x v="2"/>
  </r>
  <r>
    <x v="47"/>
    <x v="21"/>
    <x v="0"/>
    <n v="2129796"/>
    <x v="2"/>
  </r>
  <r>
    <x v="47"/>
    <x v="0"/>
    <x v="0"/>
    <n v="3293355"/>
    <x v="2"/>
  </r>
  <r>
    <x v="47"/>
    <x v="2"/>
    <x v="0"/>
    <n v="3121623"/>
    <x v="2"/>
  </r>
  <r>
    <x v="47"/>
    <x v="17"/>
    <x v="0"/>
    <n v="3853157"/>
    <x v="2"/>
  </r>
  <r>
    <x v="47"/>
    <x v="13"/>
    <x v="0"/>
    <n v="2852785"/>
    <x v="2"/>
  </r>
  <r>
    <x v="47"/>
    <x v="18"/>
    <x v="0"/>
    <n v="2471176"/>
    <x v="2"/>
  </r>
  <r>
    <x v="47"/>
    <x v="19"/>
    <x v="0"/>
    <n v="2877362"/>
    <x v="2"/>
  </r>
  <r>
    <x v="47"/>
    <x v="20"/>
    <x v="0"/>
    <n v="2442415"/>
    <x v="2"/>
  </r>
  <r>
    <x v="47"/>
    <x v="14"/>
    <x v="0"/>
    <n v="3195653"/>
    <x v="2"/>
  </r>
  <r>
    <x v="47"/>
    <x v="1"/>
    <x v="0"/>
    <n v="3145262"/>
    <x v="2"/>
  </r>
  <r>
    <x v="47"/>
    <x v="3"/>
    <x v="0"/>
    <n v="2670044"/>
    <x v="2"/>
  </r>
  <r>
    <x v="47"/>
    <x v="15"/>
    <x v="0"/>
    <n v="3369862"/>
    <x v="2"/>
  </r>
  <r>
    <x v="47"/>
    <x v="4"/>
    <x v="0"/>
    <n v="3387562"/>
    <x v="2"/>
  </r>
  <r>
    <x v="48"/>
    <x v="2"/>
    <x v="0"/>
    <n v="84772391.821999997"/>
    <x v="2"/>
  </r>
  <r>
    <x v="48"/>
    <x v="17"/>
    <x v="0"/>
    <n v="69907358.441"/>
    <x v="2"/>
  </r>
  <r>
    <x v="48"/>
    <x v="13"/>
    <x v="0"/>
    <n v="68592978.332000002"/>
    <x v="2"/>
  </r>
  <r>
    <x v="48"/>
    <x v="18"/>
    <x v="0"/>
    <n v="99094650.195999995"/>
    <x v="2"/>
  </r>
  <r>
    <x v="48"/>
    <x v="19"/>
    <x v="0"/>
    <n v="119487496.39399999"/>
    <x v="2"/>
  </r>
  <r>
    <x v="48"/>
    <x v="20"/>
    <x v="0"/>
    <n v="117308612.20200001"/>
    <x v="2"/>
  </r>
  <r>
    <x v="48"/>
    <x v="14"/>
    <x v="0"/>
    <n v="125158597.161"/>
    <x v="2"/>
  </r>
  <r>
    <x v="48"/>
    <x v="1"/>
    <x v="0"/>
    <n v="147145076.28600001"/>
    <x v="2"/>
  </r>
  <r>
    <x v="48"/>
    <x v="3"/>
    <x v="0"/>
    <n v="112453085.66"/>
    <x v="2"/>
  </r>
  <r>
    <x v="69"/>
    <x v="16"/>
    <x v="0"/>
    <n v="2440909.9"/>
    <x v="2"/>
  </r>
  <r>
    <x v="69"/>
    <x v="2"/>
    <x v="0"/>
    <n v="4521207.7"/>
    <x v="2"/>
  </r>
  <r>
    <x v="70"/>
    <x v="11"/>
    <x v="1"/>
    <n v="3034277.736"/>
    <x v="2"/>
  </r>
  <r>
    <x v="70"/>
    <x v="16"/>
    <x v="1"/>
    <n v="5105277"/>
    <x v="2"/>
  </r>
  <r>
    <x v="70"/>
    <x v="21"/>
    <x v="1"/>
    <n v="4708279.5939999996"/>
    <x v="2"/>
  </r>
  <r>
    <x v="70"/>
    <x v="0"/>
    <x v="1"/>
    <n v="18271926.530000001"/>
    <x v="2"/>
  </r>
  <r>
    <x v="70"/>
    <x v="2"/>
    <x v="1"/>
    <n v="36269692.310000002"/>
    <x v="2"/>
  </r>
  <r>
    <x v="70"/>
    <x v="17"/>
    <x v="1"/>
    <n v="15299811.58"/>
    <x v="2"/>
  </r>
  <r>
    <x v="0"/>
    <x v="4"/>
    <x v="1"/>
    <n v="10924669.289999999"/>
    <x v="2"/>
  </r>
  <r>
    <x v="2"/>
    <x v="21"/>
    <x v="1"/>
    <n v="20296615.449000001"/>
    <x v="2"/>
  </r>
  <r>
    <x v="2"/>
    <x v="1"/>
    <x v="1"/>
    <n v="22029351.655999999"/>
    <x v="2"/>
  </r>
  <r>
    <x v="2"/>
    <x v="3"/>
    <x v="1"/>
    <n v="18028323.088"/>
    <x v="2"/>
  </r>
  <r>
    <x v="2"/>
    <x v="15"/>
    <x v="1"/>
    <n v="17283427.802999999"/>
    <x v="2"/>
  </r>
  <r>
    <x v="2"/>
    <x v="4"/>
    <x v="1"/>
    <n v="14848645.213"/>
    <x v="2"/>
  </r>
  <r>
    <x v="71"/>
    <x v="17"/>
    <x v="1"/>
    <n v="2299434.361"/>
    <x v="2"/>
  </r>
  <r>
    <x v="3"/>
    <x v="5"/>
    <x v="1"/>
    <n v="2482261"/>
    <x v="2"/>
  </r>
  <r>
    <x v="3"/>
    <x v="2"/>
    <x v="1"/>
    <n v="2490268"/>
    <x v="2"/>
  </r>
  <r>
    <x v="3"/>
    <x v="17"/>
    <x v="1"/>
    <n v="4529177"/>
    <x v="2"/>
  </r>
  <r>
    <x v="3"/>
    <x v="13"/>
    <x v="1"/>
    <n v="5198116"/>
    <x v="2"/>
  </r>
  <r>
    <x v="51"/>
    <x v="12"/>
    <x v="1"/>
    <n v="7860526.1009999998"/>
    <x v="2"/>
  </r>
  <r>
    <x v="51"/>
    <x v="16"/>
    <x v="1"/>
    <n v="4567647.9419999998"/>
    <x v="2"/>
  </r>
  <r>
    <x v="51"/>
    <x v="21"/>
    <x v="1"/>
    <n v="2913448.6850000001"/>
    <x v="2"/>
  </r>
  <r>
    <x v="51"/>
    <x v="1"/>
    <x v="1"/>
    <n v="12921756.828"/>
    <x v="2"/>
  </r>
  <r>
    <x v="51"/>
    <x v="3"/>
    <x v="1"/>
    <n v="6759133.9649999999"/>
    <x v="2"/>
  </r>
  <r>
    <x v="4"/>
    <x v="11"/>
    <x v="1"/>
    <n v="28504618.761"/>
    <x v="2"/>
  </r>
  <r>
    <x v="4"/>
    <x v="12"/>
    <x v="1"/>
    <n v="38977116.254000001"/>
    <x v="2"/>
  </r>
  <r>
    <x v="4"/>
    <x v="16"/>
    <x v="1"/>
    <n v="37284114.511"/>
    <x v="2"/>
  </r>
  <r>
    <x v="4"/>
    <x v="21"/>
    <x v="1"/>
    <n v="51019571.633000001"/>
    <x v="2"/>
  </r>
  <r>
    <x v="4"/>
    <x v="0"/>
    <x v="1"/>
    <n v="39735842.851999998"/>
    <x v="2"/>
  </r>
  <r>
    <x v="4"/>
    <x v="2"/>
    <x v="1"/>
    <n v="40129560.987999998"/>
    <x v="2"/>
  </r>
  <r>
    <x v="4"/>
    <x v="17"/>
    <x v="1"/>
    <n v="49616564.644000001"/>
    <x v="2"/>
  </r>
  <r>
    <x v="4"/>
    <x v="13"/>
    <x v="1"/>
    <n v="63660045.200000003"/>
    <x v="2"/>
  </r>
  <r>
    <x v="4"/>
    <x v="18"/>
    <x v="1"/>
    <n v="54193675.805"/>
    <x v="2"/>
  </r>
  <r>
    <x v="4"/>
    <x v="19"/>
    <x v="1"/>
    <n v="49742354.175999999"/>
    <x v="2"/>
  </r>
  <r>
    <x v="4"/>
    <x v="20"/>
    <x v="1"/>
    <n v="29311214.044"/>
    <x v="2"/>
  </r>
  <r>
    <x v="4"/>
    <x v="14"/>
    <x v="1"/>
    <n v="39756604.636"/>
    <x v="2"/>
  </r>
  <r>
    <x v="4"/>
    <x v="1"/>
    <x v="1"/>
    <n v="79359059.882000104"/>
    <x v="2"/>
  </r>
  <r>
    <x v="4"/>
    <x v="3"/>
    <x v="1"/>
    <n v="40865906.248000003"/>
    <x v="2"/>
  </r>
  <r>
    <x v="4"/>
    <x v="15"/>
    <x v="1"/>
    <n v="45476465.020999998"/>
    <x v="2"/>
  </r>
  <r>
    <x v="4"/>
    <x v="4"/>
    <x v="1"/>
    <n v="53732088.494000003"/>
    <x v="2"/>
  </r>
  <r>
    <x v="72"/>
    <x v="4"/>
    <x v="1"/>
    <n v="9132008.9869999997"/>
    <x v="2"/>
  </r>
  <r>
    <x v="5"/>
    <x v="11"/>
    <x v="1"/>
    <n v="32243264.638999999"/>
    <x v="2"/>
  </r>
  <r>
    <x v="5"/>
    <x v="12"/>
    <x v="1"/>
    <n v="54484070.236000001"/>
    <x v="2"/>
  </r>
  <r>
    <x v="5"/>
    <x v="16"/>
    <x v="1"/>
    <n v="86267398.141000003"/>
    <x v="2"/>
  </r>
  <r>
    <x v="5"/>
    <x v="2"/>
    <x v="1"/>
    <n v="29154070.943"/>
    <x v="2"/>
  </r>
  <r>
    <x v="5"/>
    <x v="17"/>
    <x v="1"/>
    <n v="172945964.62599999"/>
    <x v="2"/>
  </r>
  <r>
    <x v="5"/>
    <x v="13"/>
    <x v="1"/>
    <n v="188445291.51800001"/>
    <x v="2"/>
  </r>
  <r>
    <x v="5"/>
    <x v="18"/>
    <x v="1"/>
    <n v="222363168.73899999"/>
    <x v="2"/>
  </r>
  <r>
    <x v="5"/>
    <x v="19"/>
    <x v="1"/>
    <n v="173832089.54499999"/>
    <x v="2"/>
  </r>
  <r>
    <x v="5"/>
    <x v="20"/>
    <x v="1"/>
    <n v="102774601.245"/>
    <x v="2"/>
  </r>
  <r>
    <x v="5"/>
    <x v="14"/>
    <x v="1"/>
    <n v="92075261.062999994"/>
    <x v="2"/>
  </r>
  <r>
    <x v="5"/>
    <x v="1"/>
    <x v="1"/>
    <n v="74663965.019999996"/>
    <x v="2"/>
  </r>
  <r>
    <x v="5"/>
    <x v="3"/>
    <x v="1"/>
    <n v="141182244.35100001"/>
    <x v="2"/>
  </r>
  <r>
    <x v="5"/>
    <x v="15"/>
    <x v="1"/>
    <n v="281562537.06800002"/>
    <x v="2"/>
  </r>
  <r>
    <x v="5"/>
    <x v="4"/>
    <x v="1"/>
    <n v="27214916.539000001"/>
    <x v="2"/>
  </r>
  <r>
    <x v="6"/>
    <x v="11"/>
    <x v="1"/>
    <n v="4455084.38"/>
    <x v="2"/>
  </r>
  <r>
    <x v="6"/>
    <x v="0"/>
    <x v="1"/>
    <n v="52699985.729999997"/>
    <x v="2"/>
  </r>
  <r>
    <x v="6"/>
    <x v="17"/>
    <x v="1"/>
    <n v="28042517.739999998"/>
    <x v="2"/>
  </r>
  <r>
    <x v="6"/>
    <x v="13"/>
    <x v="1"/>
    <n v="18675022.120000001"/>
    <x v="2"/>
  </r>
  <r>
    <x v="6"/>
    <x v="18"/>
    <x v="1"/>
    <n v="34596736.869999997"/>
    <x v="2"/>
  </r>
  <r>
    <x v="6"/>
    <x v="19"/>
    <x v="1"/>
    <n v="25282552.539999999"/>
    <x v="2"/>
  </r>
  <r>
    <x v="6"/>
    <x v="20"/>
    <x v="1"/>
    <n v="24210655.57"/>
    <x v="2"/>
  </r>
  <r>
    <x v="6"/>
    <x v="14"/>
    <x v="1"/>
    <n v="33171179.829999998"/>
    <x v="2"/>
  </r>
  <r>
    <x v="6"/>
    <x v="1"/>
    <x v="1"/>
    <n v="25180801.18"/>
    <x v="2"/>
  </r>
  <r>
    <x v="6"/>
    <x v="3"/>
    <x v="1"/>
    <n v="24865494.719999999"/>
    <x v="2"/>
  </r>
  <r>
    <x v="6"/>
    <x v="15"/>
    <x v="1"/>
    <n v="5775360.3099999996"/>
    <x v="2"/>
  </r>
  <r>
    <x v="6"/>
    <x v="4"/>
    <x v="1"/>
    <n v="26374712.960000001"/>
    <x v="2"/>
  </r>
  <r>
    <x v="73"/>
    <x v="18"/>
    <x v="1"/>
    <n v="4573887.08"/>
    <x v="2"/>
  </r>
  <r>
    <x v="73"/>
    <x v="20"/>
    <x v="1"/>
    <n v="11838672.619999999"/>
    <x v="2"/>
  </r>
  <r>
    <x v="7"/>
    <x v="2"/>
    <x v="1"/>
    <n v="4884987"/>
    <x v="2"/>
  </r>
  <r>
    <x v="7"/>
    <x v="4"/>
    <x v="1"/>
    <n v="14507075"/>
    <x v="2"/>
  </r>
  <r>
    <x v="9"/>
    <x v="9"/>
    <x v="1"/>
    <n v="101365172.417"/>
    <x v="2"/>
  </r>
  <r>
    <x v="9"/>
    <x v="10"/>
    <x v="1"/>
    <n v="73538432.714000002"/>
    <x v="2"/>
  </r>
  <r>
    <x v="9"/>
    <x v="11"/>
    <x v="1"/>
    <n v="6150099.0379999997"/>
    <x v="2"/>
  </r>
  <r>
    <x v="9"/>
    <x v="12"/>
    <x v="1"/>
    <n v="8846619.8699999992"/>
    <x v="2"/>
  </r>
  <r>
    <x v="9"/>
    <x v="16"/>
    <x v="1"/>
    <n v="7512896.352"/>
    <x v="2"/>
  </r>
  <r>
    <x v="9"/>
    <x v="21"/>
    <x v="1"/>
    <n v="11338755.677999999"/>
    <x v="2"/>
  </r>
  <r>
    <x v="9"/>
    <x v="0"/>
    <x v="1"/>
    <n v="13496639.708000001"/>
    <x v="2"/>
  </r>
  <r>
    <x v="9"/>
    <x v="2"/>
    <x v="1"/>
    <n v="15165306.171"/>
    <x v="2"/>
  </r>
  <r>
    <x v="9"/>
    <x v="17"/>
    <x v="1"/>
    <n v="19006296.853"/>
    <x v="2"/>
  </r>
  <r>
    <x v="9"/>
    <x v="13"/>
    <x v="1"/>
    <n v="23561482.449999999"/>
    <x v="2"/>
  </r>
  <r>
    <x v="9"/>
    <x v="18"/>
    <x v="1"/>
    <n v="33256833.434999999"/>
    <x v="2"/>
  </r>
  <r>
    <x v="9"/>
    <x v="19"/>
    <x v="1"/>
    <n v="44662134.877999999"/>
    <x v="2"/>
  </r>
  <r>
    <x v="74"/>
    <x v="2"/>
    <x v="1"/>
    <n v="6815641.5949999997"/>
    <x v="2"/>
  </r>
  <r>
    <x v="52"/>
    <x v="4"/>
    <x v="1"/>
    <n v="10839998.047"/>
    <x v="2"/>
  </r>
  <r>
    <x v="10"/>
    <x v="11"/>
    <x v="1"/>
    <n v="207727374.88"/>
    <x v="2"/>
  </r>
  <r>
    <x v="10"/>
    <x v="12"/>
    <x v="1"/>
    <n v="273410449.62"/>
    <x v="2"/>
  </r>
  <r>
    <x v="10"/>
    <x v="16"/>
    <x v="1"/>
    <n v="167025264.70300001"/>
    <x v="2"/>
  </r>
  <r>
    <x v="10"/>
    <x v="21"/>
    <x v="1"/>
    <n v="95277116.939999998"/>
    <x v="2"/>
  </r>
  <r>
    <x v="10"/>
    <x v="0"/>
    <x v="1"/>
    <n v="111646342.88"/>
    <x v="2"/>
  </r>
  <r>
    <x v="10"/>
    <x v="2"/>
    <x v="1"/>
    <n v="70499605.704999998"/>
    <x v="2"/>
  </r>
  <r>
    <x v="10"/>
    <x v="17"/>
    <x v="1"/>
    <n v="66524311.034999996"/>
    <x v="2"/>
  </r>
  <r>
    <x v="10"/>
    <x v="13"/>
    <x v="1"/>
    <n v="69723284.709999993"/>
    <x v="2"/>
  </r>
  <r>
    <x v="10"/>
    <x v="18"/>
    <x v="1"/>
    <n v="102223332.537"/>
    <x v="2"/>
  </r>
  <r>
    <x v="10"/>
    <x v="19"/>
    <x v="1"/>
    <n v="112397945.67399999"/>
    <x v="2"/>
  </r>
  <r>
    <x v="10"/>
    <x v="20"/>
    <x v="1"/>
    <n v="93156763.708000004"/>
    <x v="2"/>
  </r>
  <r>
    <x v="10"/>
    <x v="14"/>
    <x v="1"/>
    <n v="137223017.74599999"/>
    <x v="2"/>
  </r>
  <r>
    <x v="10"/>
    <x v="1"/>
    <x v="1"/>
    <n v="9064256.8320000004"/>
    <x v="2"/>
  </r>
  <r>
    <x v="10"/>
    <x v="15"/>
    <x v="1"/>
    <n v="104763623.40700001"/>
    <x v="2"/>
  </r>
  <r>
    <x v="11"/>
    <x v="22"/>
    <x v="1"/>
    <n v="5672233.3399999999"/>
    <x v="2"/>
  </r>
  <r>
    <x v="11"/>
    <x v="6"/>
    <x v="1"/>
    <n v="32330677.899999999"/>
    <x v="2"/>
  </r>
  <r>
    <x v="11"/>
    <x v="7"/>
    <x v="1"/>
    <n v="20585264.690000001"/>
    <x v="2"/>
  </r>
  <r>
    <x v="11"/>
    <x v="8"/>
    <x v="1"/>
    <n v="48620566.880000003"/>
    <x v="2"/>
  </r>
  <r>
    <x v="11"/>
    <x v="9"/>
    <x v="1"/>
    <n v="17249544.949999999"/>
    <x v="2"/>
  </r>
  <r>
    <x v="11"/>
    <x v="10"/>
    <x v="1"/>
    <n v="57352117.990000002"/>
    <x v="2"/>
  </r>
  <r>
    <x v="11"/>
    <x v="11"/>
    <x v="1"/>
    <n v="26819670.579999998"/>
    <x v="2"/>
  </r>
  <r>
    <x v="11"/>
    <x v="12"/>
    <x v="1"/>
    <n v="22425617.73"/>
    <x v="2"/>
  </r>
  <r>
    <x v="11"/>
    <x v="16"/>
    <x v="1"/>
    <n v="32831109.649999999"/>
    <x v="2"/>
  </r>
  <r>
    <x v="11"/>
    <x v="21"/>
    <x v="1"/>
    <n v="47814281.490000002"/>
    <x v="2"/>
  </r>
  <r>
    <x v="11"/>
    <x v="0"/>
    <x v="1"/>
    <n v="36350119.32"/>
    <x v="2"/>
  </r>
  <r>
    <x v="11"/>
    <x v="2"/>
    <x v="1"/>
    <n v="19221136.18"/>
    <x v="2"/>
  </r>
  <r>
    <x v="11"/>
    <x v="17"/>
    <x v="1"/>
    <n v="22277944.670000002"/>
    <x v="2"/>
  </r>
  <r>
    <x v="11"/>
    <x v="13"/>
    <x v="1"/>
    <n v="36468768.780000001"/>
    <x v="2"/>
  </r>
  <r>
    <x v="11"/>
    <x v="18"/>
    <x v="1"/>
    <n v="28499961.5"/>
    <x v="2"/>
  </r>
  <r>
    <x v="11"/>
    <x v="19"/>
    <x v="1"/>
    <n v="23146281.219999999"/>
    <x v="2"/>
  </r>
  <r>
    <x v="11"/>
    <x v="20"/>
    <x v="1"/>
    <n v="9345614.9499999993"/>
    <x v="2"/>
  </r>
  <r>
    <x v="11"/>
    <x v="14"/>
    <x v="1"/>
    <n v="10237073.24"/>
    <x v="2"/>
  </r>
  <r>
    <x v="11"/>
    <x v="1"/>
    <x v="1"/>
    <n v="23776404.780000001"/>
    <x v="2"/>
  </r>
  <r>
    <x v="11"/>
    <x v="3"/>
    <x v="1"/>
    <n v="25545654.879999999"/>
    <x v="2"/>
  </r>
  <r>
    <x v="11"/>
    <x v="15"/>
    <x v="1"/>
    <n v="16046106.029999999"/>
    <x v="2"/>
  </r>
  <r>
    <x v="11"/>
    <x v="4"/>
    <x v="1"/>
    <n v="113729777.61"/>
    <x v="2"/>
  </r>
  <r>
    <x v="13"/>
    <x v="0"/>
    <x v="1"/>
    <n v="139652184.086"/>
    <x v="2"/>
  </r>
  <r>
    <x v="13"/>
    <x v="2"/>
    <x v="1"/>
    <n v="65590611.564000003"/>
    <x v="2"/>
  </r>
  <r>
    <x v="13"/>
    <x v="17"/>
    <x v="1"/>
    <n v="45564890.439999998"/>
    <x v="2"/>
  </r>
  <r>
    <x v="13"/>
    <x v="13"/>
    <x v="1"/>
    <n v="47101728.210000001"/>
    <x v="2"/>
  </r>
  <r>
    <x v="13"/>
    <x v="20"/>
    <x v="1"/>
    <n v="13234243.498"/>
    <x v="2"/>
  </r>
  <r>
    <x v="13"/>
    <x v="1"/>
    <x v="1"/>
    <n v="4778514.227"/>
    <x v="2"/>
  </r>
  <r>
    <x v="13"/>
    <x v="3"/>
    <x v="1"/>
    <n v="4418416.4689999996"/>
    <x v="2"/>
  </r>
  <r>
    <x v="14"/>
    <x v="23"/>
    <x v="1"/>
    <n v="34185078.840999998"/>
    <x v="2"/>
  </r>
  <r>
    <x v="14"/>
    <x v="24"/>
    <x v="1"/>
    <n v="39844535.417999998"/>
    <x v="2"/>
  </r>
  <r>
    <x v="14"/>
    <x v="25"/>
    <x v="1"/>
    <n v="45168516.376000002"/>
    <x v="2"/>
  </r>
  <r>
    <x v="14"/>
    <x v="5"/>
    <x v="1"/>
    <n v="50737328.850000001"/>
    <x v="2"/>
  </r>
  <r>
    <x v="14"/>
    <x v="22"/>
    <x v="1"/>
    <n v="49301392.560999997"/>
    <x v="2"/>
  </r>
  <r>
    <x v="14"/>
    <x v="6"/>
    <x v="1"/>
    <n v="53518343.302000001"/>
    <x v="2"/>
  </r>
  <r>
    <x v="14"/>
    <x v="7"/>
    <x v="1"/>
    <n v="61016129.972999997"/>
    <x v="2"/>
  </r>
  <r>
    <x v="14"/>
    <x v="8"/>
    <x v="1"/>
    <n v="73067885.642000005"/>
    <x v="2"/>
  </r>
  <r>
    <x v="14"/>
    <x v="9"/>
    <x v="1"/>
    <n v="76201018.149000004"/>
    <x v="2"/>
  </r>
  <r>
    <x v="14"/>
    <x v="10"/>
    <x v="1"/>
    <n v="70464977.038000003"/>
    <x v="2"/>
  </r>
  <r>
    <x v="14"/>
    <x v="11"/>
    <x v="1"/>
    <n v="71374031.283000007"/>
    <x v="2"/>
  </r>
  <r>
    <x v="14"/>
    <x v="12"/>
    <x v="1"/>
    <n v="72542005.241999999"/>
    <x v="2"/>
  </r>
  <r>
    <x v="14"/>
    <x v="16"/>
    <x v="1"/>
    <n v="86756415.957000002"/>
    <x v="2"/>
  </r>
  <r>
    <x v="14"/>
    <x v="21"/>
    <x v="1"/>
    <n v="98554214.120000005"/>
    <x v="2"/>
  </r>
  <r>
    <x v="14"/>
    <x v="0"/>
    <x v="1"/>
    <n v="114317924.737"/>
    <x v="2"/>
  </r>
  <r>
    <x v="14"/>
    <x v="2"/>
    <x v="1"/>
    <n v="122351007.274"/>
    <x v="2"/>
  </r>
  <r>
    <x v="14"/>
    <x v="17"/>
    <x v="1"/>
    <n v="128972700.71600001"/>
    <x v="2"/>
  </r>
  <r>
    <x v="14"/>
    <x v="13"/>
    <x v="1"/>
    <n v="153998189.33000001"/>
    <x v="2"/>
  </r>
  <r>
    <x v="14"/>
    <x v="18"/>
    <x v="1"/>
    <n v="146825720.93599999"/>
    <x v="2"/>
  </r>
  <r>
    <x v="14"/>
    <x v="19"/>
    <x v="1"/>
    <n v="145513116.88999999"/>
    <x v="2"/>
  </r>
  <r>
    <x v="14"/>
    <x v="20"/>
    <x v="1"/>
    <n v="130171917.832"/>
    <x v="2"/>
  </r>
  <r>
    <x v="14"/>
    <x v="14"/>
    <x v="1"/>
    <n v="144341859.435"/>
    <x v="2"/>
  </r>
  <r>
    <x v="14"/>
    <x v="1"/>
    <x v="1"/>
    <n v="154634197.49599999"/>
    <x v="2"/>
  </r>
  <r>
    <x v="14"/>
    <x v="3"/>
    <x v="1"/>
    <n v="121917436.854"/>
    <x v="2"/>
  </r>
  <r>
    <x v="14"/>
    <x v="15"/>
    <x v="1"/>
    <n v="128676496.846"/>
    <x v="2"/>
  </r>
  <r>
    <x v="15"/>
    <x v="2"/>
    <x v="1"/>
    <n v="18728350.245999999"/>
    <x v="2"/>
  </r>
  <r>
    <x v="15"/>
    <x v="13"/>
    <x v="1"/>
    <n v="34296927.575999998"/>
    <x v="2"/>
  </r>
  <r>
    <x v="15"/>
    <x v="18"/>
    <x v="1"/>
    <n v="27414068.34"/>
    <x v="2"/>
  </r>
  <r>
    <x v="15"/>
    <x v="19"/>
    <x v="1"/>
    <n v="25936275.916999999"/>
    <x v="2"/>
  </r>
  <r>
    <x v="15"/>
    <x v="20"/>
    <x v="1"/>
    <n v="24332794.363000002"/>
    <x v="2"/>
  </r>
  <r>
    <x v="15"/>
    <x v="14"/>
    <x v="1"/>
    <n v="30864322.25"/>
    <x v="2"/>
  </r>
  <r>
    <x v="15"/>
    <x v="1"/>
    <x v="1"/>
    <n v="33597167.795999996"/>
    <x v="2"/>
  </r>
  <r>
    <x v="15"/>
    <x v="3"/>
    <x v="1"/>
    <n v="26769205.348000001"/>
    <x v="2"/>
  </r>
  <r>
    <x v="15"/>
    <x v="15"/>
    <x v="1"/>
    <n v="25829106.291999999"/>
    <x v="2"/>
  </r>
  <r>
    <x v="15"/>
    <x v="4"/>
    <x v="1"/>
    <n v="25658544.037"/>
    <x v="2"/>
  </r>
  <r>
    <x v="16"/>
    <x v="12"/>
    <x v="1"/>
    <n v="3145096.5419999999"/>
    <x v="2"/>
  </r>
  <r>
    <x v="16"/>
    <x v="21"/>
    <x v="1"/>
    <n v="3033808.39"/>
    <x v="2"/>
  </r>
  <r>
    <x v="16"/>
    <x v="0"/>
    <x v="1"/>
    <n v="2887934.0109999999"/>
    <x v="2"/>
  </r>
  <r>
    <x v="16"/>
    <x v="2"/>
    <x v="1"/>
    <n v="2507249.96"/>
    <x v="2"/>
  </r>
  <r>
    <x v="16"/>
    <x v="17"/>
    <x v="1"/>
    <n v="2373286.102"/>
    <x v="2"/>
  </r>
  <r>
    <x v="16"/>
    <x v="20"/>
    <x v="1"/>
    <n v="17268731.912"/>
    <x v="2"/>
  </r>
  <r>
    <x v="16"/>
    <x v="14"/>
    <x v="1"/>
    <n v="44806365.002999999"/>
    <x v="2"/>
  </r>
  <r>
    <x v="16"/>
    <x v="1"/>
    <x v="1"/>
    <n v="32033524.340999998"/>
    <x v="2"/>
  </r>
  <r>
    <x v="16"/>
    <x v="3"/>
    <x v="1"/>
    <n v="17607079.809999999"/>
    <x v="2"/>
  </r>
  <r>
    <x v="18"/>
    <x v="11"/>
    <x v="1"/>
    <n v="40258922"/>
    <x v="2"/>
  </r>
  <r>
    <x v="18"/>
    <x v="12"/>
    <x v="1"/>
    <n v="25314230"/>
    <x v="2"/>
  </r>
  <r>
    <x v="18"/>
    <x v="16"/>
    <x v="1"/>
    <n v="36566765"/>
    <x v="2"/>
  </r>
  <r>
    <x v="18"/>
    <x v="13"/>
    <x v="1"/>
    <n v="26627921"/>
    <x v="2"/>
  </r>
  <r>
    <x v="18"/>
    <x v="19"/>
    <x v="1"/>
    <n v="16754230"/>
    <x v="2"/>
  </r>
  <r>
    <x v="18"/>
    <x v="20"/>
    <x v="1"/>
    <n v="35467703"/>
    <x v="2"/>
  </r>
  <r>
    <x v="18"/>
    <x v="14"/>
    <x v="1"/>
    <n v="43602193"/>
    <x v="2"/>
  </r>
  <r>
    <x v="18"/>
    <x v="1"/>
    <x v="1"/>
    <n v="51137370"/>
    <x v="2"/>
  </r>
  <r>
    <x v="18"/>
    <x v="3"/>
    <x v="1"/>
    <n v="36172372"/>
    <x v="2"/>
  </r>
  <r>
    <x v="18"/>
    <x v="15"/>
    <x v="1"/>
    <n v="52183363"/>
    <x v="2"/>
  </r>
  <r>
    <x v="18"/>
    <x v="4"/>
    <x v="1"/>
    <n v="37625577"/>
    <x v="2"/>
  </r>
  <r>
    <x v="21"/>
    <x v="21"/>
    <x v="1"/>
    <n v="10138736"/>
    <x v="2"/>
  </r>
  <r>
    <x v="21"/>
    <x v="0"/>
    <x v="1"/>
    <n v="9599601"/>
    <x v="2"/>
  </r>
  <r>
    <x v="21"/>
    <x v="2"/>
    <x v="1"/>
    <n v="15672993"/>
    <x v="2"/>
  </r>
  <r>
    <x v="21"/>
    <x v="17"/>
    <x v="1"/>
    <n v="22974543"/>
    <x v="2"/>
  </r>
  <r>
    <x v="21"/>
    <x v="13"/>
    <x v="1"/>
    <n v="9784762"/>
    <x v="2"/>
  </r>
  <r>
    <x v="21"/>
    <x v="18"/>
    <x v="1"/>
    <n v="29503938"/>
    <x v="2"/>
  </r>
  <r>
    <x v="21"/>
    <x v="19"/>
    <x v="1"/>
    <n v="47362432"/>
    <x v="2"/>
  </r>
  <r>
    <x v="21"/>
    <x v="20"/>
    <x v="1"/>
    <n v="57836776"/>
    <x v="2"/>
  </r>
  <r>
    <x v="21"/>
    <x v="14"/>
    <x v="1"/>
    <n v="41318055"/>
    <x v="2"/>
  </r>
  <r>
    <x v="21"/>
    <x v="1"/>
    <x v="1"/>
    <n v="58406362"/>
    <x v="2"/>
  </r>
  <r>
    <x v="21"/>
    <x v="3"/>
    <x v="1"/>
    <n v="43719980"/>
    <x v="2"/>
  </r>
  <r>
    <x v="21"/>
    <x v="15"/>
    <x v="1"/>
    <n v="35910718"/>
    <x v="2"/>
  </r>
  <r>
    <x v="75"/>
    <x v="11"/>
    <x v="1"/>
    <n v="4469999.1100000003"/>
    <x v="2"/>
  </r>
  <r>
    <x v="54"/>
    <x v="24"/>
    <x v="1"/>
    <n v="490701.22700000001"/>
    <x v="2"/>
  </r>
  <r>
    <x v="76"/>
    <x v="13"/>
    <x v="1"/>
    <n v="22179000"/>
    <x v="2"/>
  </r>
  <r>
    <x v="76"/>
    <x v="18"/>
    <x v="1"/>
    <n v="22325000"/>
    <x v="2"/>
  </r>
  <r>
    <x v="76"/>
    <x v="19"/>
    <x v="1"/>
    <n v="25091000"/>
    <x v="2"/>
  </r>
  <r>
    <x v="76"/>
    <x v="20"/>
    <x v="1"/>
    <n v="21718000"/>
    <x v="2"/>
  </r>
  <r>
    <x v="76"/>
    <x v="14"/>
    <x v="1"/>
    <n v="28823000"/>
    <x v="2"/>
  </r>
  <r>
    <x v="76"/>
    <x v="1"/>
    <x v="1"/>
    <n v="35046000"/>
    <x v="2"/>
  </r>
  <r>
    <x v="76"/>
    <x v="3"/>
    <x v="1"/>
    <n v="36950000"/>
    <x v="2"/>
  </r>
  <r>
    <x v="76"/>
    <x v="15"/>
    <x v="1"/>
    <n v="40172000"/>
    <x v="2"/>
  </r>
  <r>
    <x v="76"/>
    <x v="4"/>
    <x v="1"/>
    <n v="26067000"/>
    <x v="2"/>
  </r>
  <r>
    <x v="22"/>
    <x v="23"/>
    <x v="1"/>
    <n v="45937808.671999998"/>
    <x v="2"/>
  </r>
  <r>
    <x v="22"/>
    <x v="24"/>
    <x v="1"/>
    <n v="47822678.892999999"/>
    <x v="2"/>
  </r>
  <r>
    <x v="22"/>
    <x v="25"/>
    <x v="1"/>
    <n v="57338246.129000001"/>
    <x v="2"/>
  </r>
  <r>
    <x v="22"/>
    <x v="5"/>
    <x v="1"/>
    <n v="80611910.659999996"/>
    <x v="2"/>
  </r>
  <r>
    <x v="22"/>
    <x v="22"/>
    <x v="1"/>
    <n v="57480669.480999999"/>
    <x v="2"/>
  </r>
  <r>
    <x v="22"/>
    <x v="6"/>
    <x v="1"/>
    <n v="61569148.865999997"/>
    <x v="2"/>
  </r>
  <r>
    <x v="22"/>
    <x v="7"/>
    <x v="1"/>
    <n v="58943250.770000003"/>
    <x v="2"/>
  </r>
  <r>
    <x v="22"/>
    <x v="8"/>
    <x v="1"/>
    <n v="72663045.187000006"/>
    <x v="2"/>
  </r>
  <r>
    <x v="22"/>
    <x v="9"/>
    <x v="1"/>
    <n v="74878596.562000006"/>
    <x v="2"/>
  </r>
  <r>
    <x v="22"/>
    <x v="10"/>
    <x v="1"/>
    <n v="56951439.056999996"/>
    <x v="2"/>
  </r>
  <r>
    <x v="22"/>
    <x v="11"/>
    <x v="1"/>
    <n v="77323986.966000095"/>
    <x v="2"/>
  </r>
  <r>
    <x v="22"/>
    <x v="12"/>
    <x v="1"/>
    <n v="107882748.163"/>
    <x v="2"/>
  </r>
  <r>
    <x v="22"/>
    <x v="16"/>
    <x v="1"/>
    <n v="135306618.60100001"/>
    <x v="2"/>
  </r>
  <r>
    <x v="22"/>
    <x v="21"/>
    <x v="1"/>
    <n v="149867199.757"/>
    <x v="2"/>
  </r>
  <r>
    <x v="22"/>
    <x v="0"/>
    <x v="1"/>
    <n v="137733290.785"/>
    <x v="2"/>
  </r>
  <r>
    <x v="22"/>
    <x v="2"/>
    <x v="1"/>
    <n v="122127710.971"/>
    <x v="2"/>
  </r>
  <r>
    <x v="22"/>
    <x v="17"/>
    <x v="1"/>
    <n v="169407021.90900001"/>
    <x v="2"/>
  </r>
  <r>
    <x v="22"/>
    <x v="13"/>
    <x v="1"/>
    <n v="189521110.70100001"/>
    <x v="2"/>
  </r>
  <r>
    <x v="22"/>
    <x v="18"/>
    <x v="1"/>
    <n v="204614567.76199999"/>
    <x v="2"/>
  </r>
  <r>
    <x v="22"/>
    <x v="19"/>
    <x v="1"/>
    <n v="211346417.88499999"/>
    <x v="2"/>
  </r>
  <r>
    <x v="22"/>
    <x v="20"/>
    <x v="1"/>
    <n v="198210052.491"/>
    <x v="2"/>
  </r>
  <r>
    <x v="22"/>
    <x v="14"/>
    <x v="1"/>
    <n v="258655567.067"/>
    <x v="2"/>
  </r>
  <r>
    <x v="22"/>
    <x v="1"/>
    <x v="1"/>
    <n v="300611423.116"/>
    <x v="2"/>
  </r>
  <r>
    <x v="22"/>
    <x v="3"/>
    <x v="1"/>
    <n v="274325607.31199998"/>
    <x v="2"/>
  </r>
  <r>
    <x v="22"/>
    <x v="15"/>
    <x v="1"/>
    <n v="242753890.88499999"/>
    <x v="2"/>
  </r>
  <r>
    <x v="22"/>
    <x v="4"/>
    <x v="1"/>
    <n v="171459631.54300001"/>
    <x v="2"/>
  </r>
  <r>
    <x v="55"/>
    <x v="11"/>
    <x v="1"/>
    <n v="1483329197.9990001"/>
    <x v="2"/>
  </r>
  <r>
    <x v="55"/>
    <x v="12"/>
    <x v="1"/>
    <n v="1613647474.951"/>
    <x v="2"/>
  </r>
  <r>
    <x v="55"/>
    <x v="16"/>
    <x v="1"/>
    <n v="2333346384.2649999"/>
    <x v="2"/>
  </r>
  <r>
    <x v="55"/>
    <x v="21"/>
    <x v="1"/>
    <n v="1818053586.9530001"/>
    <x v="2"/>
  </r>
  <r>
    <x v="55"/>
    <x v="0"/>
    <x v="1"/>
    <n v="1814214189.0109999"/>
    <x v="2"/>
  </r>
  <r>
    <x v="55"/>
    <x v="2"/>
    <x v="1"/>
    <n v="1659450753.076"/>
    <x v="2"/>
  </r>
  <r>
    <x v="55"/>
    <x v="17"/>
    <x v="1"/>
    <n v="1733477694.674"/>
    <x v="2"/>
  </r>
  <r>
    <x v="55"/>
    <x v="13"/>
    <x v="1"/>
    <n v="1827655135.131"/>
    <x v="2"/>
  </r>
  <r>
    <x v="55"/>
    <x v="18"/>
    <x v="1"/>
    <n v="1811037107.3199999"/>
    <x v="2"/>
  </r>
  <r>
    <x v="55"/>
    <x v="19"/>
    <x v="1"/>
    <n v="1744053215.53"/>
    <x v="2"/>
  </r>
  <r>
    <x v="55"/>
    <x v="20"/>
    <x v="1"/>
    <n v="1498152387.9960001"/>
    <x v="2"/>
  </r>
  <r>
    <x v="55"/>
    <x v="14"/>
    <x v="1"/>
    <n v="1690523687.937"/>
    <x v="2"/>
  </r>
  <r>
    <x v="55"/>
    <x v="1"/>
    <x v="1"/>
    <n v="1758165110.1459999"/>
    <x v="2"/>
  </r>
  <r>
    <x v="55"/>
    <x v="3"/>
    <x v="1"/>
    <n v="1500368273.8940001"/>
    <x v="2"/>
  </r>
  <r>
    <x v="55"/>
    <x v="15"/>
    <x v="1"/>
    <n v="1248201630.457"/>
    <x v="2"/>
  </r>
  <r>
    <x v="55"/>
    <x v="4"/>
    <x v="1"/>
    <n v="1347032699.3399999"/>
    <x v="2"/>
  </r>
  <r>
    <x v="77"/>
    <x v="12"/>
    <x v="1"/>
    <n v="2133631.324"/>
    <x v="2"/>
  </r>
  <r>
    <x v="25"/>
    <x v="21"/>
    <x v="1"/>
    <n v="2279784.4449999998"/>
    <x v="2"/>
  </r>
  <r>
    <x v="26"/>
    <x v="5"/>
    <x v="1"/>
    <n v="23463999.120999999"/>
    <x v="2"/>
  </r>
  <r>
    <x v="26"/>
    <x v="22"/>
    <x v="1"/>
    <n v="31858321.594000001"/>
    <x v="2"/>
  </r>
  <r>
    <x v="26"/>
    <x v="6"/>
    <x v="1"/>
    <n v="12290770.551000001"/>
    <x v="2"/>
  </r>
  <r>
    <x v="26"/>
    <x v="7"/>
    <x v="1"/>
    <n v="30281366.778000001"/>
    <x v="2"/>
  </r>
  <r>
    <x v="26"/>
    <x v="8"/>
    <x v="1"/>
    <n v="55136061.748000003"/>
    <x v="2"/>
  </r>
  <r>
    <x v="26"/>
    <x v="9"/>
    <x v="1"/>
    <n v="23022853.846999999"/>
    <x v="2"/>
  </r>
  <r>
    <x v="26"/>
    <x v="10"/>
    <x v="1"/>
    <n v="16687446.659"/>
    <x v="2"/>
  </r>
  <r>
    <x v="26"/>
    <x v="11"/>
    <x v="1"/>
    <n v="24798173.877999999"/>
    <x v="2"/>
  </r>
  <r>
    <x v="26"/>
    <x v="12"/>
    <x v="1"/>
    <n v="37236440.226999998"/>
    <x v="2"/>
  </r>
  <r>
    <x v="26"/>
    <x v="16"/>
    <x v="1"/>
    <n v="31491879.370999999"/>
    <x v="2"/>
  </r>
  <r>
    <x v="26"/>
    <x v="21"/>
    <x v="1"/>
    <n v="38689923.961999997"/>
    <x v="2"/>
  </r>
  <r>
    <x v="26"/>
    <x v="0"/>
    <x v="1"/>
    <n v="30606022.039999999"/>
    <x v="2"/>
  </r>
  <r>
    <x v="26"/>
    <x v="2"/>
    <x v="1"/>
    <n v="18797427.497000001"/>
    <x v="2"/>
  </r>
  <r>
    <x v="26"/>
    <x v="17"/>
    <x v="1"/>
    <n v="18117908.655999999"/>
    <x v="2"/>
  </r>
  <r>
    <x v="26"/>
    <x v="13"/>
    <x v="1"/>
    <n v="24292699.026000001"/>
    <x v="2"/>
  </r>
  <r>
    <x v="26"/>
    <x v="18"/>
    <x v="1"/>
    <n v="10347588.935000001"/>
    <x v="2"/>
  </r>
  <r>
    <x v="26"/>
    <x v="19"/>
    <x v="1"/>
    <n v="26529460.223000001"/>
    <x v="2"/>
  </r>
  <r>
    <x v="26"/>
    <x v="20"/>
    <x v="1"/>
    <n v="13233038.958000001"/>
    <x v="2"/>
  </r>
  <r>
    <x v="26"/>
    <x v="14"/>
    <x v="1"/>
    <n v="28448750.629999999"/>
    <x v="2"/>
  </r>
  <r>
    <x v="26"/>
    <x v="1"/>
    <x v="1"/>
    <n v="25013020.046999998"/>
    <x v="2"/>
  </r>
  <r>
    <x v="26"/>
    <x v="3"/>
    <x v="1"/>
    <n v="37217190.171999998"/>
    <x v="2"/>
  </r>
  <r>
    <x v="57"/>
    <x v="11"/>
    <x v="1"/>
    <n v="5892418.3530000001"/>
    <x v="2"/>
  </r>
  <r>
    <x v="57"/>
    <x v="12"/>
    <x v="1"/>
    <n v="5985513.8969999999"/>
    <x v="2"/>
  </r>
  <r>
    <x v="57"/>
    <x v="16"/>
    <x v="1"/>
    <n v="8003335.9390000002"/>
    <x v="2"/>
  </r>
  <r>
    <x v="57"/>
    <x v="21"/>
    <x v="1"/>
    <n v="8449716.6260000002"/>
    <x v="2"/>
  </r>
  <r>
    <x v="57"/>
    <x v="0"/>
    <x v="1"/>
    <n v="7835658.7110000001"/>
    <x v="2"/>
  </r>
  <r>
    <x v="57"/>
    <x v="2"/>
    <x v="1"/>
    <n v="5210424.9210000001"/>
    <x v="2"/>
  </r>
  <r>
    <x v="57"/>
    <x v="13"/>
    <x v="1"/>
    <n v="7749762.3779999996"/>
    <x v="2"/>
  </r>
  <r>
    <x v="57"/>
    <x v="19"/>
    <x v="1"/>
    <n v="8534429.375"/>
    <x v="2"/>
  </r>
  <r>
    <x v="57"/>
    <x v="20"/>
    <x v="1"/>
    <n v="6209739.7949999999"/>
    <x v="2"/>
  </r>
  <r>
    <x v="57"/>
    <x v="14"/>
    <x v="1"/>
    <n v="10371613.393999999"/>
    <x v="2"/>
  </r>
  <r>
    <x v="57"/>
    <x v="1"/>
    <x v="1"/>
    <n v="10917935.960999999"/>
    <x v="2"/>
  </r>
  <r>
    <x v="57"/>
    <x v="3"/>
    <x v="1"/>
    <n v="7953803.5209999997"/>
    <x v="2"/>
  </r>
  <r>
    <x v="57"/>
    <x v="15"/>
    <x v="1"/>
    <n v="8890206.5209999997"/>
    <x v="2"/>
  </r>
  <r>
    <x v="57"/>
    <x v="4"/>
    <x v="1"/>
    <n v="13381833.327"/>
    <x v="2"/>
  </r>
  <r>
    <x v="58"/>
    <x v="16"/>
    <x v="1"/>
    <n v="40149725"/>
    <x v="2"/>
  </r>
  <r>
    <x v="58"/>
    <x v="0"/>
    <x v="1"/>
    <n v="37583214.850000001"/>
    <x v="2"/>
  </r>
  <r>
    <x v="58"/>
    <x v="17"/>
    <x v="1"/>
    <n v="62517509.917000003"/>
    <x v="2"/>
  </r>
  <r>
    <x v="58"/>
    <x v="13"/>
    <x v="1"/>
    <n v="43979220.605999999"/>
    <x v="2"/>
  </r>
  <r>
    <x v="58"/>
    <x v="19"/>
    <x v="1"/>
    <n v="78612061.849999994"/>
    <x v="2"/>
  </r>
  <r>
    <x v="58"/>
    <x v="20"/>
    <x v="1"/>
    <n v="48855845.667999998"/>
    <x v="2"/>
  </r>
  <r>
    <x v="58"/>
    <x v="14"/>
    <x v="1"/>
    <n v="66359072.923"/>
    <x v="2"/>
  </r>
  <r>
    <x v="58"/>
    <x v="1"/>
    <x v="1"/>
    <n v="111694428.08400001"/>
    <x v="2"/>
  </r>
  <r>
    <x v="58"/>
    <x v="3"/>
    <x v="1"/>
    <n v="143348089.991"/>
    <x v="2"/>
  </r>
  <r>
    <x v="58"/>
    <x v="15"/>
    <x v="1"/>
    <n v="48504283.721000001"/>
    <x v="2"/>
  </r>
  <r>
    <x v="28"/>
    <x v="11"/>
    <x v="1"/>
    <n v="157197317.722"/>
    <x v="2"/>
  </r>
  <r>
    <x v="28"/>
    <x v="12"/>
    <x v="1"/>
    <n v="225420428.64300001"/>
    <x v="2"/>
  </r>
  <r>
    <x v="28"/>
    <x v="16"/>
    <x v="1"/>
    <n v="253751317.382"/>
    <x v="2"/>
  </r>
  <r>
    <x v="28"/>
    <x v="21"/>
    <x v="1"/>
    <n v="240429155.06900001"/>
    <x v="2"/>
  </r>
  <r>
    <x v="28"/>
    <x v="0"/>
    <x v="1"/>
    <n v="211137799.66999999"/>
    <x v="2"/>
  </r>
  <r>
    <x v="28"/>
    <x v="2"/>
    <x v="1"/>
    <n v="136527823.715"/>
    <x v="2"/>
  </r>
  <r>
    <x v="28"/>
    <x v="17"/>
    <x v="1"/>
    <n v="183141483.035"/>
    <x v="2"/>
  </r>
  <r>
    <x v="28"/>
    <x v="13"/>
    <x v="1"/>
    <n v="234623628.98699999"/>
    <x v="2"/>
  </r>
  <r>
    <x v="28"/>
    <x v="18"/>
    <x v="1"/>
    <n v="173759243.05599999"/>
    <x v="2"/>
  </r>
  <r>
    <x v="28"/>
    <x v="19"/>
    <x v="1"/>
    <n v="167746787.308"/>
    <x v="2"/>
  </r>
  <r>
    <x v="28"/>
    <x v="20"/>
    <x v="1"/>
    <n v="149812541.23699999"/>
    <x v="2"/>
  </r>
  <r>
    <x v="28"/>
    <x v="14"/>
    <x v="1"/>
    <n v="150851742.30700001"/>
    <x v="2"/>
  </r>
  <r>
    <x v="28"/>
    <x v="1"/>
    <x v="1"/>
    <n v="166303906.21700001"/>
    <x v="2"/>
  </r>
  <r>
    <x v="28"/>
    <x v="3"/>
    <x v="1"/>
    <n v="161721798.90000001"/>
    <x v="2"/>
  </r>
  <r>
    <x v="28"/>
    <x v="15"/>
    <x v="1"/>
    <n v="143338121.77599999"/>
    <x v="2"/>
  </r>
  <r>
    <x v="28"/>
    <x v="4"/>
    <x v="1"/>
    <n v="131424890.964"/>
    <x v="2"/>
  </r>
  <r>
    <x v="29"/>
    <x v="11"/>
    <x v="1"/>
    <n v="40500038"/>
    <x v="2"/>
  </r>
  <r>
    <x v="29"/>
    <x v="12"/>
    <x v="1"/>
    <n v="62285749"/>
    <x v="2"/>
  </r>
  <r>
    <x v="29"/>
    <x v="16"/>
    <x v="1"/>
    <n v="97097469"/>
    <x v="2"/>
  </r>
  <r>
    <x v="29"/>
    <x v="21"/>
    <x v="1"/>
    <n v="58829048"/>
    <x v="2"/>
  </r>
  <r>
    <x v="29"/>
    <x v="15"/>
    <x v="1"/>
    <n v="8667772"/>
    <x v="2"/>
  </r>
  <r>
    <x v="29"/>
    <x v="4"/>
    <x v="1"/>
    <n v="6664837"/>
    <x v="2"/>
  </r>
  <r>
    <x v="30"/>
    <x v="23"/>
    <x v="1"/>
    <n v="2703678.702"/>
    <x v="2"/>
  </r>
  <r>
    <x v="30"/>
    <x v="24"/>
    <x v="1"/>
    <n v="1573121.4210000001"/>
    <x v="2"/>
  </r>
  <r>
    <x v="30"/>
    <x v="25"/>
    <x v="1"/>
    <n v="8511750.6510000005"/>
    <x v="2"/>
  </r>
  <r>
    <x v="30"/>
    <x v="5"/>
    <x v="1"/>
    <n v="5410689.0489999996"/>
    <x v="2"/>
  </r>
  <r>
    <x v="30"/>
    <x v="22"/>
    <x v="1"/>
    <n v="5795340.5640000002"/>
    <x v="2"/>
  </r>
  <r>
    <x v="30"/>
    <x v="6"/>
    <x v="1"/>
    <n v="9161505.284"/>
    <x v="2"/>
  </r>
  <r>
    <x v="30"/>
    <x v="7"/>
    <x v="1"/>
    <n v="14768596.353"/>
    <x v="2"/>
  </r>
  <r>
    <x v="30"/>
    <x v="8"/>
    <x v="1"/>
    <n v="12673755.444"/>
    <x v="2"/>
  </r>
  <r>
    <x v="30"/>
    <x v="9"/>
    <x v="1"/>
    <n v="18949789.574999999"/>
    <x v="2"/>
  </r>
  <r>
    <x v="30"/>
    <x v="10"/>
    <x v="1"/>
    <n v="20745364.587000001"/>
    <x v="2"/>
  </r>
  <r>
    <x v="30"/>
    <x v="11"/>
    <x v="1"/>
    <n v="102360753.22499999"/>
    <x v="2"/>
  </r>
  <r>
    <x v="30"/>
    <x v="12"/>
    <x v="1"/>
    <n v="332578591.02499998"/>
    <x v="2"/>
  </r>
  <r>
    <x v="30"/>
    <x v="16"/>
    <x v="1"/>
    <n v="729126975.21099997"/>
    <x v="2"/>
  </r>
  <r>
    <x v="30"/>
    <x v="21"/>
    <x v="1"/>
    <n v="760025753.12199998"/>
    <x v="2"/>
  </r>
  <r>
    <x v="30"/>
    <x v="0"/>
    <x v="1"/>
    <n v="676561238.58000004"/>
    <x v="2"/>
  </r>
  <r>
    <x v="30"/>
    <x v="2"/>
    <x v="1"/>
    <n v="761997727.43299997"/>
    <x v="2"/>
  </r>
  <r>
    <x v="30"/>
    <x v="17"/>
    <x v="1"/>
    <n v="196520336.34299999"/>
    <x v="2"/>
  </r>
  <r>
    <x v="30"/>
    <x v="13"/>
    <x v="1"/>
    <n v="141891689.98300001"/>
    <x v="2"/>
  </r>
  <r>
    <x v="30"/>
    <x v="18"/>
    <x v="1"/>
    <n v="157589528.553"/>
    <x v="2"/>
  </r>
  <r>
    <x v="30"/>
    <x v="19"/>
    <x v="1"/>
    <n v="148761606.15099999"/>
    <x v="2"/>
  </r>
  <r>
    <x v="30"/>
    <x v="20"/>
    <x v="1"/>
    <n v="140401604.873"/>
    <x v="2"/>
  </r>
  <r>
    <x v="30"/>
    <x v="14"/>
    <x v="1"/>
    <n v="184203520.21700001"/>
    <x v="2"/>
  </r>
  <r>
    <x v="30"/>
    <x v="1"/>
    <x v="1"/>
    <n v="196959363.493"/>
    <x v="2"/>
  </r>
  <r>
    <x v="30"/>
    <x v="3"/>
    <x v="1"/>
    <n v="152902119.56299999"/>
    <x v="2"/>
  </r>
  <r>
    <x v="30"/>
    <x v="15"/>
    <x v="1"/>
    <n v="158803587.52399999"/>
    <x v="2"/>
  </r>
  <r>
    <x v="30"/>
    <x v="4"/>
    <x v="1"/>
    <n v="90312993.859999999"/>
    <x v="2"/>
  </r>
  <r>
    <x v="78"/>
    <x v="23"/>
    <x v="1"/>
    <n v="63343448.681000099"/>
    <x v="2"/>
  </r>
  <r>
    <x v="78"/>
    <x v="24"/>
    <x v="1"/>
    <n v="114374064.46600001"/>
    <x v="2"/>
  </r>
  <r>
    <x v="78"/>
    <x v="25"/>
    <x v="1"/>
    <n v="84488420.482000098"/>
    <x v="2"/>
  </r>
  <r>
    <x v="78"/>
    <x v="5"/>
    <x v="1"/>
    <s v="NA"/>
    <x v="2"/>
  </r>
  <r>
    <x v="78"/>
    <x v="22"/>
    <x v="1"/>
    <n v="28000819.202"/>
    <x v="2"/>
  </r>
  <r>
    <x v="78"/>
    <x v="6"/>
    <x v="1"/>
    <s v="NA"/>
    <x v="2"/>
  </r>
  <r>
    <x v="78"/>
    <x v="7"/>
    <x v="1"/>
    <s v="NA"/>
    <x v="2"/>
  </r>
  <r>
    <x v="78"/>
    <x v="9"/>
    <x v="1"/>
    <n v="20709002.747000299"/>
    <x v="2"/>
  </r>
  <r>
    <x v="78"/>
    <x v="10"/>
    <x v="1"/>
    <n v="132993116.355"/>
    <x v="2"/>
  </r>
  <r>
    <x v="59"/>
    <x v="24"/>
    <x v="1"/>
    <n v="1724007.149"/>
    <x v="2"/>
  </r>
  <r>
    <x v="59"/>
    <x v="2"/>
    <x v="1"/>
    <n v="6487621.2960000001"/>
    <x v="2"/>
  </r>
  <r>
    <x v="59"/>
    <x v="18"/>
    <x v="1"/>
    <n v="29717380.491999999"/>
    <x v="2"/>
  </r>
  <r>
    <x v="59"/>
    <x v="19"/>
    <x v="1"/>
    <n v="19723198.079"/>
    <x v="2"/>
  </r>
  <r>
    <x v="59"/>
    <x v="20"/>
    <x v="1"/>
    <n v="25745873.462000001"/>
    <x v="2"/>
  </r>
  <r>
    <x v="59"/>
    <x v="14"/>
    <x v="1"/>
    <n v="32315714.734999999"/>
    <x v="2"/>
  </r>
  <r>
    <x v="59"/>
    <x v="1"/>
    <x v="1"/>
    <n v="29087342.688000001"/>
    <x v="2"/>
  </r>
  <r>
    <x v="59"/>
    <x v="3"/>
    <x v="1"/>
    <n v="34507559.681000002"/>
    <x v="2"/>
  </r>
  <r>
    <x v="59"/>
    <x v="15"/>
    <x v="1"/>
    <n v="6924445.8370000003"/>
    <x v="2"/>
  </r>
  <r>
    <x v="59"/>
    <x v="4"/>
    <x v="1"/>
    <n v="2631286.7239999999"/>
    <x v="2"/>
  </r>
  <r>
    <x v="32"/>
    <x v="17"/>
    <x v="1"/>
    <n v="25396710.592999998"/>
    <x v="2"/>
  </r>
  <r>
    <x v="32"/>
    <x v="13"/>
    <x v="1"/>
    <n v="35121312.109999999"/>
    <x v="2"/>
  </r>
  <r>
    <x v="32"/>
    <x v="18"/>
    <x v="1"/>
    <n v="35214824.795000002"/>
    <x v="2"/>
  </r>
  <r>
    <x v="32"/>
    <x v="19"/>
    <x v="1"/>
    <n v="38601470.487999998"/>
    <x v="2"/>
  </r>
  <r>
    <x v="32"/>
    <x v="20"/>
    <x v="1"/>
    <n v="40939683.732000001"/>
    <x v="2"/>
  </r>
  <r>
    <x v="32"/>
    <x v="14"/>
    <x v="1"/>
    <n v="45047098.475000001"/>
    <x v="2"/>
  </r>
  <r>
    <x v="32"/>
    <x v="1"/>
    <x v="1"/>
    <n v="53255123.803999998"/>
    <x v="2"/>
  </r>
  <r>
    <x v="32"/>
    <x v="3"/>
    <x v="1"/>
    <n v="52508174.604000002"/>
    <x v="2"/>
  </r>
  <r>
    <x v="32"/>
    <x v="15"/>
    <x v="1"/>
    <n v="41703292.219999999"/>
    <x v="2"/>
  </r>
  <r>
    <x v="32"/>
    <x v="4"/>
    <x v="1"/>
    <n v="31259847.877"/>
    <x v="2"/>
  </r>
  <r>
    <x v="62"/>
    <x v="18"/>
    <x v="1"/>
    <n v="5491092.8990000002"/>
    <x v="2"/>
  </r>
  <r>
    <x v="62"/>
    <x v="19"/>
    <x v="1"/>
    <n v="5187253.8059999999"/>
    <x v="2"/>
  </r>
  <r>
    <x v="33"/>
    <x v="18"/>
    <x v="1"/>
    <n v="3244244.1839999999"/>
    <x v="2"/>
  </r>
  <r>
    <x v="34"/>
    <x v="11"/>
    <x v="1"/>
    <n v="15950793.699999999"/>
    <x v="2"/>
  </r>
  <r>
    <x v="34"/>
    <x v="12"/>
    <x v="1"/>
    <n v="12423979.09"/>
    <x v="2"/>
  </r>
  <r>
    <x v="34"/>
    <x v="16"/>
    <x v="1"/>
    <n v="17732201.030000001"/>
    <x v="2"/>
  </r>
  <r>
    <x v="34"/>
    <x v="21"/>
    <x v="1"/>
    <n v="27354786.920000002"/>
    <x v="2"/>
  </r>
  <r>
    <x v="34"/>
    <x v="0"/>
    <x v="1"/>
    <n v="24529073.670000002"/>
    <x v="2"/>
  </r>
  <r>
    <x v="34"/>
    <x v="2"/>
    <x v="1"/>
    <n v="20248775.75"/>
    <x v="2"/>
  </r>
  <r>
    <x v="34"/>
    <x v="17"/>
    <x v="1"/>
    <n v="36967399.259999998"/>
    <x v="2"/>
  </r>
  <r>
    <x v="34"/>
    <x v="13"/>
    <x v="1"/>
    <n v="27044949.530000001"/>
    <x v="2"/>
  </r>
  <r>
    <x v="34"/>
    <x v="18"/>
    <x v="1"/>
    <n v="50999369.200000003"/>
    <x v="2"/>
  </r>
  <r>
    <x v="34"/>
    <x v="19"/>
    <x v="1"/>
    <n v="35235320.159999996"/>
    <x v="2"/>
  </r>
  <r>
    <x v="34"/>
    <x v="20"/>
    <x v="1"/>
    <n v="11256440.25"/>
    <x v="2"/>
  </r>
  <r>
    <x v="34"/>
    <x v="15"/>
    <x v="1"/>
    <n v="39350048.553000003"/>
    <x v="2"/>
  </r>
  <r>
    <x v="34"/>
    <x v="4"/>
    <x v="1"/>
    <n v="19864457.504000001"/>
    <x v="2"/>
  </r>
  <r>
    <x v="35"/>
    <x v="11"/>
    <x v="1"/>
    <n v="63575999"/>
    <x v="2"/>
  </r>
  <r>
    <x v="35"/>
    <x v="12"/>
    <x v="1"/>
    <n v="59943374"/>
    <x v="2"/>
  </r>
  <r>
    <x v="35"/>
    <x v="16"/>
    <x v="1"/>
    <n v="79172173"/>
    <x v="2"/>
  </r>
  <r>
    <x v="35"/>
    <x v="21"/>
    <x v="1"/>
    <n v="89897837"/>
    <x v="2"/>
  </r>
  <r>
    <x v="35"/>
    <x v="0"/>
    <x v="1"/>
    <n v="84240594"/>
    <x v="2"/>
  </r>
  <r>
    <x v="35"/>
    <x v="2"/>
    <x v="1"/>
    <n v="171324987.16999999"/>
    <x v="2"/>
  </r>
  <r>
    <x v="35"/>
    <x v="17"/>
    <x v="1"/>
    <n v="179329313"/>
    <x v="2"/>
  </r>
  <r>
    <x v="35"/>
    <x v="13"/>
    <x v="1"/>
    <n v="206890228"/>
    <x v="2"/>
  </r>
  <r>
    <x v="35"/>
    <x v="18"/>
    <x v="1"/>
    <n v="223282220.65000001"/>
    <x v="2"/>
  </r>
  <r>
    <x v="35"/>
    <x v="19"/>
    <x v="1"/>
    <n v="279742026"/>
    <x v="2"/>
  </r>
  <r>
    <x v="35"/>
    <x v="20"/>
    <x v="1"/>
    <n v="249892256"/>
    <x v="2"/>
  </r>
  <r>
    <x v="35"/>
    <x v="14"/>
    <x v="1"/>
    <n v="258052196"/>
    <x v="2"/>
  </r>
  <r>
    <x v="35"/>
    <x v="1"/>
    <x v="1"/>
    <n v="281350159"/>
    <x v="2"/>
  </r>
  <r>
    <x v="35"/>
    <x v="3"/>
    <x v="1"/>
    <n v="271591653"/>
    <x v="2"/>
  </r>
  <r>
    <x v="35"/>
    <x v="15"/>
    <x v="1"/>
    <n v="273942865"/>
    <x v="2"/>
  </r>
  <r>
    <x v="35"/>
    <x v="4"/>
    <x v="1"/>
    <n v="214945737"/>
    <x v="2"/>
  </r>
  <r>
    <x v="79"/>
    <x v="11"/>
    <x v="1"/>
    <n v="3528258.0079999999"/>
    <x v="2"/>
  </r>
  <r>
    <x v="36"/>
    <x v="11"/>
    <x v="1"/>
    <n v="21556506.973999999"/>
    <x v="2"/>
  </r>
  <r>
    <x v="36"/>
    <x v="12"/>
    <x v="1"/>
    <n v="27847590.059999999"/>
    <x v="2"/>
  </r>
  <r>
    <x v="36"/>
    <x v="16"/>
    <x v="1"/>
    <n v="47118223.93"/>
    <x v="2"/>
  </r>
  <r>
    <x v="36"/>
    <x v="21"/>
    <x v="1"/>
    <n v="61654648.748000003"/>
    <x v="2"/>
  </r>
  <r>
    <x v="36"/>
    <x v="0"/>
    <x v="1"/>
    <n v="53261356.397"/>
    <x v="2"/>
  </r>
  <r>
    <x v="36"/>
    <x v="2"/>
    <x v="1"/>
    <n v="48490117.545000002"/>
    <x v="2"/>
  </r>
  <r>
    <x v="36"/>
    <x v="17"/>
    <x v="1"/>
    <n v="66464001.217"/>
    <x v="2"/>
  </r>
  <r>
    <x v="36"/>
    <x v="13"/>
    <x v="1"/>
    <n v="85947341.804000005"/>
    <x v="2"/>
  </r>
  <r>
    <x v="36"/>
    <x v="18"/>
    <x v="1"/>
    <n v="80243063.185000002"/>
    <x v="2"/>
  </r>
  <r>
    <x v="36"/>
    <x v="19"/>
    <x v="1"/>
    <n v="65690984.450999998"/>
    <x v="2"/>
  </r>
  <r>
    <x v="36"/>
    <x v="20"/>
    <x v="1"/>
    <n v="66911644.770000003"/>
    <x v="2"/>
  </r>
  <r>
    <x v="36"/>
    <x v="14"/>
    <x v="1"/>
    <n v="79259805.618000001"/>
    <x v="2"/>
  </r>
  <r>
    <x v="36"/>
    <x v="1"/>
    <x v="1"/>
    <n v="100642856.207"/>
    <x v="2"/>
  </r>
  <r>
    <x v="36"/>
    <x v="3"/>
    <x v="1"/>
    <n v="103047345.178"/>
    <x v="2"/>
  </r>
  <r>
    <x v="36"/>
    <x v="15"/>
    <x v="1"/>
    <n v="122897938.502"/>
    <x v="2"/>
  </r>
  <r>
    <x v="36"/>
    <x v="4"/>
    <x v="1"/>
    <n v="139701618.595"/>
    <x v="2"/>
  </r>
  <r>
    <x v="80"/>
    <x v="21"/>
    <x v="1"/>
    <n v="1324325.3230000001"/>
    <x v="2"/>
  </r>
  <r>
    <x v="37"/>
    <x v="2"/>
    <x v="1"/>
    <n v="127413378"/>
    <x v="2"/>
  </r>
  <r>
    <x v="37"/>
    <x v="17"/>
    <x v="1"/>
    <n v="134796534"/>
    <x v="2"/>
  </r>
  <r>
    <x v="37"/>
    <x v="13"/>
    <x v="1"/>
    <n v="181212507"/>
    <x v="2"/>
  </r>
  <r>
    <x v="37"/>
    <x v="18"/>
    <x v="1"/>
    <n v="201979512"/>
    <x v="2"/>
  </r>
  <r>
    <x v="37"/>
    <x v="19"/>
    <x v="1"/>
    <n v="178316075"/>
    <x v="2"/>
  </r>
  <r>
    <x v="37"/>
    <x v="20"/>
    <x v="1"/>
    <n v="166256064"/>
    <x v="2"/>
  </r>
  <r>
    <x v="37"/>
    <x v="14"/>
    <x v="1"/>
    <n v="181507165"/>
    <x v="2"/>
  </r>
  <r>
    <x v="37"/>
    <x v="1"/>
    <x v="1"/>
    <n v="244806359"/>
    <x v="2"/>
  </r>
  <r>
    <x v="37"/>
    <x v="3"/>
    <x v="1"/>
    <n v="273040468"/>
    <x v="2"/>
  </r>
  <r>
    <x v="37"/>
    <x v="15"/>
    <x v="1"/>
    <n v="128042189"/>
    <x v="2"/>
  </r>
  <r>
    <x v="81"/>
    <x v="21"/>
    <x v="1"/>
    <n v="14775782"/>
    <x v="2"/>
  </r>
  <r>
    <x v="81"/>
    <x v="2"/>
    <x v="1"/>
    <n v="11956498"/>
    <x v="2"/>
  </r>
  <r>
    <x v="81"/>
    <x v="13"/>
    <x v="1"/>
    <n v="14087555.26"/>
    <x v="2"/>
  </r>
  <r>
    <x v="81"/>
    <x v="18"/>
    <x v="1"/>
    <n v="23123630.789999999"/>
    <x v="2"/>
  </r>
  <r>
    <x v="81"/>
    <x v="19"/>
    <x v="1"/>
    <n v="40442416.329999998"/>
    <x v="2"/>
  </r>
  <r>
    <x v="81"/>
    <x v="20"/>
    <x v="1"/>
    <n v="21904667.280000001"/>
    <x v="2"/>
  </r>
  <r>
    <x v="81"/>
    <x v="14"/>
    <x v="1"/>
    <n v="38662416.280000001"/>
    <x v="2"/>
  </r>
  <r>
    <x v="82"/>
    <x v="14"/>
    <x v="1"/>
    <n v="5667496.1279999996"/>
    <x v="2"/>
  </r>
  <r>
    <x v="82"/>
    <x v="1"/>
    <x v="1"/>
    <n v="20235880.820999999"/>
    <x v="2"/>
  </r>
  <r>
    <x v="82"/>
    <x v="3"/>
    <x v="1"/>
    <n v="10068922.682"/>
    <x v="2"/>
  </r>
  <r>
    <x v="82"/>
    <x v="15"/>
    <x v="1"/>
    <n v="13722313.791999999"/>
    <x v="2"/>
  </r>
  <r>
    <x v="82"/>
    <x v="4"/>
    <x v="1"/>
    <n v="4365184.4239999996"/>
    <x v="2"/>
  </r>
  <r>
    <x v="38"/>
    <x v="11"/>
    <x v="1"/>
    <n v="4373454.7450000001"/>
    <x v="2"/>
  </r>
  <r>
    <x v="38"/>
    <x v="12"/>
    <x v="1"/>
    <n v="15676804.232000001"/>
    <x v="2"/>
  </r>
  <r>
    <x v="38"/>
    <x v="16"/>
    <x v="1"/>
    <n v="13126044.720000001"/>
    <x v="2"/>
  </r>
  <r>
    <x v="38"/>
    <x v="21"/>
    <x v="1"/>
    <n v="14166036.106000001"/>
    <x v="2"/>
  </r>
  <r>
    <x v="38"/>
    <x v="0"/>
    <x v="1"/>
    <n v="11628129.852"/>
    <x v="2"/>
  </r>
  <r>
    <x v="38"/>
    <x v="2"/>
    <x v="1"/>
    <n v="6959718.0820000004"/>
    <x v="2"/>
  </r>
  <r>
    <x v="38"/>
    <x v="17"/>
    <x v="1"/>
    <n v="10112777.655999999"/>
    <x v="2"/>
  </r>
  <r>
    <x v="38"/>
    <x v="13"/>
    <x v="1"/>
    <n v="18660705.249000002"/>
    <x v="2"/>
  </r>
  <r>
    <x v="38"/>
    <x v="18"/>
    <x v="1"/>
    <n v="21650248.576000001"/>
    <x v="2"/>
  </r>
  <r>
    <x v="38"/>
    <x v="19"/>
    <x v="1"/>
    <n v="5976301.0049999999"/>
    <x v="2"/>
  </r>
  <r>
    <x v="38"/>
    <x v="1"/>
    <x v="1"/>
    <n v="2616130.1430000002"/>
    <x v="2"/>
  </r>
  <r>
    <x v="39"/>
    <x v="5"/>
    <x v="1"/>
    <n v="164967761.08899999"/>
    <x v="2"/>
  </r>
  <r>
    <x v="39"/>
    <x v="22"/>
    <x v="1"/>
    <n v="221189817.03099999"/>
    <x v="2"/>
  </r>
  <r>
    <x v="39"/>
    <x v="6"/>
    <x v="1"/>
    <n v="210696922.294"/>
    <x v="2"/>
  </r>
  <r>
    <x v="39"/>
    <x v="7"/>
    <x v="1"/>
    <n v="281666568.05599999"/>
    <x v="2"/>
  </r>
  <r>
    <x v="39"/>
    <x v="8"/>
    <x v="1"/>
    <n v="299922714.22399998"/>
    <x v="2"/>
  </r>
  <r>
    <x v="39"/>
    <x v="9"/>
    <x v="1"/>
    <n v="195588746.98899999"/>
    <x v="2"/>
  </r>
  <r>
    <x v="39"/>
    <x v="11"/>
    <x v="1"/>
    <n v="282191094.73799998"/>
    <x v="2"/>
  </r>
  <r>
    <x v="39"/>
    <x v="12"/>
    <x v="1"/>
    <n v="436619872.96600002"/>
    <x v="2"/>
  </r>
  <r>
    <x v="39"/>
    <x v="16"/>
    <x v="1"/>
    <n v="434351368.41000003"/>
    <x v="2"/>
  </r>
  <r>
    <x v="39"/>
    <x v="21"/>
    <x v="1"/>
    <n v="405079300.69"/>
    <x v="2"/>
  </r>
  <r>
    <x v="39"/>
    <x v="0"/>
    <x v="1"/>
    <n v="377894408.30000001"/>
    <x v="2"/>
  </r>
  <r>
    <x v="39"/>
    <x v="2"/>
    <x v="1"/>
    <n v="77003965.761000007"/>
    <x v="2"/>
  </r>
  <r>
    <x v="39"/>
    <x v="17"/>
    <x v="1"/>
    <n v="107091886.941"/>
    <x v="2"/>
  </r>
  <r>
    <x v="39"/>
    <x v="13"/>
    <x v="1"/>
    <n v="158771567.986"/>
    <x v="2"/>
  </r>
  <r>
    <x v="39"/>
    <x v="18"/>
    <x v="1"/>
    <n v="157763907.82100001"/>
    <x v="2"/>
  </r>
  <r>
    <x v="39"/>
    <x v="19"/>
    <x v="1"/>
    <n v="102658176.381"/>
    <x v="2"/>
  </r>
  <r>
    <x v="39"/>
    <x v="20"/>
    <x v="1"/>
    <n v="131918071.22"/>
    <x v="2"/>
  </r>
  <r>
    <x v="39"/>
    <x v="14"/>
    <x v="1"/>
    <n v="123334500.494"/>
    <x v="2"/>
  </r>
  <r>
    <x v="39"/>
    <x v="1"/>
    <x v="1"/>
    <n v="138747048.289"/>
    <x v="2"/>
  </r>
  <r>
    <x v="67"/>
    <x v="12"/>
    <x v="1"/>
    <n v="27251019"/>
    <x v="2"/>
  </r>
  <r>
    <x v="67"/>
    <x v="16"/>
    <x v="1"/>
    <n v="39549251"/>
    <x v="2"/>
  </r>
  <r>
    <x v="67"/>
    <x v="21"/>
    <x v="1"/>
    <n v="16439288.081"/>
    <x v="2"/>
  </r>
  <r>
    <x v="67"/>
    <x v="0"/>
    <x v="1"/>
    <n v="16468049.652000001"/>
    <x v="2"/>
  </r>
  <r>
    <x v="67"/>
    <x v="2"/>
    <x v="1"/>
    <n v="27037007.954999998"/>
    <x v="2"/>
  </r>
  <r>
    <x v="67"/>
    <x v="13"/>
    <x v="1"/>
    <n v="13756064.756999999"/>
    <x v="2"/>
  </r>
  <r>
    <x v="67"/>
    <x v="18"/>
    <x v="1"/>
    <n v="12581224.385"/>
    <x v="2"/>
  </r>
  <r>
    <x v="67"/>
    <x v="19"/>
    <x v="1"/>
    <n v="15178801.127"/>
    <x v="2"/>
  </r>
  <r>
    <x v="67"/>
    <x v="20"/>
    <x v="1"/>
    <n v="15936818.572000001"/>
    <x v="2"/>
  </r>
  <r>
    <x v="67"/>
    <x v="14"/>
    <x v="1"/>
    <n v="14233083.789000001"/>
    <x v="2"/>
  </r>
  <r>
    <x v="67"/>
    <x v="1"/>
    <x v="1"/>
    <n v="16702452.978"/>
    <x v="2"/>
  </r>
  <r>
    <x v="67"/>
    <x v="3"/>
    <x v="1"/>
    <n v="19939134.188000001"/>
    <x v="2"/>
  </r>
  <r>
    <x v="67"/>
    <x v="15"/>
    <x v="1"/>
    <n v="33561478.222999997"/>
    <x v="2"/>
  </r>
  <r>
    <x v="67"/>
    <x v="4"/>
    <x v="1"/>
    <n v="7871222.2510000002"/>
    <x v="2"/>
  </r>
  <r>
    <x v="83"/>
    <x v="3"/>
    <x v="1"/>
    <n v="11274328.822000001"/>
    <x v="2"/>
  </r>
  <r>
    <x v="83"/>
    <x v="4"/>
    <x v="1"/>
    <n v="10310371.566"/>
    <x v="2"/>
  </r>
  <r>
    <x v="41"/>
    <x v="25"/>
    <x v="1"/>
    <n v="267675826.458"/>
    <x v="2"/>
  </r>
  <r>
    <x v="41"/>
    <x v="5"/>
    <x v="1"/>
    <n v="200136298.47099999"/>
    <x v="2"/>
  </r>
  <r>
    <x v="41"/>
    <x v="22"/>
    <x v="1"/>
    <n v="207131281.15799999"/>
    <x v="2"/>
  </r>
  <r>
    <x v="41"/>
    <x v="6"/>
    <x v="1"/>
    <n v="262957792.685"/>
    <x v="2"/>
  </r>
  <r>
    <x v="41"/>
    <x v="7"/>
    <x v="1"/>
    <n v="250753139.398"/>
    <x v="2"/>
  </r>
  <r>
    <x v="41"/>
    <x v="8"/>
    <x v="1"/>
    <n v="349884960.47600001"/>
    <x v="2"/>
  </r>
  <r>
    <x v="41"/>
    <x v="9"/>
    <x v="1"/>
    <n v="368945202.16100001"/>
    <x v="2"/>
  </r>
  <r>
    <x v="41"/>
    <x v="10"/>
    <x v="1"/>
    <n v="306744563.97799999"/>
    <x v="2"/>
  </r>
  <r>
    <x v="41"/>
    <x v="11"/>
    <x v="1"/>
    <n v="318276457.83700001"/>
    <x v="2"/>
  </r>
  <r>
    <x v="41"/>
    <x v="12"/>
    <x v="1"/>
    <n v="456117728.54400003"/>
    <x v="2"/>
  </r>
  <r>
    <x v="41"/>
    <x v="16"/>
    <x v="1"/>
    <n v="504334943.75999999"/>
    <x v="2"/>
  </r>
  <r>
    <x v="41"/>
    <x v="21"/>
    <x v="1"/>
    <n v="517704804.51099998"/>
    <x v="2"/>
  </r>
  <r>
    <x v="41"/>
    <x v="0"/>
    <x v="1"/>
    <n v="459985525.43300003"/>
    <x v="2"/>
  </r>
  <r>
    <x v="41"/>
    <x v="2"/>
    <x v="1"/>
    <n v="388105862.53600001"/>
    <x v="2"/>
  </r>
  <r>
    <x v="41"/>
    <x v="17"/>
    <x v="1"/>
    <n v="481150009.565"/>
    <x v="2"/>
  </r>
  <r>
    <x v="41"/>
    <x v="13"/>
    <x v="1"/>
    <n v="555314726.69500005"/>
    <x v="2"/>
  </r>
  <r>
    <x v="41"/>
    <x v="18"/>
    <x v="1"/>
    <n v="550071381.46300006"/>
    <x v="2"/>
  </r>
  <r>
    <x v="41"/>
    <x v="19"/>
    <x v="1"/>
    <n v="496077314.11199898"/>
    <x v="2"/>
  </r>
  <r>
    <x v="41"/>
    <x v="20"/>
    <x v="1"/>
    <n v="442080176.78899997"/>
    <x v="2"/>
  </r>
  <r>
    <x v="41"/>
    <x v="14"/>
    <x v="1"/>
    <n v="460971656.35900003"/>
    <x v="2"/>
  </r>
  <r>
    <x v="41"/>
    <x v="1"/>
    <x v="1"/>
    <n v="533127248.69300002"/>
    <x v="2"/>
  </r>
  <r>
    <x v="41"/>
    <x v="3"/>
    <x v="1"/>
    <n v="364696420.36699998"/>
    <x v="2"/>
  </r>
  <r>
    <x v="41"/>
    <x v="15"/>
    <x v="1"/>
    <n v="432932797.63499999"/>
    <x v="2"/>
  </r>
  <r>
    <x v="41"/>
    <x v="4"/>
    <x v="1"/>
    <n v="404947923.18800002"/>
    <x v="2"/>
  </r>
  <r>
    <x v="42"/>
    <x v="11"/>
    <x v="1"/>
    <n v="33955547"/>
    <x v="2"/>
  </r>
  <r>
    <x v="42"/>
    <x v="12"/>
    <x v="1"/>
    <n v="434355022"/>
    <x v="2"/>
  </r>
  <r>
    <x v="42"/>
    <x v="16"/>
    <x v="1"/>
    <n v="1650448559"/>
    <x v="2"/>
  </r>
  <r>
    <x v="42"/>
    <x v="21"/>
    <x v="1"/>
    <n v="1630243626"/>
    <x v="2"/>
  </r>
  <r>
    <x v="42"/>
    <x v="0"/>
    <x v="1"/>
    <n v="1132520856.98"/>
    <x v="2"/>
  </r>
  <r>
    <x v="42"/>
    <x v="2"/>
    <x v="1"/>
    <n v="899101482.35000002"/>
    <x v="2"/>
  </r>
  <r>
    <x v="42"/>
    <x v="17"/>
    <x v="1"/>
    <n v="1171143345.2"/>
    <x v="2"/>
  </r>
  <r>
    <x v="42"/>
    <x v="13"/>
    <x v="1"/>
    <n v="1333014398.54"/>
    <x v="2"/>
  </r>
  <r>
    <x v="42"/>
    <x v="18"/>
    <x v="1"/>
    <n v="1350461619.1099999"/>
    <x v="2"/>
  </r>
  <r>
    <x v="42"/>
    <x v="19"/>
    <x v="1"/>
    <n v="1008966581.256"/>
    <x v="2"/>
  </r>
  <r>
    <x v="42"/>
    <x v="20"/>
    <x v="1"/>
    <n v="1301579214.8369999"/>
    <x v="2"/>
  </r>
  <r>
    <x v="42"/>
    <x v="14"/>
    <x v="1"/>
    <n v="1087392199.704"/>
    <x v="2"/>
  </r>
  <r>
    <x v="42"/>
    <x v="1"/>
    <x v="1"/>
    <n v="1303050923.118"/>
    <x v="2"/>
  </r>
  <r>
    <x v="42"/>
    <x v="3"/>
    <x v="1"/>
    <n v="1320725110.2360001"/>
    <x v="2"/>
  </r>
  <r>
    <x v="42"/>
    <x v="15"/>
    <x v="1"/>
    <n v="1353630128.5050001"/>
    <x v="2"/>
  </r>
  <r>
    <x v="42"/>
    <x v="4"/>
    <x v="1"/>
    <n v="253750600.22499999"/>
    <x v="2"/>
  </r>
  <r>
    <x v="84"/>
    <x v="16"/>
    <x v="1"/>
    <n v="1550375.58"/>
    <x v="2"/>
  </r>
  <r>
    <x v="43"/>
    <x v="0"/>
    <x v="1"/>
    <n v="19552254.352000002"/>
    <x v="2"/>
  </r>
  <r>
    <x v="43"/>
    <x v="14"/>
    <x v="1"/>
    <n v="61457321.177000001"/>
    <x v="2"/>
  </r>
  <r>
    <x v="43"/>
    <x v="1"/>
    <x v="1"/>
    <n v="84103628.466999993"/>
    <x v="2"/>
  </r>
  <r>
    <x v="44"/>
    <x v="23"/>
    <x v="1"/>
    <n v="19682772"/>
    <x v="2"/>
  </r>
  <r>
    <x v="44"/>
    <x v="24"/>
    <x v="1"/>
    <n v="2330159"/>
    <x v="2"/>
  </r>
  <r>
    <x v="44"/>
    <x v="25"/>
    <x v="1"/>
    <n v="4708665"/>
    <x v="2"/>
  </r>
  <r>
    <x v="44"/>
    <x v="5"/>
    <x v="1"/>
    <n v="6337931"/>
    <x v="2"/>
  </r>
  <r>
    <x v="44"/>
    <x v="22"/>
    <x v="1"/>
    <n v="13470312"/>
    <x v="2"/>
  </r>
  <r>
    <x v="44"/>
    <x v="6"/>
    <x v="1"/>
    <n v="10511357"/>
    <x v="2"/>
  </r>
  <r>
    <x v="44"/>
    <x v="7"/>
    <x v="1"/>
    <n v="11621499"/>
    <x v="2"/>
  </r>
  <r>
    <x v="44"/>
    <x v="8"/>
    <x v="1"/>
    <n v="16090135"/>
    <x v="2"/>
  </r>
  <r>
    <x v="44"/>
    <x v="9"/>
    <x v="1"/>
    <n v="28147550"/>
    <x v="2"/>
  </r>
  <r>
    <x v="44"/>
    <x v="10"/>
    <x v="1"/>
    <n v="22533732"/>
    <x v="2"/>
  </r>
  <r>
    <x v="44"/>
    <x v="11"/>
    <x v="1"/>
    <n v="12421378"/>
    <x v="2"/>
  </r>
  <r>
    <x v="44"/>
    <x v="12"/>
    <x v="1"/>
    <n v="20380052"/>
    <x v="2"/>
  </r>
  <r>
    <x v="44"/>
    <x v="16"/>
    <x v="1"/>
    <n v="29815031"/>
    <x v="2"/>
  </r>
  <r>
    <x v="44"/>
    <x v="21"/>
    <x v="1"/>
    <n v="39099043"/>
    <x v="2"/>
  </r>
  <r>
    <x v="44"/>
    <x v="0"/>
    <x v="1"/>
    <n v="40869122"/>
    <x v="2"/>
  </r>
  <r>
    <x v="44"/>
    <x v="2"/>
    <x v="1"/>
    <n v="43728379"/>
    <x v="2"/>
  </r>
  <r>
    <x v="44"/>
    <x v="17"/>
    <x v="1"/>
    <n v="40275618"/>
    <x v="2"/>
  </r>
  <r>
    <x v="44"/>
    <x v="13"/>
    <x v="1"/>
    <n v="64818595"/>
    <x v="2"/>
  </r>
  <r>
    <x v="44"/>
    <x v="18"/>
    <x v="1"/>
    <n v="49604039"/>
    <x v="2"/>
  </r>
  <r>
    <x v="44"/>
    <x v="19"/>
    <x v="1"/>
    <n v="41573021"/>
    <x v="2"/>
  </r>
  <r>
    <x v="44"/>
    <x v="20"/>
    <x v="1"/>
    <n v="39311529"/>
    <x v="2"/>
  </r>
  <r>
    <x v="44"/>
    <x v="14"/>
    <x v="1"/>
    <n v="51845470"/>
    <x v="2"/>
  </r>
  <r>
    <x v="44"/>
    <x v="1"/>
    <x v="1"/>
    <n v="70813994"/>
    <x v="2"/>
  </r>
  <r>
    <x v="44"/>
    <x v="3"/>
    <x v="1"/>
    <n v="80205346"/>
    <x v="2"/>
  </r>
  <r>
    <x v="44"/>
    <x v="15"/>
    <x v="1"/>
    <n v="69583181"/>
    <x v="2"/>
  </r>
  <r>
    <x v="44"/>
    <x v="4"/>
    <x v="1"/>
    <n v="68884921"/>
    <x v="2"/>
  </r>
  <r>
    <x v="45"/>
    <x v="11"/>
    <x v="1"/>
    <n v="253440352"/>
    <x v="2"/>
  </r>
  <r>
    <x v="45"/>
    <x v="17"/>
    <x v="1"/>
    <n v="654459927"/>
    <x v="2"/>
  </r>
  <r>
    <x v="45"/>
    <x v="13"/>
    <x v="1"/>
    <n v="687117749"/>
    <x v="2"/>
  </r>
  <r>
    <x v="45"/>
    <x v="18"/>
    <x v="1"/>
    <n v="758063961"/>
    <x v="2"/>
  </r>
  <r>
    <x v="45"/>
    <x v="19"/>
    <x v="1"/>
    <n v="838078438"/>
    <x v="2"/>
  </r>
  <r>
    <x v="45"/>
    <x v="20"/>
    <x v="1"/>
    <n v="613443592"/>
    <x v="2"/>
  </r>
  <r>
    <x v="45"/>
    <x v="14"/>
    <x v="1"/>
    <n v="798663003"/>
    <x v="2"/>
  </r>
  <r>
    <x v="45"/>
    <x v="1"/>
    <x v="1"/>
    <n v="1176898360"/>
    <x v="2"/>
  </r>
  <r>
    <x v="45"/>
    <x v="3"/>
    <x v="1"/>
    <n v="874009584"/>
    <x v="2"/>
  </r>
  <r>
    <x v="45"/>
    <x v="15"/>
    <x v="1"/>
    <n v="908346579"/>
    <x v="2"/>
  </r>
  <r>
    <x v="45"/>
    <x v="4"/>
    <x v="1"/>
    <n v="642958238"/>
    <x v="2"/>
  </r>
  <r>
    <x v="85"/>
    <x v="3"/>
    <x v="1"/>
    <n v="10009061.300000001"/>
    <x v="2"/>
  </r>
  <r>
    <x v="85"/>
    <x v="15"/>
    <x v="1"/>
    <n v="12584400.77"/>
    <x v="2"/>
  </r>
  <r>
    <x v="85"/>
    <x v="4"/>
    <x v="1"/>
    <n v="10506082.189999999"/>
    <x v="2"/>
  </r>
  <r>
    <x v="46"/>
    <x v="18"/>
    <x v="1"/>
    <n v="10987592.078"/>
    <x v="2"/>
  </r>
  <r>
    <x v="46"/>
    <x v="19"/>
    <x v="1"/>
    <n v="26949889.346000001"/>
    <x v="2"/>
  </r>
  <r>
    <x v="47"/>
    <x v="21"/>
    <x v="1"/>
    <n v="21352235.425999999"/>
    <x v="2"/>
  </r>
  <r>
    <x v="47"/>
    <x v="0"/>
    <x v="1"/>
    <n v="30559035.842999998"/>
    <x v="2"/>
  </r>
  <r>
    <x v="47"/>
    <x v="2"/>
    <x v="1"/>
    <n v="29271231.577"/>
    <x v="2"/>
  </r>
  <r>
    <x v="47"/>
    <x v="17"/>
    <x v="1"/>
    <n v="42333255.957999997"/>
    <x v="2"/>
  </r>
  <r>
    <x v="47"/>
    <x v="13"/>
    <x v="1"/>
    <n v="27148016.440000001"/>
    <x v="2"/>
  </r>
  <r>
    <x v="47"/>
    <x v="18"/>
    <x v="1"/>
    <n v="25168616.684"/>
    <x v="2"/>
  </r>
  <r>
    <x v="47"/>
    <x v="19"/>
    <x v="1"/>
    <n v="30114709.028999999"/>
    <x v="2"/>
  </r>
  <r>
    <x v="47"/>
    <x v="20"/>
    <x v="1"/>
    <n v="22967819.745000001"/>
    <x v="2"/>
  </r>
  <r>
    <x v="47"/>
    <x v="14"/>
    <x v="1"/>
    <n v="37808887.109999999"/>
    <x v="2"/>
  </r>
  <r>
    <x v="47"/>
    <x v="1"/>
    <x v="1"/>
    <n v="40519992.281000003"/>
    <x v="2"/>
  </r>
  <r>
    <x v="47"/>
    <x v="3"/>
    <x v="1"/>
    <n v="36640239.550999999"/>
    <x v="2"/>
  </r>
  <r>
    <x v="47"/>
    <x v="15"/>
    <x v="1"/>
    <n v="41625011.002999999"/>
    <x v="2"/>
  </r>
  <r>
    <x v="47"/>
    <x v="4"/>
    <x v="1"/>
    <n v="46936745.795000002"/>
    <x v="2"/>
  </r>
  <r>
    <x v="48"/>
    <x v="2"/>
    <x v="1"/>
    <n v="166666116.03299999"/>
    <x v="2"/>
  </r>
  <r>
    <x v="48"/>
    <x v="17"/>
    <x v="1"/>
    <n v="170157777.36500001"/>
    <x v="2"/>
  </r>
  <r>
    <x v="48"/>
    <x v="13"/>
    <x v="1"/>
    <n v="183267788.05000001"/>
    <x v="2"/>
  </r>
  <r>
    <x v="48"/>
    <x v="18"/>
    <x v="1"/>
    <n v="237942541.44100001"/>
    <x v="2"/>
  </r>
  <r>
    <x v="48"/>
    <x v="19"/>
    <x v="1"/>
    <n v="282187735.287"/>
    <x v="2"/>
  </r>
  <r>
    <x v="48"/>
    <x v="20"/>
    <x v="1"/>
    <n v="276552505.83499998"/>
    <x v="2"/>
  </r>
  <r>
    <x v="48"/>
    <x v="14"/>
    <x v="1"/>
    <n v="302761547.55500001"/>
    <x v="2"/>
  </r>
  <r>
    <x v="48"/>
    <x v="1"/>
    <x v="1"/>
    <n v="385804039.53299999"/>
    <x v="2"/>
  </r>
  <r>
    <x v="48"/>
    <x v="3"/>
    <x v="1"/>
    <n v="328348485.25700003"/>
    <x v="2"/>
  </r>
  <r>
    <x v="69"/>
    <x v="16"/>
    <x v="1"/>
    <n v="2993293.5819999999"/>
    <x v="2"/>
  </r>
  <r>
    <x v="69"/>
    <x v="2"/>
    <x v="1"/>
    <n v="8875272.9539999999"/>
    <x v="2"/>
  </r>
  <r>
    <x v="70"/>
    <x v="11"/>
    <x v="2"/>
    <n v="1.3037877005722101"/>
    <x v="2"/>
  </r>
  <r>
    <x v="70"/>
    <x v="16"/>
    <x v="2"/>
    <n v="1.79354359339183"/>
    <x v="2"/>
  </r>
  <r>
    <x v="70"/>
    <x v="21"/>
    <x v="2"/>
    <n v="2.2618006543844298"/>
    <x v="2"/>
  </r>
  <r>
    <x v="70"/>
    <x v="0"/>
    <x v="2"/>
    <n v="3.2915694320920998"/>
    <x v="2"/>
  </r>
  <r>
    <x v="70"/>
    <x v="2"/>
    <x v="2"/>
    <n v="3.04394152594617"/>
    <x v="2"/>
  </r>
  <r>
    <x v="70"/>
    <x v="17"/>
    <x v="2"/>
    <n v="2.2974425215598102"/>
    <x v="2"/>
  </r>
  <r>
    <x v="0"/>
    <x v="4"/>
    <x v="2"/>
    <n v="9.4554463838452598"/>
    <x v="2"/>
  </r>
  <r>
    <x v="2"/>
    <x v="21"/>
    <x v="2"/>
    <n v="11.233505032051999"/>
    <x v="2"/>
  </r>
  <r>
    <x v="2"/>
    <x v="1"/>
    <x v="2"/>
    <n v="14.7725466852367"/>
    <x v="2"/>
  </r>
  <r>
    <x v="2"/>
    <x v="3"/>
    <x v="2"/>
    <n v="13.2897725533195"/>
    <x v="2"/>
  </r>
  <r>
    <x v="2"/>
    <x v="15"/>
    <x v="2"/>
    <n v="5.4797187490383399"/>
    <x v="2"/>
  </r>
  <r>
    <x v="2"/>
    <x v="4"/>
    <x v="2"/>
    <n v="13.809232691911699"/>
    <x v="2"/>
  </r>
  <r>
    <x v="71"/>
    <x v="17"/>
    <x v="2"/>
    <n v="0.666968044371827"/>
    <x v="2"/>
  </r>
  <r>
    <x v="3"/>
    <x v="5"/>
    <x v="2"/>
    <n v="0.77635433314671898"/>
    <x v="2"/>
  </r>
  <r>
    <x v="3"/>
    <x v="2"/>
    <x v="2"/>
    <n v="1.2936074100663"/>
    <x v="2"/>
  </r>
  <r>
    <x v="3"/>
    <x v="17"/>
    <x v="2"/>
    <n v="1.6195737994739201"/>
    <x v="2"/>
  </r>
  <r>
    <x v="3"/>
    <x v="13"/>
    <x v="2"/>
    <n v="2.2767967699816398"/>
    <x v="2"/>
  </r>
  <r>
    <x v="51"/>
    <x v="12"/>
    <x v="2"/>
    <n v="1.2104245535587801"/>
    <x v="2"/>
  </r>
  <r>
    <x v="51"/>
    <x v="16"/>
    <x v="2"/>
    <n v="1.2530338463176001"/>
    <x v="2"/>
  </r>
  <r>
    <x v="51"/>
    <x v="21"/>
    <x v="2"/>
    <n v="0.97293294775991102"/>
    <x v="2"/>
  </r>
  <r>
    <x v="51"/>
    <x v="1"/>
    <x v="2"/>
    <n v="0.98497587896784999"/>
    <x v="2"/>
  </r>
  <r>
    <x v="51"/>
    <x v="3"/>
    <x v="2"/>
    <n v="1.1671889087387901"/>
    <x v="2"/>
  </r>
  <r>
    <x v="4"/>
    <x v="11"/>
    <x v="2"/>
    <n v="5.0641081065187796"/>
    <x v="2"/>
  </r>
  <r>
    <x v="4"/>
    <x v="12"/>
    <x v="2"/>
    <n v="5.4760776545030598"/>
    <x v="2"/>
  </r>
  <r>
    <x v="4"/>
    <x v="16"/>
    <x v="2"/>
    <n v="5.3908786380800402"/>
    <x v="2"/>
  </r>
  <r>
    <x v="4"/>
    <x v="21"/>
    <x v="2"/>
    <n v="6.5699264093814502"/>
    <x v="2"/>
  </r>
  <r>
    <x v="4"/>
    <x v="0"/>
    <x v="2"/>
    <n v="6.4258800288499396"/>
    <x v="2"/>
  </r>
  <r>
    <x v="4"/>
    <x v="2"/>
    <x v="2"/>
    <n v="7.3597165438260896"/>
    <x v="2"/>
  </r>
  <r>
    <x v="4"/>
    <x v="17"/>
    <x v="2"/>
    <n v="6.7427552686009298"/>
    <x v="2"/>
  </r>
  <r>
    <x v="4"/>
    <x v="13"/>
    <x v="2"/>
    <n v="6.8124276741889798"/>
    <x v="2"/>
  </r>
  <r>
    <x v="4"/>
    <x v="18"/>
    <x v="2"/>
    <n v="6.9617726850849699"/>
    <x v="2"/>
  </r>
  <r>
    <x v="4"/>
    <x v="19"/>
    <x v="2"/>
    <n v="7.6133125611263104"/>
    <x v="2"/>
  </r>
  <r>
    <x v="4"/>
    <x v="20"/>
    <x v="2"/>
    <n v="7.1882394535884"/>
    <x v="2"/>
  </r>
  <r>
    <x v="4"/>
    <x v="14"/>
    <x v="2"/>
    <n v="7.5529013191537304"/>
    <x v="2"/>
  </r>
  <r>
    <x v="4"/>
    <x v="1"/>
    <x v="2"/>
    <n v="8.9617554930873204"/>
    <x v="2"/>
  </r>
  <r>
    <x v="4"/>
    <x v="3"/>
    <x v="2"/>
    <n v="10.3521490295125"/>
    <x v="2"/>
  </r>
  <r>
    <x v="4"/>
    <x v="15"/>
    <x v="2"/>
    <n v="8.9305626883420004"/>
    <x v="2"/>
  </r>
  <r>
    <x v="4"/>
    <x v="4"/>
    <x v="2"/>
    <n v="7.91072876980272"/>
    <x v="2"/>
  </r>
  <r>
    <x v="72"/>
    <x v="4"/>
    <x v="2"/>
    <n v="6.6970453794237796"/>
    <x v="2"/>
  </r>
  <r>
    <x v="5"/>
    <x v="11"/>
    <x v="2"/>
    <n v="1.3468666627568"/>
    <x v="2"/>
  </r>
  <r>
    <x v="5"/>
    <x v="12"/>
    <x v="2"/>
    <n v="1.76205691439084"/>
    <x v="2"/>
  </r>
  <r>
    <x v="5"/>
    <x v="16"/>
    <x v="2"/>
    <n v="2.2224768238166002"/>
    <x v="2"/>
  </r>
  <r>
    <x v="5"/>
    <x v="2"/>
    <x v="2"/>
    <n v="10.6001890471524"/>
    <x v="2"/>
  </r>
  <r>
    <x v="5"/>
    <x v="17"/>
    <x v="2"/>
    <n v="2.1198397110481602"/>
    <x v="2"/>
  </r>
  <r>
    <x v="5"/>
    <x v="13"/>
    <x v="2"/>
    <n v="2.4886187062049099"/>
    <x v="2"/>
  </r>
  <r>
    <x v="5"/>
    <x v="18"/>
    <x v="2"/>
    <n v="1.9388987281830501"/>
    <x v="2"/>
  </r>
  <r>
    <x v="5"/>
    <x v="19"/>
    <x v="2"/>
    <n v="1.7795070992136801"/>
    <x v="2"/>
  </r>
  <r>
    <x v="5"/>
    <x v="20"/>
    <x v="2"/>
    <n v="2.2085006135153602"/>
    <x v="2"/>
  </r>
  <r>
    <x v="5"/>
    <x v="14"/>
    <x v="2"/>
    <n v="3.9869780470461702"/>
    <x v="2"/>
  </r>
  <r>
    <x v="5"/>
    <x v="1"/>
    <x v="2"/>
    <n v="22.451931337905901"/>
    <x v="2"/>
  </r>
  <r>
    <x v="5"/>
    <x v="3"/>
    <x v="2"/>
    <n v="4.1657505785721902"/>
    <x v="2"/>
  </r>
  <r>
    <x v="5"/>
    <x v="15"/>
    <x v="2"/>
    <n v="1.93027086879018"/>
    <x v="2"/>
  </r>
  <r>
    <x v="5"/>
    <x v="4"/>
    <x v="2"/>
    <n v="24.264152904307199"/>
    <x v="2"/>
  </r>
  <r>
    <x v="6"/>
    <x v="11"/>
    <x v="2"/>
    <n v="2.3729835375054802"/>
    <x v="2"/>
  </r>
  <r>
    <x v="6"/>
    <x v="0"/>
    <x v="2"/>
    <n v="2.3462409949721401"/>
    <x v="2"/>
  </r>
  <r>
    <x v="6"/>
    <x v="17"/>
    <x v="2"/>
    <n v="2.11374643804271"/>
    <x v="2"/>
  </r>
  <r>
    <x v="6"/>
    <x v="13"/>
    <x v="2"/>
    <n v="2.6193184203521498"/>
    <x v="2"/>
  </r>
  <r>
    <x v="6"/>
    <x v="18"/>
    <x v="2"/>
    <n v="1.83207073431446"/>
    <x v="2"/>
  </r>
  <r>
    <x v="6"/>
    <x v="19"/>
    <x v="2"/>
    <n v="1.86949640083482"/>
    <x v="2"/>
  </r>
  <r>
    <x v="6"/>
    <x v="20"/>
    <x v="2"/>
    <n v="1.91525094612338"/>
    <x v="2"/>
  </r>
  <r>
    <x v="6"/>
    <x v="14"/>
    <x v="2"/>
    <n v="1.8033390010311099"/>
    <x v="2"/>
  </r>
  <r>
    <x v="6"/>
    <x v="1"/>
    <x v="2"/>
    <n v="2.2578591646764901"/>
    <x v="2"/>
  </r>
  <r>
    <x v="6"/>
    <x v="3"/>
    <x v="2"/>
    <n v="2.1504833917623398"/>
    <x v="2"/>
  </r>
  <r>
    <x v="6"/>
    <x v="15"/>
    <x v="2"/>
    <n v="1.93497845737769"/>
    <x v="2"/>
  </r>
  <r>
    <x v="6"/>
    <x v="4"/>
    <x v="2"/>
    <n v="1.99112617990666"/>
    <x v="2"/>
  </r>
  <r>
    <x v="73"/>
    <x v="18"/>
    <x v="2"/>
    <n v="2.1535576086833301"/>
    <x v="2"/>
  </r>
  <r>
    <x v="73"/>
    <x v="20"/>
    <x v="2"/>
    <n v="3.1227084725691499"/>
    <x v="2"/>
  </r>
  <r>
    <x v="7"/>
    <x v="2"/>
    <x v="2"/>
    <n v="0.26610387589906298"/>
    <x v="2"/>
  </r>
  <r>
    <x v="7"/>
    <x v="4"/>
    <x v="2"/>
    <n v="8.7990415818301493"/>
    <x v="2"/>
  </r>
  <r>
    <x v="9"/>
    <x v="9"/>
    <x v="2"/>
    <n v="1.5735755566546099"/>
    <x v="2"/>
  </r>
  <r>
    <x v="9"/>
    <x v="10"/>
    <x v="2"/>
    <n v="1.07134499295431"/>
    <x v="2"/>
  </r>
  <r>
    <x v="9"/>
    <x v="11"/>
    <x v="2"/>
    <n v="0.36279281778531602"/>
    <x v="2"/>
  </r>
  <r>
    <x v="9"/>
    <x v="12"/>
    <x v="2"/>
    <n v="0.43148034160937798"/>
    <x v="2"/>
  </r>
  <r>
    <x v="9"/>
    <x v="16"/>
    <x v="2"/>
    <n v="0.438640912082082"/>
    <x v="2"/>
  </r>
  <r>
    <x v="9"/>
    <x v="21"/>
    <x v="2"/>
    <n v="0.51958168067377097"/>
    <x v="2"/>
  </r>
  <r>
    <x v="9"/>
    <x v="0"/>
    <x v="2"/>
    <n v="0.44153191055306801"/>
    <x v="2"/>
  </r>
  <r>
    <x v="9"/>
    <x v="2"/>
    <x v="2"/>
    <n v="0.43078829573108901"/>
    <x v="2"/>
  </r>
  <r>
    <x v="9"/>
    <x v="17"/>
    <x v="2"/>
    <n v="0.58131181894355699"/>
    <x v="2"/>
  </r>
  <r>
    <x v="9"/>
    <x v="13"/>
    <x v="2"/>
    <n v="0.57526191142671501"/>
    <x v="2"/>
  </r>
  <r>
    <x v="9"/>
    <x v="18"/>
    <x v="2"/>
    <n v="0.42375979348165599"/>
    <x v="2"/>
  </r>
  <r>
    <x v="9"/>
    <x v="19"/>
    <x v="2"/>
    <n v="0.69223447502027202"/>
    <x v="2"/>
  </r>
  <r>
    <x v="74"/>
    <x v="2"/>
    <x v="2"/>
    <n v="1.0462857810636299"/>
    <x v="2"/>
  </r>
  <r>
    <x v="52"/>
    <x v="4"/>
    <x v="2"/>
    <n v="11.8519792994867"/>
    <x v="2"/>
  </r>
  <r>
    <x v="10"/>
    <x v="11"/>
    <x v="2"/>
    <n v="1.4353495826529501"/>
    <x v="2"/>
  </r>
  <r>
    <x v="10"/>
    <x v="12"/>
    <x v="2"/>
    <n v="1.6894019717236"/>
    <x v="2"/>
  </r>
  <r>
    <x v="10"/>
    <x v="16"/>
    <x v="2"/>
    <n v="2.0524109063839999"/>
    <x v="2"/>
  </r>
  <r>
    <x v="10"/>
    <x v="21"/>
    <x v="2"/>
    <n v="1.94787465127059"/>
    <x v="2"/>
  </r>
  <r>
    <x v="10"/>
    <x v="0"/>
    <x v="2"/>
    <n v="1.57435775925058"/>
    <x v="2"/>
  </r>
  <r>
    <x v="10"/>
    <x v="2"/>
    <x v="2"/>
    <n v="1.29041942924335"/>
    <x v="2"/>
  </r>
  <r>
    <x v="10"/>
    <x v="17"/>
    <x v="2"/>
    <n v="1.40159268897542"/>
    <x v="2"/>
  </r>
  <r>
    <x v="10"/>
    <x v="13"/>
    <x v="2"/>
    <n v="1.57024536925725"/>
    <x v="2"/>
  </r>
  <r>
    <x v="10"/>
    <x v="18"/>
    <x v="2"/>
    <n v="1.62732043426836"/>
    <x v="2"/>
  </r>
  <r>
    <x v="10"/>
    <x v="19"/>
    <x v="2"/>
    <n v="0.61954719939175196"/>
    <x v="2"/>
  </r>
  <r>
    <x v="10"/>
    <x v="20"/>
    <x v="2"/>
    <n v="1.4865768837484701"/>
    <x v="2"/>
  </r>
  <r>
    <x v="10"/>
    <x v="14"/>
    <x v="2"/>
    <n v="1.6007068195615901"/>
    <x v="2"/>
  </r>
  <r>
    <x v="10"/>
    <x v="1"/>
    <x v="2"/>
    <n v="1.8103064918429601"/>
    <x v="2"/>
  </r>
  <r>
    <x v="10"/>
    <x v="15"/>
    <x v="2"/>
    <n v="1.6292235783957301"/>
    <x v="2"/>
  </r>
  <r>
    <x v="11"/>
    <x v="22"/>
    <x v="2"/>
    <n v="1.34505464666768"/>
    <x v="2"/>
  </r>
  <r>
    <x v="11"/>
    <x v="6"/>
    <x v="2"/>
    <n v="1.3870719487793099"/>
    <x v="2"/>
  </r>
  <r>
    <x v="11"/>
    <x v="7"/>
    <x v="2"/>
    <n v="1.7730611244079999"/>
    <x v="2"/>
  </r>
  <r>
    <x v="11"/>
    <x v="8"/>
    <x v="2"/>
    <n v="1.8470340632554101"/>
    <x v="2"/>
  </r>
  <r>
    <x v="11"/>
    <x v="9"/>
    <x v="2"/>
    <n v="2.1167925758697299"/>
    <x v="2"/>
  </r>
  <r>
    <x v="11"/>
    <x v="10"/>
    <x v="2"/>
    <n v="1.87605415351719"/>
    <x v="2"/>
  </r>
  <r>
    <x v="11"/>
    <x v="11"/>
    <x v="2"/>
    <n v="1.6001029149675099"/>
    <x v="2"/>
  </r>
  <r>
    <x v="11"/>
    <x v="12"/>
    <x v="2"/>
    <n v="1.97604069557148"/>
    <x v="2"/>
  </r>
  <r>
    <x v="11"/>
    <x v="16"/>
    <x v="2"/>
    <n v="2.4959312962473899"/>
    <x v="2"/>
  </r>
  <r>
    <x v="11"/>
    <x v="21"/>
    <x v="2"/>
    <n v="2.5391535900769999"/>
    <x v="2"/>
  </r>
  <r>
    <x v="11"/>
    <x v="0"/>
    <x v="2"/>
    <n v="2.1477533099945698"/>
    <x v="2"/>
  </r>
  <r>
    <x v="11"/>
    <x v="2"/>
    <x v="2"/>
    <n v="1.2348808399250899"/>
    <x v="2"/>
  </r>
  <r>
    <x v="11"/>
    <x v="17"/>
    <x v="2"/>
    <n v="1.65126420936561"/>
    <x v="2"/>
  </r>
  <r>
    <x v="11"/>
    <x v="13"/>
    <x v="2"/>
    <n v="1.9888308961352901"/>
    <x v="2"/>
  </r>
  <r>
    <x v="11"/>
    <x v="18"/>
    <x v="2"/>
    <n v="1.7039036489516"/>
    <x v="2"/>
  </r>
  <r>
    <x v="11"/>
    <x v="19"/>
    <x v="2"/>
    <n v="1.46140008660455"/>
    <x v="2"/>
  </r>
  <r>
    <x v="11"/>
    <x v="20"/>
    <x v="2"/>
    <n v="1.8243686723510899"/>
    <x v="2"/>
  </r>
  <r>
    <x v="11"/>
    <x v="14"/>
    <x v="2"/>
    <n v="1.80326968415252"/>
    <x v="2"/>
  </r>
  <r>
    <x v="11"/>
    <x v="1"/>
    <x v="2"/>
    <n v="1.84708989726085"/>
    <x v="2"/>
  </r>
  <r>
    <x v="11"/>
    <x v="3"/>
    <x v="2"/>
    <n v="1.84415771040631"/>
    <x v="2"/>
  </r>
  <r>
    <x v="11"/>
    <x v="15"/>
    <x v="2"/>
    <n v="1.4349690472532599"/>
    <x v="2"/>
  </r>
  <r>
    <x v="11"/>
    <x v="4"/>
    <x v="2"/>
    <n v="1.8283938856269399"/>
    <x v="2"/>
  </r>
  <r>
    <x v="13"/>
    <x v="0"/>
    <x v="2"/>
    <n v="1.79163551591401"/>
    <x v="2"/>
  </r>
  <r>
    <x v="13"/>
    <x v="2"/>
    <x v="2"/>
    <n v="1.2635414386356101"/>
    <x v="2"/>
  </r>
  <r>
    <x v="13"/>
    <x v="17"/>
    <x v="2"/>
    <n v="2.3618974868090699"/>
    <x v="2"/>
  </r>
  <r>
    <x v="13"/>
    <x v="13"/>
    <x v="2"/>
    <n v="2.45177799320845"/>
    <x v="2"/>
  </r>
  <r>
    <x v="13"/>
    <x v="20"/>
    <x v="2"/>
    <n v="3.4251268464132401"/>
    <x v="2"/>
  </r>
  <r>
    <x v="13"/>
    <x v="1"/>
    <x v="2"/>
    <n v="2.7329204999024901"/>
    <x v="2"/>
  </r>
  <r>
    <x v="13"/>
    <x v="3"/>
    <x v="2"/>
    <n v="3.2746766906203999"/>
    <x v="2"/>
  </r>
  <r>
    <x v="14"/>
    <x v="23"/>
    <x v="2"/>
    <n v="2.5249757758123899"/>
    <x v="2"/>
  </r>
  <r>
    <x v="14"/>
    <x v="24"/>
    <x v="2"/>
    <n v="2.56507109572064"/>
    <x v="2"/>
  </r>
  <r>
    <x v="14"/>
    <x v="25"/>
    <x v="2"/>
    <n v="2.7735479773916101"/>
    <x v="2"/>
  </r>
  <r>
    <x v="14"/>
    <x v="5"/>
    <x v="2"/>
    <n v="2.94433155546287"/>
    <x v="2"/>
  </r>
  <r>
    <x v="14"/>
    <x v="22"/>
    <x v="2"/>
    <n v="3.7237789562272501"/>
    <x v="2"/>
  </r>
  <r>
    <x v="14"/>
    <x v="6"/>
    <x v="2"/>
    <n v="3.56946681661351"/>
    <x v="2"/>
  </r>
  <r>
    <x v="14"/>
    <x v="7"/>
    <x v="2"/>
    <n v="3.5234082929261201"/>
    <x v="2"/>
  </r>
  <r>
    <x v="14"/>
    <x v="8"/>
    <x v="2"/>
    <n v="4.5353289764050997"/>
    <x v="2"/>
  </r>
  <r>
    <x v="14"/>
    <x v="9"/>
    <x v="2"/>
    <n v="4.89020366163916"/>
    <x v="2"/>
  </r>
  <r>
    <x v="14"/>
    <x v="10"/>
    <x v="2"/>
    <n v="4.64965198141011"/>
    <x v="2"/>
  </r>
  <r>
    <x v="14"/>
    <x v="11"/>
    <x v="2"/>
    <n v="5.2064770024145304"/>
    <x v="2"/>
  </r>
  <r>
    <x v="14"/>
    <x v="12"/>
    <x v="2"/>
    <n v="5.1182517174667703"/>
    <x v="2"/>
  </r>
  <r>
    <x v="14"/>
    <x v="16"/>
    <x v="2"/>
    <n v="5.3775749059071503"/>
    <x v="2"/>
  </r>
  <r>
    <x v="14"/>
    <x v="21"/>
    <x v="2"/>
    <n v="6.5263801574740601"/>
    <x v="2"/>
  </r>
  <r>
    <x v="14"/>
    <x v="0"/>
    <x v="2"/>
    <n v="6.4186786454792504"/>
    <x v="2"/>
  </r>
  <r>
    <x v="14"/>
    <x v="2"/>
    <x v="2"/>
    <n v="6.24471684073725"/>
    <x v="2"/>
  </r>
  <r>
    <x v="14"/>
    <x v="17"/>
    <x v="2"/>
    <n v="6.9178692655754999"/>
    <x v="2"/>
  </r>
  <r>
    <x v="14"/>
    <x v="13"/>
    <x v="2"/>
    <n v="6.9879957634363699"/>
    <x v="2"/>
  </r>
  <r>
    <x v="14"/>
    <x v="18"/>
    <x v="2"/>
    <n v="8.3249639654463792"/>
    <x v="2"/>
  </r>
  <r>
    <x v="14"/>
    <x v="19"/>
    <x v="2"/>
    <n v="7.48090494493111"/>
    <x v="2"/>
  </r>
  <r>
    <x v="14"/>
    <x v="20"/>
    <x v="2"/>
    <n v="7.21169425348846"/>
    <x v="2"/>
  </r>
  <r>
    <x v="14"/>
    <x v="14"/>
    <x v="2"/>
    <n v="8.1722805654302793"/>
    <x v="2"/>
  </r>
  <r>
    <x v="14"/>
    <x v="1"/>
    <x v="2"/>
    <n v="9.2979290107484101"/>
    <x v="2"/>
  </r>
  <r>
    <x v="14"/>
    <x v="3"/>
    <x v="2"/>
    <n v="8.5400771475990602"/>
    <x v="2"/>
  </r>
  <r>
    <x v="14"/>
    <x v="15"/>
    <x v="2"/>
    <n v="8.6341467862194694"/>
    <x v="2"/>
  </r>
  <r>
    <x v="15"/>
    <x v="2"/>
    <x v="2"/>
    <n v="9.3329935914110909"/>
    <x v="2"/>
  </r>
  <r>
    <x v="15"/>
    <x v="13"/>
    <x v="2"/>
    <n v="7.8852699114162803"/>
    <x v="2"/>
  </r>
  <r>
    <x v="15"/>
    <x v="18"/>
    <x v="2"/>
    <n v="9.08740687485564"/>
    <x v="2"/>
  </r>
  <r>
    <x v="15"/>
    <x v="19"/>
    <x v="2"/>
    <n v="10.699275393177301"/>
    <x v="2"/>
  </r>
  <r>
    <x v="15"/>
    <x v="20"/>
    <x v="2"/>
    <n v="7.5119675836172499"/>
    <x v="2"/>
  </r>
  <r>
    <x v="15"/>
    <x v="14"/>
    <x v="2"/>
    <n v="10.1801664366544"/>
    <x v="2"/>
  </r>
  <r>
    <x v="15"/>
    <x v="1"/>
    <x v="2"/>
    <n v="13.945009331342501"/>
    <x v="2"/>
  </r>
  <r>
    <x v="15"/>
    <x v="3"/>
    <x v="2"/>
    <n v="13.1687730678052"/>
    <x v="2"/>
  </r>
  <r>
    <x v="15"/>
    <x v="15"/>
    <x v="2"/>
    <n v="11.768804770582999"/>
    <x v="2"/>
  </r>
  <r>
    <x v="15"/>
    <x v="4"/>
    <x v="2"/>
    <n v="12.493820472584799"/>
    <x v="2"/>
  </r>
  <r>
    <x v="16"/>
    <x v="12"/>
    <x v="2"/>
    <n v="0.81912675392443701"/>
    <x v="2"/>
  </r>
  <r>
    <x v="16"/>
    <x v="21"/>
    <x v="2"/>
    <n v="1.2217444253685299"/>
    <x v="2"/>
  </r>
  <r>
    <x v="16"/>
    <x v="0"/>
    <x v="2"/>
    <n v="0.98284243622095102"/>
    <x v="2"/>
  </r>
  <r>
    <x v="16"/>
    <x v="2"/>
    <x v="2"/>
    <n v="0.63771568891083297"/>
    <x v="2"/>
  </r>
  <r>
    <x v="16"/>
    <x v="17"/>
    <x v="2"/>
    <n v="0.87461669955726995"/>
    <x v="2"/>
  </r>
  <r>
    <x v="16"/>
    <x v="20"/>
    <x v="2"/>
    <n v="1.4038314402421099"/>
    <x v="2"/>
  </r>
  <r>
    <x v="16"/>
    <x v="14"/>
    <x v="2"/>
    <n v="1.37488696749359"/>
    <x v="2"/>
  </r>
  <r>
    <x v="16"/>
    <x v="1"/>
    <x v="2"/>
    <n v="1.5299115947918001"/>
    <x v="2"/>
  </r>
  <r>
    <x v="16"/>
    <x v="3"/>
    <x v="2"/>
    <n v="1.72590170001462"/>
    <x v="2"/>
  </r>
  <r>
    <x v="18"/>
    <x v="11"/>
    <x v="2"/>
    <n v="3.8153052804537699"/>
    <x v="2"/>
  </r>
  <r>
    <x v="18"/>
    <x v="12"/>
    <x v="2"/>
    <n v="1.52277970882291"/>
    <x v="2"/>
  </r>
  <r>
    <x v="18"/>
    <x v="16"/>
    <x v="2"/>
    <n v="2.743472048359"/>
    <x v="2"/>
  </r>
  <r>
    <x v="18"/>
    <x v="13"/>
    <x v="2"/>
    <n v="2.2878542058262101"/>
    <x v="2"/>
  </r>
  <r>
    <x v="18"/>
    <x v="19"/>
    <x v="2"/>
    <n v="1.78009224605905"/>
    <x v="2"/>
  </r>
  <r>
    <x v="18"/>
    <x v="20"/>
    <x v="2"/>
    <n v="2.2064411475978898"/>
    <x v="2"/>
  </r>
  <r>
    <x v="18"/>
    <x v="14"/>
    <x v="2"/>
    <n v="2.0608569273828401"/>
    <x v="2"/>
  </r>
  <r>
    <x v="18"/>
    <x v="1"/>
    <x v="2"/>
    <n v="2.4198297883495901"/>
    <x v="2"/>
  </r>
  <r>
    <x v="18"/>
    <x v="3"/>
    <x v="2"/>
    <n v="2.2502650746675701"/>
    <x v="2"/>
  </r>
  <r>
    <x v="18"/>
    <x v="15"/>
    <x v="2"/>
    <n v="2.2371714012574802"/>
    <x v="2"/>
  </r>
  <r>
    <x v="18"/>
    <x v="4"/>
    <x v="2"/>
    <n v="2.1995992435482301"/>
    <x v="2"/>
  </r>
  <r>
    <x v="21"/>
    <x v="21"/>
    <x v="2"/>
    <n v="2.9856201205233699"/>
    <x v="2"/>
  </r>
  <r>
    <x v="21"/>
    <x v="0"/>
    <x v="2"/>
    <n v="1.73920781226645"/>
    <x v="2"/>
  </r>
  <r>
    <x v="21"/>
    <x v="2"/>
    <x v="2"/>
    <n v="1.6152642995890001"/>
    <x v="2"/>
  </r>
  <r>
    <x v="21"/>
    <x v="17"/>
    <x v="2"/>
    <n v="1.73141634959626"/>
    <x v="2"/>
  </r>
  <r>
    <x v="21"/>
    <x v="13"/>
    <x v="2"/>
    <n v="1.6733093905465699"/>
    <x v="2"/>
  </r>
  <r>
    <x v="21"/>
    <x v="18"/>
    <x v="2"/>
    <n v="1.8494636017727399"/>
    <x v="2"/>
  </r>
  <r>
    <x v="21"/>
    <x v="19"/>
    <x v="2"/>
    <n v="1.69320167602629"/>
    <x v="2"/>
  </r>
  <r>
    <x v="21"/>
    <x v="20"/>
    <x v="2"/>
    <n v="1.5139891468883999"/>
    <x v="2"/>
  </r>
  <r>
    <x v="21"/>
    <x v="14"/>
    <x v="2"/>
    <n v="1.6145003886393201"/>
    <x v="2"/>
  </r>
  <r>
    <x v="21"/>
    <x v="1"/>
    <x v="2"/>
    <n v="2.0258616778551"/>
    <x v="2"/>
  </r>
  <r>
    <x v="21"/>
    <x v="3"/>
    <x v="2"/>
    <n v="2.60622176715985"/>
    <x v="2"/>
  </r>
  <r>
    <x v="21"/>
    <x v="15"/>
    <x v="2"/>
    <n v="2.1635036225459898"/>
    <x v="2"/>
  </r>
  <r>
    <x v="75"/>
    <x v="11"/>
    <x v="2"/>
    <n v="0.77749986432885598"/>
    <x v="2"/>
  </r>
  <r>
    <x v="54"/>
    <x v="24"/>
    <x v="2"/>
    <n v="1.1480056218679699"/>
    <x v="2"/>
  </r>
  <r>
    <x v="76"/>
    <x v="13"/>
    <x v="2"/>
    <n v="8.2630401178700996"/>
    <x v="2"/>
  </r>
  <r>
    <x v="76"/>
    <x v="18"/>
    <x v="2"/>
    <n v="10.309749822714901"/>
    <x v="2"/>
  </r>
  <r>
    <x v="76"/>
    <x v="19"/>
    <x v="2"/>
    <n v="8.6080961566806504"/>
    <x v="2"/>
  </r>
  <r>
    <x v="76"/>
    <x v="20"/>
    <x v="2"/>
    <n v="9.9465696730514104"/>
    <x v="2"/>
  </r>
  <r>
    <x v="76"/>
    <x v="14"/>
    <x v="2"/>
    <n v="11.0429340082972"/>
    <x v="2"/>
  </r>
  <r>
    <x v="76"/>
    <x v="1"/>
    <x v="2"/>
    <n v="12.204380294169001"/>
    <x v="2"/>
  </r>
  <r>
    <x v="76"/>
    <x v="3"/>
    <x v="2"/>
    <n v="12.334955231949101"/>
    <x v="2"/>
  </r>
  <r>
    <x v="76"/>
    <x v="15"/>
    <x v="2"/>
    <n v="12.268837822331699"/>
    <x v="2"/>
  </r>
  <r>
    <x v="76"/>
    <x v="4"/>
    <x v="2"/>
    <n v="11.8267527853779"/>
    <x v="2"/>
  </r>
  <r>
    <x v="22"/>
    <x v="23"/>
    <x v="2"/>
    <n v="1.0651018491829201"/>
    <x v="2"/>
  </r>
  <r>
    <x v="22"/>
    <x v="24"/>
    <x v="2"/>
    <n v="1.23678275772623"/>
    <x v="2"/>
  </r>
  <r>
    <x v="22"/>
    <x v="25"/>
    <x v="2"/>
    <n v="1.4211488971891699"/>
    <x v="2"/>
  </r>
  <r>
    <x v="22"/>
    <x v="5"/>
    <x v="2"/>
    <n v="1.88072542113334"/>
    <x v="2"/>
  </r>
  <r>
    <x v="22"/>
    <x v="22"/>
    <x v="2"/>
    <n v="1.6682251527751999"/>
    <x v="2"/>
  </r>
  <r>
    <x v="22"/>
    <x v="6"/>
    <x v="2"/>
    <n v="2.17812885941769"/>
    <x v="2"/>
  </r>
  <r>
    <x v="22"/>
    <x v="7"/>
    <x v="2"/>
    <n v="2.6807361061822199"/>
    <x v="2"/>
  </r>
  <r>
    <x v="22"/>
    <x v="8"/>
    <x v="2"/>
    <n v="3.1814903859617498"/>
    <x v="2"/>
  </r>
  <r>
    <x v="22"/>
    <x v="9"/>
    <x v="2"/>
    <n v="3.7873382156922499"/>
    <x v="2"/>
  </r>
  <r>
    <x v="22"/>
    <x v="10"/>
    <x v="2"/>
    <n v="2.97126605588302"/>
    <x v="2"/>
  </r>
  <r>
    <x v="22"/>
    <x v="11"/>
    <x v="2"/>
    <n v="3.2745392279058398"/>
    <x v="2"/>
  </r>
  <r>
    <x v="22"/>
    <x v="12"/>
    <x v="2"/>
    <n v="4.3492164177124897"/>
    <x v="2"/>
  </r>
  <r>
    <x v="22"/>
    <x v="16"/>
    <x v="2"/>
    <n v="4.3920168076825696"/>
    <x v="2"/>
  </r>
  <r>
    <x v="22"/>
    <x v="21"/>
    <x v="2"/>
    <n v="4.8776480541117504"/>
    <x v="2"/>
  </r>
  <r>
    <x v="22"/>
    <x v="0"/>
    <x v="2"/>
    <n v="4.5682835029303597"/>
    <x v="2"/>
  </r>
  <r>
    <x v="22"/>
    <x v="2"/>
    <x v="2"/>
    <n v="3.9465307596524202"/>
    <x v="2"/>
  </r>
  <r>
    <x v="22"/>
    <x v="17"/>
    <x v="2"/>
    <n v="4.2612643932514098"/>
    <x v="2"/>
  </r>
  <r>
    <x v="22"/>
    <x v="13"/>
    <x v="2"/>
    <n v="5.00329013821435"/>
    <x v="2"/>
  </r>
  <r>
    <x v="22"/>
    <x v="18"/>
    <x v="2"/>
    <n v="5.15082128886778"/>
    <x v="2"/>
  </r>
  <r>
    <x v="22"/>
    <x v="19"/>
    <x v="2"/>
    <n v="4.9453002819208196"/>
    <x v="2"/>
  </r>
  <r>
    <x v="22"/>
    <x v="20"/>
    <x v="2"/>
    <n v="4.6924814986874299"/>
    <x v="2"/>
  </r>
  <r>
    <x v="22"/>
    <x v="14"/>
    <x v="2"/>
    <n v="5.3788975256085898"/>
    <x v="2"/>
  </r>
  <r>
    <x v="22"/>
    <x v="1"/>
    <x v="2"/>
    <n v="6.0087266950144098"/>
    <x v="2"/>
  </r>
  <r>
    <x v="22"/>
    <x v="3"/>
    <x v="2"/>
    <n v="7.0137381382469997"/>
    <x v="2"/>
  </r>
  <r>
    <x v="22"/>
    <x v="15"/>
    <x v="2"/>
    <n v="6.4658229588754601"/>
    <x v="2"/>
  </r>
  <r>
    <x v="22"/>
    <x v="4"/>
    <x v="2"/>
    <n v="6.2113867147433197"/>
    <x v="2"/>
  </r>
  <r>
    <x v="55"/>
    <x v="11"/>
    <x v="2"/>
    <n v="5.9492771080706897"/>
    <x v="2"/>
  </r>
  <r>
    <x v="55"/>
    <x v="12"/>
    <x v="2"/>
    <n v="7.6654780202518804"/>
    <x v="2"/>
  </r>
  <r>
    <x v="55"/>
    <x v="16"/>
    <x v="2"/>
    <n v="9.4252284313794306"/>
    <x v="2"/>
  </r>
  <r>
    <x v="55"/>
    <x v="21"/>
    <x v="2"/>
    <n v="8.0128294000124303"/>
    <x v="2"/>
  </r>
  <r>
    <x v="55"/>
    <x v="0"/>
    <x v="2"/>
    <n v="7.7013058310951896"/>
    <x v="2"/>
  </r>
  <r>
    <x v="55"/>
    <x v="2"/>
    <x v="2"/>
    <n v="6.7495919958030397"/>
    <x v="2"/>
  </r>
  <r>
    <x v="55"/>
    <x v="17"/>
    <x v="2"/>
    <n v="7.2814063738063703"/>
    <x v="2"/>
  </r>
  <r>
    <x v="55"/>
    <x v="13"/>
    <x v="2"/>
    <n v="7.3926808055727404"/>
    <x v="2"/>
  </r>
  <r>
    <x v="55"/>
    <x v="18"/>
    <x v="2"/>
    <n v="8.1946527955349406"/>
    <x v="2"/>
  </r>
  <r>
    <x v="55"/>
    <x v="19"/>
    <x v="2"/>
    <n v="7.95280384544089"/>
    <x v="2"/>
  </r>
  <r>
    <x v="55"/>
    <x v="20"/>
    <x v="2"/>
    <n v="7.1224653127530502"/>
    <x v="2"/>
  </r>
  <r>
    <x v="55"/>
    <x v="14"/>
    <x v="2"/>
    <n v="8.5139454530263308"/>
    <x v="2"/>
  </r>
  <r>
    <x v="55"/>
    <x v="1"/>
    <x v="2"/>
    <n v="8.7290013945181695"/>
    <x v="2"/>
  </r>
  <r>
    <x v="55"/>
    <x v="3"/>
    <x v="2"/>
    <n v="7.5896297055181696"/>
    <x v="2"/>
  </r>
  <r>
    <x v="55"/>
    <x v="15"/>
    <x v="2"/>
    <n v="5.97716628948604"/>
    <x v="2"/>
  </r>
  <r>
    <x v="55"/>
    <x v="4"/>
    <x v="2"/>
    <n v="6.6864908249301704"/>
    <x v="2"/>
  </r>
  <r>
    <x v="77"/>
    <x v="12"/>
    <x v="2"/>
    <n v="0.64943113942506003"/>
    <x v="2"/>
  </r>
  <r>
    <x v="25"/>
    <x v="21"/>
    <x v="2"/>
    <n v="9.76240865932156E-2"/>
    <x v="2"/>
  </r>
  <r>
    <x v="26"/>
    <x v="5"/>
    <x v="2"/>
    <n v="0.76697827353524095"/>
    <x v="2"/>
  </r>
  <r>
    <x v="26"/>
    <x v="22"/>
    <x v="2"/>
    <n v="0.94178360905702996"/>
    <x v="2"/>
  </r>
  <r>
    <x v="26"/>
    <x v="6"/>
    <x v="2"/>
    <n v="0.85082654458082696"/>
    <x v="2"/>
  </r>
  <r>
    <x v="26"/>
    <x v="7"/>
    <x v="2"/>
    <n v="1.0271437895356601"/>
    <x v="2"/>
  </r>
  <r>
    <x v="26"/>
    <x v="8"/>
    <x v="2"/>
    <n v="2.57391449390561"/>
    <x v="2"/>
  </r>
  <r>
    <x v="26"/>
    <x v="9"/>
    <x v="2"/>
    <n v="1.7052844985934501"/>
    <x v="2"/>
  </r>
  <r>
    <x v="26"/>
    <x v="10"/>
    <x v="2"/>
    <n v="1.1745140757735899"/>
    <x v="2"/>
  </r>
  <r>
    <x v="26"/>
    <x v="11"/>
    <x v="2"/>
    <n v="1.4606347831377799"/>
    <x v="2"/>
  </r>
  <r>
    <x v="26"/>
    <x v="12"/>
    <x v="2"/>
    <n v="1.9012706198699001"/>
    <x v="2"/>
  </r>
  <r>
    <x v="26"/>
    <x v="16"/>
    <x v="2"/>
    <n v="2.28952524165445"/>
    <x v="2"/>
  </r>
  <r>
    <x v="26"/>
    <x v="21"/>
    <x v="2"/>
    <n v="2.3699157175704202"/>
    <x v="2"/>
  </r>
  <r>
    <x v="26"/>
    <x v="0"/>
    <x v="2"/>
    <n v="1.54375718430917"/>
    <x v="2"/>
  </r>
  <r>
    <x v="26"/>
    <x v="2"/>
    <x v="2"/>
    <n v="1.2760335087861601"/>
    <x v="2"/>
  </r>
  <r>
    <x v="26"/>
    <x v="17"/>
    <x v="2"/>
    <n v="1.36245648940027"/>
    <x v="2"/>
  </r>
  <r>
    <x v="26"/>
    <x v="13"/>
    <x v="2"/>
    <n v="1.92305550271501"/>
    <x v="2"/>
  </r>
  <r>
    <x v="26"/>
    <x v="18"/>
    <x v="2"/>
    <n v="1.75799418537484"/>
    <x v="2"/>
  </r>
  <r>
    <x v="26"/>
    <x v="19"/>
    <x v="2"/>
    <n v="1.27936771536445"/>
    <x v="2"/>
  </r>
  <r>
    <x v="26"/>
    <x v="20"/>
    <x v="2"/>
    <n v="1.4101462177938999"/>
    <x v="2"/>
  </r>
  <r>
    <x v="26"/>
    <x v="14"/>
    <x v="2"/>
    <n v="1.42871045046317"/>
    <x v="2"/>
  </r>
  <r>
    <x v="26"/>
    <x v="1"/>
    <x v="2"/>
    <n v="1.5613051338827599"/>
    <x v="2"/>
  </r>
  <r>
    <x v="26"/>
    <x v="3"/>
    <x v="2"/>
    <n v="1.69754901265157"/>
    <x v="2"/>
  </r>
  <r>
    <x v="57"/>
    <x v="11"/>
    <x v="2"/>
    <n v="3.54815882779757"/>
    <x v="2"/>
  </r>
  <r>
    <x v="57"/>
    <x v="12"/>
    <x v="2"/>
    <n v="1.9159666675518501"/>
    <x v="2"/>
  </r>
  <r>
    <x v="57"/>
    <x v="16"/>
    <x v="2"/>
    <n v="2.5745628067266"/>
    <x v="2"/>
  </r>
  <r>
    <x v="57"/>
    <x v="21"/>
    <x v="2"/>
    <n v="2.8046440481809398"/>
    <x v="2"/>
  </r>
  <r>
    <x v="57"/>
    <x v="0"/>
    <x v="2"/>
    <n v="3.2117309619255199"/>
    <x v="2"/>
  </r>
  <r>
    <x v="57"/>
    <x v="2"/>
    <x v="2"/>
    <n v="2.2737605029458798"/>
    <x v="2"/>
  </r>
  <r>
    <x v="57"/>
    <x v="13"/>
    <x v="2"/>
    <n v="2.1862497476602498"/>
    <x v="2"/>
  </r>
  <r>
    <x v="57"/>
    <x v="19"/>
    <x v="2"/>
    <n v="2.5654798496445901"/>
    <x v="2"/>
  </r>
  <r>
    <x v="57"/>
    <x v="20"/>
    <x v="2"/>
    <n v="2.86740370880272"/>
    <x v="2"/>
  </r>
  <r>
    <x v="57"/>
    <x v="14"/>
    <x v="2"/>
    <n v="2.5351341501744602"/>
    <x v="2"/>
  </r>
  <r>
    <x v="57"/>
    <x v="1"/>
    <x v="2"/>
    <n v="2.9092249091909101"/>
    <x v="2"/>
  </r>
  <r>
    <x v="57"/>
    <x v="3"/>
    <x v="2"/>
    <n v="4.3358708896819502"/>
    <x v="2"/>
  </r>
  <r>
    <x v="57"/>
    <x v="15"/>
    <x v="2"/>
    <n v="3.5502692484213298"/>
    <x v="2"/>
  </r>
  <r>
    <x v="57"/>
    <x v="4"/>
    <x v="2"/>
    <n v="3.6300002678182599"/>
    <x v="2"/>
  </r>
  <r>
    <x v="58"/>
    <x v="16"/>
    <x v="2"/>
    <n v="18.4545527670528"/>
    <x v="2"/>
  </r>
  <r>
    <x v="58"/>
    <x v="0"/>
    <x v="2"/>
    <n v="15.065224215336499"/>
    <x v="2"/>
  </r>
  <r>
    <x v="58"/>
    <x v="17"/>
    <x v="2"/>
    <n v="12.5150709149538"/>
    <x v="2"/>
  </r>
  <r>
    <x v="58"/>
    <x v="13"/>
    <x v="2"/>
    <n v="12.947372504098"/>
    <x v="2"/>
  </r>
  <r>
    <x v="58"/>
    <x v="19"/>
    <x v="2"/>
    <n v="10.8240374969192"/>
    <x v="2"/>
  </r>
  <r>
    <x v="58"/>
    <x v="20"/>
    <x v="2"/>
    <n v="4.2694738704507396"/>
    <x v="2"/>
  </r>
  <r>
    <x v="58"/>
    <x v="14"/>
    <x v="2"/>
    <n v="7.0527239850913004"/>
    <x v="2"/>
  </r>
  <r>
    <x v="58"/>
    <x v="1"/>
    <x v="2"/>
    <n v="13.2042758552205"/>
    <x v="2"/>
  </r>
  <r>
    <x v="58"/>
    <x v="3"/>
    <x v="2"/>
    <n v="13.1934635747869"/>
    <x v="2"/>
  </r>
  <r>
    <x v="58"/>
    <x v="15"/>
    <x v="2"/>
    <n v="4.70363634821756"/>
    <x v="2"/>
  </r>
  <r>
    <x v="28"/>
    <x v="11"/>
    <x v="2"/>
    <n v="1.49120615623282"/>
    <x v="2"/>
  </r>
  <r>
    <x v="28"/>
    <x v="12"/>
    <x v="2"/>
    <n v="1.95175398895998"/>
    <x v="2"/>
  </r>
  <r>
    <x v="28"/>
    <x v="16"/>
    <x v="2"/>
    <n v="2.3938474711328501"/>
    <x v="2"/>
  </r>
  <r>
    <x v="28"/>
    <x v="21"/>
    <x v="2"/>
    <n v="2.3556696342839198"/>
    <x v="2"/>
  </r>
  <r>
    <x v="28"/>
    <x v="0"/>
    <x v="2"/>
    <n v="1.8049420473693101"/>
    <x v="2"/>
  </r>
  <r>
    <x v="28"/>
    <x v="2"/>
    <x v="2"/>
    <n v="1.43420379095949"/>
    <x v="2"/>
  </r>
  <r>
    <x v="28"/>
    <x v="17"/>
    <x v="2"/>
    <n v="1.6672390956718599"/>
    <x v="2"/>
  </r>
  <r>
    <x v="28"/>
    <x v="13"/>
    <x v="2"/>
    <n v="2.0558502394973299"/>
    <x v="2"/>
  </r>
  <r>
    <x v="28"/>
    <x v="18"/>
    <x v="2"/>
    <n v="1.7728758511749101"/>
    <x v="2"/>
  </r>
  <r>
    <x v="28"/>
    <x v="19"/>
    <x v="2"/>
    <n v="1.49639904016674"/>
    <x v="2"/>
  </r>
  <r>
    <x v="28"/>
    <x v="20"/>
    <x v="2"/>
    <n v="1.55207150672351"/>
    <x v="2"/>
  </r>
  <r>
    <x v="28"/>
    <x v="14"/>
    <x v="2"/>
    <n v="1.5753191465429801"/>
    <x v="2"/>
  </r>
  <r>
    <x v="28"/>
    <x v="1"/>
    <x v="2"/>
    <n v="1.65640116700532"/>
    <x v="2"/>
  </r>
  <r>
    <x v="28"/>
    <x v="3"/>
    <x v="2"/>
    <n v="1.9056425315734"/>
    <x v="2"/>
  </r>
  <r>
    <x v="28"/>
    <x v="15"/>
    <x v="2"/>
    <n v="1.68166260837548"/>
    <x v="2"/>
  </r>
  <r>
    <x v="28"/>
    <x v="4"/>
    <x v="2"/>
    <n v="1.7533096184731101"/>
    <x v="2"/>
  </r>
  <r>
    <x v="29"/>
    <x v="11"/>
    <x v="2"/>
    <n v="1.30570761324975"/>
    <x v="2"/>
  </r>
  <r>
    <x v="29"/>
    <x v="12"/>
    <x v="2"/>
    <n v="1.6798461615940401"/>
    <x v="2"/>
  </r>
  <r>
    <x v="29"/>
    <x v="16"/>
    <x v="2"/>
    <n v="2.3545230509041302"/>
    <x v="2"/>
  </r>
  <r>
    <x v="29"/>
    <x v="21"/>
    <x v="2"/>
    <n v="2.43714892255562"/>
    <x v="2"/>
  </r>
  <r>
    <x v="29"/>
    <x v="15"/>
    <x v="2"/>
    <n v="5.6697277111633397"/>
    <x v="2"/>
  </r>
  <r>
    <x v="29"/>
    <x v="4"/>
    <x v="2"/>
    <n v="5.5034359125109802"/>
    <x v="2"/>
  </r>
  <r>
    <x v="30"/>
    <x v="23"/>
    <x v="2"/>
    <n v="1.5955002657434401"/>
    <x v="2"/>
  </r>
  <r>
    <x v="30"/>
    <x v="24"/>
    <x v="2"/>
    <n v="2.2160998582326799"/>
    <x v="2"/>
  </r>
  <r>
    <x v="30"/>
    <x v="25"/>
    <x v="2"/>
    <n v="2.6534360550002098"/>
    <x v="2"/>
  </r>
  <r>
    <x v="30"/>
    <x v="5"/>
    <x v="2"/>
    <n v="1.51889523859986"/>
    <x v="2"/>
  </r>
  <r>
    <x v="30"/>
    <x v="22"/>
    <x v="2"/>
    <n v="1.31164109771744"/>
    <x v="2"/>
  </r>
  <r>
    <x v="30"/>
    <x v="6"/>
    <x v="2"/>
    <n v="1.4086426065563"/>
    <x v="2"/>
  </r>
  <r>
    <x v="30"/>
    <x v="7"/>
    <x v="2"/>
    <n v="1.4483433925562801"/>
    <x v="2"/>
  </r>
  <r>
    <x v="30"/>
    <x v="8"/>
    <x v="2"/>
    <n v="2.0488010659029001"/>
    <x v="2"/>
  </r>
  <r>
    <x v="30"/>
    <x v="9"/>
    <x v="2"/>
    <n v="4.1573333204714196"/>
    <x v="2"/>
  </r>
  <r>
    <x v="30"/>
    <x v="10"/>
    <x v="2"/>
    <n v="2.73875414072694"/>
    <x v="2"/>
  </r>
  <r>
    <x v="30"/>
    <x v="11"/>
    <x v="2"/>
    <n v="9.5304610416693301"/>
    <x v="2"/>
  </r>
  <r>
    <x v="30"/>
    <x v="12"/>
    <x v="2"/>
    <n v="22.9740558849225"/>
    <x v="2"/>
  </r>
  <r>
    <x v="30"/>
    <x v="16"/>
    <x v="2"/>
    <n v="41.153836585054997"/>
    <x v="2"/>
  </r>
  <r>
    <x v="30"/>
    <x v="21"/>
    <x v="2"/>
    <n v="45.0975430750795"/>
    <x v="2"/>
  </r>
  <r>
    <x v="30"/>
    <x v="0"/>
    <x v="2"/>
    <n v="36.708696924562702"/>
    <x v="2"/>
  </r>
  <r>
    <x v="30"/>
    <x v="2"/>
    <x v="2"/>
    <n v="38.335073091614497"/>
    <x v="2"/>
  </r>
  <r>
    <x v="30"/>
    <x v="17"/>
    <x v="2"/>
    <n v="6.9909713018409203"/>
    <x v="2"/>
  </r>
  <r>
    <x v="30"/>
    <x v="13"/>
    <x v="2"/>
    <n v="6.6320264418105301"/>
    <x v="2"/>
  </r>
  <r>
    <x v="30"/>
    <x v="18"/>
    <x v="2"/>
    <n v="6.5469714798174197"/>
    <x v="2"/>
  </r>
  <r>
    <x v="30"/>
    <x v="19"/>
    <x v="2"/>
    <n v="6.5299869862320099"/>
    <x v="2"/>
  </r>
  <r>
    <x v="30"/>
    <x v="20"/>
    <x v="2"/>
    <n v="6.2919028559184103"/>
    <x v="2"/>
  </r>
  <r>
    <x v="30"/>
    <x v="14"/>
    <x v="2"/>
    <n v="8.3859778924256307"/>
    <x v="2"/>
  </r>
  <r>
    <x v="30"/>
    <x v="1"/>
    <x v="2"/>
    <n v="9.2091820401657696"/>
    <x v="2"/>
  </r>
  <r>
    <x v="30"/>
    <x v="3"/>
    <x v="2"/>
    <n v="8.57398175581889"/>
    <x v="2"/>
  </r>
  <r>
    <x v="30"/>
    <x v="15"/>
    <x v="2"/>
    <n v="7.6119773219306701"/>
    <x v="2"/>
  </r>
  <r>
    <x v="30"/>
    <x v="4"/>
    <x v="2"/>
    <n v="9.1451824842609"/>
    <x v="2"/>
  </r>
  <r>
    <x v="78"/>
    <x v="23"/>
    <x v="2"/>
    <n v="0.76156837429121704"/>
    <x v="2"/>
  </r>
  <r>
    <x v="78"/>
    <x v="24"/>
    <x v="2"/>
    <n v="0.91291896376155302"/>
    <x v="2"/>
  </r>
  <r>
    <x v="78"/>
    <x v="25"/>
    <x v="2"/>
    <n v="3.9886201265730699"/>
    <x v="2"/>
  </r>
  <r>
    <x v="78"/>
    <x v="5"/>
    <x v="2"/>
    <s v="NA"/>
    <x v="2"/>
  </r>
  <r>
    <x v="78"/>
    <x v="22"/>
    <x v="2"/>
    <n v="0.46088078373708902"/>
    <x v="2"/>
  </r>
  <r>
    <x v="78"/>
    <x v="6"/>
    <x v="2"/>
    <s v="NA"/>
    <x v="2"/>
  </r>
  <r>
    <x v="78"/>
    <x v="7"/>
    <x v="2"/>
    <s v="NA"/>
    <x v="2"/>
  </r>
  <r>
    <x v="78"/>
    <x v="9"/>
    <x v="2"/>
    <n v="1.0139389308671101"/>
    <x v="2"/>
  </r>
  <r>
    <x v="78"/>
    <x v="10"/>
    <x v="2"/>
    <n v="4.7771675067879897"/>
    <x v="2"/>
  </r>
  <r>
    <x v="59"/>
    <x v="24"/>
    <x v="2"/>
    <n v="1.04773504142608"/>
    <x v="2"/>
  </r>
  <r>
    <x v="59"/>
    <x v="2"/>
    <x v="2"/>
    <n v="1.68247019195089"/>
    <x v="2"/>
  </r>
  <r>
    <x v="59"/>
    <x v="18"/>
    <x v="2"/>
    <n v="1.83289083242881"/>
    <x v="2"/>
  </r>
  <r>
    <x v="59"/>
    <x v="19"/>
    <x v="2"/>
    <n v="1.5438100187199699"/>
    <x v="2"/>
  </r>
  <r>
    <x v="59"/>
    <x v="20"/>
    <x v="2"/>
    <n v="1.48204443666425"/>
    <x v="2"/>
  </r>
  <r>
    <x v="59"/>
    <x v="14"/>
    <x v="2"/>
    <n v="1.65700818742838"/>
    <x v="2"/>
  </r>
  <r>
    <x v="59"/>
    <x v="1"/>
    <x v="2"/>
    <n v="1.7781035710540201"/>
    <x v="2"/>
  </r>
  <r>
    <x v="59"/>
    <x v="3"/>
    <x v="2"/>
    <n v="2.0674840609462102"/>
    <x v="2"/>
  </r>
  <r>
    <x v="59"/>
    <x v="15"/>
    <x v="2"/>
    <n v="2.0079295051134598"/>
    <x v="2"/>
  </r>
  <r>
    <x v="59"/>
    <x v="4"/>
    <x v="2"/>
    <n v="1.8389742239062301"/>
    <x v="2"/>
  </r>
  <r>
    <x v="32"/>
    <x v="17"/>
    <x v="2"/>
    <n v="7.5191601811404496"/>
    <x v="2"/>
  </r>
  <r>
    <x v="32"/>
    <x v="13"/>
    <x v="2"/>
    <n v="7.5741415753660801"/>
    <x v="2"/>
  </r>
  <r>
    <x v="32"/>
    <x v="18"/>
    <x v="2"/>
    <n v="8.2368533865651994"/>
    <x v="2"/>
  </r>
  <r>
    <x v="32"/>
    <x v="19"/>
    <x v="2"/>
    <n v="9.3429408465470694"/>
    <x v="2"/>
  </r>
  <r>
    <x v="32"/>
    <x v="20"/>
    <x v="2"/>
    <n v="9.1236241031769207"/>
    <x v="2"/>
  </r>
  <r>
    <x v="32"/>
    <x v="14"/>
    <x v="2"/>
    <n v="10.9140850214983"/>
    <x v="2"/>
  </r>
  <r>
    <x v="32"/>
    <x v="1"/>
    <x v="2"/>
    <n v="12.406171046366399"/>
    <x v="2"/>
  </r>
  <r>
    <x v="32"/>
    <x v="3"/>
    <x v="2"/>
    <n v="14.0276640676738"/>
    <x v="2"/>
  </r>
  <r>
    <x v="32"/>
    <x v="15"/>
    <x v="2"/>
    <n v="11.5533960960435"/>
    <x v="2"/>
  </r>
  <r>
    <x v="32"/>
    <x v="4"/>
    <x v="2"/>
    <n v="12.012123769095799"/>
    <x v="2"/>
  </r>
  <r>
    <x v="62"/>
    <x v="18"/>
    <x v="2"/>
    <n v="2.4282538090348398"/>
    <x v="2"/>
  </r>
  <r>
    <x v="62"/>
    <x v="19"/>
    <x v="2"/>
    <n v="2.32501970186342"/>
    <x v="2"/>
  </r>
  <r>
    <x v="33"/>
    <x v="18"/>
    <x v="2"/>
    <n v="0.80545487868066301"/>
    <x v="2"/>
  </r>
  <r>
    <x v="34"/>
    <x v="11"/>
    <x v="2"/>
    <n v="1.3208872478704199"/>
    <x v="2"/>
  </r>
  <r>
    <x v="34"/>
    <x v="12"/>
    <x v="2"/>
    <n v="1.52343233487753"/>
    <x v="2"/>
  </r>
  <r>
    <x v="34"/>
    <x v="16"/>
    <x v="2"/>
    <n v="1.9949119510501201"/>
    <x v="2"/>
  </r>
  <r>
    <x v="34"/>
    <x v="21"/>
    <x v="2"/>
    <n v="2.1643333814590999"/>
    <x v="2"/>
  </r>
  <r>
    <x v="34"/>
    <x v="0"/>
    <x v="2"/>
    <n v="1.49933309828632"/>
    <x v="2"/>
  </r>
  <r>
    <x v="34"/>
    <x v="2"/>
    <x v="2"/>
    <n v="1.08956617998454"/>
    <x v="2"/>
  </r>
  <r>
    <x v="34"/>
    <x v="17"/>
    <x v="2"/>
    <n v="1.20238923867354"/>
    <x v="2"/>
  </r>
  <r>
    <x v="34"/>
    <x v="13"/>
    <x v="2"/>
    <n v="1.6321100112393701"/>
    <x v="2"/>
  </r>
  <r>
    <x v="34"/>
    <x v="18"/>
    <x v="2"/>
    <n v="1.68094361484072"/>
    <x v="2"/>
  </r>
  <r>
    <x v="34"/>
    <x v="19"/>
    <x v="2"/>
    <n v="1.45179230675173"/>
    <x v="2"/>
  </r>
  <r>
    <x v="34"/>
    <x v="20"/>
    <x v="2"/>
    <n v="1.14944554798429"/>
    <x v="2"/>
  </r>
  <r>
    <x v="34"/>
    <x v="15"/>
    <x v="2"/>
    <n v="1.45415888975137"/>
    <x v="2"/>
  </r>
  <r>
    <x v="34"/>
    <x v="4"/>
    <x v="2"/>
    <n v="1.7588427095683099"/>
    <x v="2"/>
  </r>
  <r>
    <x v="35"/>
    <x v="11"/>
    <x v="2"/>
    <n v="1.1528492727525801"/>
    <x v="2"/>
  </r>
  <r>
    <x v="35"/>
    <x v="12"/>
    <x v="2"/>
    <n v="1.14636258340853"/>
    <x v="2"/>
  </r>
  <r>
    <x v="35"/>
    <x v="16"/>
    <x v="2"/>
    <n v="1.40293188946419"/>
    <x v="2"/>
  </r>
  <r>
    <x v="35"/>
    <x v="21"/>
    <x v="2"/>
    <n v="1.39293943074727"/>
    <x v="2"/>
  </r>
  <r>
    <x v="35"/>
    <x v="0"/>
    <x v="2"/>
    <n v="0.96462195134558604"/>
    <x v="2"/>
  </r>
  <r>
    <x v="35"/>
    <x v="2"/>
    <x v="2"/>
    <n v="1.25828762407008"/>
    <x v="2"/>
  </r>
  <r>
    <x v="35"/>
    <x v="17"/>
    <x v="2"/>
    <n v="0.24540935273657499"/>
    <x v="2"/>
  </r>
  <r>
    <x v="35"/>
    <x v="13"/>
    <x v="2"/>
    <n v="1.57337861765856"/>
    <x v="2"/>
  </r>
  <r>
    <x v="35"/>
    <x v="18"/>
    <x v="2"/>
    <n v="1.5421942225991501"/>
    <x v="2"/>
  </r>
  <r>
    <x v="35"/>
    <x v="19"/>
    <x v="2"/>
    <n v="1.7361861334800099"/>
    <x v="2"/>
  </r>
  <r>
    <x v="35"/>
    <x v="20"/>
    <x v="2"/>
    <n v="1.5587937985976299"/>
    <x v="2"/>
  </r>
  <r>
    <x v="35"/>
    <x v="14"/>
    <x v="2"/>
    <n v="1.74416982863201"/>
    <x v="2"/>
  </r>
  <r>
    <x v="35"/>
    <x v="1"/>
    <x v="2"/>
    <n v="1.9130765732213699"/>
    <x v="2"/>
  </r>
  <r>
    <x v="35"/>
    <x v="3"/>
    <x v="2"/>
    <n v="2.23476077702639"/>
    <x v="2"/>
  </r>
  <r>
    <x v="35"/>
    <x v="15"/>
    <x v="2"/>
    <n v="1.7129744969130001"/>
    <x v="2"/>
  </r>
  <r>
    <x v="35"/>
    <x v="4"/>
    <x v="2"/>
    <n v="1.80966770225399"/>
    <x v="2"/>
  </r>
  <r>
    <x v="79"/>
    <x v="11"/>
    <x v="2"/>
    <n v="2.6704950105964298"/>
    <x v="2"/>
  </r>
  <r>
    <x v="36"/>
    <x v="11"/>
    <x v="2"/>
    <n v="1.55807085167068"/>
    <x v="2"/>
  </r>
  <r>
    <x v="36"/>
    <x v="12"/>
    <x v="2"/>
    <n v="2.0841204389081001"/>
    <x v="2"/>
  </r>
  <r>
    <x v="36"/>
    <x v="16"/>
    <x v="2"/>
    <n v="3.2515645763190402"/>
    <x v="2"/>
  </r>
  <r>
    <x v="36"/>
    <x v="21"/>
    <x v="2"/>
    <n v="2.78049512027204"/>
    <x v="2"/>
  </r>
  <r>
    <x v="36"/>
    <x v="0"/>
    <x v="2"/>
    <n v="2.35280641428667"/>
    <x v="2"/>
  </r>
  <r>
    <x v="36"/>
    <x v="2"/>
    <x v="2"/>
    <n v="2.18262428876396"/>
    <x v="2"/>
  </r>
  <r>
    <x v="36"/>
    <x v="17"/>
    <x v="2"/>
    <n v="2.3941960146875698"/>
    <x v="2"/>
  </r>
  <r>
    <x v="36"/>
    <x v="13"/>
    <x v="2"/>
    <n v="2.7527494252757201"/>
    <x v="2"/>
  </r>
  <r>
    <x v="36"/>
    <x v="18"/>
    <x v="2"/>
    <n v="3.0135988408227501"/>
    <x v="2"/>
  </r>
  <r>
    <x v="36"/>
    <x v="19"/>
    <x v="2"/>
    <n v="2.6884776925177398"/>
    <x v="2"/>
  </r>
  <r>
    <x v="36"/>
    <x v="20"/>
    <x v="2"/>
    <n v="2.5992668379190902"/>
    <x v="2"/>
  </r>
  <r>
    <x v="36"/>
    <x v="14"/>
    <x v="2"/>
    <n v="2.8024207186383898"/>
    <x v="2"/>
  </r>
  <r>
    <x v="36"/>
    <x v="1"/>
    <x v="2"/>
    <n v="3.61815067831688"/>
    <x v="2"/>
  </r>
  <r>
    <x v="36"/>
    <x v="3"/>
    <x v="2"/>
    <n v="3.7023083151498302"/>
    <x v="2"/>
  </r>
  <r>
    <x v="36"/>
    <x v="15"/>
    <x v="2"/>
    <n v="3.5783166012538099"/>
    <x v="2"/>
  </r>
  <r>
    <x v="36"/>
    <x v="4"/>
    <x v="2"/>
    <n v="3.8983183362235998"/>
    <x v="2"/>
  </r>
  <r>
    <x v="80"/>
    <x v="21"/>
    <x v="2"/>
    <n v="0.637676244435607"/>
    <x v="2"/>
  </r>
  <r>
    <x v="37"/>
    <x v="2"/>
    <x v="2"/>
    <n v="8.8227399209568294"/>
    <x v="2"/>
  </r>
  <r>
    <x v="37"/>
    <x v="17"/>
    <x v="2"/>
    <n v="10.481558490316401"/>
    <x v="2"/>
  </r>
  <r>
    <x v="37"/>
    <x v="13"/>
    <x v="2"/>
    <n v="10.898144799673499"/>
    <x v="2"/>
  </r>
  <r>
    <x v="37"/>
    <x v="18"/>
    <x v="2"/>
    <n v="11.879131966851499"/>
    <x v="2"/>
  </r>
  <r>
    <x v="37"/>
    <x v="19"/>
    <x v="2"/>
    <n v="13.797511217895501"/>
    <x v="2"/>
  </r>
  <r>
    <x v="37"/>
    <x v="20"/>
    <x v="2"/>
    <n v="13.3944292534106"/>
    <x v="2"/>
  </r>
  <r>
    <x v="37"/>
    <x v="14"/>
    <x v="2"/>
    <n v="13.683571134963"/>
    <x v="2"/>
  </r>
  <r>
    <x v="37"/>
    <x v="1"/>
    <x v="2"/>
    <n v="16.076996167649799"/>
    <x v="2"/>
  </r>
  <r>
    <x v="37"/>
    <x v="3"/>
    <x v="2"/>
    <n v="21.622595664969399"/>
    <x v="2"/>
  </r>
  <r>
    <x v="37"/>
    <x v="15"/>
    <x v="2"/>
    <n v="12.1376064785069"/>
    <x v="2"/>
  </r>
  <r>
    <x v="81"/>
    <x v="21"/>
    <x v="2"/>
    <n v="8.0396799098079992"/>
    <x v="2"/>
  </r>
  <r>
    <x v="81"/>
    <x v="2"/>
    <x v="2"/>
    <n v="6.11830307570599"/>
    <x v="2"/>
  </r>
  <r>
    <x v="81"/>
    <x v="13"/>
    <x v="2"/>
    <n v="5.2552931412652102"/>
    <x v="2"/>
  </r>
  <r>
    <x v="81"/>
    <x v="18"/>
    <x v="2"/>
    <n v="6.6748256070050402"/>
    <x v="2"/>
  </r>
  <r>
    <x v="81"/>
    <x v="19"/>
    <x v="2"/>
    <n v="6.6185698636004204"/>
    <x v="2"/>
  </r>
  <r>
    <x v="81"/>
    <x v="20"/>
    <x v="2"/>
    <n v="5.6469204766151604"/>
    <x v="2"/>
  </r>
  <r>
    <x v="81"/>
    <x v="14"/>
    <x v="2"/>
    <n v="6.4722858280240896"/>
    <x v="2"/>
  </r>
  <r>
    <x v="82"/>
    <x v="14"/>
    <x v="2"/>
    <n v="2.3090791088802298"/>
    <x v="2"/>
  </r>
  <r>
    <x v="82"/>
    <x v="1"/>
    <x v="2"/>
    <n v="2.7964777689349001"/>
    <x v="2"/>
  </r>
  <r>
    <x v="82"/>
    <x v="3"/>
    <x v="2"/>
    <n v="2.1966024897782699"/>
    <x v="2"/>
  </r>
  <r>
    <x v="82"/>
    <x v="15"/>
    <x v="2"/>
    <n v="2.6457411601932499"/>
    <x v="2"/>
  </r>
  <r>
    <x v="82"/>
    <x v="4"/>
    <x v="2"/>
    <n v="2.1278220718700598"/>
    <x v="2"/>
  </r>
  <r>
    <x v="38"/>
    <x v="11"/>
    <x v="2"/>
    <n v="0.79164314942380598"/>
    <x v="2"/>
  </r>
  <r>
    <x v="38"/>
    <x v="12"/>
    <x v="2"/>
    <n v="1.19934529266204"/>
    <x v="2"/>
  </r>
  <r>
    <x v="38"/>
    <x v="16"/>
    <x v="2"/>
    <n v="1.7546944828775499"/>
    <x v="2"/>
  </r>
  <r>
    <x v="38"/>
    <x v="21"/>
    <x v="2"/>
    <n v="2.0174262267019598"/>
    <x v="2"/>
  </r>
  <r>
    <x v="38"/>
    <x v="0"/>
    <x v="2"/>
    <n v="1.65135167078198"/>
    <x v="2"/>
  </r>
  <r>
    <x v="38"/>
    <x v="2"/>
    <x v="2"/>
    <n v="1.1649683967761899"/>
    <x v="2"/>
  </r>
  <r>
    <x v="38"/>
    <x v="17"/>
    <x v="2"/>
    <n v="1.4543849319359301"/>
    <x v="2"/>
  </r>
  <r>
    <x v="38"/>
    <x v="13"/>
    <x v="2"/>
    <n v="1.8198810343087299"/>
    <x v="2"/>
  </r>
  <r>
    <x v="38"/>
    <x v="18"/>
    <x v="2"/>
    <n v="1.9142302575940799"/>
    <x v="2"/>
  </r>
  <r>
    <x v="38"/>
    <x v="19"/>
    <x v="2"/>
    <n v="1.6423683883642901"/>
    <x v="2"/>
  </r>
  <r>
    <x v="38"/>
    <x v="1"/>
    <x v="2"/>
    <n v="1.3048004607472099"/>
    <x v="2"/>
  </r>
  <r>
    <x v="39"/>
    <x v="5"/>
    <x v="2"/>
    <n v="2.2912189040138902"/>
    <x v="2"/>
  </r>
  <r>
    <x v="39"/>
    <x v="22"/>
    <x v="2"/>
    <n v="2.7119400167635499"/>
    <x v="2"/>
  </r>
  <r>
    <x v="39"/>
    <x v="6"/>
    <x v="2"/>
    <n v="3.0303887359316999"/>
    <x v="2"/>
  </r>
  <r>
    <x v="39"/>
    <x v="7"/>
    <x v="2"/>
    <n v="5.8644872820151104"/>
    <x v="2"/>
  </r>
  <r>
    <x v="39"/>
    <x v="8"/>
    <x v="2"/>
    <n v="1.41858190307133"/>
    <x v="2"/>
  </r>
  <r>
    <x v="39"/>
    <x v="9"/>
    <x v="2"/>
    <n v="5.5240314870015697"/>
    <x v="2"/>
  </r>
  <r>
    <x v="39"/>
    <x v="11"/>
    <x v="2"/>
    <n v="4.0485239477820301"/>
    <x v="2"/>
  </r>
  <r>
    <x v="39"/>
    <x v="12"/>
    <x v="2"/>
    <n v="6.2700912439604899"/>
    <x v="2"/>
  </r>
  <r>
    <x v="39"/>
    <x v="16"/>
    <x v="2"/>
    <n v="6.9152284735508101"/>
    <x v="2"/>
  </r>
  <r>
    <x v="39"/>
    <x v="21"/>
    <x v="2"/>
    <n v="7.2277171101439803"/>
    <x v="2"/>
  </r>
  <r>
    <x v="39"/>
    <x v="0"/>
    <x v="2"/>
    <n v="5.64260656555322"/>
    <x v="2"/>
  </r>
  <r>
    <x v="39"/>
    <x v="2"/>
    <x v="2"/>
    <n v="1.4201446523536301"/>
    <x v="2"/>
  </r>
  <r>
    <x v="39"/>
    <x v="17"/>
    <x v="2"/>
    <n v="1.5695325316348601"/>
    <x v="2"/>
  </r>
  <r>
    <x v="39"/>
    <x v="13"/>
    <x v="2"/>
    <n v="2.0703917653928698"/>
    <x v="2"/>
  </r>
  <r>
    <x v="39"/>
    <x v="18"/>
    <x v="2"/>
    <n v="2.0124573437519899"/>
    <x v="2"/>
  </r>
  <r>
    <x v="39"/>
    <x v="19"/>
    <x v="2"/>
    <n v="1.6070198682026999"/>
    <x v="2"/>
  </r>
  <r>
    <x v="39"/>
    <x v="20"/>
    <x v="2"/>
    <n v="1.7212325686785599"/>
    <x v="2"/>
  </r>
  <r>
    <x v="39"/>
    <x v="14"/>
    <x v="2"/>
    <n v="1.7098461848416699"/>
    <x v="2"/>
  </r>
  <r>
    <x v="39"/>
    <x v="1"/>
    <x v="2"/>
    <n v="2.01433060868606"/>
    <x v="2"/>
  </r>
  <r>
    <x v="67"/>
    <x v="12"/>
    <x v="2"/>
    <n v="4.0961913608917797"/>
    <x v="2"/>
  </r>
  <r>
    <x v="67"/>
    <x v="16"/>
    <x v="2"/>
    <n v="5.74788624928423"/>
    <x v="2"/>
  </r>
  <r>
    <x v="67"/>
    <x v="21"/>
    <x v="2"/>
    <n v="5.0591920578939398"/>
    <x v="2"/>
  </r>
  <r>
    <x v="67"/>
    <x v="0"/>
    <x v="2"/>
    <n v="5.27512697744592"/>
    <x v="2"/>
  </r>
  <r>
    <x v="67"/>
    <x v="2"/>
    <x v="2"/>
    <n v="4.3631370868963897"/>
    <x v="2"/>
  </r>
  <r>
    <x v="67"/>
    <x v="13"/>
    <x v="2"/>
    <n v="5.4786922059722496"/>
    <x v="2"/>
  </r>
  <r>
    <x v="67"/>
    <x v="18"/>
    <x v="2"/>
    <n v="5.7691383307314696"/>
    <x v="2"/>
  </r>
  <r>
    <x v="67"/>
    <x v="19"/>
    <x v="2"/>
    <n v="4.2723346915359599"/>
    <x v="2"/>
  </r>
  <r>
    <x v="67"/>
    <x v="20"/>
    <x v="2"/>
    <n v="3.7141361641935"/>
    <x v="2"/>
  </r>
  <r>
    <x v="67"/>
    <x v="14"/>
    <x v="2"/>
    <n v="6.9045939257747202"/>
    <x v="2"/>
  </r>
  <r>
    <x v="67"/>
    <x v="1"/>
    <x v="2"/>
    <n v="8.1025978368363898"/>
    <x v="2"/>
  </r>
  <r>
    <x v="67"/>
    <x v="3"/>
    <x v="2"/>
    <n v="5.3193799774239503"/>
    <x v="2"/>
  </r>
  <r>
    <x v="67"/>
    <x v="15"/>
    <x v="2"/>
    <n v="4.18048478090404"/>
    <x v="2"/>
  </r>
  <r>
    <x v="67"/>
    <x v="4"/>
    <x v="2"/>
    <n v="4.0316330994908398"/>
    <x v="2"/>
  </r>
  <r>
    <x v="83"/>
    <x v="3"/>
    <x v="2"/>
    <n v="8.9304878286248695"/>
    <x v="2"/>
  </r>
  <r>
    <x v="83"/>
    <x v="4"/>
    <x v="2"/>
    <n v="9.1473881342827905"/>
    <x v="2"/>
  </r>
  <r>
    <x v="41"/>
    <x v="25"/>
    <x v="2"/>
    <n v="1.2982874928586099"/>
    <x v="2"/>
  </r>
  <r>
    <x v="41"/>
    <x v="5"/>
    <x v="2"/>
    <n v="1.3031134143766501"/>
    <x v="2"/>
  </r>
  <r>
    <x v="41"/>
    <x v="22"/>
    <x v="2"/>
    <n v="1.6091162313945"/>
    <x v="2"/>
  </r>
  <r>
    <x v="41"/>
    <x v="6"/>
    <x v="2"/>
    <n v="1.6506910703871001"/>
    <x v="2"/>
  </r>
  <r>
    <x v="41"/>
    <x v="7"/>
    <x v="2"/>
    <n v="1.7497993405691701"/>
    <x v="2"/>
  </r>
  <r>
    <x v="41"/>
    <x v="8"/>
    <x v="2"/>
    <n v="2.2088028783887799"/>
    <x v="2"/>
  </r>
  <r>
    <x v="41"/>
    <x v="9"/>
    <x v="2"/>
    <n v="2.4947512974571202"/>
    <x v="2"/>
  </r>
  <r>
    <x v="41"/>
    <x v="10"/>
    <x v="2"/>
    <n v="2.0594938780779901"/>
    <x v="2"/>
  </r>
  <r>
    <x v="41"/>
    <x v="11"/>
    <x v="2"/>
    <n v="2.1009480120252002"/>
    <x v="2"/>
  </r>
  <r>
    <x v="41"/>
    <x v="12"/>
    <x v="2"/>
    <n v="2.63220321482348"/>
    <x v="2"/>
  </r>
  <r>
    <x v="41"/>
    <x v="16"/>
    <x v="2"/>
    <n v="2.9966729315621601"/>
    <x v="2"/>
  </r>
  <r>
    <x v="41"/>
    <x v="21"/>
    <x v="2"/>
    <n v="3.09025008076331"/>
    <x v="2"/>
  </r>
  <r>
    <x v="41"/>
    <x v="0"/>
    <x v="2"/>
    <n v="2.5392749609135699"/>
    <x v="2"/>
  </r>
  <r>
    <x v="41"/>
    <x v="2"/>
    <x v="2"/>
    <n v="2.1471767909736701"/>
    <x v="2"/>
  </r>
  <r>
    <x v="41"/>
    <x v="17"/>
    <x v="2"/>
    <n v="2.3044906262034299"/>
    <x v="2"/>
  </r>
  <r>
    <x v="41"/>
    <x v="13"/>
    <x v="2"/>
    <n v="2.72758745480398"/>
    <x v="2"/>
  </r>
  <r>
    <x v="41"/>
    <x v="18"/>
    <x v="2"/>
    <n v="2.7705277419235301"/>
    <x v="2"/>
  </r>
  <r>
    <x v="41"/>
    <x v="19"/>
    <x v="2"/>
    <n v="2.5390533511642301"/>
    <x v="2"/>
  </r>
  <r>
    <x v="41"/>
    <x v="20"/>
    <x v="2"/>
    <n v="2.5212179520487399"/>
    <x v="2"/>
  </r>
  <r>
    <x v="41"/>
    <x v="14"/>
    <x v="2"/>
    <n v="2.8992117554250698"/>
    <x v="2"/>
  </r>
  <r>
    <x v="41"/>
    <x v="1"/>
    <x v="2"/>
    <n v="3.7215393379270498"/>
    <x v="2"/>
  </r>
  <r>
    <x v="41"/>
    <x v="3"/>
    <x v="2"/>
    <n v="3.5983601662343201"/>
    <x v="2"/>
  </r>
  <r>
    <x v="41"/>
    <x v="15"/>
    <x v="2"/>
    <n v="3.1184647615624401"/>
    <x v="2"/>
  </r>
  <r>
    <x v="41"/>
    <x v="4"/>
    <x v="2"/>
    <n v="3.6335591370334002"/>
    <x v="2"/>
  </r>
  <r>
    <x v="42"/>
    <x v="11"/>
    <x v="2"/>
    <n v="1.90119824231441"/>
    <x v="2"/>
  </r>
  <r>
    <x v="42"/>
    <x v="12"/>
    <x v="2"/>
    <n v="2.17107358184886"/>
    <x v="2"/>
  </r>
  <r>
    <x v="42"/>
    <x v="16"/>
    <x v="2"/>
    <n v="2.2638227388967902"/>
    <x v="2"/>
  </r>
  <r>
    <x v="42"/>
    <x v="21"/>
    <x v="2"/>
    <n v="2.14009779076759"/>
    <x v="2"/>
  </r>
  <r>
    <x v="42"/>
    <x v="0"/>
    <x v="2"/>
    <n v="1.61708531470053"/>
    <x v="2"/>
  </r>
  <r>
    <x v="42"/>
    <x v="2"/>
    <x v="2"/>
    <n v="1.33845186845102"/>
    <x v="2"/>
  </r>
  <r>
    <x v="42"/>
    <x v="17"/>
    <x v="2"/>
    <n v="1.5356895528711301"/>
    <x v="2"/>
  </r>
  <r>
    <x v="42"/>
    <x v="13"/>
    <x v="2"/>
    <n v="1.8707162767405601"/>
    <x v="2"/>
  </r>
  <r>
    <x v="42"/>
    <x v="18"/>
    <x v="2"/>
    <n v="1.58546933305223"/>
    <x v="2"/>
  </r>
  <r>
    <x v="42"/>
    <x v="19"/>
    <x v="2"/>
    <n v="1.6744885577736199"/>
    <x v="2"/>
  </r>
  <r>
    <x v="42"/>
    <x v="20"/>
    <x v="2"/>
    <n v="1.5474847853957201"/>
    <x v="2"/>
  </r>
  <r>
    <x v="42"/>
    <x v="14"/>
    <x v="2"/>
    <n v="1.55958472350247"/>
    <x v="2"/>
  </r>
  <r>
    <x v="42"/>
    <x v="1"/>
    <x v="2"/>
    <n v="1.78573989793759"/>
    <x v="2"/>
  </r>
  <r>
    <x v="42"/>
    <x v="3"/>
    <x v="2"/>
    <n v="1.97468932964712"/>
    <x v="2"/>
  </r>
  <r>
    <x v="42"/>
    <x v="15"/>
    <x v="2"/>
    <n v="1.6333748675111599"/>
    <x v="2"/>
  </r>
  <r>
    <x v="42"/>
    <x v="4"/>
    <x v="2"/>
    <n v="1.72562157081977"/>
    <x v="2"/>
  </r>
  <r>
    <x v="84"/>
    <x v="16"/>
    <x v="2"/>
    <n v="0.59174640458015304"/>
    <x v="2"/>
  </r>
  <r>
    <x v="43"/>
    <x v="0"/>
    <x v="2"/>
    <n v="1.4895420191731901"/>
    <x v="2"/>
  </r>
  <r>
    <x v="43"/>
    <x v="14"/>
    <x v="2"/>
    <n v="1.41024148367818"/>
    <x v="2"/>
  </r>
  <r>
    <x v="43"/>
    <x v="1"/>
    <x v="2"/>
    <n v="1.71457910309772"/>
    <x v="2"/>
  </r>
  <r>
    <x v="44"/>
    <x v="23"/>
    <x v="2"/>
    <n v="0.734869641732806"/>
    <x v="2"/>
  </r>
  <r>
    <x v="44"/>
    <x v="24"/>
    <x v="2"/>
    <n v="0.88212408556852595"/>
    <x v="2"/>
  </r>
  <r>
    <x v="44"/>
    <x v="25"/>
    <x v="2"/>
    <n v="0.87747383603917894"/>
    <x v="2"/>
  </r>
  <r>
    <x v="44"/>
    <x v="5"/>
    <x v="2"/>
    <n v="0.863052925683226"/>
    <x v="2"/>
  </r>
  <r>
    <x v="44"/>
    <x v="22"/>
    <x v="2"/>
    <n v="1.2024820368342"/>
    <x v="2"/>
  </r>
  <r>
    <x v="44"/>
    <x v="6"/>
    <x v="2"/>
    <n v="1.14044101268938"/>
    <x v="2"/>
  </r>
  <r>
    <x v="44"/>
    <x v="7"/>
    <x v="2"/>
    <n v="1.25364370065426"/>
    <x v="2"/>
  </r>
  <r>
    <x v="44"/>
    <x v="8"/>
    <x v="2"/>
    <n v="1.50873922125517"/>
    <x v="2"/>
  </r>
  <r>
    <x v="44"/>
    <x v="9"/>
    <x v="2"/>
    <n v="2.8197016025213002"/>
    <x v="2"/>
  </r>
  <r>
    <x v="44"/>
    <x v="10"/>
    <x v="2"/>
    <n v="1.72761251216048"/>
    <x v="2"/>
  </r>
  <r>
    <x v="44"/>
    <x v="11"/>
    <x v="2"/>
    <n v="1.5825957730524001"/>
    <x v="2"/>
  </r>
  <r>
    <x v="44"/>
    <x v="12"/>
    <x v="2"/>
    <n v="2.2433189059015999"/>
    <x v="2"/>
  </r>
  <r>
    <x v="44"/>
    <x v="16"/>
    <x v="2"/>
    <n v="3.01120897768577"/>
    <x v="2"/>
  </r>
  <r>
    <x v="44"/>
    <x v="21"/>
    <x v="2"/>
    <n v="2.9766661725736698"/>
    <x v="2"/>
  </r>
  <r>
    <x v="44"/>
    <x v="0"/>
    <x v="2"/>
    <n v="2.28532699638673"/>
    <x v="2"/>
  </r>
  <r>
    <x v="44"/>
    <x v="2"/>
    <x v="2"/>
    <n v="2.1167400994076999"/>
    <x v="2"/>
  </r>
  <r>
    <x v="44"/>
    <x v="17"/>
    <x v="2"/>
    <n v="1.73164255954813"/>
    <x v="2"/>
  </r>
  <r>
    <x v="44"/>
    <x v="13"/>
    <x v="2"/>
    <n v="2.4133862438097902"/>
    <x v="2"/>
  </r>
  <r>
    <x v="44"/>
    <x v="18"/>
    <x v="2"/>
    <n v="1.9589761786567199"/>
    <x v="2"/>
  </r>
  <r>
    <x v="44"/>
    <x v="19"/>
    <x v="2"/>
    <n v="1.8965740607850501"/>
    <x v="2"/>
  </r>
  <r>
    <x v="44"/>
    <x v="20"/>
    <x v="2"/>
    <n v="1.5437907428466699"/>
    <x v="2"/>
  </r>
  <r>
    <x v="44"/>
    <x v="14"/>
    <x v="2"/>
    <n v="1.73006926220865"/>
    <x v="2"/>
  </r>
  <r>
    <x v="44"/>
    <x v="1"/>
    <x v="2"/>
    <n v="2.2677665936566598"/>
    <x v="2"/>
  </r>
  <r>
    <x v="44"/>
    <x v="3"/>
    <x v="2"/>
    <n v="2.2301520314538399"/>
    <x v="2"/>
  </r>
  <r>
    <x v="44"/>
    <x v="15"/>
    <x v="2"/>
    <n v="1.8520431802838799"/>
    <x v="2"/>
  </r>
  <r>
    <x v="44"/>
    <x v="4"/>
    <x v="2"/>
    <n v="1.9314808723030199"/>
    <x v="2"/>
  </r>
  <r>
    <x v="45"/>
    <x v="11"/>
    <x v="2"/>
    <n v="124.54071351351401"/>
    <x v="2"/>
  </r>
  <r>
    <x v="45"/>
    <x v="17"/>
    <x v="2"/>
    <n v="11.0733669438353"/>
    <x v="2"/>
  </r>
  <r>
    <x v="45"/>
    <x v="13"/>
    <x v="2"/>
    <n v="11.3899319646926"/>
    <x v="2"/>
  </r>
  <r>
    <x v="45"/>
    <x v="18"/>
    <x v="2"/>
    <n v="12.168884162366499"/>
    <x v="2"/>
  </r>
  <r>
    <x v="45"/>
    <x v="19"/>
    <x v="2"/>
    <n v="12.0345566516667"/>
    <x v="2"/>
  </r>
  <r>
    <x v="45"/>
    <x v="20"/>
    <x v="2"/>
    <n v="11.674605912990399"/>
    <x v="2"/>
  </r>
  <r>
    <x v="45"/>
    <x v="14"/>
    <x v="2"/>
    <n v="12.5159052053737"/>
    <x v="2"/>
  </r>
  <r>
    <x v="45"/>
    <x v="1"/>
    <x v="2"/>
    <n v="10.4856380312499"/>
    <x v="2"/>
  </r>
  <r>
    <x v="45"/>
    <x v="3"/>
    <x v="2"/>
    <n v="13.4384949739504"/>
    <x v="2"/>
  </r>
  <r>
    <x v="45"/>
    <x v="15"/>
    <x v="2"/>
    <n v="12.838950836590801"/>
    <x v="2"/>
  </r>
  <r>
    <x v="45"/>
    <x v="4"/>
    <x v="2"/>
    <n v="11.9021623505598"/>
    <x v="2"/>
  </r>
  <r>
    <x v="85"/>
    <x v="3"/>
    <x v="2"/>
    <n v="7.5042651615742599"/>
    <x v="2"/>
  </r>
  <r>
    <x v="85"/>
    <x v="15"/>
    <x v="2"/>
    <n v="7.4831058863485396"/>
    <x v="2"/>
  </r>
  <r>
    <x v="85"/>
    <x v="4"/>
    <x v="2"/>
    <n v="6.7978475444772402"/>
    <x v="2"/>
  </r>
  <r>
    <x v="46"/>
    <x v="18"/>
    <x v="2"/>
    <n v="4.1439402265948297"/>
    <x v="2"/>
  </r>
  <r>
    <x v="46"/>
    <x v="19"/>
    <x v="2"/>
    <n v="2.25941942672427"/>
    <x v="2"/>
  </r>
  <r>
    <x v="47"/>
    <x v="21"/>
    <x v="2"/>
    <n v="10.0254838613651"/>
    <x v="2"/>
  </r>
  <r>
    <x v="47"/>
    <x v="0"/>
    <x v="2"/>
    <n v="9.2789984204557392"/>
    <x v="2"/>
  </r>
  <r>
    <x v="47"/>
    <x v="2"/>
    <x v="2"/>
    <n v="9.3769271872356104"/>
    <x v="2"/>
  </r>
  <r>
    <x v="47"/>
    <x v="17"/>
    <x v="2"/>
    <n v="10.9866418518633"/>
    <x v="2"/>
  </r>
  <r>
    <x v="47"/>
    <x v="13"/>
    <x v="2"/>
    <n v="9.5163205218759899"/>
    <x v="2"/>
  </r>
  <r>
    <x v="47"/>
    <x v="18"/>
    <x v="2"/>
    <n v="10.1848741991667"/>
    <x v="2"/>
  </r>
  <r>
    <x v="47"/>
    <x v="19"/>
    <x v="2"/>
    <n v="10.466082831774401"/>
    <x v="2"/>
  </r>
  <r>
    <x v="47"/>
    <x v="20"/>
    <x v="2"/>
    <n v="9.4037334953314602"/>
    <x v="2"/>
  </r>
  <r>
    <x v="47"/>
    <x v="14"/>
    <x v="2"/>
    <n v="11.8313493705355"/>
    <x v="2"/>
  </r>
  <r>
    <x v="47"/>
    <x v="1"/>
    <x v="2"/>
    <n v="12.882867081025401"/>
    <x v="2"/>
  </r>
  <r>
    <x v="47"/>
    <x v="3"/>
    <x v="2"/>
    <n v="13.722710019385501"/>
    <x v="2"/>
  </r>
  <r>
    <x v="47"/>
    <x v="15"/>
    <x v="2"/>
    <n v="12.352141127144099"/>
    <x v="2"/>
  </r>
  <r>
    <x v="47"/>
    <x v="4"/>
    <x v="2"/>
    <n v="13.855612323848201"/>
    <x v="2"/>
  </r>
  <r>
    <x v="48"/>
    <x v="2"/>
    <x v="2"/>
    <n v="1.96604239246848"/>
    <x v="2"/>
  </r>
  <r>
    <x v="48"/>
    <x v="17"/>
    <x v="2"/>
    <n v="2.4340467321277601"/>
    <x v="2"/>
  </r>
  <r>
    <x v="48"/>
    <x v="13"/>
    <x v="2"/>
    <n v="2.6718155780167101"/>
    <x v="2"/>
  </r>
  <r>
    <x v="48"/>
    <x v="18"/>
    <x v="2"/>
    <n v="2.4011643511569201"/>
    <x v="2"/>
  </r>
  <r>
    <x v="48"/>
    <x v="19"/>
    <x v="2"/>
    <n v="2.3616507484306899"/>
    <x v="2"/>
  </r>
  <r>
    <x v="48"/>
    <x v="20"/>
    <x v="2"/>
    <n v="2.3574782843632098"/>
    <x v="2"/>
  </r>
  <r>
    <x v="48"/>
    <x v="14"/>
    <x v="2"/>
    <n v="2.4190231787716301"/>
    <x v="2"/>
  </r>
  <r>
    <x v="48"/>
    <x v="1"/>
    <x v="2"/>
    <n v="2.62192965793247"/>
    <x v="2"/>
  </r>
  <r>
    <x v="48"/>
    <x v="3"/>
    <x v="2"/>
    <n v="2.91987083617924"/>
    <x v="2"/>
  </r>
  <r>
    <x v="69"/>
    <x v="16"/>
    <x v="2"/>
    <n v="1.2263023645403699"/>
    <x v="2"/>
  </r>
  <r>
    <x v="69"/>
    <x v="2"/>
    <x v="2"/>
    <n v="1.96303146037728"/>
    <x v="2"/>
  </r>
  <r>
    <x v="70"/>
    <x v="11"/>
    <x v="0"/>
    <n v="7803377"/>
    <x v="3"/>
  </r>
  <r>
    <x v="70"/>
    <x v="12"/>
    <x v="0"/>
    <n v="6305922"/>
    <x v="3"/>
  </r>
  <r>
    <x v="70"/>
    <x v="16"/>
    <x v="0"/>
    <n v="5693782"/>
    <x v="3"/>
  </r>
  <r>
    <x v="70"/>
    <x v="21"/>
    <x v="0"/>
    <n v="8083236"/>
    <x v="3"/>
  </r>
  <r>
    <x v="70"/>
    <x v="0"/>
    <x v="0"/>
    <n v="6740870.3820000002"/>
    <x v="3"/>
  </r>
  <r>
    <x v="70"/>
    <x v="2"/>
    <x v="0"/>
    <n v="7182002.0700000003"/>
    <x v="3"/>
  </r>
  <r>
    <x v="70"/>
    <x v="17"/>
    <x v="0"/>
    <n v="7855333"/>
    <x v="3"/>
  </r>
  <r>
    <x v="70"/>
    <x v="13"/>
    <x v="0"/>
    <n v="1707804"/>
    <x v="3"/>
  </r>
  <r>
    <x v="86"/>
    <x v="2"/>
    <x v="0"/>
    <n v="22940279.699999999"/>
    <x v="3"/>
  </r>
  <r>
    <x v="86"/>
    <x v="17"/>
    <x v="0"/>
    <n v="17102644"/>
    <x v="3"/>
  </r>
  <r>
    <x v="86"/>
    <x v="13"/>
    <x v="0"/>
    <n v="3346020.3930000002"/>
    <x v="3"/>
  </r>
  <r>
    <x v="86"/>
    <x v="18"/>
    <x v="0"/>
    <n v="10715029.949999999"/>
    <x v="3"/>
  </r>
  <r>
    <x v="86"/>
    <x v="19"/>
    <x v="0"/>
    <n v="2219653.3620000002"/>
    <x v="3"/>
  </r>
  <r>
    <x v="86"/>
    <x v="20"/>
    <x v="0"/>
    <n v="1338125.1070000001"/>
    <x v="3"/>
  </r>
  <r>
    <x v="86"/>
    <x v="14"/>
    <x v="0"/>
    <n v="1759431.4280000001"/>
    <x v="3"/>
  </r>
  <r>
    <x v="86"/>
    <x v="1"/>
    <x v="0"/>
    <n v="3183759.3530000001"/>
    <x v="3"/>
  </r>
  <r>
    <x v="86"/>
    <x v="3"/>
    <x v="0"/>
    <n v="2013158.5589999999"/>
    <x v="3"/>
  </r>
  <r>
    <x v="87"/>
    <x v="11"/>
    <x v="0"/>
    <n v="11012958.02"/>
    <x v="3"/>
  </r>
  <r>
    <x v="87"/>
    <x v="12"/>
    <x v="0"/>
    <n v="13946306.93"/>
    <x v="3"/>
  </r>
  <r>
    <x v="87"/>
    <x v="16"/>
    <x v="0"/>
    <n v="14064482.85"/>
    <x v="3"/>
  </r>
  <r>
    <x v="87"/>
    <x v="21"/>
    <x v="0"/>
    <n v="13043203.880000001"/>
    <x v="3"/>
  </r>
  <r>
    <x v="87"/>
    <x v="0"/>
    <x v="0"/>
    <n v="10943223.85"/>
    <x v="3"/>
  </r>
  <r>
    <x v="87"/>
    <x v="2"/>
    <x v="0"/>
    <n v="15278553.75"/>
    <x v="3"/>
  </r>
  <r>
    <x v="87"/>
    <x v="17"/>
    <x v="0"/>
    <n v="15447464.92"/>
    <x v="3"/>
  </r>
  <r>
    <x v="87"/>
    <x v="13"/>
    <x v="0"/>
    <n v="16535784.82"/>
    <x v="3"/>
  </r>
  <r>
    <x v="87"/>
    <x v="18"/>
    <x v="0"/>
    <n v="18152750.879999999"/>
    <x v="3"/>
  </r>
  <r>
    <x v="87"/>
    <x v="19"/>
    <x v="0"/>
    <n v="12315738.560000001"/>
    <x v="3"/>
  </r>
  <r>
    <x v="87"/>
    <x v="20"/>
    <x v="0"/>
    <n v="13275891.890000001"/>
    <x v="3"/>
  </r>
  <r>
    <x v="87"/>
    <x v="14"/>
    <x v="0"/>
    <n v="17371385.940000001"/>
    <x v="3"/>
  </r>
  <r>
    <x v="87"/>
    <x v="1"/>
    <x v="0"/>
    <n v="18781173.140000001"/>
    <x v="3"/>
  </r>
  <r>
    <x v="87"/>
    <x v="3"/>
    <x v="0"/>
    <n v="16787509.300000001"/>
    <x v="3"/>
  </r>
  <r>
    <x v="87"/>
    <x v="15"/>
    <x v="0"/>
    <n v="17416507.52"/>
    <x v="3"/>
  </r>
  <r>
    <x v="87"/>
    <x v="4"/>
    <x v="0"/>
    <n v="16856316.539999999"/>
    <x v="3"/>
  </r>
  <r>
    <x v="0"/>
    <x v="11"/>
    <x v="0"/>
    <n v="10086560.002"/>
    <x v="3"/>
  </r>
  <r>
    <x v="0"/>
    <x v="12"/>
    <x v="0"/>
    <n v="43823668.079999998"/>
    <x v="3"/>
  </r>
  <r>
    <x v="0"/>
    <x v="16"/>
    <x v="0"/>
    <n v="45131342.593999997"/>
    <x v="3"/>
  </r>
  <r>
    <x v="0"/>
    <x v="21"/>
    <x v="0"/>
    <n v="47036472.314000003"/>
    <x v="3"/>
  </r>
  <r>
    <x v="0"/>
    <x v="0"/>
    <x v="0"/>
    <n v="48228801.545000002"/>
    <x v="3"/>
  </r>
  <r>
    <x v="0"/>
    <x v="2"/>
    <x v="0"/>
    <n v="47427401.202"/>
    <x v="3"/>
  </r>
  <r>
    <x v="0"/>
    <x v="17"/>
    <x v="0"/>
    <n v="45201397.730999999"/>
    <x v="3"/>
  </r>
  <r>
    <x v="0"/>
    <x v="13"/>
    <x v="0"/>
    <n v="45621785.450000003"/>
    <x v="3"/>
  </r>
  <r>
    <x v="0"/>
    <x v="18"/>
    <x v="0"/>
    <n v="47119037.060000002"/>
    <x v="3"/>
  </r>
  <r>
    <x v="0"/>
    <x v="19"/>
    <x v="0"/>
    <n v="44130903.68"/>
    <x v="3"/>
  </r>
  <r>
    <x v="0"/>
    <x v="20"/>
    <x v="0"/>
    <n v="42613647.479999997"/>
    <x v="3"/>
  </r>
  <r>
    <x v="0"/>
    <x v="14"/>
    <x v="0"/>
    <n v="39237307.866999999"/>
    <x v="3"/>
  </r>
  <r>
    <x v="0"/>
    <x v="1"/>
    <x v="0"/>
    <n v="49184165.859999999"/>
    <x v="3"/>
  </r>
  <r>
    <x v="0"/>
    <x v="3"/>
    <x v="0"/>
    <n v="39286599.759999998"/>
    <x v="3"/>
  </r>
  <r>
    <x v="0"/>
    <x v="15"/>
    <x v="0"/>
    <n v="47754260.25"/>
    <x v="3"/>
  </r>
  <r>
    <x v="0"/>
    <x v="4"/>
    <x v="0"/>
    <n v="40705489.789999999"/>
    <x v="3"/>
  </r>
  <r>
    <x v="1"/>
    <x v="11"/>
    <x v="0"/>
    <n v="7818600"/>
    <x v="3"/>
  </r>
  <r>
    <x v="1"/>
    <x v="12"/>
    <x v="0"/>
    <n v="10250300"/>
    <x v="3"/>
  </r>
  <r>
    <x v="1"/>
    <x v="16"/>
    <x v="0"/>
    <n v="9765300"/>
    <x v="3"/>
  </r>
  <r>
    <x v="1"/>
    <x v="21"/>
    <x v="0"/>
    <n v="8284100"/>
    <x v="3"/>
  </r>
  <r>
    <x v="1"/>
    <x v="0"/>
    <x v="0"/>
    <n v="5950100"/>
    <x v="3"/>
  </r>
  <r>
    <x v="1"/>
    <x v="2"/>
    <x v="0"/>
    <n v="7132162"/>
    <x v="3"/>
  </r>
  <r>
    <x v="1"/>
    <x v="17"/>
    <x v="0"/>
    <n v="7405216"/>
    <x v="3"/>
  </r>
  <r>
    <x v="1"/>
    <x v="13"/>
    <x v="0"/>
    <n v="5386879"/>
    <x v="3"/>
  </r>
  <r>
    <x v="1"/>
    <x v="1"/>
    <x v="0"/>
    <n v="10383625.282"/>
    <x v="3"/>
  </r>
  <r>
    <x v="88"/>
    <x v="13"/>
    <x v="0"/>
    <n v="846376.74"/>
    <x v="3"/>
  </r>
  <r>
    <x v="89"/>
    <x v="12"/>
    <x v="0"/>
    <n v="1106459"/>
    <x v="3"/>
  </r>
  <r>
    <x v="89"/>
    <x v="16"/>
    <x v="0"/>
    <n v="1054128"/>
    <x v="3"/>
  </r>
  <r>
    <x v="89"/>
    <x v="21"/>
    <x v="0"/>
    <n v="791501"/>
    <x v="3"/>
  </r>
  <r>
    <x v="89"/>
    <x v="0"/>
    <x v="0"/>
    <n v="1147553"/>
    <x v="3"/>
  </r>
  <r>
    <x v="89"/>
    <x v="2"/>
    <x v="0"/>
    <n v="1316539"/>
    <x v="3"/>
  </r>
  <r>
    <x v="89"/>
    <x v="17"/>
    <x v="0"/>
    <n v="1816273"/>
    <x v="3"/>
  </r>
  <r>
    <x v="89"/>
    <x v="13"/>
    <x v="0"/>
    <n v="2448591"/>
    <x v="3"/>
  </r>
  <r>
    <x v="89"/>
    <x v="18"/>
    <x v="0"/>
    <n v="2461028"/>
    <x v="3"/>
  </r>
  <r>
    <x v="89"/>
    <x v="19"/>
    <x v="0"/>
    <n v="2191491"/>
    <x v="3"/>
  </r>
  <r>
    <x v="89"/>
    <x v="20"/>
    <x v="0"/>
    <n v="2954488.1439999999"/>
    <x v="3"/>
  </r>
  <r>
    <x v="89"/>
    <x v="14"/>
    <x v="0"/>
    <n v="2920006"/>
    <x v="3"/>
  </r>
  <r>
    <x v="89"/>
    <x v="1"/>
    <x v="0"/>
    <n v="3651993"/>
    <x v="3"/>
  </r>
  <r>
    <x v="89"/>
    <x v="3"/>
    <x v="0"/>
    <n v="2688446"/>
    <x v="3"/>
  </r>
  <r>
    <x v="89"/>
    <x v="15"/>
    <x v="0"/>
    <n v="2070592"/>
    <x v="3"/>
  </r>
  <r>
    <x v="2"/>
    <x v="11"/>
    <x v="0"/>
    <n v="13344465.470000001"/>
    <x v="3"/>
  </r>
  <r>
    <x v="2"/>
    <x v="12"/>
    <x v="0"/>
    <n v="15542088.4"/>
    <x v="3"/>
  </r>
  <r>
    <x v="2"/>
    <x v="16"/>
    <x v="0"/>
    <n v="14816540.43"/>
    <x v="3"/>
  </r>
  <r>
    <x v="2"/>
    <x v="21"/>
    <x v="0"/>
    <n v="14359289.859999999"/>
    <x v="3"/>
  </r>
  <r>
    <x v="2"/>
    <x v="0"/>
    <x v="0"/>
    <n v="16306765.4"/>
    <x v="3"/>
  </r>
  <r>
    <x v="2"/>
    <x v="2"/>
    <x v="0"/>
    <n v="13246701.869999999"/>
    <x v="3"/>
  </r>
  <r>
    <x v="2"/>
    <x v="17"/>
    <x v="0"/>
    <n v="13480032.76"/>
    <x v="3"/>
  </r>
  <r>
    <x v="2"/>
    <x v="13"/>
    <x v="0"/>
    <n v="16460097.560000001"/>
    <x v="3"/>
  </r>
  <r>
    <x v="2"/>
    <x v="18"/>
    <x v="0"/>
    <n v="17523825.82"/>
    <x v="3"/>
  </r>
  <r>
    <x v="2"/>
    <x v="19"/>
    <x v="0"/>
    <n v="13433402.647"/>
    <x v="3"/>
  </r>
  <r>
    <x v="2"/>
    <x v="20"/>
    <x v="0"/>
    <n v="13353766.27"/>
    <x v="3"/>
  </r>
  <r>
    <x v="2"/>
    <x v="14"/>
    <x v="0"/>
    <n v="13289686.369999999"/>
    <x v="3"/>
  </r>
  <r>
    <x v="2"/>
    <x v="1"/>
    <x v="0"/>
    <n v="14188741.949999999"/>
    <x v="3"/>
  </r>
  <r>
    <x v="2"/>
    <x v="3"/>
    <x v="0"/>
    <n v="13296447.83"/>
    <x v="3"/>
  </r>
  <r>
    <x v="2"/>
    <x v="15"/>
    <x v="0"/>
    <n v="12632526.607999999"/>
    <x v="3"/>
  </r>
  <r>
    <x v="2"/>
    <x v="4"/>
    <x v="0"/>
    <n v="11458086.905999999"/>
    <x v="3"/>
  </r>
  <r>
    <x v="90"/>
    <x v="11"/>
    <x v="0"/>
    <n v="1964377"/>
    <x v="3"/>
  </r>
  <r>
    <x v="90"/>
    <x v="12"/>
    <x v="0"/>
    <n v="1421485"/>
    <x v="3"/>
  </r>
  <r>
    <x v="90"/>
    <x v="16"/>
    <x v="0"/>
    <n v="1126514"/>
    <x v="3"/>
  </r>
  <r>
    <x v="90"/>
    <x v="21"/>
    <x v="0"/>
    <n v="1293874"/>
    <x v="3"/>
  </r>
  <r>
    <x v="90"/>
    <x v="0"/>
    <x v="0"/>
    <n v="2098607"/>
    <x v="3"/>
  </r>
  <r>
    <x v="90"/>
    <x v="2"/>
    <x v="0"/>
    <n v="1735669"/>
    <x v="3"/>
  </r>
  <r>
    <x v="90"/>
    <x v="17"/>
    <x v="0"/>
    <n v="2245743"/>
    <x v="3"/>
  </r>
  <r>
    <x v="90"/>
    <x v="13"/>
    <x v="0"/>
    <n v="2085802.44"/>
    <x v="3"/>
  </r>
  <r>
    <x v="90"/>
    <x v="18"/>
    <x v="0"/>
    <n v="2129998.98"/>
    <x v="3"/>
  </r>
  <r>
    <x v="90"/>
    <x v="19"/>
    <x v="0"/>
    <n v="2781566.15"/>
    <x v="3"/>
  </r>
  <r>
    <x v="90"/>
    <x v="20"/>
    <x v="0"/>
    <n v="2359639.54"/>
    <x v="3"/>
  </r>
  <r>
    <x v="90"/>
    <x v="14"/>
    <x v="0"/>
    <n v="1874533.9"/>
    <x v="3"/>
  </r>
  <r>
    <x v="90"/>
    <x v="1"/>
    <x v="0"/>
    <n v="2748305.35"/>
    <x v="3"/>
  </r>
  <r>
    <x v="90"/>
    <x v="3"/>
    <x v="0"/>
    <n v="2604563.59"/>
    <x v="3"/>
  </r>
  <r>
    <x v="90"/>
    <x v="15"/>
    <x v="0"/>
    <n v="2956133.52"/>
    <x v="3"/>
  </r>
  <r>
    <x v="90"/>
    <x v="4"/>
    <x v="0"/>
    <n v="2156157.52"/>
    <x v="3"/>
  </r>
  <r>
    <x v="3"/>
    <x v="23"/>
    <x v="0"/>
    <n v="709296"/>
    <x v="3"/>
  </r>
  <r>
    <x v="3"/>
    <x v="8"/>
    <x v="0"/>
    <n v="829400"/>
    <x v="3"/>
  </r>
  <r>
    <x v="3"/>
    <x v="10"/>
    <x v="0"/>
    <n v="1395322"/>
    <x v="3"/>
  </r>
  <r>
    <x v="3"/>
    <x v="11"/>
    <x v="0"/>
    <n v="2292319"/>
    <x v="3"/>
  </r>
  <r>
    <x v="3"/>
    <x v="12"/>
    <x v="0"/>
    <n v="3411322"/>
    <x v="3"/>
  </r>
  <r>
    <x v="3"/>
    <x v="16"/>
    <x v="0"/>
    <n v="2723040"/>
    <x v="3"/>
  </r>
  <r>
    <x v="3"/>
    <x v="21"/>
    <x v="0"/>
    <n v="4678984"/>
    <x v="3"/>
  </r>
  <r>
    <x v="3"/>
    <x v="0"/>
    <x v="0"/>
    <n v="8744314"/>
    <x v="3"/>
  </r>
  <r>
    <x v="3"/>
    <x v="2"/>
    <x v="0"/>
    <n v="8198761"/>
    <x v="3"/>
  </r>
  <r>
    <x v="3"/>
    <x v="17"/>
    <x v="0"/>
    <n v="6864827"/>
    <x v="3"/>
  </r>
  <r>
    <x v="3"/>
    <x v="13"/>
    <x v="0"/>
    <n v="4250648"/>
    <x v="3"/>
  </r>
  <r>
    <x v="3"/>
    <x v="18"/>
    <x v="0"/>
    <n v="4329607"/>
    <x v="3"/>
  </r>
  <r>
    <x v="3"/>
    <x v="19"/>
    <x v="0"/>
    <n v="2563192"/>
    <x v="3"/>
  </r>
  <r>
    <x v="3"/>
    <x v="20"/>
    <x v="0"/>
    <n v="1765375"/>
    <x v="3"/>
  </r>
  <r>
    <x v="3"/>
    <x v="14"/>
    <x v="0"/>
    <n v="1602909"/>
    <x v="3"/>
  </r>
  <r>
    <x v="3"/>
    <x v="1"/>
    <x v="0"/>
    <n v="1947569"/>
    <x v="3"/>
  </r>
  <r>
    <x v="3"/>
    <x v="15"/>
    <x v="0"/>
    <n v="2115927"/>
    <x v="3"/>
  </r>
  <r>
    <x v="3"/>
    <x v="4"/>
    <x v="0"/>
    <n v="3524025"/>
    <x v="3"/>
  </r>
  <r>
    <x v="91"/>
    <x v="21"/>
    <x v="0"/>
    <n v="874475"/>
    <x v="3"/>
  </r>
  <r>
    <x v="91"/>
    <x v="0"/>
    <x v="0"/>
    <n v="895300"/>
    <x v="3"/>
  </r>
  <r>
    <x v="91"/>
    <x v="17"/>
    <x v="0"/>
    <n v="875176"/>
    <x v="3"/>
  </r>
  <r>
    <x v="91"/>
    <x v="18"/>
    <x v="0"/>
    <n v="902418"/>
    <x v="3"/>
  </r>
  <r>
    <x v="91"/>
    <x v="19"/>
    <x v="0"/>
    <n v="960052"/>
    <x v="3"/>
  </r>
  <r>
    <x v="91"/>
    <x v="20"/>
    <x v="0"/>
    <n v="1684473"/>
    <x v="3"/>
  </r>
  <r>
    <x v="91"/>
    <x v="14"/>
    <x v="0"/>
    <n v="1491885"/>
    <x v="3"/>
  </r>
  <r>
    <x v="91"/>
    <x v="1"/>
    <x v="0"/>
    <n v="1693560.2050000001"/>
    <x v="3"/>
  </r>
  <r>
    <x v="91"/>
    <x v="3"/>
    <x v="0"/>
    <n v="1769288"/>
    <x v="3"/>
  </r>
  <r>
    <x v="4"/>
    <x v="11"/>
    <x v="0"/>
    <n v="34634587"/>
    <x v="3"/>
  </r>
  <r>
    <x v="4"/>
    <x v="12"/>
    <x v="0"/>
    <n v="31019154"/>
    <x v="3"/>
  </r>
  <r>
    <x v="4"/>
    <x v="16"/>
    <x v="0"/>
    <n v="30343118"/>
    <x v="3"/>
  </r>
  <r>
    <x v="4"/>
    <x v="21"/>
    <x v="0"/>
    <n v="35366358"/>
    <x v="3"/>
  </r>
  <r>
    <x v="4"/>
    <x v="0"/>
    <x v="0"/>
    <n v="33552974"/>
    <x v="3"/>
  </r>
  <r>
    <x v="4"/>
    <x v="2"/>
    <x v="0"/>
    <n v="36296011"/>
    <x v="3"/>
  </r>
  <r>
    <x v="4"/>
    <x v="17"/>
    <x v="0"/>
    <n v="26434699"/>
    <x v="3"/>
  </r>
  <r>
    <x v="4"/>
    <x v="13"/>
    <x v="0"/>
    <n v="29578344"/>
    <x v="3"/>
  </r>
  <r>
    <x v="4"/>
    <x v="18"/>
    <x v="0"/>
    <n v="27587160"/>
    <x v="3"/>
  </r>
  <r>
    <x v="4"/>
    <x v="19"/>
    <x v="0"/>
    <n v="29346190"/>
    <x v="3"/>
  </r>
  <r>
    <x v="4"/>
    <x v="20"/>
    <x v="0"/>
    <n v="36559436.402000003"/>
    <x v="3"/>
  </r>
  <r>
    <x v="4"/>
    <x v="14"/>
    <x v="0"/>
    <n v="31018121.024999999"/>
    <x v="3"/>
  </r>
  <r>
    <x v="4"/>
    <x v="1"/>
    <x v="0"/>
    <n v="37390128.254000001"/>
    <x v="3"/>
  </r>
  <r>
    <x v="4"/>
    <x v="3"/>
    <x v="0"/>
    <n v="31157493.789000001"/>
    <x v="3"/>
  </r>
  <r>
    <x v="4"/>
    <x v="15"/>
    <x v="0"/>
    <n v="37397050.818999998"/>
    <x v="3"/>
  </r>
  <r>
    <x v="4"/>
    <x v="4"/>
    <x v="0"/>
    <n v="28211808.372000001"/>
    <x v="3"/>
  </r>
  <r>
    <x v="72"/>
    <x v="5"/>
    <x v="0"/>
    <n v="6491211.5310000004"/>
    <x v="3"/>
  </r>
  <r>
    <x v="72"/>
    <x v="22"/>
    <x v="0"/>
    <n v="7275331.1459999997"/>
    <x v="3"/>
  </r>
  <r>
    <x v="72"/>
    <x v="6"/>
    <x v="0"/>
    <n v="7649241.7290000003"/>
    <x v="3"/>
  </r>
  <r>
    <x v="72"/>
    <x v="7"/>
    <x v="0"/>
    <n v="8451534.7259999998"/>
    <x v="3"/>
  </r>
  <r>
    <x v="72"/>
    <x v="8"/>
    <x v="0"/>
    <n v="7808316.8530000001"/>
    <x v="3"/>
  </r>
  <r>
    <x v="72"/>
    <x v="9"/>
    <x v="0"/>
    <n v="8507140.6270000003"/>
    <x v="3"/>
  </r>
  <r>
    <x v="72"/>
    <x v="10"/>
    <x v="0"/>
    <n v="7042005.0559999999"/>
    <x v="3"/>
  </r>
  <r>
    <x v="72"/>
    <x v="11"/>
    <x v="0"/>
    <n v="10750642.607999999"/>
    <x v="3"/>
  </r>
  <r>
    <x v="72"/>
    <x v="12"/>
    <x v="0"/>
    <n v="12419234.460000001"/>
    <x v="3"/>
  </r>
  <r>
    <x v="72"/>
    <x v="16"/>
    <x v="0"/>
    <n v="10827761.106000001"/>
    <x v="3"/>
  </r>
  <r>
    <x v="72"/>
    <x v="21"/>
    <x v="0"/>
    <n v="16354618.93"/>
    <x v="3"/>
  </r>
  <r>
    <x v="72"/>
    <x v="0"/>
    <x v="0"/>
    <n v="16917782.342"/>
    <x v="3"/>
  </r>
  <r>
    <x v="72"/>
    <x v="2"/>
    <x v="0"/>
    <n v="19274887.405000001"/>
    <x v="3"/>
  </r>
  <r>
    <x v="72"/>
    <x v="17"/>
    <x v="0"/>
    <n v="15445772.487"/>
    <x v="3"/>
  </r>
  <r>
    <x v="72"/>
    <x v="13"/>
    <x v="0"/>
    <n v="21947004.067000002"/>
    <x v="3"/>
  </r>
  <r>
    <x v="72"/>
    <x v="18"/>
    <x v="0"/>
    <n v="22338270.936000001"/>
    <x v="3"/>
  </r>
  <r>
    <x v="72"/>
    <x v="19"/>
    <x v="0"/>
    <n v="23893590.760000002"/>
    <x v="3"/>
  </r>
  <r>
    <x v="72"/>
    <x v="20"/>
    <x v="0"/>
    <n v="29519908.420000002"/>
    <x v="3"/>
  </r>
  <r>
    <x v="72"/>
    <x v="14"/>
    <x v="0"/>
    <n v="24664482.848000001"/>
    <x v="3"/>
  </r>
  <r>
    <x v="72"/>
    <x v="1"/>
    <x v="0"/>
    <n v="28181400.699999999"/>
    <x v="3"/>
  </r>
  <r>
    <x v="72"/>
    <x v="3"/>
    <x v="0"/>
    <n v="26486972.111000001"/>
    <x v="3"/>
  </r>
  <r>
    <x v="72"/>
    <x v="15"/>
    <x v="0"/>
    <n v="33951945.432999998"/>
    <x v="3"/>
  </r>
  <r>
    <x v="72"/>
    <x v="4"/>
    <x v="0"/>
    <n v="33359772.443"/>
    <x v="3"/>
  </r>
  <r>
    <x v="5"/>
    <x v="11"/>
    <x v="0"/>
    <n v="1860787"/>
    <x v="3"/>
  </r>
  <r>
    <x v="5"/>
    <x v="12"/>
    <x v="0"/>
    <n v="2583273"/>
    <x v="3"/>
  </r>
  <r>
    <x v="5"/>
    <x v="16"/>
    <x v="0"/>
    <n v="1217872"/>
    <x v="3"/>
  </r>
  <r>
    <x v="5"/>
    <x v="2"/>
    <x v="0"/>
    <n v="2783262.77"/>
    <x v="3"/>
  </r>
  <r>
    <x v="5"/>
    <x v="17"/>
    <x v="0"/>
    <n v="5713968.267"/>
    <x v="3"/>
  </r>
  <r>
    <x v="5"/>
    <x v="13"/>
    <x v="0"/>
    <n v="4964247.7649999997"/>
    <x v="3"/>
  </r>
  <r>
    <x v="5"/>
    <x v="18"/>
    <x v="0"/>
    <n v="5933794.5060000001"/>
    <x v="3"/>
  </r>
  <r>
    <x v="5"/>
    <x v="19"/>
    <x v="0"/>
    <n v="6319531.2010000004"/>
    <x v="3"/>
  </r>
  <r>
    <x v="5"/>
    <x v="20"/>
    <x v="0"/>
    <n v="6856987.2220000001"/>
    <x v="3"/>
  </r>
  <r>
    <x v="5"/>
    <x v="14"/>
    <x v="0"/>
    <n v="5710269.3080000002"/>
    <x v="3"/>
  </r>
  <r>
    <x v="5"/>
    <x v="1"/>
    <x v="0"/>
    <n v="6246155"/>
    <x v="3"/>
  </r>
  <r>
    <x v="5"/>
    <x v="3"/>
    <x v="0"/>
    <n v="6666104.6560000004"/>
    <x v="3"/>
  </r>
  <r>
    <x v="5"/>
    <x v="15"/>
    <x v="0"/>
    <n v="4786201.34"/>
    <x v="3"/>
  </r>
  <r>
    <x v="5"/>
    <x v="4"/>
    <x v="0"/>
    <n v="2464439"/>
    <x v="3"/>
  </r>
  <r>
    <x v="6"/>
    <x v="11"/>
    <x v="0"/>
    <n v="7295575.9699999997"/>
    <x v="3"/>
  </r>
  <r>
    <x v="6"/>
    <x v="0"/>
    <x v="0"/>
    <n v="30222501.690000001"/>
    <x v="3"/>
  </r>
  <r>
    <x v="6"/>
    <x v="2"/>
    <x v="0"/>
    <n v="3283808.38"/>
    <x v="3"/>
  </r>
  <r>
    <x v="6"/>
    <x v="17"/>
    <x v="0"/>
    <n v="28553760.469999999"/>
    <x v="3"/>
  </r>
  <r>
    <x v="6"/>
    <x v="13"/>
    <x v="0"/>
    <n v="25498754.449999999"/>
    <x v="3"/>
  </r>
  <r>
    <x v="6"/>
    <x v="18"/>
    <x v="0"/>
    <n v="32198118.949999999"/>
    <x v="3"/>
  </r>
  <r>
    <x v="6"/>
    <x v="19"/>
    <x v="0"/>
    <n v="31197428.969999999"/>
    <x v="3"/>
  </r>
  <r>
    <x v="6"/>
    <x v="20"/>
    <x v="0"/>
    <n v="46408175.369999997"/>
    <x v="3"/>
  </r>
  <r>
    <x v="6"/>
    <x v="14"/>
    <x v="0"/>
    <n v="39771255.689999998"/>
    <x v="3"/>
  </r>
  <r>
    <x v="6"/>
    <x v="1"/>
    <x v="0"/>
    <n v="33992126.369999997"/>
    <x v="3"/>
  </r>
  <r>
    <x v="6"/>
    <x v="3"/>
    <x v="0"/>
    <n v="30332627.510000002"/>
    <x v="3"/>
  </r>
  <r>
    <x v="6"/>
    <x v="15"/>
    <x v="0"/>
    <n v="6208359.7000000002"/>
    <x v="3"/>
  </r>
  <r>
    <x v="6"/>
    <x v="4"/>
    <x v="0"/>
    <n v="22649650.780000001"/>
    <x v="3"/>
  </r>
  <r>
    <x v="73"/>
    <x v="18"/>
    <x v="0"/>
    <n v="1314027.8400000001"/>
    <x v="3"/>
  </r>
  <r>
    <x v="73"/>
    <x v="20"/>
    <x v="0"/>
    <n v="2026781.9"/>
    <x v="3"/>
  </r>
  <r>
    <x v="7"/>
    <x v="11"/>
    <x v="0"/>
    <n v="3148598"/>
    <x v="3"/>
  </r>
  <r>
    <x v="7"/>
    <x v="12"/>
    <x v="0"/>
    <n v="2696958"/>
    <x v="3"/>
  </r>
  <r>
    <x v="7"/>
    <x v="16"/>
    <x v="0"/>
    <n v="1502187"/>
    <x v="3"/>
  </r>
  <r>
    <x v="7"/>
    <x v="21"/>
    <x v="0"/>
    <n v="2039065"/>
    <x v="3"/>
  </r>
  <r>
    <x v="7"/>
    <x v="0"/>
    <x v="0"/>
    <n v="2753587"/>
    <x v="3"/>
  </r>
  <r>
    <x v="7"/>
    <x v="2"/>
    <x v="0"/>
    <n v="85048797"/>
    <x v="3"/>
  </r>
  <r>
    <x v="7"/>
    <x v="17"/>
    <x v="0"/>
    <n v="2251567.5890000002"/>
    <x v="3"/>
  </r>
  <r>
    <x v="7"/>
    <x v="13"/>
    <x v="0"/>
    <n v="2753429.72"/>
    <x v="3"/>
  </r>
  <r>
    <x v="7"/>
    <x v="18"/>
    <x v="0"/>
    <n v="3236745.7659999998"/>
    <x v="3"/>
  </r>
  <r>
    <x v="7"/>
    <x v="19"/>
    <x v="0"/>
    <n v="3848208.0019999999"/>
    <x v="3"/>
  </r>
  <r>
    <x v="7"/>
    <x v="20"/>
    <x v="0"/>
    <n v="3689472.4240000001"/>
    <x v="3"/>
  </r>
  <r>
    <x v="7"/>
    <x v="14"/>
    <x v="0"/>
    <n v="3776335.77"/>
    <x v="3"/>
  </r>
  <r>
    <x v="7"/>
    <x v="1"/>
    <x v="0"/>
    <n v="3647817.0060000001"/>
    <x v="3"/>
  </r>
  <r>
    <x v="7"/>
    <x v="3"/>
    <x v="0"/>
    <n v="3692073.8420000002"/>
    <x v="3"/>
  </r>
  <r>
    <x v="7"/>
    <x v="15"/>
    <x v="0"/>
    <n v="4723755.4819999998"/>
    <x v="3"/>
  </r>
  <r>
    <x v="7"/>
    <x v="4"/>
    <x v="0"/>
    <n v="4072968.2209999999"/>
    <x v="3"/>
  </r>
  <r>
    <x v="92"/>
    <x v="11"/>
    <x v="0"/>
    <n v="1730300"/>
    <x v="3"/>
  </r>
  <r>
    <x v="92"/>
    <x v="12"/>
    <x v="0"/>
    <n v="1572500"/>
    <x v="3"/>
  </r>
  <r>
    <x v="92"/>
    <x v="16"/>
    <x v="0"/>
    <n v="1428300"/>
    <x v="3"/>
  </r>
  <r>
    <x v="92"/>
    <x v="21"/>
    <x v="0"/>
    <n v="1935267"/>
    <x v="3"/>
  </r>
  <r>
    <x v="92"/>
    <x v="0"/>
    <x v="0"/>
    <n v="1874566"/>
    <x v="3"/>
  </r>
  <r>
    <x v="92"/>
    <x v="2"/>
    <x v="0"/>
    <n v="1819350"/>
    <x v="3"/>
  </r>
  <r>
    <x v="92"/>
    <x v="17"/>
    <x v="0"/>
    <n v="1680720"/>
    <x v="3"/>
  </r>
  <r>
    <x v="92"/>
    <x v="13"/>
    <x v="0"/>
    <n v="1670376.6329999999"/>
    <x v="3"/>
  </r>
  <r>
    <x v="92"/>
    <x v="18"/>
    <x v="0"/>
    <n v="1937082"/>
    <x v="3"/>
  </r>
  <r>
    <x v="92"/>
    <x v="19"/>
    <x v="0"/>
    <n v="1758547"/>
    <x v="3"/>
  </r>
  <r>
    <x v="92"/>
    <x v="20"/>
    <x v="0"/>
    <n v="1734843"/>
    <x v="3"/>
  </r>
  <r>
    <x v="92"/>
    <x v="14"/>
    <x v="0"/>
    <n v="1145384.1540000001"/>
    <x v="3"/>
  </r>
  <r>
    <x v="92"/>
    <x v="1"/>
    <x v="0"/>
    <n v="1659321"/>
    <x v="3"/>
  </r>
  <r>
    <x v="92"/>
    <x v="3"/>
    <x v="0"/>
    <n v="1685571"/>
    <x v="3"/>
  </r>
  <r>
    <x v="92"/>
    <x v="15"/>
    <x v="0"/>
    <n v="1946832"/>
    <x v="3"/>
  </r>
  <r>
    <x v="8"/>
    <x v="11"/>
    <x v="0"/>
    <n v="1653300"/>
    <x v="3"/>
  </r>
  <r>
    <x v="8"/>
    <x v="12"/>
    <x v="0"/>
    <n v="2514100"/>
    <x v="3"/>
  </r>
  <r>
    <x v="8"/>
    <x v="16"/>
    <x v="0"/>
    <n v="2480300"/>
    <x v="3"/>
  </r>
  <r>
    <x v="8"/>
    <x v="21"/>
    <x v="0"/>
    <n v="3189529"/>
    <x v="3"/>
  </r>
  <r>
    <x v="8"/>
    <x v="0"/>
    <x v="0"/>
    <n v="5534204"/>
    <x v="3"/>
  </r>
  <r>
    <x v="8"/>
    <x v="2"/>
    <x v="0"/>
    <n v="5262253"/>
    <x v="3"/>
  </r>
  <r>
    <x v="8"/>
    <x v="17"/>
    <x v="0"/>
    <n v="5397815"/>
    <x v="3"/>
  </r>
  <r>
    <x v="8"/>
    <x v="13"/>
    <x v="0"/>
    <n v="5914270.4800000004"/>
    <x v="3"/>
  </r>
  <r>
    <x v="8"/>
    <x v="18"/>
    <x v="0"/>
    <n v="7526146.2580000004"/>
    <x v="3"/>
  </r>
  <r>
    <x v="8"/>
    <x v="19"/>
    <x v="0"/>
    <n v="7951088.3550000004"/>
    <x v="3"/>
  </r>
  <r>
    <x v="8"/>
    <x v="20"/>
    <x v="0"/>
    <n v="8110143.9060000004"/>
    <x v="3"/>
  </r>
  <r>
    <x v="8"/>
    <x v="14"/>
    <x v="0"/>
    <n v="7801123.2920000004"/>
    <x v="3"/>
  </r>
  <r>
    <x v="8"/>
    <x v="1"/>
    <x v="0"/>
    <n v="7968859.9460000005"/>
    <x v="3"/>
  </r>
  <r>
    <x v="8"/>
    <x v="3"/>
    <x v="0"/>
    <n v="8216027.2769999998"/>
    <x v="3"/>
  </r>
  <r>
    <x v="8"/>
    <x v="15"/>
    <x v="0"/>
    <n v="9393754.0209999997"/>
    <x v="3"/>
  </r>
  <r>
    <x v="8"/>
    <x v="4"/>
    <x v="0"/>
    <n v="10048408.575999999"/>
    <x v="3"/>
  </r>
  <r>
    <x v="52"/>
    <x v="11"/>
    <x v="0"/>
    <n v="7443200"/>
    <x v="3"/>
  </r>
  <r>
    <x v="52"/>
    <x v="12"/>
    <x v="0"/>
    <n v="7992600"/>
    <x v="3"/>
  </r>
  <r>
    <x v="52"/>
    <x v="16"/>
    <x v="0"/>
    <n v="6532600"/>
    <x v="3"/>
  </r>
  <r>
    <x v="52"/>
    <x v="21"/>
    <x v="0"/>
    <n v="9833200"/>
    <x v="3"/>
  </r>
  <r>
    <x v="52"/>
    <x v="0"/>
    <x v="0"/>
    <n v="8195052"/>
    <x v="3"/>
  </r>
  <r>
    <x v="52"/>
    <x v="2"/>
    <x v="0"/>
    <n v="6966819"/>
    <x v="3"/>
  </r>
  <r>
    <x v="52"/>
    <x v="17"/>
    <x v="0"/>
    <n v="8184941"/>
    <x v="3"/>
  </r>
  <r>
    <x v="52"/>
    <x v="13"/>
    <x v="0"/>
    <n v="8455385"/>
    <x v="3"/>
  </r>
  <r>
    <x v="52"/>
    <x v="18"/>
    <x v="0"/>
    <n v="7307138"/>
    <x v="3"/>
  </r>
  <r>
    <x v="52"/>
    <x v="19"/>
    <x v="0"/>
    <n v="6981782"/>
    <x v="3"/>
  </r>
  <r>
    <x v="52"/>
    <x v="20"/>
    <x v="0"/>
    <n v="6917453"/>
    <x v="3"/>
  </r>
  <r>
    <x v="52"/>
    <x v="14"/>
    <x v="0"/>
    <n v="6437934"/>
    <x v="3"/>
  </r>
  <r>
    <x v="52"/>
    <x v="1"/>
    <x v="0"/>
    <n v="6661517"/>
    <x v="3"/>
  </r>
  <r>
    <x v="52"/>
    <x v="3"/>
    <x v="0"/>
    <n v="6901308"/>
    <x v="3"/>
  </r>
  <r>
    <x v="52"/>
    <x v="15"/>
    <x v="0"/>
    <n v="8260234.7170000002"/>
    <x v="3"/>
  </r>
  <r>
    <x v="52"/>
    <x v="4"/>
    <x v="0"/>
    <n v="7382351.2560000001"/>
    <x v="3"/>
  </r>
  <r>
    <x v="93"/>
    <x v="25"/>
    <x v="0"/>
    <n v="15126314.988"/>
    <x v="3"/>
  </r>
  <r>
    <x v="93"/>
    <x v="5"/>
    <x v="0"/>
    <n v="9522258.2929999996"/>
    <x v="3"/>
  </r>
  <r>
    <x v="93"/>
    <x v="22"/>
    <x v="0"/>
    <n v="8249241.7470000004"/>
    <x v="3"/>
  </r>
  <r>
    <x v="93"/>
    <x v="6"/>
    <x v="0"/>
    <n v="10302671.82"/>
    <x v="3"/>
  </r>
  <r>
    <x v="93"/>
    <x v="7"/>
    <x v="0"/>
    <n v="14413239.609999999"/>
    <x v="3"/>
  </r>
  <r>
    <x v="93"/>
    <x v="8"/>
    <x v="0"/>
    <n v="14542095.890000001"/>
    <x v="3"/>
  </r>
  <r>
    <x v="93"/>
    <x v="9"/>
    <x v="0"/>
    <n v="14285362.847999999"/>
    <x v="3"/>
  </r>
  <r>
    <x v="93"/>
    <x v="10"/>
    <x v="0"/>
    <n v="9509862.5170000009"/>
    <x v="3"/>
  </r>
  <r>
    <x v="93"/>
    <x v="0"/>
    <x v="0"/>
    <n v="2776928.415"/>
    <x v="3"/>
  </r>
  <r>
    <x v="93"/>
    <x v="2"/>
    <x v="0"/>
    <n v="3418759.9440000001"/>
    <x v="3"/>
  </r>
  <r>
    <x v="93"/>
    <x v="17"/>
    <x v="0"/>
    <n v="3710172.3969999999"/>
    <x v="3"/>
  </r>
  <r>
    <x v="93"/>
    <x v="13"/>
    <x v="0"/>
    <n v="4479746.148"/>
    <x v="3"/>
  </r>
  <r>
    <x v="93"/>
    <x v="18"/>
    <x v="0"/>
    <n v="4830829.2439999999"/>
    <x v="3"/>
  </r>
  <r>
    <x v="93"/>
    <x v="19"/>
    <x v="0"/>
    <n v="5063988.193"/>
    <x v="3"/>
  </r>
  <r>
    <x v="93"/>
    <x v="20"/>
    <x v="0"/>
    <n v="6426738.8370000003"/>
    <x v="3"/>
  </r>
  <r>
    <x v="93"/>
    <x v="14"/>
    <x v="0"/>
    <n v="6101980.4280000003"/>
    <x v="3"/>
  </r>
  <r>
    <x v="93"/>
    <x v="1"/>
    <x v="0"/>
    <n v="5615841.4469999997"/>
    <x v="3"/>
  </r>
  <r>
    <x v="93"/>
    <x v="3"/>
    <x v="0"/>
    <n v="6160035.1699999999"/>
    <x v="3"/>
  </r>
  <r>
    <x v="93"/>
    <x v="15"/>
    <x v="0"/>
    <n v="6467466.5990000004"/>
    <x v="3"/>
  </r>
  <r>
    <x v="94"/>
    <x v="11"/>
    <x v="0"/>
    <n v="58808742.158"/>
    <x v="3"/>
  </r>
  <r>
    <x v="94"/>
    <x v="2"/>
    <x v="0"/>
    <n v="85972929.305000007"/>
    <x v="3"/>
  </r>
  <r>
    <x v="94"/>
    <x v="17"/>
    <x v="0"/>
    <n v="123386907.40000001"/>
    <x v="3"/>
  </r>
  <r>
    <x v="94"/>
    <x v="13"/>
    <x v="0"/>
    <n v="30068034.260000002"/>
    <x v="3"/>
  </r>
  <r>
    <x v="94"/>
    <x v="18"/>
    <x v="0"/>
    <n v="33027795.859999999"/>
    <x v="3"/>
  </r>
  <r>
    <x v="94"/>
    <x v="19"/>
    <x v="0"/>
    <n v="31876720.791999999"/>
    <x v="3"/>
  </r>
  <r>
    <x v="94"/>
    <x v="20"/>
    <x v="0"/>
    <n v="36597563.553999998"/>
    <x v="3"/>
  </r>
  <r>
    <x v="94"/>
    <x v="14"/>
    <x v="0"/>
    <n v="46785525.391999997"/>
    <x v="3"/>
  </r>
  <r>
    <x v="94"/>
    <x v="1"/>
    <x v="0"/>
    <n v="49105176.454999998"/>
    <x v="3"/>
  </r>
  <r>
    <x v="94"/>
    <x v="3"/>
    <x v="0"/>
    <n v="14092802.283"/>
    <x v="3"/>
  </r>
  <r>
    <x v="94"/>
    <x v="15"/>
    <x v="0"/>
    <n v="23730254.197999999"/>
    <x v="3"/>
  </r>
  <r>
    <x v="94"/>
    <x v="4"/>
    <x v="0"/>
    <n v="22236997.537999999"/>
    <x v="3"/>
  </r>
  <r>
    <x v="11"/>
    <x v="16"/>
    <x v="0"/>
    <n v="1093804.8700000001"/>
    <x v="3"/>
  </r>
  <r>
    <x v="11"/>
    <x v="21"/>
    <x v="0"/>
    <n v="732789.23"/>
    <x v="3"/>
  </r>
  <r>
    <x v="11"/>
    <x v="13"/>
    <x v="0"/>
    <n v="910839.33"/>
    <x v="3"/>
  </r>
  <r>
    <x v="12"/>
    <x v="0"/>
    <x v="0"/>
    <n v="94176271.799999997"/>
    <x v="3"/>
  </r>
  <r>
    <x v="95"/>
    <x v="17"/>
    <x v="0"/>
    <n v="954320.88"/>
    <x v="3"/>
  </r>
  <r>
    <x v="95"/>
    <x v="13"/>
    <x v="0"/>
    <n v="910188.1"/>
    <x v="3"/>
  </r>
  <r>
    <x v="13"/>
    <x v="0"/>
    <x v="0"/>
    <n v="1375127.18"/>
    <x v="3"/>
  </r>
  <r>
    <x v="13"/>
    <x v="2"/>
    <x v="0"/>
    <n v="2218240.46"/>
    <x v="3"/>
  </r>
  <r>
    <x v="13"/>
    <x v="17"/>
    <x v="0"/>
    <n v="2395909.1"/>
    <x v="3"/>
  </r>
  <r>
    <x v="13"/>
    <x v="13"/>
    <x v="0"/>
    <n v="2332154.4700000002"/>
    <x v="3"/>
  </r>
  <r>
    <x v="13"/>
    <x v="18"/>
    <x v="0"/>
    <n v="2557677.2200000002"/>
    <x v="3"/>
  </r>
  <r>
    <x v="13"/>
    <x v="19"/>
    <x v="0"/>
    <n v="2055955.28"/>
    <x v="3"/>
  </r>
  <r>
    <x v="13"/>
    <x v="20"/>
    <x v="0"/>
    <n v="2408802.9300000002"/>
    <x v="3"/>
  </r>
  <r>
    <x v="13"/>
    <x v="14"/>
    <x v="0"/>
    <n v="2410938.8199999998"/>
    <x v="3"/>
  </r>
  <r>
    <x v="13"/>
    <x v="1"/>
    <x v="0"/>
    <n v="1580187.02"/>
    <x v="3"/>
  </r>
  <r>
    <x v="13"/>
    <x v="3"/>
    <x v="0"/>
    <n v="2482163.7599999998"/>
    <x v="3"/>
  </r>
  <r>
    <x v="13"/>
    <x v="15"/>
    <x v="0"/>
    <n v="3210572.96"/>
    <x v="3"/>
  </r>
  <r>
    <x v="13"/>
    <x v="4"/>
    <x v="0"/>
    <n v="2111106.2000000002"/>
    <x v="3"/>
  </r>
  <r>
    <x v="96"/>
    <x v="11"/>
    <x v="0"/>
    <n v="7220200"/>
    <x v="3"/>
  </r>
  <r>
    <x v="96"/>
    <x v="12"/>
    <x v="0"/>
    <n v="7038200"/>
    <x v="3"/>
  </r>
  <r>
    <x v="96"/>
    <x v="16"/>
    <x v="0"/>
    <n v="6505700"/>
    <x v="3"/>
  </r>
  <r>
    <x v="96"/>
    <x v="21"/>
    <x v="0"/>
    <n v="8018102"/>
    <x v="3"/>
  </r>
  <r>
    <x v="96"/>
    <x v="0"/>
    <x v="0"/>
    <n v="7462968"/>
    <x v="3"/>
  </r>
  <r>
    <x v="96"/>
    <x v="2"/>
    <x v="0"/>
    <n v="7481946"/>
    <x v="3"/>
  </r>
  <r>
    <x v="96"/>
    <x v="17"/>
    <x v="0"/>
    <n v="6602901"/>
    <x v="3"/>
  </r>
  <r>
    <x v="96"/>
    <x v="13"/>
    <x v="0"/>
    <n v="8009194"/>
    <x v="3"/>
  </r>
  <r>
    <x v="96"/>
    <x v="18"/>
    <x v="0"/>
    <n v="6631035"/>
    <x v="3"/>
  </r>
  <r>
    <x v="96"/>
    <x v="19"/>
    <x v="0"/>
    <n v="8598480.0800000001"/>
    <x v="3"/>
  </r>
  <r>
    <x v="96"/>
    <x v="20"/>
    <x v="0"/>
    <n v="8071932"/>
    <x v="3"/>
  </r>
  <r>
    <x v="96"/>
    <x v="14"/>
    <x v="0"/>
    <n v="7073657"/>
    <x v="3"/>
  </r>
  <r>
    <x v="96"/>
    <x v="1"/>
    <x v="0"/>
    <n v="8023489"/>
    <x v="3"/>
  </r>
  <r>
    <x v="96"/>
    <x v="3"/>
    <x v="0"/>
    <n v="6081891"/>
    <x v="3"/>
  </r>
  <r>
    <x v="96"/>
    <x v="15"/>
    <x v="0"/>
    <n v="7420539.3430000003"/>
    <x v="3"/>
  </r>
  <r>
    <x v="96"/>
    <x v="4"/>
    <x v="0"/>
    <n v="7248269"/>
    <x v="3"/>
  </r>
  <r>
    <x v="14"/>
    <x v="23"/>
    <x v="0"/>
    <n v="108933338.294"/>
    <x v="3"/>
  </r>
  <r>
    <x v="14"/>
    <x v="24"/>
    <x v="0"/>
    <n v="103788030.781"/>
    <x v="3"/>
  </r>
  <r>
    <x v="14"/>
    <x v="25"/>
    <x v="0"/>
    <n v="125324955.397"/>
    <x v="3"/>
  </r>
  <r>
    <x v="14"/>
    <x v="5"/>
    <x v="0"/>
    <n v="116173552.097"/>
    <x v="3"/>
  </r>
  <r>
    <x v="14"/>
    <x v="22"/>
    <x v="0"/>
    <n v="114666667.45999999"/>
    <x v="3"/>
  </r>
  <r>
    <x v="14"/>
    <x v="6"/>
    <x v="0"/>
    <n v="115613190.691"/>
    <x v="3"/>
  </r>
  <r>
    <x v="14"/>
    <x v="7"/>
    <x v="0"/>
    <n v="117213163.01800001"/>
    <x v="3"/>
  </r>
  <r>
    <x v="14"/>
    <x v="8"/>
    <x v="0"/>
    <n v="111961967.277"/>
    <x v="3"/>
  </r>
  <r>
    <x v="14"/>
    <x v="9"/>
    <x v="0"/>
    <n v="105276038.792"/>
    <x v="3"/>
  </r>
  <r>
    <x v="14"/>
    <x v="10"/>
    <x v="0"/>
    <n v="106435636.12800001"/>
    <x v="3"/>
  </r>
  <r>
    <x v="14"/>
    <x v="11"/>
    <x v="0"/>
    <n v="97952400"/>
    <x v="3"/>
  </r>
  <r>
    <x v="14"/>
    <x v="12"/>
    <x v="0"/>
    <n v="107015800"/>
    <x v="3"/>
  </r>
  <r>
    <x v="14"/>
    <x v="16"/>
    <x v="0"/>
    <n v="100403000"/>
    <x v="3"/>
  </r>
  <r>
    <x v="14"/>
    <x v="21"/>
    <x v="0"/>
    <n v="110010300"/>
    <x v="3"/>
  </r>
  <r>
    <x v="14"/>
    <x v="0"/>
    <x v="0"/>
    <n v="114043025"/>
    <x v="3"/>
  </r>
  <r>
    <x v="14"/>
    <x v="2"/>
    <x v="0"/>
    <n v="102655517"/>
    <x v="3"/>
  </r>
  <r>
    <x v="14"/>
    <x v="17"/>
    <x v="0"/>
    <n v="88692822"/>
    <x v="3"/>
  </r>
  <r>
    <x v="14"/>
    <x v="13"/>
    <x v="0"/>
    <n v="100135428.398"/>
    <x v="3"/>
  </r>
  <r>
    <x v="14"/>
    <x v="18"/>
    <x v="0"/>
    <n v="102312919.131"/>
    <x v="3"/>
  </r>
  <r>
    <x v="14"/>
    <x v="19"/>
    <x v="0"/>
    <n v="96402281.088"/>
    <x v="3"/>
  </r>
  <r>
    <x v="14"/>
    <x v="20"/>
    <x v="0"/>
    <n v="100677675.404"/>
    <x v="3"/>
  </r>
  <r>
    <x v="14"/>
    <x v="14"/>
    <x v="0"/>
    <n v="94934396"/>
    <x v="3"/>
  </r>
  <r>
    <x v="14"/>
    <x v="1"/>
    <x v="0"/>
    <n v="98294209.951000005"/>
    <x v="3"/>
  </r>
  <r>
    <x v="14"/>
    <x v="3"/>
    <x v="0"/>
    <n v="95021790.450000003"/>
    <x v="3"/>
  </r>
  <r>
    <x v="14"/>
    <x v="15"/>
    <x v="0"/>
    <n v="92167799.584999993"/>
    <x v="3"/>
  </r>
  <r>
    <x v="15"/>
    <x v="9"/>
    <x v="0"/>
    <n v="83091403"/>
    <x v="3"/>
  </r>
  <r>
    <x v="15"/>
    <x v="10"/>
    <x v="0"/>
    <n v="71195506.527999997"/>
    <x v="3"/>
  </r>
  <r>
    <x v="15"/>
    <x v="11"/>
    <x v="0"/>
    <n v="66223660"/>
    <x v="3"/>
  </r>
  <r>
    <x v="15"/>
    <x v="12"/>
    <x v="0"/>
    <n v="73024358.009000003"/>
    <x v="3"/>
  </r>
  <r>
    <x v="15"/>
    <x v="16"/>
    <x v="0"/>
    <n v="74284855.716999993"/>
    <x v="3"/>
  </r>
  <r>
    <x v="15"/>
    <x v="21"/>
    <x v="0"/>
    <n v="78181846.316"/>
    <x v="3"/>
  </r>
  <r>
    <x v="15"/>
    <x v="0"/>
    <x v="0"/>
    <n v="76609744.541999996"/>
    <x v="3"/>
  </r>
  <r>
    <x v="15"/>
    <x v="2"/>
    <x v="0"/>
    <n v="78522498.137999997"/>
    <x v="3"/>
  </r>
  <r>
    <x v="15"/>
    <x v="17"/>
    <x v="0"/>
    <n v="69052646.392000005"/>
    <x v="3"/>
  </r>
  <r>
    <x v="15"/>
    <x v="13"/>
    <x v="0"/>
    <n v="84444389.923999995"/>
    <x v="3"/>
  </r>
  <r>
    <x v="15"/>
    <x v="18"/>
    <x v="0"/>
    <n v="93201501.224999994"/>
    <x v="3"/>
  </r>
  <r>
    <x v="15"/>
    <x v="19"/>
    <x v="0"/>
    <n v="79123684.502000004"/>
    <x v="3"/>
  </r>
  <r>
    <x v="15"/>
    <x v="20"/>
    <x v="0"/>
    <n v="103397173.081"/>
    <x v="3"/>
  </r>
  <r>
    <x v="15"/>
    <x v="14"/>
    <x v="0"/>
    <n v="77646520.332000002"/>
    <x v="3"/>
  </r>
  <r>
    <x v="15"/>
    <x v="1"/>
    <x v="0"/>
    <n v="94501955.783999994"/>
    <x v="3"/>
  </r>
  <r>
    <x v="15"/>
    <x v="3"/>
    <x v="0"/>
    <n v="80907040.883000001"/>
    <x v="3"/>
  </r>
  <r>
    <x v="15"/>
    <x v="15"/>
    <x v="0"/>
    <n v="85414302.371000007"/>
    <x v="3"/>
  </r>
  <r>
    <x v="15"/>
    <x v="4"/>
    <x v="0"/>
    <n v="84631392.111000001"/>
    <x v="3"/>
  </r>
  <r>
    <x v="16"/>
    <x v="16"/>
    <x v="0"/>
    <n v="717461.93"/>
    <x v="3"/>
  </r>
  <r>
    <x v="16"/>
    <x v="21"/>
    <x v="0"/>
    <n v="856904.64"/>
    <x v="3"/>
  </r>
  <r>
    <x v="16"/>
    <x v="0"/>
    <x v="0"/>
    <n v="887057.35"/>
    <x v="3"/>
  </r>
  <r>
    <x v="16"/>
    <x v="2"/>
    <x v="0"/>
    <n v="1536392.28"/>
    <x v="3"/>
  </r>
  <r>
    <x v="16"/>
    <x v="20"/>
    <x v="0"/>
    <n v="1523631.48"/>
    <x v="3"/>
  </r>
  <r>
    <x v="16"/>
    <x v="14"/>
    <x v="0"/>
    <n v="1154039.892"/>
    <x v="3"/>
  </r>
  <r>
    <x v="17"/>
    <x v="11"/>
    <x v="0"/>
    <n v="7540800"/>
    <x v="3"/>
  </r>
  <r>
    <x v="17"/>
    <x v="12"/>
    <x v="0"/>
    <n v="7215600"/>
    <x v="3"/>
  </r>
  <r>
    <x v="17"/>
    <x v="16"/>
    <x v="0"/>
    <n v="6776100"/>
    <x v="3"/>
  </r>
  <r>
    <x v="17"/>
    <x v="21"/>
    <x v="0"/>
    <n v="6053898"/>
    <x v="3"/>
  </r>
  <r>
    <x v="17"/>
    <x v="0"/>
    <x v="0"/>
    <n v="6468506"/>
    <x v="3"/>
  </r>
  <r>
    <x v="17"/>
    <x v="2"/>
    <x v="0"/>
    <n v="6263084"/>
    <x v="3"/>
  </r>
  <r>
    <x v="17"/>
    <x v="17"/>
    <x v="0"/>
    <n v="6853574"/>
    <x v="3"/>
  </r>
  <r>
    <x v="17"/>
    <x v="13"/>
    <x v="0"/>
    <n v="5830671"/>
    <x v="3"/>
  </r>
  <r>
    <x v="17"/>
    <x v="18"/>
    <x v="0"/>
    <n v="5868678"/>
    <x v="3"/>
  </r>
  <r>
    <x v="17"/>
    <x v="19"/>
    <x v="0"/>
    <n v="7195161"/>
    <x v="3"/>
  </r>
  <r>
    <x v="17"/>
    <x v="20"/>
    <x v="0"/>
    <n v="7061295"/>
    <x v="3"/>
  </r>
  <r>
    <x v="17"/>
    <x v="14"/>
    <x v="0"/>
    <n v="6839255"/>
    <x v="3"/>
  </r>
  <r>
    <x v="17"/>
    <x v="1"/>
    <x v="0"/>
    <n v="7415805"/>
    <x v="3"/>
  </r>
  <r>
    <x v="17"/>
    <x v="3"/>
    <x v="0"/>
    <n v="6237454"/>
    <x v="3"/>
  </r>
  <r>
    <x v="17"/>
    <x v="15"/>
    <x v="0"/>
    <n v="6332178"/>
    <x v="3"/>
  </r>
  <r>
    <x v="17"/>
    <x v="4"/>
    <x v="0"/>
    <n v="6389481"/>
    <x v="3"/>
  </r>
  <r>
    <x v="18"/>
    <x v="12"/>
    <x v="0"/>
    <n v="2321540"/>
    <x v="3"/>
  </r>
  <r>
    <x v="18"/>
    <x v="14"/>
    <x v="0"/>
    <n v="2162582"/>
    <x v="3"/>
  </r>
  <r>
    <x v="18"/>
    <x v="1"/>
    <x v="0"/>
    <n v="2809601"/>
    <x v="3"/>
  </r>
  <r>
    <x v="18"/>
    <x v="3"/>
    <x v="0"/>
    <n v="2389368"/>
    <x v="3"/>
  </r>
  <r>
    <x v="18"/>
    <x v="15"/>
    <x v="0"/>
    <n v="2351822"/>
    <x v="3"/>
  </r>
  <r>
    <x v="18"/>
    <x v="4"/>
    <x v="0"/>
    <n v="2149414"/>
    <x v="3"/>
  </r>
  <r>
    <x v="19"/>
    <x v="12"/>
    <x v="0"/>
    <n v="1118500"/>
    <x v="3"/>
  </r>
  <r>
    <x v="19"/>
    <x v="16"/>
    <x v="0"/>
    <n v="1348100"/>
    <x v="3"/>
  </r>
  <r>
    <x v="19"/>
    <x v="13"/>
    <x v="0"/>
    <n v="2748477"/>
    <x v="3"/>
  </r>
  <r>
    <x v="19"/>
    <x v="18"/>
    <x v="0"/>
    <n v="2770447"/>
    <x v="3"/>
  </r>
  <r>
    <x v="19"/>
    <x v="19"/>
    <x v="0"/>
    <n v="2871999"/>
    <x v="3"/>
  </r>
  <r>
    <x v="19"/>
    <x v="20"/>
    <x v="0"/>
    <n v="3289961"/>
    <x v="3"/>
  </r>
  <r>
    <x v="19"/>
    <x v="14"/>
    <x v="0"/>
    <n v="3352135"/>
    <x v="3"/>
  </r>
  <r>
    <x v="19"/>
    <x v="1"/>
    <x v="0"/>
    <n v="3853405.605"/>
    <x v="3"/>
  </r>
  <r>
    <x v="19"/>
    <x v="3"/>
    <x v="0"/>
    <n v="4268995.1399999997"/>
    <x v="3"/>
  </r>
  <r>
    <x v="19"/>
    <x v="15"/>
    <x v="0"/>
    <n v="3255910.39"/>
    <x v="3"/>
  </r>
  <r>
    <x v="19"/>
    <x v="4"/>
    <x v="0"/>
    <n v="7738665.7999999998"/>
    <x v="3"/>
  </r>
  <r>
    <x v="21"/>
    <x v="0"/>
    <x v="0"/>
    <n v="1031783"/>
    <x v="3"/>
  </r>
  <r>
    <x v="21"/>
    <x v="2"/>
    <x v="0"/>
    <n v="1047085.884"/>
    <x v="3"/>
  </r>
  <r>
    <x v="21"/>
    <x v="17"/>
    <x v="0"/>
    <n v="1279025.4439999999"/>
    <x v="3"/>
  </r>
  <r>
    <x v="21"/>
    <x v="19"/>
    <x v="0"/>
    <n v="1019881"/>
    <x v="3"/>
  </r>
  <r>
    <x v="54"/>
    <x v="23"/>
    <x v="0"/>
    <n v="3261236"/>
    <x v="3"/>
  </r>
  <r>
    <x v="54"/>
    <x v="24"/>
    <x v="0"/>
    <n v="4420958"/>
    <x v="3"/>
  </r>
  <r>
    <x v="54"/>
    <x v="25"/>
    <x v="0"/>
    <n v="4974953"/>
    <x v="3"/>
  </r>
  <r>
    <x v="54"/>
    <x v="5"/>
    <x v="0"/>
    <n v="4985435"/>
    <x v="3"/>
  </r>
  <r>
    <x v="54"/>
    <x v="22"/>
    <x v="0"/>
    <n v="3959362"/>
    <x v="3"/>
  </r>
  <r>
    <x v="54"/>
    <x v="6"/>
    <x v="0"/>
    <n v="6205681"/>
    <x v="3"/>
  </r>
  <r>
    <x v="54"/>
    <x v="7"/>
    <x v="0"/>
    <n v="6279861"/>
    <x v="3"/>
  </r>
  <r>
    <x v="54"/>
    <x v="8"/>
    <x v="0"/>
    <n v="5326296"/>
    <x v="3"/>
  </r>
  <r>
    <x v="54"/>
    <x v="9"/>
    <x v="0"/>
    <n v="5543862"/>
    <x v="3"/>
  </r>
  <r>
    <x v="54"/>
    <x v="10"/>
    <x v="0"/>
    <n v="5199342"/>
    <x v="3"/>
  </r>
  <r>
    <x v="54"/>
    <x v="11"/>
    <x v="0"/>
    <n v="4645528"/>
    <x v="3"/>
  </r>
  <r>
    <x v="54"/>
    <x v="12"/>
    <x v="0"/>
    <n v="6360264"/>
    <x v="3"/>
  </r>
  <r>
    <x v="54"/>
    <x v="16"/>
    <x v="0"/>
    <n v="5671466"/>
    <x v="3"/>
  </r>
  <r>
    <x v="54"/>
    <x v="21"/>
    <x v="0"/>
    <n v="5856800"/>
    <x v="3"/>
  </r>
  <r>
    <x v="54"/>
    <x v="0"/>
    <x v="0"/>
    <n v="5573010"/>
    <x v="3"/>
  </r>
  <r>
    <x v="54"/>
    <x v="2"/>
    <x v="0"/>
    <n v="5490409"/>
    <x v="3"/>
  </r>
  <r>
    <x v="54"/>
    <x v="17"/>
    <x v="0"/>
    <n v="7792828"/>
    <x v="3"/>
  </r>
  <r>
    <x v="54"/>
    <x v="13"/>
    <x v="0"/>
    <n v="10347417.403999999"/>
    <x v="3"/>
  </r>
  <r>
    <x v="54"/>
    <x v="18"/>
    <x v="0"/>
    <n v="3726062"/>
    <x v="3"/>
  </r>
  <r>
    <x v="54"/>
    <x v="19"/>
    <x v="0"/>
    <n v="4140445.787"/>
    <x v="3"/>
  </r>
  <r>
    <x v="54"/>
    <x v="20"/>
    <x v="0"/>
    <n v="5724028"/>
    <x v="3"/>
  </r>
  <r>
    <x v="54"/>
    <x v="14"/>
    <x v="0"/>
    <n v="4312057"/>
    <x v="3"/>
  </r>
  <r>
    <x v="54"/>
    <x v="1"/>
    <x v="0"/>
    <n v="3896291.4750000001"/>
    <x v="3"/>
  </r>
  <r>
    <x v="54"/>
    <x v="3"/>
    <x v="0"/>
    <n v="3848308.3390000002"/>
    <x v="3"/>
  </r>
  <r>
    <x v="54"/>
    <x v="15"/>
    <x v="0"/>
    <n v="6700163.8099999996"/>
    <x v="3"/>
  </r>
  <r>
    <x v="54"/>
    <x v="4"/>
    <x v="0"/>
    <n v="7555045.9349999996"/>
    <x v="3"/>
  </r>
  <r>
    <x v="76"/>
    <x v="13"/>
    <x v="0"/>
    <n v="20799386.383000001"/>
    <x v="3"/>
  </r>
  <r>
    <x v="76"/>
    <x v="18"/>
    <x v="0"/>
    <n v="23111893.201000001"/>
    <x v="3"/>
  </r>
  <r>
    <x v="76"/>
    <x v="19"/>
    <x v="0"/>
    <n v="21614898.274999999"/>
    <x v="3"/>
  </r>
  <r>
    <x v="76"/>
    <x v="20"/>
    <x v="0"/>
    <n v="19550345.579999998"/>
    <x v="3"/>
  </r>
  <r>
    <x v="76"/>
    <x v="14"/>
    <x v="0"/>
    <n v="22589314.919"/>
    <x v="3"/>
  </r>
  <r>
    <x v="76"/>
    <x v="1"/>
    <x v="0"/>
    <n v="24335617.145"/>
    <x v="3"/>
  </r>
  <r>
    <x v="76"/>
    <x v="3"/>
    <x v="0"/>
    <n v="22159757.395"/>
    <x v="3"/>
  </r>
  <r>
    <x v="76"/>
    <x v="15"/>
    <x v="0"/>
    <n v="35565649.421999998"/>
    <x v="3"/>
  </r>
  <r>
    <x v="76"/>
    <x v="4"/>
    <x v="0"/>
    <n v="19493269.101"/>
    <x v="3"/>
  </r>
  <r>
    <x v="22"/>
    <x v="23"/>
    <x v="0"/>
    <n v="64582156"/>
    <x v="3"/>
  </r>
  <r>
    <x v="22"/>
    <x v="24"/>
    <x v="0"/>
    <n v="71955036"/>
    <x v="3"/>
  </r>
  <r>
    <x v="22"/>
    <x v="25"/>
    <x v="0"/>
    <n v="84109703"/>
    <x v="3"/>
  </r>
  <r>
    <x v="22"/>
    <x v="5"/>
    <x v="0"/>
    <n v="95103627"/>
    <x v="3"/>
  </r>
  <r>
    <x v="22"/>
    <x v="22"/>
    <x v="0"/>
    <n v="97784026"/>
    <x v="3"/>
  </r>
  <r>
    <x v="22"/>
    <x v="6"/>
    <x v="0"/>
    <n v="100447495"/>
    <x v="3"/>
  </r>
  <r>
    <x v="22"/>
    <x v="7"/>
    <x v="0"/>
    <n v="101954096"/>
    <x v="3"/>
  </r>
  <r>
    <x v="22"/>
    <x v="8"/>
    <x v="0"/>
    <n v="107019362"/>
    <x v="3"/>
  </r>
  <r>
    <x v="22"/>
    <x v="9"/>
    <x v="0"/>
    <n v="107884550"/>
    <x v="3"/>
  </r>
  <r>
    <x v="22"/>
    <x v="10"/>
    <x v="0"/>
    <n v="111347884"/>
    <x v="3"/>
  </r>
  <r>
    <x v="22"/>
    <x v="11"/>
    <x v="0"/>
    <n v="93759300"/>
    <x v="3"/>
  </r>
  <r>
    <x v="22"/>
    <x v="12"/>
    <x v="0"/>
    <n v="101628600"/>
    <x v="3"/>
  </r>
  <r>
    <x v="22"/>
    <x v="16"/>
    <x v="0"/>
    <n v="105185000"/>
    <x v="3"/>
  </r>
  <r>
    <x v="22"/>
    <x v="21"/>
    <x v="0"/>
    <n v="107099700"/>
    <x v="3"/>
  </r>
  <r>
    <x v="22"/>
    <x v="0"/>
    <x v="0"/>
    <n v="122439158"/>
    <x v="3"/>
  </r>
  <r>
    <x v="22"/>
    <x v="2"/>
    <x v="0"/>
    <n v="105937566"/>
    <x v="3"/>
  </r>
  <r>
    <x v="22"/>
    <x v="17"/>
    <x v="0"/>
    <n v="114934566"/>
    <x v="3"/>
  </r>
  <r>
    <x v="22"/>
    <x v="13"/>
    <x v="0"/>
    <n v="129757233"/>
    <x v="3"/>
  </r>
  <r>
    <x v="22"/>
    <x v="18"/>
    <x v="0"/>
    <n v="129194968"/>
    <x v="3"/>
  </r>
  <r>
    <x v="22"/>
    <x v="19"/>
    <x v="0"/>
    <n v="118361590"/>
    <x v="3"/>
  </r>
  <r>
    <x v="22"/>
    <x v="20"/>
    <x v="0"/>
    <n v="125693560"/>
    <x v="3"/>
  </r>
  <r>
    <x v="22"/>
    <x v="14"/>
    <x v="0"/>
    <n v="121426027"/>
    <x v="3"/>
  </r>
  <r>
    <x v="22"/>
    <x v="1"/>
    <x v="0"/>
    <n v="130590752"/>
    <x v="3"/>
  </r>
  <r>
    <x v="22"/>
    <x v="3"/>
    <x v="0"/>
    <n v="134686154.64300001"/>
    <x v="3"/>
  </r>
  <r>
    <x v="22"/>
    <x v="15"/>
    <x v="0"/>
    <n v="127683754"/>
    <x v="3"/>
  </r>
  <r>
    <x v="22"/>
    <x v="4"/>
    <x v="0"/>
    <n v="111326346"/>
    <x v="3"/>
  </r>
  <r>
    <x v="55"/>
    <x v="11"/>
    <x v="0"/>
    <n v="47383037"/>
    <x v="3"/>
  </r>
  <r>
    <x v="55"/>
    <x v="12"/>
    <x v="0"/>
    <n v="52959352"/>
    <x v="3"/>
  </r>
  <r>
    <x v="55"/>
    <x v="16"/>
    <x v="0"/>
    <n v="55876365"/>
    <x v="3"/>
  </r>
  <r>
    <x v="55"/>
    <x v="21"/>
    <x v="0"/>
    <n v="53630096"/>
    <x v="3"/>
  </r>
  <r>
    <x v="55"/>
    <x v="0"/>
    <x v="0"/>
    <n v="54256132"/>
    <x v="3"/>
  </r>
  <r>
    <x v="55"/>
    <x v="2"/>
    <x v="0"/>
    <n v="54538059"/>
    <x v="3"/>
  </r>
  <r>
    <x v="55"/>
    <x v="17"/>
    <x v="0"/>
    <n v="60396894"/>
    <x v="3"/>
  </r>
  <r>
    <x v="55"/>
    <x v="13"/>
    <x v="0"/>
    <n v="62962088"/>
    <x v="3"/>
  </r>
  <r>
    <x v="55"/>
    <x v="18"/>
    <x v="0"/>
    <n v="65202884"/>
    <x v="3"/>
  </r>
  <r>
    <x v="55"/>
    <x v="19"/>
    <x v="0"/>
    <n v="65090656"/>
    <x v="3"/>
  </r>
  <r>
    <x v="55"/>
    <x v="20"/>
    <x v="0"/>
    <n v="67216744"/>
    <x v="3"/>
  </r>
  <r>
    <x v="55"/>
    <x v="14"/>
    <x v="0"/>
    <n v="66593779"/>
    <x v="3"/>
  </r>
  <r>
    <x v="55"/>
    <x v="1"/>
    <x v="0"/>
    <n v="68821369"/>
    <x v="3"/>
  </r>
  <r>
    <x v="55"/>
    <x v="3"/>
    <x v="0"/>
    <n v="70253587"/>
    <x v="3"/>
  </r>
  <r>
    <x v="55"/>
    <x v="15"/>
    <x v="0"/>
    <n v="68633852"/>
    <x v="3"/>
  </r>
  <r>
    <x v="55"/>
    <x v="4"/>
    <x v="0"/>
    <n v="63170616"/>
    <x v="3"/>
  </r>
  <r>
    <x v="97"/>
    <x v="11"/>
    <x v="0"/>
    <n v="7793359.9000000004"/>
    <x v="3"/>
  </r>
  <r>
    <x v="97"/>
    <x v="12"/>
    <x v="0"/>
    <n v="5388531.2800000003"/>
    <x v="3"/>
  </r>
  <r>
    <x v="97"/>
    <x v="16"/>
    <x v="0"/>
    <n v="6775137.8600000003"/>
    <x v="3"/>
  </r>
  <r>
    <x v="97"/>
    <x v="21"/>
    <x v="0"/>
    <n v="6821492.9000000004"/>
    <x v="3"/>
  </r>
  <r>
    <x v="97"/>
    <x v="13"/>
    <x v="0"/>
    <n v="10625776.789999999"/>
    <x v="3"/>
  </r>
  <r>
    <x v="97"/>
    <x v="1"/>
    <x v="0"/>
    <n v="8815492.9100000001"/>
    <x v="3"/>
  </r>
  <r>
    <x v="98"/>
    <x v="3"/>
    <x v="0"/>
    <n v="1860028.57"/>
    <x v="3"/>
  </r>
  <r>
    <x v="23"/>
    <x v="2"/>
    <x v="0"/>
    <n v="5363449"/>
    <x v="3"/>
  </r>
  <r>
    <x v="23"/>
    <x v="17"/>
    <x v="0"/>
    <n v="4848021"/>
    <x v="3"/>
  </r>
  <r>
    <x v="23"/>
    <x v="13"/>
    <x v="0"/>
    <n v="6174757.4199999999"/>
    <x v="3"/>
  </r>
  <r>
    <x v="23"/>
    <x v="14"/>
    <x v="0"/>
    <n v="4389667.71"/>
    <x v="3"/>
  </r>
  <r>
    <x v="23"/>
    <x v="1"/>
    <x v="0"/>
    <n v="4572148.2319999998"/>
    <x v="3"/>
  </r>
  <r>
    <x v="23"/>
    <x v="3"/>
    <x v="0"/>
    <n v="5977531.4450000003"/>
    <x v="3"/>
  </r>
  <r>
    <x v="23"/>
    <x v="15"/>
    <x v="0"/>
    <n v="5028567.93"/>
    <x v="3"/>
  </r>
  <r>
    <x v="99"/>
    <x v="12"/>
    <x v="0"/>
    <n v="1016920.25"/>
    <x v="3"/>
  </r>
  <r>
    <x v="99"/>
    <x v="16"/>
    <x v="0"/>
    <n v="863920.88500000001"/>
    <x v="3"/>
  </r>
  <r>
    <x v="99"/>
    <x v="21"/>
    <x v="0"/>
    <n v="1140180.422"/>
    <x v="3"/>
  </r>
  <r>
    <x v="99"/>
    <x v="0"/>
    <x v="0"/>
    <n v="1028365.01"/>
    <x v="3"/>
  </r>
  <r>
    <x v="99"/>
    <x v="2"/>
    <x v="0"/>
    <n v="1034798.12"/>
    <x v="3"/>
  </r>
  <r>
    <x v="99"/>
    <x v="17"/>
    <x v="0"/>
    <n v="959915.1"/>
    <x v="3"/>
  </r>
  <r>
    <x v="99"/>
    <x v="13"/>
    <x v="0"/>
    <n v="1019580.48"/>
    <x v="3"/>
  </r>
  <r>
    <x v="99"/>
    <x v="18"/>
    <x v="0"/>
    <n v="941080.68"/>
    <x v="3"/>
  </r>
  <r>
    <x v="99"/>
    <x v="19"/>
    <x v="0"/>
    <n v="978795"/>
    <x v="3"/>
  </r>
  <r>
    <x v="25"/>
    <x v="21"/>
    <x v="0"/>
    <n v="125214976"/>
    <x v="3"/>
  </r>
  <r>
    <x v="57"/>
    <x v="12"/>
    <x v="0"/>
    <n v="2765808.4"/>
    <x v="3"/>
  </r>
  <r>
    <x v="57"/>
    <x v="16"/>
    <x v="0"/>
    <n v="3642616.38"/>
    <x v="3"/>
  </r>
  <r>
    <x v="57"/>
    <x v="21"/>
    <x v="0"/>
    <n v="3666503.45"/>
    <x v="3"/>
  </r>
  <r>
    <x v="57"/>
    <x v="0"/>
    <x v="0"/>
    <n v="2769748.42"/>
    <x v="3"/>
  </r>
  <r>
    <x v="57"/>
    <x v="2"/>
    <x v="0"/>
    <n v="3083297.92"/>
    <x v="3"/>
  </r>
  <r>
    <x v="57"/>
    <x v="17"/>
    <x v="0"/>
    <n v="2709940.2"/>
    <x v="3"/>
  </r>
  <r>
    <x v="57"/>
    <x v="13"/>
    <x v="0"/>
    <n v="2442506.44"/>
    <x v="3"/>
  </r>
  <r>
    <x v="57"/>
    <x v="18"/>
    <x v="0"/>
    <n v="3202600.81"/>
    <x v="3"/>
  </r>
  <r>
    <x v="57"/>
    <x v="19"/>
    <x v="0"/>
    <n v="3047576.28"/>
    <x v="3"/>
  </r>
  <r>
    <x v="57"/>
    <x v="20"/>
    <x v="0"/>
    <n v="3325832.31"/>
    <x v="3"/>
  </r>
  <r>
    <x v="57"/>
    <x v="14"/>
    <x v="0"/>
    <n v="3488028.03"/>
    <x v="3"/>
  </r>
  <r>
    <x v="57"/>
    <x v="1"/>
    <x v="0"/>
    <n v="4474655.93"/>
    <x v="3"/>
  </r>
  <r>
    <x v="57"/>
    <x v="3"/>
    <x v="0"/>
    <n v="4727338.5690000001"/>
    <x v="3"/>
  </r>
  <r>
    <x v="57"/>
    <x v="15"/>
    <x v="0"/>
    <n v="8105722.1299999999"/>
    <x v="3"/>
  </r>
  <r>
    <x v="57"/>
    <x v="4"/>
    <x v="0"/>
    <n v="5370370.3480000002"/>
    <x v="3"/>
  </r>
  <r>
    <x v="58"/>
    <x v="11"/>
    <x v="0"/>
    <n v="1622800"/>
    <x v="3"/>
  </r>
  <r>
    <x v="58"/>
    <x v="12"/>
    <x v="0"/>
    <n v="1402700"/>
    <x v="3"/>
  </r>
  <r>
    <x v="58"/>
    <x v="16"/>
    <x v="0"/>
    <n v="1726100"/>
    <x v="3"/>
  </r>
  <r>
    <x v="58"/>
    <x v="21"/>
    <x v="0"/>
    <n v="1469000"/>
    <x v="3"/>
  </r>
  <r>
    <x v="58"/>
    <x v="0"/>
    <x v="0"/>
    <n v="2258300"/>
    <x v="3"/>
  </r>
  <r>
    <x v="58"/>
    <x v="2"/>
    <x v="0"/>
    <n v="1889644"/>
    <x v="3"/>
  </r>
  <r>
    <x v="58"/>
    <x v="17"/>
    <x v="0"/>
    <n v="1816077"/>
    <x v="3"/>
  </r>
  <r>
    <x v="58"/>
    <x v="13"/>
    <x v="0"/>
    <n v="1297607"/>
    <x v="3"/>
  </r>
  <r>
    <x v="58"/>
    <x v="19"/>
    <x v="0"/>
    <n v="2439160"/>
    <x v="3"/>
  </r>
  <r>
    <x v="58"/>
    <x v="20"/>
    <x v="0"/>
    <n v="2099730"/>
    <x v="3"/>
  </r>
  <r>
    <x v="58"/>
    <x v="14"/>
    <x v="0"/>
    <n v="1737932"/>
    <x v="3"/>
  </r>
  <r>
    <x v="58"/>
    <x v="1"/>
    <x v="0"/>
    <n v="1851330"/>
    <x v="3"/>
  </r>
  <r>
    <x v="58"/>
    <x v="3"/>
    <x v="0"/>
    <n v="1753282"/>
    <x v="3"/>
  </r>
  <r>
    <x v="58"/>
    <x v="15"/>
    <x v="0"/>
    <n v="2291615"/>
    <x v="3"/>
  </r>
  <r>
    <x v="29"/>
    <x v="11"/>
    <x v="0"/>
    <n v="7971705.5530000003"/>
    <x v="3"/>
  </r>
  <r>
    <x v="29"/>
    <x v="12"/>
    <x v="0"/>
    <n v="3830503.699"/>
    <x v="3"/>
  </r>
  <r>
    <x v="29"/>
    <x v="16"/>
    <x v="0"/>
    <n v="4793563.852"/>
    <x v="3"/>
  </r>
  <r>
    <x v="29"/>
    <x v="21"/>
    <x v="0"/>
    <n v="3300775.5040000002"/>
    <x v="3"/>
  </r>
  <r>
    <x v="29"/>
    <x v="2"/>
    <x v="0"/>
    <n v="3714654.1809999999"/>
    <x v="3"/>
  </r>
  <r>
    <x v="29"/>
    <x v="17"/>
    <x v="0"/>
    <n v="3016927.3169999998"/>
    <x v="3"/>
  </r>
  <r>
    <x v="29"/>
    <x v="13"/>
    <x v="0"/>
    <n v="4611382"/>
    <x v="3"/>
  </r>
  <r>
    <x v="29"/>
    <x v="18"/>
    <x v="0"/>
    <n v="2845994"/>
    <x v="3"/>
  </r>
  <r>
    <x v="29"/>
    <x v="14"/>
    <x v="0"/>
    <n v="7614770"/>
    <x v="3"/>
  </r>
  <r>
    <x v="29"/>
    <x v="1"/>
    <x v="0"/>
    <n v="6187953"/>
    <x v="3"/>
  </r>
  <r>
    <x v="29"/>
    <x v="3"/>
    <x v="0"/>
    <n v="3388704"/>
    <x v="3"/>
  </r>
  <r>
    <x v="29"/>
    <x v="4"/>
    <x v="0"/>
    <n v="6038472"/>
    <x v="3"/>
  </r>
  <r>
    <x v="30"/>
    <x v="23"/>
    <x v="0"/>
    <n v="1966001.673"/>
    <x v="3"/>
  </r>
  <r>
    <x v="30"/>
    <x v="24"/>
    <x v="0"/>
    <n v="2337405.4870000002"/>
    <x v="3"/>
  </r>
  <r>
    <x v="30"/>
    <x v="25"/>
    <x v="0"/>
    <n v="3700629.3790000002"/>
    <x v="3"/>
  </r>
  <r>
    <x v="30"/>
    <x v="5"/>
    <x v="0"/>
    <n v="3003876.5320000001"/>
    <x v="3"/>
  </r>
  <r>
    <x v="30"/>
    <x v="22"/>
    <x v="0"/>
    <n v="3841631.7"/>
    <x v="3"/>
  </r>
  <r>
    <x v="30"/>
    <x v="6"/>
    <x v="0"/>
    <n v="4174078.9980000001"/>
    <x v="3"/>
  </r>
  <r>
    <x v="30"/>
    <x v="7"/>
    <x v="0"/>
    <n v="3873693.1940000001"/>
    <x v="3"/>
  </r>
  <r>
    <x v="30"/>
    <x v="8"/>
    <x v="0"/>
    <n v="3714072.9449999998"/>
    <x v="3"/>
  </r>
  <r>
    <x v="30"/>
    <x v="9"/>
    <x v="0"/>
    <n v="5305964.42"/>
    <x v="3"/>
  </r>
  <r>
    <x v="30"/>
    <x v="10"/>
    <x v="0"/>
    <n v="5385803.2889999999"/>
    <x v="3"/>
  </r>
  <r>
    <x v="30"/>
    <x v="11"/>
    <x v="0"/>
    <n v="15467996.9"/>
    <x v="3"/>
  </r>
  <r>
    <x v="30"/>
    <x v="12"/>
    <x v="0"/>
    <n v="13295458.039999999"/>
    <x v="3"/>
  </r>
  <r>
    <x v="30"/>
    <x v="16"/>
    <x v="0"/>
    <n v="9458286.4810000006"/>
    <x v="3"/>
  </r>
  <r>
    <x v="30"/>
    <x v="21"/>
    <x v="0"/>
    <n v="10765079.055"/>
    <x v="3"/>
  </r>
  <r>
    <x v="30"/>
    <x v="0"/>
    <x v="0"/>
    <n v="11098287.706"/>
    <x v="3"/>
  </r>
  <r>
    <x v="30"/>
    <x v="2"/>
    <x v="0"/>
    <n v="12349817.105"/>
    <x v="3"/>
  </r>
  <r>
    <x v="30"/>
    <x v="17"/>
    <x v="0"/>
    <n v="13678945.095000001"/>
    <x v="3"/>
  </r>
  <r>
    <x v="30"/>
    <x v="13"/>
    <x v="0"/>
    <n v="14301904.551999999"/>
    <x v="3"/>
  </r>
  <r>
    <x v="30"/>
    <x v="18"/>
    <x v="0"/>
    <n v="14400314.766000001"/>
    <x v="3"/>
  </r>
  <r>
    <x v="30"/>
    <x v="19"/>
    <x v="0"/>
    <n v="14139815.164000001"/>
    <x v="3"/>
  </r>
  <r>
    <x v="30"/>
    <x v="20"/>
    <x v="0"/>
    <n v="16503844.912"/>
    <x v="3"/>
  </r>
  <r>
    <x v="30"/>
    <x v="14"/>
    <x v="0"/>
    <n v="15007025.749"/>
    <x v="3"/>
  </r>
  <r>
    <x v="30"/>
    <x v="1"/>
    <x v="0"/>
    <n v="15719676.620999999"/>
    <x v="3"/>
  </r>
  <r>
    <x v="30"/>
    <x v="3"/>
    <x v="0"/>
    <n v="14303643.502"/>
    <x v="3"/>
  </r>
  <r>
    <x v="30"/>
    <x v="15"/>
    <x v="0"/>
    <n v="15852119.981000001"/>
    <x v="3"/>
  </r>
  <r>
    <x v="30"/>
    <x v="4"/>
    <x v="0"/>
    <n v="11873377.226"/>
    <x v="3"/>
  </r>
  <r>
    <x v="78"/>
    <x v="22"/>
    <x v="0"/>
    <s v="NA"/>
    <x v="3"/>
  </r>
  <r>
    <x v="78"/>
    <x v="16"/>
    <x v="0"/>
    <n v="363792902.40600002"/>
    <x v="3"/>
  </r>
  <r>
    <x v="78"/>
    <x v="21"/>
    <x v="0"/>
    <n v="409629819.07200003"/>
    <x v="3"/>
  </r>
  <r>
    <x v="78"/>
    <x v="0"/>
    <x v="0"/>
    <n v="193525154.65700001"/>
    <x v="3"/>
  </r>
  <r>
    <x v="78"/>
    <x v="2"/>
    <x v="0"/>
    <n v="100063525.455"/>
    <x v="3"/>
  </r>
  <r>
    <x v="78"/>
    <x v="17"/>
    <x v="0"/>
    <n v="32238890.901999999"/>
    <x v="3"/>
  </r>
  <r>
    <x v="78"/>
    <x v="13"/>
    <x v="0"/>
    <n v="124046392.943"/>
    <x v="3"/>
  </r>
  <r>
    <x v="78"/>
    <x v="18"/>
    <x v="0"/>
    <n v="184451763.711"/>
    <x v="3"/>
  </r>
  <r>
    <x v="78"/>
    <x v="19"/>
    <x v="0"/>
    <n v="80650916.031999797"/>
    <x v="3"/>
  </r>
  <r>
    <x v="78"/>
    <x v="20"/>
    <x v="0"/>
    <n v="96802344.752000093"/>
    <x v="3"/>
  </r>
  <r>
    <x v="78"/>
    <x v="14"/>
    <x v="0"/>
    <n v="102750316.103"/>
    <x v="3"/>
  </r>
  <r>
    <x v="78"/>
    <x v="15"/>
    <x v="0"/>
    <n v="164478799.91299999"/>
    <x v="3"/>
  </r>
  <r>
    <x v="59"/>
    <x v="24"/>
    <x v="0"/>
    <n v="717978"/>
    <x v="3"/>
  </r>
  <r>
    <x v="59"/>
    <x v="25"/>
    <x v="0"/>
    <n v="1595245"/>
    <x v="3"/>
  </r>
  <r>
    <x v="59"/>
    <x v="5"/>
    <x v="0"/>
    <n v="2072769"/>
    <x v="3"/>
  </r>
  <r>
    <x v="59"/>
    <x v="22"/>
    <x v="0"/>
    <n v="1856119"/>
    <x v="3"/>
  </r>
  <r>
    <x v="59"/>
    <x v="6"/>
    <x v="0"/>
    <n v="2780793"/>
    <x v="3"/>
  </r>
  <r>
    <x v="59"/>
    <x v="7"/>
    <x v="0"/>
    <n v="3619431"/>
    <x v="3"/>
  </r>
  <r>
    <x v="59"/>
    <x v="8"/>
    <x v="0"/>
    <n v="3233968"/>
    <x v="3"/>
  </r>
  <r>
    <x v="59"/>
    <x v="9"/>
    <x v="0"/>
    <n v="4363482"/>
    <x v="3"/>
  </r>
  <r>
    <x v="59"/>
    <x v="10"/>
    <x v="0"/>
    <n v="4665831"/>
    <x v="3"/>
  </r>
  <r>
    <x v="59"/>
    <x v="21"/>
    <x v="0"/>
    <n v="858762.57"/>
    <x v="3"/>
  </r>
  <r>
    <x v="59"/>
    <x v="2"/>
    <x v="0"/>
    <n v="1041025.33"/>
    <x v="3"/>
  </r>
  <r>
    <x v="59"/>
    <x v="18"/>
    <x v="0"/>
    <n v="3386155.7769999998"/>
    <x v="3"/>
  </r>
  <r>
    <x v="59"/>
    <x v="19"/>
    <x v="0"/>
    <n v="2232153.4"/>
    <x v="3"/>
  </r>
  <r>
    <x v="59"/>
    <x v="20"/>
    <x v="0"/>
    <n v="5331999.62"/>
    <x v="3"/>
  </r>
  <r>
    <x v="59"/>
    <x v="14"/>
    <x v="0"/>
    <n v="7819189.9100000001"/>
    <x v="3"/>
  </r>
  <r>
    <x v="59"/>
    <x v="1"/>
    <x v="0"/>
    <n v="5984324.0599999996"/>
    <x v="3"/>
  </r>
  <r>
    <x v="59"/>
    <x v="3"/>
    <x v="0"/>
    <n v="6659880.6100000003"/>
    <x v="3"/>
  </r>
  <r>
    <x v="59"/>
    <x v="15"/>
    <x v="0"/>
    <n v="2160888.62"/>
    <x v="3"/>
  </r>
  <r>
    <x v="59"/>
    <x v="4"/>
    <x v="0"/>
    <n v="1860193.12"/>
    <x v="3"/>
  </r>
  <r>
    <x v="100"/>
    <x v="0"/>
    <x v="0"/>
    <n v="1305192"/>
    <x v="3"/>
  </r>
  <r>
    <x v="100"/>
    <x v="2"/>
    <x v="0"/>
    <n v="1167135"/>
    <x v="3"/>
  </r>
  <r>
    <x v="100"/>
    <x v="18"/>
    <x v="0"/>
    <n v="884417"/>
    <x v="3"/>
  </r>
  <r>
    <x v="60"/>
    <x v="18"/>
    <x v="0"/>
    <n v="1561734.6170000001"/>
    <x v="3"/>
  </r>
  <r>
    <x v="32"/>
    <x v="11"/>
    <x v="0"/>
    <n v="50861700"/>
    <x v="3"/>
  </r>
  <r>
    <x v="32"/>
    <x v="12"/>
    <x v="0"/>
    <n v="36221004.956"/>
    <x v="3"/>
  </r>
  <r>
    <x v="32"/>
    <x v="16"/>
    <x v="0"/>
    <n v="31352185.509"/>
    <x v="3"/>
  </r>
  <r>
    <x v="32"/>
    <x v="21"/>
    <x v="0"/>
    <n v="37591716.980999999"/>
    <x v="3"/>
  </r>
  <r>
    <x v="32"/>
    <x v="0"/>
    <x v="0"/>
    <n v="45234346"/>
    <x v="3"/>
  </r>
  <r>
    <x v="32"/>
    <x v="2"/>
    <x v="0"/>
    <n v="36219561.237999998"/>
    <x v="3"/>
  </r>
  <r>
    <x v="32"/>
    <x v="17"/>
    <x v="0"/>
    <n v="46423056.979999997"/>
    <x v="3"/>
  </r>
  <r>
    <x v="32"/>
    <x v="13"/>
    <x v="0"/>
    <n v="52906348.770999998"/>
    <x v="3"/>
  </r>
  <r>
    <x v="32"/>
    <x v="18"/>
    <x v="0"/>
    <n v="48038124.479000002"/>
    <x v="3"/>
  </r>
  <r>
    <x v="32"/>
    <x v="19"/>
    <x v="0"/>
    <n v="65500697.777999997"/>
    <x v="3"/>
  </r>
  <r>
    <x v="32"/>
    <x v="20"/>
    <x v="0"/>
    <n v="91402486.156000003"/>
    <x v="3"/>
  </r>
  <r>
    <x v="32"/>
    <x v="14"/>
    <x v="0"/>
    <n v="77836365.413000003"/>
    <x v="3"/>
  </r>
  <r>
    <x v="32"/>
    <x v="1"/>
    <x v="0"/>
    <n v="46182041.568999998"/>
    <x v="3"/>
  </r>
  <r>
    <x v="32"/>
    <x v="3"/>
    <x v="0"/>
    <n v="53024907.696999997"/>
    <x v="3"/>
  </r>
  <r>
    <x v="32"/>
    <x v="15"/>
    <x v="0"/>
    <n v="58027809.454999998"/>
    <x v="3"/>
  </r>
  <r>
    <x v="32"/>
    <x v="4"/>
    <x v="0"/>
    <n v="49337740.952"/>
    <x v="3"/>
  </r>
  <r>
    <x v="62"/>
    <x v="11"/>
    <x v="0"/>
    <n v="5149017"/>
    <x v="3"/>
  </r>
  <r>
    <x v="62"/>
    <x v="12"/>
    <x v="0"/>
    <n v="6728582"/>
    <x v="3"/>
  </r>
  <r>
    <x v="62"/>
    <x v="16"/>
    <x v="0"/>
    <n v="6863003"/>
    <x v="3"/>
  </r>
  <r>
    <x v="62"/>
    <x v="21"/>
    <x v="0"/>
    <n v="6587273"/>
    <x v="3"/>
  </r>
  <r>
    <x v="62"/>
    <x v="0"/>
    <x v="0"/>
    <n v="7652244"/>
    <x v="3"/>
  </r>
  <r>
    <x v="62"/>
    <x v="2"/>
    <x v="0"/>
    <n v="7282695"/>
    <x v="3"/>
  </r>
  <r>
    <x v="62"/>
    <x v="17"/>
    <x v="0"/>
    <n v="7625274"/>
    <x v="3"/>
  </r>
  <r>
    <x v="62"/>
    <x v="13"/>
    <x v="0"/>
    <n v="7025023.102"/>
    <x v="3"/>
  </r>
  <r>
    <x v="62"/>
    <x v="18"/>
    <x v="0"/>
    <n v="6159560.7000000002"/>
    <x v="3"/>
  </r>
  <r>
    <x v="62"/>
    <x v="19"/>
    <x v="0"/>
    <n v="5203568"/>
    <x v="3"/>
  </r>
  <r>
    <x v="62"/>
    <x v="20"/>
    <x v="0"/>
    <n v="5613533"/>
    <x v="3"/>
  </r>
  <r>
    <x v="62"/>
    <x v="14"/>
    <x v="0"/>
    <n v="5678222"/>
    <x v="3"/>
  </r>
  <r>
    <x v="62"/>
    <x v="1"/>
    <x v="0"/>
    <n v="5448517"/>
    <x v="3"/>
  </r>
  <r>
    <x v="62"/>
    <x v="3"/>
    <x v="0"/>
    <n v="5160111"/>
    <x v="3"/>
  </r>
  <r>
    <x v="62"/>
    <x v="15"/>
    <x v="0"/>
    <n v="6490629"/>
    <x v="3"/>
  </r>
  <r>
    <x v="62"/>
    <x v="4"/>
    <x v="0"/>
    <n v="5127123"/>
    <x v="3"/>
  </r>
  <r>
    <x v="63"/>
    <x v="1"/>
    <x v="0"/>
    <n v="1198479.08"/>
    <x v="3"/>
  </r>
  <r>
    <x v="63"/>
    <x v="3"/>
    <x v="0"/>
    <n v="1173024.8"/>
    <x v="3"/>
  </r>
  <r>
    <x v="101"/>
    <x v="7"/>
    <x v="0"/>
    <n v="1432283"/>
    <x v="3"/>
  </r>
  <r>
    <x v="101"/>
    <x v="8"/>
    <x v="0"/>
    <n v="1629423"/>
    <x v="3"/>
  </r>
  <r>
    <x v="101"/>
    <x v="9"/>
    <x v="0"/>
    <n v="1458450"/>
    <x v="3"/>
  </r>
  <r>
    <x v="101"/>
    <x v="11"/>
    <x v="0"/>
    <n v="1192518.8700000001"/>
    <x v="3"/>
  </r>
  <r>
    <x v="101"/>
    <x v="12"/>
    <x v="0"/>
    <n v="1377846.27"/>
    <x v="3"/>
  </r>
  <r>
    <x v="101"/>
    <x v="16"/>
    <x v="0"/>
    <n v="1071719.6200000001"/>
    <x v="3"/>
  </r>
  <r>
    <x v="101"/>
    <x v="21"/>
    <x v="0"/>
    <n v="1279352"/>
    <x v="3"/>
  </r>
  <r>
    <x v="101"/>
    <x v="0"/>
    <x v="0"/>
    <n v="1585818"/>
    <x v="3"/>
  </r>
  <r>
    <x v="101"/>
    <x v="2"/>
    <x v="0"/>
    <n v="1565379"/>
    <x v="3"/>
  </r>
  <r>
    <x v="101"/>
    <x v="17"/>
    <x v="0"/>
    <n v="1560135.1029999999"/>
    <x v="3"/>
  </r>
  <r>
    <x v="101"/>
    <x v="13"/>
    <x v="0"/>
    <n v="1601485"/>
    <x v="3"/>
  </r>
  <r>
    <x v="101"/>
    <x v="18"/>
    <x v="0"/>
    <n v="1566160"/>
    <x v="3"/>
  </r>
  <r>
    <x v="101"/>
    <x v="19"/>
    <x v="0"/>
    <n v="1529738"/>
    <x v="3"/>
  </r>
  <r>
    <x v="101"/>
    <x v="20"/>
    <x v="0"/>
    <n v="1602825"/>
    <x v="3"/>
  </r>
  <r>
    <x v="101"/>
    <x v="14"/>
    <x v="0"/>
    <n v="1634332"/>
    <x v="3"/>
  </r>
  <r>
    <x v="101"/>
    <x v="1"/>
    <x v="0"/>
    <n v="1647590"/>
    <x v="3"/>
  </r>
  <r>
    <x v="101"/>
    <x v="3"/>
    <x v="0"/>
    <n v="1532157"/>
    <x v="3"/>
  </r>
  <r>
    <x v="101"/>
    <x v="15"/>
    <x v="0"/>
    <n v="2043919"/>
    <x v="3"/>
  </r>
  <r>
    <x v="102"/>
    <x v="23"/>
    <x v="0"/>
    <n v="1567633"/>
    <x v="3"/>
  </r>
  <r>
    <x v="102"/>
    <x v="24"/>
    <x v="0"/>
    <n v="1495101"/>
    <x v="3"/>
  </r>
  <r>
    <x v="102"/>
    <x v="25"/>
    <x v="0"/>
    <n v="1645916"/>
    <x v="3"/>
  </r>
  <r>
    <x v="102"/>
    <x v="5"/>
    <x v="0"/>
    <n v="2456908"/>
    <x v="3"/>
  </r>
  <r>
    <x v="102"/>
    <x v="22"/>
    <x v="0"/>
    <n v="1773178"/>
    <x v="3"/>
  </r>
  <r>
    <x v="102"/>
    <x v="6"/>
    <x v="0"/>
    <n v="2377379"/>
    <x v="3"/>
  </r>
  <r>
    <x v="102"/>
    <x v="7"/>
    <x v="0"/>
    <n v="2116941"/>
    <x v="3"/>
  </r>
  <r>
    <x v="102"/>
    <x v="8"/>
    <x v="0"/>
    <n v="2042338"/>
    <x v="3"/>
  </r>
  <r>
    <x v="102"/>
    <x v="9"/>
    <x v="0"/>
    <n v="2267430"/>
    <x v="3"/>
  </r>
  <r>
    <x v="102"/>
    <x v="10"/>
    <x v="0"/>
    <n v="2413203"/>
    <x v="3"/>
  </r>
  <r>
    <x v="102"/>
    <x v="11"/>
    <x v="0"/>
    <n v="2260401"/>
    <x v="3"/>
  </r>
  <r>
    <x v="102"/>
    <x v="12"/>
    <x v="0"/>
    <n v="2544635"/>
    <x v="3"/>
  </r>
  <r>
    <x v="102"/>
    <x v="16"/>
    <x v="0"/>
    <n v="2142886"/>
    <x v="3"/>
  </r>
  <r>
    <x v="102"/>
    <x v="21"/>
    <x v="0"/>
    <n v="2931718"/>
    <x v="3"/>
  </r>
  <r>
    <x v="102"/>
    <x v="0"/>
    <x v="0"/>
    <n v="2485653"/>
    <x v="3"/>
  </r>
  <r>
    <x v="102"/>
    <x v="2"/>
    <x v="0"/>
    <n v="3112008"/>
    <x v="3"/>
  </r>
  <r>
    <x v="102"/>
    <x v="17"/>
    <x v="0"/>
    <n v="3664397"/>
    <x v="3"/>
  </r>
  <r>
    <x v="102"/>
    <x v="13"/>
    <x v="0"/>
    <n v="1988348"/>
    <x v="3"/>
  </r>
  <r>
    <x v="102"/>
    <x v="18"/>
    <x v="0"/>
    <n v="2000492"/>
    <x v="3"/>
  </r>
  <r>
    <x v="102"/>
    <x v="19"/>
    <x v="0"/>
    <n v="2330021"/>
    <x v="3"/>
  </r>
  <r>
    <x v="102"/>
    <x v="20"/>
    <x v="0"/>
    <n v="2169399"/>
    <x v="3"/>
  </r>
  <r>
    <x v="102"/>
    <x v="14"/>
    <x v="0"/>
    <n v="1355821"/>
    <x v="3"/>
  </r>
  <r>
    <x v="102"/>
    <x v="1"/>
    <x v="0"/>
    <n v="1915715"/>
    <x v="3"/>
  </r>
  <r>
    <x v="102"/>
    <x v="3"/>
    <x v="0"/>
    <n v="1211727"/>
    <x v="3"/>
  </r>
  <r>
    <x v="102"/>
    <x v="15"/>
    <x v="0"/>
    <n v="2049720"/>
    <x v="3"/>
  </r>
  <r>
    <x v="102"/>
    <x v="4"/>
    <x v="0"/>
    <n v="2155123"/>
    <x v="3"/>
  </r>
  <r>
    <x v="33"/>
    <x v="2"/>
    <x v="0"/>
    <n v="3736204"/>
    <x v="3"/>
  </r>
  <r>
    <x v="33"/>
    <x v="17"/>
    <x v="0"/>
    <n v="4039313"/>
    <x v="3"/>
  </r>
  <r>
    <x v="33"/>
    <x v="18"/>
    <x v="0"/>
    <n v="3234541"/>
    <x v="3"/>
  </r>
  <r>
    <x v="33"/>
    <x v="1"/>
    <x v="0"/>
    <n v="3302252.821"/>
    <x v="3"/>
  </r>
  <r>
    <x v="33"/>
    <x v="3"/>
    <x v="0"/>
    <n v="3130274.5269999998"/>
    <x v="3"/>
  </r>
  <r>
    <x v="65"/>
    <x v="11"/>
    <x v="0"/>
    <n v="1699135"/>
    <x v="3"/>
  </r>
  <r>
    <x v="65"/>
    <x v="12"/>
    <x v="0"/>
    <n v="1804583"/>
    <x v="3"/>
  </r>
  <r>
    <x v="65"/>
    <x v="16"/>
    <x v="0"/>
    <n v="3033067"/>
    <x v="3"/>
  </r>
  <r>
    <x v="65"/>
    <x v="21"/>
    <x v="0"/>
    <n v="3606543"/>
    <x v="3"/>
  </r>
  <r>
    <x v="65"/>
    <x v="0"/>
    <x v="0"/>
    <n v="3481963"/>
    <x v="3"/>
  </r>
  <r>
    <x v="65"/>
    <x v="2"/>
    <x v="0"/>
    <n v="3924407"/>
    <x v="3"/>
  </r>
  <r>
    <x v="65"/>
    <x v="17"/>
    <x v="0"/>
    <n v="3722314"/>
    <x v="3"/>
  </r>
  <r>
    <x v="65"/>
    <x v="13"/>
    <x v="0"/>
    <n v="5100847"/>
    <x v="3"/>
  </r>
  <r>
    <x v="65"/>
    <x v="18"/>
    <x v="0"/>
    <n v="5233685"/>
    <x v="3"/>
  </r>
  <r>
    <x v="65"/>
    <x v="19"/>
    <x v="0"/>
    <n v="4832066"/>
    <x v="3"/>
  </r>
  <r>
    <x v="65"/>
    <x v="20"/>
    <x v="0"/>
    <n v="7019499"/>
    <x v="3"/>
  </r>
  <r>
    <x v="65"/>
    <x v="14"/>
    <x v="0"/>
    <n v="7228328"/>
    <x v="3"/>
  </r>
  <r>
    <x v="65"/>
    <x v="1"/>
    <x v="0"/>
    <n v="6054123"/>
    <x v="3"/>
  </r>
  <r>
    <x v="65"/>
    <x v="3"/>
    <x v="0"/>
    <n v="5372613"/>
    <x v="3"/>
  </r>
  <r>
    <x v="65"/>
    <x v="15"/>
    <x v="0"/>
    <n v="6207366"/>
    <x v="3"/>
  </r>
  <r>
    <x v="65"/>
    <x v="4"/>
    <x v="0"/>
    <n v="4426500"/>
    <x v="3"/>
  </r>
  <r>
    <x v="103"/>
    <x v="21"/>
    <x v="0"/>
    <n v="935834"/>
    <x v="3"/>
  </r>
  <r>
    <x v="103"/>
    <x v="0"/>
    <x v="0"/>
    <n v="1204818"/>
    <x v="3"/>
  </r>
  <r>
    <x v="103"/>
    <x v="18"/>
    <x v="0"/>
    <n v="1127416"/>
    <x v="3"/>
  </r>
  <r>
    <x v="103"/>
    <x v="19"/>
    <x v="0"/>
    <n v="975803"/>
    <x v="3"/>
  </r>
  <r>
    <x v="34"/>
    <x v="11"/>
    <x v="0"/>
    <n v="7700343.4000000004"/>
    <x v="3"/>
  </r>
  <r>
    <x v="34"/>
    <x v="12"/>
    <x v="0"/>
    <n v="11705994.130000001"/>
    <x v="3"/>
  </r>
  <r>
    <x v="34"/>
    <x v="16"/>
    <x v="0"/>
    <n v="10316229.560000001"/>
    <x v="3"/>
  </r>
  <r>
    <x v="34"/>
    <x v="21"/>
    <x v="0"/>
    <n v="13372139.73"/>
    <x v="3"/>
  </r>
  <r>
    <x v="34"/>
    <x v="0"/>
    <x v="0"/>
    <n v="11131571.52"/>
    <x v="3"/>
  </r>
  <r>
    <x v="34"/>
    <x v="2"/>
    <x v="0"/>
    <n v="15800513.77"/>
    <x v="3"/>
  </r>
  <r>
    <x v="34"/>
    <x v="17"/>
    <x v="0"/>
    <n v="13654235.07"/>
    <x v="3"/>
  </r>
  <r>
    <x v="34"/>
    <x v="13"/>
    <x v="0"/>
    <n v="16180912.859999999"/>
    <x v="3"/>
  </r>
  <r>
    <x v="34"/>
    <x v="18"/>
    <x v="0"/>
    <n v="14463637.619999999"/>
    <x v="3"/>
  </r>
  <r>
    <x v="34"/>
    <x v="19"/>
    <x v="0"/>
    <n v="24159107.300000001"/>
    <x v="3"/>
  </r>
  <r>
    <x v="34"/>
    <x v="20"/>
    <x v="0"/>
    <n v="7861751.4000000004"/>
    <x v="3"/>
  </r>
  <r>
    <x v="34"/>
    <x v="15"/>
    <x v="0"/>
    <n v="19104546.48"/>
    <x v="3"/>
  </r>
  <r>
    <x v="34"/>
    <x v="4"/>
    <x v="0"/>
    <n v="11255610.932"/>
    <x v="3"/>
  </r>
  <r>
    <x v="35"/>
    <x v="2"/>
    <x v="0"/>
    <n v="1022888.9"/>
    <x v="3"/>
  </r>
  <r>
    <x v="35"/>
    <x v="17"/>
    <x v="0"/>
    <n v="1744649.4310000001"/>
    <x v="3"/>
  </r>
  <r>
    <x v="35"/>
    <x v="13"/>
    <x v="0"/>
    <n v="1210836.26"/>
    <x v="3"/>
  </r>
  <r>
    <x v="35"/>
    <x v="18"/>
    <x v="0"/>
    <n v="1634889.62"/>
    <x v="3"/>
  </r>
  <r>
    <x v="35"/>
    <x v="19"/>
    <x v="0"/>
    <n v="2939319.5"/>
    <x v="3"/>
  </r>
  <r>
    <x v="35"/>
    <x v="20"/>
    <x v="0"/>
    <n v="4829101.8899999997"/>
    <x v="3"/>
  </r>
  <r>
    <x v="35"/>
    <x v="14"/>
    <x v="0"/>
    <n v="4118809.17"/>
    <x v="3"/>
  </r>
  <r>
    <x v="35"/>
    <x v="1"/>
    <x v="0"/>
    <n v="3497635.88"/>
    <x v="3"/>
  </r>
  <r>
    <x v="35"/>
    <x v="3"/>
    <x v="0"/>
    <n v="4200112.88"/>
    <x v="3"/>
  </r>
  <r>
    <x v="35"/>
    <x v="15"/>
    <x v="0"/>
    <n v="1883867.21"/>
    <x v="3"/>
  </r>
  <r>
    <x v="35"/>
    <x v="4"/>
    <x v="0"/>
    <n v="4873586.6399999997"/>
    <x v="3"/>
  </r>
  <r>
    <x v="79"/>
    <x v="22"/>
    <x v="0"/>
    <n v="7114406"/>
    <x v="3"/>
  </r>
  <r>
    <x v="79"/>
    <x v="6"/>
    <x v="0"/>
    <n v="5958086.4689999996"/>
    <x v="3"/>
  </r>
  <r>
    <x v="79"/>
    <x v="7"/>
    <x v="0"/>
    <n v="5583920.9079999998"/>
    <x v="3"/>
  </r>
  <r>
    <x v="79"/>
    <x v="8"/>
    <x v="0"/>
    <n v="4902310"/>
    <x v="3"/>
  </r>
  <r>
    <x v="79"/>
    <x v="9"/>
    <x v="0"/>
    <n v="6799704"/>
    <x v="3"/>
  </r>
  <r>
    <x v="79"/>
    <x v="10"/>
    <x v="0"/>
    <n v="6210117"/>
    <x v="3"/>
  </r>
  <r>
    <x v="79"/>
    <x v="11"/>
    <x v="0"/>
    <n v="7669100"/>
    <x v="3"/>
  </r>
  <r>
    <x v="79"/>
    <x v="12"/>
    <x v="0"/>
    <n v="6929502"/>
    <x v="3"/>
  </r>
  <r>
    <x v="79"/>
    <x v="16"/>
    <x v="0"/>
    <n v="5240661"/>
    <x v="3"/>
  </r>
  <r>
    <x v="79"/>
    <x v="21"/>
    <x v="0"/>
    <n v="9001682"/>
    <x v="3"/>
  </r>
  <r>
    <x v="79"/>
    <x v="0"/>
    <x v="0"/>
    <n v="7589378"/>
    <x v="3"/>
  </r>
  <r>
    <x v="79"/>
    <x v="2"/>
    <x v="0"/>
    <n v="9191487"/>
    <x v="3"/>
  </r>
  <r>
    <x v="79"/>
    <x v="17"/>
    <x v="0"/>
    <n v="9425279"/>
    <x v="3"/>
  </r>
  <r>
    <x v="79"/>
    <x v="13"/>
    <x v="0"/>
    <n v="7449044"/>
    <x v="3"/>
  </r>
  <r>
    <x v="79"/>
    <x v="18"/>
    <x v="0"/>
    <n v="8765435"/>
    <x v="3"/>
  </r>
  <r>
    <x v="79"/>
    <x v="19"/>
    <x v="0"/>
    <n v="10159247"/>
    <x v="3"/>
  </r>
  <r>
    <x v="79"/>
    <x v="20"/>
    <x v="0"/>
    <n v="11877280.225"/>
    <x v="3"/>
  </r>
  <r>
    <x v="79"/>
    <x v="14"/>
    <x v="0"/>
    <n v="11395396.697000001"/>
    <x v="3"/>
  </r>
  <r>
    <x v="79"/>
    <x v="1"/>
    <x v="0"/>
    <n v="11950993"/>
    <x v="3"/>
  </r>
  <r>
    <x v="79"/>
    <x v="3"/>
    <x v="0"/>
    <n v="11671383.539000001"/>
    <x v="3"/>
  </r>
  <r>
    <x v="79"/>
    <x v="15"/>
    <x v="0"/>
    <n v="14278603.116"/>
    <x v="3"/>
  </r>
  <r>
    <x v="79"/>
    <x v="4"/>
    <x v="0"/>
    <n v="12526066"/>
    <x v="3"/>
  </r>
  <r>
    <x v="36"/>
    <x v="11"/>
    <x v="0"/>
    <n v="12628747"/>
    <x v="3"/>
  </r>
  <r>
    <x v="36"/>
    <x v="12"/>
    <x v="0"/>
    <n v="13493079"/>
    <x v="3"/>
  </r>
  <r>
    <x v="36"/>
    <x v="16"/>
    <x v="0"/>
    <n v="12870082"/>
    <x v="3"/>
  </r>
  <r>
    <x v="36"/>
    <x v="21"/>
    <x v="0"/>
    <n v="17809624"/>
    <x v="3"/>
  </r>
  <r>
    <x v="36"/>
    <x v="0"/>
    <x v="0"/>
    <n v="21109221"/>
    <x v="3"/>
  </r>
  <r>
    <x v="36"/>
    <x v="2"/>
    <x v="0"/>
    <n v="17963354"/>
    <x v="3"/>
  </r>
  <r>
    <x v="36"/>
    <x v="17"/>
    <x v="0"/>
    <n v="20108858"/>
    <x v="3"/>
  </r>
  <r>
    <x v="36"/>
    <x v="13"/>
    <x v="0"/>
    <n v="21624953"/>
    <x v="3"/>
  </r>
  <r>
    <x v="36"/>
    <x v="18"/>
    <x v="0"/>
    <n v="20029551.004000001"/>
    <x v="3"/>
  </r>
  <r>
    <x v="36"/>
    <x v="19"/>
    <x v="0"/>
    <n v="20756234"/>
    <x v="3"/>
  </r>
  <r>
    <x v="36"/>
    <x v="20"/>
    <x v="0"/>
    <n v="27028139.333999999"/>
    <x v="3"/>
  </r>
  <r>
    <x v="36"/>
    <x v="14"/>
    <x v="0"/>
    <n v="25311546.27"/>
    <x v="3"/>
  </r>
  <r>
    <x v="36"/>
    <x v="1"/>
    <x v="0"/>
    <n v="27347669.188999999"/>
    <x v="3"/>
  </r>
  <r>
    <x v="36"/>
    <x v="3"/>
    <x v="0"/>
    <n v="30768901"/>
    <x v="3"/>
  </r>
  <r>
    <x v="36"/>
    <x v="15"/>
    <x v="0"/>
    <n v="35353598.219999999"/>
    <x v="3"/>
  </r>
  <r>
    <x v="36"/>
    <x v="4"/>
    <x v="0"/>
    <n v="34829135.112000003"/>
    <x v="3"/>
  </r>
  <r>
    <x v="80"/>
    <x v="16"/>
    <x v="0"/>
    <n v="2225759.17"/>
    <x v="3"/>
  </r>
  <r>
    <x v="80"/>
    <x v="21"/>
    <x v="0"/>
    <n v="1668870.3"/>
    <x v="3"/>
  </r>
  <r>
    <x v="80"/>
    <x v="0"/>
    <x v="0"/>
    <n v="1722658.3"/>
    <x v="3"/>
  </r>
  <r>
    <x v="80"/>
    <x v="2"/>
    <x v="0"/>
    <n v="2687384.41"/>
    <x v="3"/>
  </r>
  <r>
    <x v="80"/>
    <x v="17"/>
    <x v="0"/>
    <n v="2615136.88"/>
    <x v="3"/>
  </r>
  <r>
    <x v="80"/>
    <x v="13"/>
    <x v="0"/>
    <n v="2710011.83"/>
    <x v="3"/>
  </r>
  <r>
    <x v="80"/>
    <x v="18"/>
    <x v="0"/>
    <n v="2716003.2"/>
    <x v="3"/>
  </r>
  <r>
    <x v="80"/>
    <x v="19"/>
    <x v="0"/>
    <n v="2929073.7"/>
    <x v="3"/>
  </r>
  <r>
    <x v="80"/>
    <x v="20"/>
    <x v="0"/>
    <n v="2508287"/>
    <x v="3"/>
  </r>
  <r>
    <x v="80"/>
    <x v="14"/>
    <x v="0"/>
    <n v="2086906.66"/>
    <x v="3"/>
  </r>
  <r>
    <x v="80"/>
    <x v="1"/>
    <x v="0"/>
    <n v="2940137.29"/>
    <x v="3"/>
  </r>
  <r>
    <x v="80"/>
    <x v="3"/>
    <x v="0"/>
    <n v="1853779.439"/>
    <x v="3"/>
  </r>
  <r>
    <x v="37"/>
    <x v="2"/>
    <x v="0"/>
    <n v="1692444.7520000001"/>
    <x v="3"/>
  </r>
  <r>
    <x v="37"/>
    <x v="17"/>
    <x v="0"/>
    <n v="1374745.4650000001"/>
    <x v="3"/>
  </r>
  <r>
    <x v="37"/>
    <x v="13"/>
    <x v="0"/>
    <n v="1065483.77"/>
    <x v="3"/>
  </r>
  <r>
    <x v="37"/>
    <x v="18"/>
    <x v="0"/>
    <n v="1364297.35"/>
    <x v="3"/>
  </r>
  <r>
    <x v="37"/>
    <x v="19"/>
    <x v="0"/>
    <n v="1366014.82"/>
    <x v="3"/>
  </r>
  <r>
    <x v="37"/>
    <x v="20"/>
    <x v="0"/>
    <n v="1326730.628"/>
    <x v="3"/>
  </r>
  <r>
    <x v="37"/>
    <x v="14"/>
    <x v="0"/>
    <n v="1450333.828"/>
    <x v="3"/>
  </r>
  <r>
    <x v="37"/>
    <x v="1"/>
    <x v="0"/>
    <n v="1983560.2749999999"/>
    <x v="3"/>
  </r>
  <r>
    <x v="37"/>
    <x v="3"/>
    <x v="0"/>
    <n v="4898372.5889999997"/>
    <x v="3"/>
  </r>
  <r>
    <x v="37"/>
    <x v="15"/>
    <x v="0"/>
    <n v="6831202.1940000001"/>
    <x v="3"/>
  </r>
  <r>
    <x v="104"/>
    <x v="23"/>
    <x v="0"/>
    <n v="736935"/>
    <x v="3"/>
  </r>
  <r>
    <x v="104"/>
    <x v="24"/>
    <x v="0"/>
    <n v="1325728.3799999999"/>
    <x v="3"/>
  </r>
  <r>
    <x v="104"/>
    <x v="5"/>
    <x v="0"/>
    <n v="1548307.16"/>
    <x v="3"/>
  </r>
  <r>
    <x v="104"/>
    <x v="22"/>
    <x v="0"/>
    <n v="1665384.17"/>
    <x v="3"/>
  </r>
  <r>
    <x v="104"/>
    <x v="6"/>
    <x v="0"/>
    <n v="2358102"/>
    <x v="3"/>
  </r>
  <r>
    <x v="104"/>
    <x v="7"/>
    <x v="0"/>
    <n v="3617869.03"/>
    <x v="3"/>
  </r>
  <r>
    <x v="104"/>
    <x v="8"/>
    <x v="0"/>
    <n v="2266076.2000000002"/>
    <x v="3"/>
  </r>
  <r>
    <x v="104"/>
    <x v="9"/>
    <x v="0"/>
    <n v="2846168.2"/>
    <x v="3"/>
  </r>
  <r>
    <x v="104"/>
    <x v="10"/>
    <x v="0"/>
    <n v="1993168.5"/>
    <x v="3"/>
  </r>
  <r>
    <x v="104"/>
    <x v="11"/>
    <x v="0"/>
    <n v="1854429.1170000001"/>
    <x v="3"/>
  </r>
  <r>
    <x v="104"/>
    <x v="12"/>
    <x v="0"/>
    <n v="2597996.16"/>
    <x v="3"/>
  </r>
  <r>
    <x v="104"/>
    <x v="16"/>
    <x v="0"/>
    <n v="3032877.46"/>
    <x v="3"/>
  </r>
  <r>
    <x v="104"/>
    <x v="21"/>
    <x v="0"/>
    <n v="2897203.98"/>
    <x v="3"/>
  </r>
  <r>
    <x v="104"/>
    <x v="0"/>
    <x v="0"/>
    <n v="3167612"/>
    <x v="3"/>
  </r>
  <r>
    <x v="104"/>
    <x v="2"/>
    <x v="0"/>
    <n v="2696366.38"/>
    <x v="3"/>
  </r>
  <r>
    <x v="104"/>
    <x v="17"/>
    <x v="0"/>
    <n v="3475196"/>
    <x v="3"/>
  </r>
  <r>
    <x v="104"/>
    <x v="13"/>
    <x v="0"/>
    <n v="5070771.8"/>
    <x v="3"/>
  </r>
  <r>
    <x v="104"/>
    <x v="18"/>
    <x v="0"/>
    <n v="5171543.0710000005"/>
    <x v="3"/>
  </r>
  <r>
    <x v="104"/>
    <x v="19"/>
    <x v="0"/>
    <n v="5458543.7300000004"/>
    <x v="3"/>
  </r>
  <r>
    <x v="104"/>
    <x v="20"/>
    <x v="0"/>
    <n v="6498196.4000000004"/>
    <x v="3"/>
  </r>
  <r>
    <x v="104"/>
    <x v="14"/>
    <x v="0"/>
    <n v="6883109.8600000003"/>
    <x v="3"/>
  </r>
  <r>
    <x v="104"/>
    <x v="1"/>
    <x v="0"/>
    <n v="6765722.2999999998"/>
    <x v="3"/>
  </r>
  <r>
    <x v="104"/>
    <x v="3"/>
    <x v="0"/>
    <n v="6459730.5769999996"/>
    <x v="3"/>
  </r>
  <r>
    <x v="104"/>
    <x v="15"/>
    <x v="0"/>
    <n v="7520040.7019999996"/>
    <x v="3"/>
  </r>
  <r>
    <x v="104"/>
    <x v="4"/>
    <x v="0"/>
    <n v="5450609.4699999997"/>
    <x v="3"/>
  </r>
  <r>
    <x v="81"/>
    <x v="21"/>
    <x v="0"/>
    <n v="5452743"/>
    <x v="3"/>
  </r>
  <r>
    <x v="81"/>
    <x v="0"/>
    <x v="0"/>
    <n v="6766753"/>
    <x v="3"/>
  </r>
  <r>
    <x v="81"/>
    <x v="2"/>
    <x v="0"/>
    <n v="5378541"/>
    <x v="3"/>
  </r>
  <r>
    <x v="81"/>
    <x v="17"/>
    <x v="0"/>
    <n v="5840992.7599999998"/>
    <x v="3"/>
  </r>
  <r>
    <x v="81"/>
    <x v="13"/>
    <x v="0"/>
    <n v="4185858.28"/>
    <x v="3"/>
  </r>
  <r>
    <x v="81"/>
    <x v="18"/>
    <x v="0"/>
    <n v="4663052.6900000004"/>
    <x v="3"/>
  </r>
  <r>
    <x v="81"/>
    <x v="19"/>
    <x v="0"/>
    <n v="7054197.04"/>
    <x v="3"/>
  </r>
  <r>
    <x v="81"/>
    <x v="20"/>
    <x v="0"/>
    <n v="6715987.9840000002"/>
    <x v="3"/>
  </r>
  <r>
    <x v="81"/>
    <x v="14"/>
    <x v="0"/>
    <n v="6354539.1299999999"/>
    <x v="3"/>
  </r>
  <r>
    <x v="82"/>
    <x v="2"/>
    <x v="0"/>
    <n v="33968730"/>
    <x v="3"/>
  </r>
  <r>
    <x v="82"/>
    <x v="17"/>
    <x v="0"/>
    <n v="38961000"/>
    <x v="3"/>
  </r>
  <r>
    <x v="82"/>
    <x v="13"/>
    <x v="0"/>
    <n v="26804000"/>
    <x v="3"/>
  </r>
  <r>
    <x v="82"/>
    <x v="20"/>
    <x v="0"/>
    <n v="65673444"/>
    <x v="3"/>
  </r>
  <r>
    <x v="82"/>
    <x v="14"/>
    <x v="0"/>
    <n v="44284308"/>
    <x v="3"/>
  </r>
  <r>
    <x v="82"/>
    <x v="4"/>
    <x v="0"/>
    <n v="16280065"/>
    <x v="3"/>
  </r>
  <r>
    <x v="105"/>
    <x v="11"/>
    <x v="0"/>
    <n v="5449921"/>
    <x v="3"/>
  </r>
  <r>
    <x v="105"/>
    <x v="12"/>
    <x v="0"/>
    <n v="5560901"/>
    <x v="3"/>
  </r>
  <r>
    <x v="105"/>
    <x v="16"/>
    <x v="0"/>
    <n v="3886604"/>
    <x v="3"/>
  </r>
  <r>
    <x v="105"/>
    <x v="21"/>
    <x v="0"/>
    <n v="3514141"/>
    <x v="3"/>
  </r>
  <r>
    <x v="105"/>
    <x v="0"/>
    <x v="0"/>
    <n v="3088157"/>
    <x v="3"/>
  </r>
  <r>
    <x v="105"/>
    <x v="2"/>
    <x v="0"/>
    <n v="13120449"/>
    <x v="3"/>
  </r>
  <r>
    <x v="105"/>
    <x v="17"/>
    <x v="0"/>
    <n v="4243063"/>
    <x v="3"/>
  </r>
  <r>
    <x v="105"/>
    <x v="13"/>
    <x v="0"/>
    <n v="4794498"/>
    <x v="3"/>
  </r>
  <r>
    <x v="105"/>
    <x v="18"/>
    <x v="0"/>
    <n v="4374915"/>
    <x v="3"/>
  </r>
  <r>
    <x v="105"/>
    <x v="19"/>
    <x v="0"/>
    <n v="4297045"/>
    <x v="3"/>
  </r>
  <r>
    <x v="105"/>
    <x v="20"/>
    <x v="0"/>
    <n v="4377991"/>
    <x v="3"/>
  </r>
  <r>
    <x v="105"/>
    <x v="14"/>
    <x v="0"/>
    <n v="4887703"/>
    <x v="3"/>
  </r>
  <r>
    <x v="105"/>
    <x v="1"/>
    <x v="0"/>
    <n v="5402201"/>
    <x v="3"/>
  </r>
  <r>
    <x v="105"/>
    <x v="3"/>
    <x v="0"/>
    <n v="5092829"/>
    <x v="3"/>
  </r>
  <r>
    <x v="105"/>
    <x v="15"/>
    <x v="0"/>
    <n v="5273429"/>
    <x v="3"/>
  </r>
  <r>
    <x v="105"/>
    <x v="4"/>
    <x v="0"/>
    <n v="4223726"/>
    <x v="3"/>
  </r>
  <r>
    <x v="67"/>
    <x v="11"/>
    <x v="0"/>
    <n v="2316269.2599999998"/>
    <x v="3"/>
  </r>
  <r>
    <x v="67"/>
    <x v="12"/>
    <x v="0"/>
    <n v="2180010.04"/>
    <x v="3"/>
  </r>
  <r>
    <x v="67"/>
    <x v="16"/>
    <x v="0"/>
    <n v="2483658.0299999998"/>
    <x v="3"/>
  </r>
  <r>
    <x v="67"/>
    <x v="21"/>
    <x v="0"/>
    <n v="2530986.4700000002"/>
    <x v="3"/>
  </r>
  <r>
    <x v="67"/>
    <x v="0"/>
    <x v="0"/>
    <n v="2543893.79"/>
    <x v="3"/>
  </r>
  <r>
    <x v="67"/>
    <x v="2"/>
    <x v="0"/>
    <n v="2220541.9900000002"/>
    <x v="3"/>
  </r>
  <r>
    <x v="67"/>
    <x v="17"/>
    <x v="0"/>
    <n v="2690631.827"/>
    <x v="3"/>
  </r>
  <r>
    <x v="67"/>
    <x v="13"/>
    <x v="0"/>
    <n v="2117318.52"/>
    <x v="3"/>
  </r>
  <r>
    <x v="67"/>
    <x v="18"/>
    <x v="0"/>
    <n v="2295462.5699999998"/>
    <x v="3"/>
  </r>
  <r>
    <x v="67"/>
    <x v="19"/>
    <x v="0"/>
    <n v="2361052.0699999998"/>
    <x v="3"/>
  </r>
  <r>
    <x v="67"/>
    <x v="20"/>
    <x v="0"/>
    <n v="6538041.6600000001"/>
    <x v="3"/>
  </r>
  <r>
    <x v="67"/>
    <x v="14"/>
    <x v="0"/>
    <n v="2182229.3199999998"/>
    <x v="3"/>
  </r>
  <r>
    <x v="67"/>
    <x v="1"/>
    <x v="0"/>
    <n v="2125925.59"/>
    <x v="3"/>
  </r>
  <r>
    <x v="67"/>
    <x v="3"/>
    <x v="0"/>
    <n v="1969067.57"/>
    <x v="3"/>
  </r>
  <r>
    <x v="67"/>
    <x v="15"/>
    <x v="0"/>
    <n v="2142775.2000000002"/>
    <x v="3"/>
  </r>
  <r>
    <x v="106"/>
    <x v="11"/>
    <x v="0"/>
    <n v="1362977.936"/>
    <x v="3"/>
  </r>
  <r>
    <x v="106"/>
    <x v="12"/>
    <x v="0"/>
    <n v="1760673.7579999999"/>
    <x v="3"/>
  </r>
  <r>
    <x v="106"/>
    <x v="16"/>
    <x v="0"/>
    <n v="1636975.906"/>
    <x v="3"/>
  </r>
  <r>
    <x v="106"/>
    <x v="21"/>
    <x v="0"/>
    <n v="1962574.2080000001"/>
    <x v="3"/>
  </r>
  <r>
    <x v="106"/>
    <x v="0"/>
    <x v="0"/>
    <n v="1974592.368"/>
    <x v="3"/>
  </r>
  <r>
    <x v="106"/>
    <x v="2"/>
    <x v="0"/>
    <n v="2458666"/>
    <x v="3"/>
  </r>
  <r>
    <x v="106"/>
    <x v="17"/>
    <x v="0"/>
    <n v="2191443"/>
    <x v="3"/>
  </r>
  <r>
    <x v="106"/>
    <x v="13"/>
    <x v="0"/>
    <n v="2186989.5060000001"/>
    <x v="3"/>
  </r>
  <r>
    <x v="106"/>
    <x v="18"/>
    <x v="0"/>
    <n v="2777599"/>
    <x v="3"/>
  </r>
  <r>
    <x v="106"/>
    <x v="19"/>
    <x v="0"/>
    <n v="3044811"/>
    <x v="3"/>
  </r>
  <r>
    <x v="106"/>
    <x v="20"/>
    <x v="0"/>
    <n v="3302316"/>
    <x v="3"/>
  </r>
  <r>
    <x v="106"/>
    <x v="14"/>
    <x v="0"/>
    <n v="2901323.0589999999"/>
    <x v="3"/>
  </r>
  <r>
    <x v="106"/>
    <x v="1"/>
    <x v="0"/>
    <n v="3791238.27"/>
    <x v="3"/>
  </r>
  <r>
    <x v="106"/>
    <x v="3"/>
    <x v="0"/>
    <n v="3600257.0469999998"/>
    <x v="3"/>
  </r>
  <r>
    <x v="106"/>
    <x v="15"/>
    <x v="0"/>
    <n v="3554945.7489999998"/>
    <x v="3"/>
  </r>
  <r>
    <x v="106"/>
    <x v="4"/>
    <x v="0"/>
    <n v="2725665"/>
    <x v="3"/>
  </r>
  <r>
    <x v="83"/>
    <x v="11"/>
    <x v="0"/>
    <n v="2658346.554"/>
    <x v="3"/>
  </r>
  <r>
    <x v="83"/>
    <x v="12"/>
    <x v="0"/>
    <n v="2952364.8220000002"/>
    <x v="3"/>
  </r>
  <r>
    <x v="83"/>
    <x v="16"/>
    <x v="0"/>
    <n v="2705570.577"/>
    <x v="3"/>
  </r>
  <r>
    <x v="83"/>
    <x v="21"/>
    <x v="0"/>
    <n v="2666902.0660000001"/>
    <x v="3"/>
  </r>
  <r>
    <x v="83"/>
    <x v="0"/>
    <x v="0"/>
    <n v="2814873.355"/>
    <x v="3"/>
  </r>
  <r>
    <x v="83"/>
    <x v="2"/>
    <x v="0"/>
    <n v="2783873.395"/>
    <x v="3"/>
  </r>
  <r>
    <x v="83"/>
    <x v="17"/>
    <x v="0"/>
    <n v="1552378.2509999999"/>
    <x v="3"/>
  </r>
  <r>
    <x v="83"/>
    <x v="13"/>
    <x v="0"/>
    <n v="2927124.95"/>
    <x v="3"/>
  </r>
  <r>
    <x v="83"/>
    <x v="18"/>
    <x v="0"/>
    <n v="2795320.68"/>
    <x v="3"/>
  </r>
  <r>
    <x v="83"/>
    <x v="19"/>
    <x v="0"/>
    <n v="3016154.997"/>
    <x v="3"/>
  </r>
  <r>
    <x v="83"/>
    <x v="20"/>
    <x v="0"/>
    <n v="3463222.8470000001"/>
    <x v="3"/>
  </r>
  <r>
    <x v="83"/>
    <x v="14"/>
    <x v="0"/>
    <n v="3367016.45"/>
    <x v="3"/>
  </r>
  <r>
    <x v="83"/>
    <x v="1"/>
    <x v="0"/>
    <n v="3487841.1030000001"/>
    <x v="3"/>
  </r>
  <r>
    <x v="83"/>
    <x v="3"/>
    <x v="0"/>
    <n v="3189400.8339999998"/>
    <x v="3"/>
  </r>
  <r>
    <x v="83"/>
    <x v="15"/>
    <x v="0"/>
    <n v="3396183.875"/>
    <x v="3"/>
  </r>
  <r>
    <x v="83"/>
    <x v="4"/>
    <x v="0"/>
    <n v="2422178.9640000002"/>
    <x v="3"/>
  </r>
  <r>
    <x v="40"/>
    <x v="11"/>
    <x v="0"/>
    <n v="12352099.23"/>
    <x v="3"/>
  </r>
  <r>
    <x v="40"/>
    <x v="12"/>
    <x v="0"/>
    <n v="9866276.9000000004"/>
    <x v="3"/>
  </r>
  <r>
    <x v="40"/>
    <x v="16"/>
    <x v="0"/>
    <n v="11769692.050000001"/>
    <x v="3"/>
  </r>
  <r>
    <x v="40"/>
    <x v="21"/>
    <x v="0"/>
    <n v="12097192.77"/>
    <x v="3"/>
  </r>
  <r>
    <x v="40"/>
    <x v="0"/>
    <x v="0"/>
    <n v="12920188.01"/>
    <x v="3"/>
  </r>
  <r>
    <x v="40"/>
    <x v="2"/>
    <x v="0"/>
    <n v="12537893.5"/>
    <x v="3"/>
  </r>
  <r>
    <x v="40"/>
    <x v="17"/>
    <x v="0"/>
    <n v="7416107.4900000002"/>
    <x v="3"/>
  </r>
  <r>
    <x v="40"/>
    <x v="13"/>
    <x v="0"/>
    <n v="13433807.609999999"/>
    <x v="3"/>
  </r>
  <r>
    <x v="40"/>
    <x v="18"/>
    <x v="0"/>
    <n v="10361797.5"/>
    <x v="3"/>
  </r>
  <r>
    <x v="40"/>
    <x v="19"/>
    <x v="0"/>
    <n v="13025113.93"/>
    <x v="3"/>
  </r>
  <r>
    <x v="40"/>
    <x v="20"/>
    <x v="0"/>
    <n v="7986505.8600000003"/>
    <x v="3"/>
  </r>
  <r>
    <x v="40"/>
    <x v="14"/>
    <x v="0"/>
    <n v="10360166.289999999"/>
    <x v="3"/>
  </r>
  <r>
    <x v="40"/>
    <x v="1"/>
    <x v="0"/>
    <n v="9957418.9399999995"/>
    <x v="3"/>
  </r>
  <r>
    <x v="40"/>
    <x v="3"/>
    <x v="0"/>
    <n v="5944322.7400000002"/>
    <x v="3"/>
  </r>
  <r>
    <x v="40"/>
    <x v="15"/>
    <x v="0"/>
    <n v="12565010.960000001"/>
    <x v="3"/>
  </r>
  <r>
    <x v="40"/>
    <x v="4"/>
    <x v="0"/>
    <n v="6055610.3399999999"/>
    <x v="3"/>
  </r>
  <r>
    <x v="41"/>
    <x v="25"/>
    <x v="0"/>
    <n v="23180653.050000001"/>
    <x v="3"/>
  </r>
  <r>
    <x v="41"/>
    <x v="5"/>
    <x v="0"/>
    <n v="39104270.600000001"/>
    <x v="3"/>
  </r>
  <r>
    <x v="41"/>
    <x v="22"/>
    <x v="0"/>
    <n v="38517622.509999998"/>
    <x v="3"/>
  </r>
  <r>
    <x v="41"/>
    <x v="6"/>
    <x v="0"/>
    <n v="62645721.859999999"/>
    <x v="3"/>
  </r>
  <r>
    <x v="41"/>
    <x v="7"/>
    <x v="0"/>
    <n v="75759711.269999996"/>
    <x v="3"/>
  </r>
  <r>
    <x v="41"/>
    <x v="8"/>
    <x v="0"/>
    <n v="74811098.819999993"/>
    <x v="3"/>
  </r>
  <r>
    <x v="41"/>
    <x v="9"/>
    <x v="0"/>
    <n v="80086140.319999993"/>
    <x v="3"/>
  </r>
  <r>
    <x v="41"/>
    <x v="10"/>
    <x v="0"/>
    <n v="95680432.030000001"/>
    <x v="3"/>
  </r>
  <r>
    <x v="41"/>
    <x v="11"/>
    <x v="0"/>
    <n v="93938279.260000005"/>
    <x v="3"/>
  </r>
  <r>
    <x v="41"/>
    <x v="12"/>
    <x v="0"/>
    <n v="89365476.986000001"/>
    <x v="3"/>
  </r>
  <r>
    <x v="41"/>
    <x v="16"/>
    <x v="0"/>
    <n v="88544049.162"/>
    <x v="3"/>
  </r>
  <r>
    <x v="41"/>
    <x v="21"/>
    <x v="0"/>
    <n v="90129386.758000001"/>
    <x v="3"/>
  </r>
  <r>
    <x v="41"/>
    <x v="0"/>
    <x v="0"/>
    <n v="97040139.280000001"/>
    <x v="3"/>
  </r>
  <r>
    <x v="41"/>
    <x v="2"/>
    <x v="0"/>
    <n v="116017305.42399999"/>
    <x v="3"/>
  </r>
  <r>
    <x v="41"/>
    <x v="17"/>
    <x v="0"/>
    <n v="95039529.467999995"/>
    <x v="3"/>
  </r>
  <r>
    <x v="41"/>
    <x v="13"/>
    <x v="0"/>
    <n v="122589193.71600001"/>
    <x v="3"/>
  </r>
  <r>
    <x v="41"/>
    <x v="18"/>
    <x v="0"/>
    <n v="128279314.345"/>
    <x v="3"/>
  </r>
  <r>
    <x v="41"/>
    <x v="19"/>
    <x v="0"/>
    <n v="154699825.48800001"/>
    <x v="3"/>
  </r>
  <r>
    <x v="41"/>
    <x v="20"/>
    <x v="0"/>
    <n v="138712321.49399999"/>
    <x v="3"/>
  </r>
  <r>
    <x v="41"/>
    <x v="14"/>
    <x v="0"/>
    <n v="138421164.95300001"/>
    <x v="3"/>
  </r>
  <r>
    <x v="41"/>
    <x v="1"/>
    <x v="0"/>
    <n v="164786353.20500001"/>
    <x v="3"/>
  </r>
  <r>
    <x v="41"/>
    <x v="3"/>
    <x v="0"/>
    <n v="140761502.95699999"/>
    <x v="3"/>
  </r>
  <r>
    <x v="41"/>
    <x v="15"/>
    <x v="0"/>
    <n v="173609677.56299999"/>
    <x v="3"/>
  </r>
  <r>
    <x v="41"/>
    <x v="4"/>
    <x v="0"/>
    <n v="168088439.07699999"/>
    <x v="3"/>
  </r>
  <r>
    <x v="107"/>
    <x v="8"/>
    <x v="0"/>
    <n v="3205085.4589999998"/>
    <x v="3"/>
  </r>
  <r>
    <x v="107"/>
    <x v="9"/>
    <x v="0"/>
    <n v="2687154.1860000002"/>
    <x v="3"/>
  </r>
  <r>
    <x v="107"/>
    <x v="10"/>
    <x v="0"/>
    <n v="1805644.7790000001"/>
    <x v="3"/>
  </r>
  <r>
    <x v="107"/>
    <x v="13"/>
    <x v="0"/>
    <n v="1358526.0859999999"/>
    <x v="3"/>
  </r>
  <r>
    <x v="107"/>
    <x v="18"/>
    <x v="0"/>
    <n v="1703300.902"/>
    <x v="3"/>
  </r>
  <r>
    <x v="107"/>
    <x v="19"/>
    <x v="0"/>
    <n v="2222129.4169999999"/>
    <x v="3"/>
  </r>
  <r>
    <x v="107"/>
    <x v="20"/>
    <x v="0"/>
    <n v="2240215.1690000002"/>
    <x v="3"/>
  </r>
  <r>
    <x v="107"/>
    <x v="14"/>
    <x v="0"/>
    <n v="1765135.156"/>
    <x v="3"/>
  </r>
  <r>
    <x v="107"/>
    <x v="1"/>
    <x v="0"/>
    <n v="2656116.9330000002"/>
    <x v="3"/>
  </r>
  <r>
    <x v="107"/>
    <x v="3"/>
    <x v="0"/>
    <n v="1824593.378"/>
    <x v="3"/>
  </r>
  <r>
    <x v="108"/>
    <x v="16"/>
    <x v="0"/>
    <n v="1535938"/>
    <x v="3"/>
  </r>
  <r>
    <x v="108"/>
    <x v="2"/>
    <x v="0"/>
    <n v="842723.62399999995"/>
    <x v="3"/>
  </r>
  <r>
    <x v="108"/>
    <x v="17"/>
    <x v="0"/>
    <n v="963436"/>
    <x v="3"/>
  </r>
  <r>
    <x v="108"/>
    <x v="18"/>
    <x v="0"/>
    <n v="1012483.5"/>
    <x v="3"/>
  </r>
  <r>
    <x v="109"/>
    <x v="10"/>
    <x v="0"/>
    <n v="1225893.9620000001"/>
    <x v="3"/>
  </r>
  <r>
    <x v="110"/>
    <x v="11"/>
    <x v="0"/>
    <n v="4905200"/>
    <x v="3"/>
  </r>
  <r>
    <x v="110"/>
    <x v="12"/>
    <x v="0"/>
    <n v="5849300"/>
    <x v="3"/>
  </r>
  <r>
    <x v="110"/>
    <x v="16"/>
    <x v="0"/>
    <n v="5035672.1840000004"/>
    <x v="3"/>
  </r>
  <r>
    <x v="110"/>
    <x v="21"/>
    <x v="0"/>
    <n v="6050368.5219999999"/>
    <x v="3"/>
  </r>
  <r>
    <x v="110"/>
    <x v="0"/>
    <x v="0"/>
    <n v="5997347.8640000001"/>
    <x v="3"/>
  </r>
  <r>
    <x v="110"/>
    <x v="2"/>
    <x v="0"/>
    <n v="5997373.2450000001"/>
    <x v="3"/>
  </r>
  <r>
    <x v="110"/>
    <x v="17"/>
    <x v="0"/>
    <n v="5838358.4960000003"/>
    <x v="3"/>
  </r>
  <r>
    <x v="110"/>
    <x v="13"/>
    <x v="0"/>
    <n v="5451361.0659999996"/>
    <x v="3"/>
  </r>
  <r>
    <x v="110"/>
    <x v="18"/>
    <x v="0"/>
    <n v="6246384.7070000004"/>
    <x v="3"/>
  </r>
  <r>
    <x v="110"/>
    <x v="19"/>
    <x v="0"/>
    <n v="6975010.1869999999"/>
    <x v="3"/>
  </r>
  <r>
    <x v="110"/>
    <x v="20"/>
    <x v="0"/>
    <n v="7336110.8059999999"/>
    <x v="3"/>
  </r>
  <r>
    <x v="110"/>
    <x v="14"/>
    <x v="0"/>
    <n v="5356369.4759999998"/>
    <x v="3"/>
  </r>
  <r>
    <x v="110"/>
    <x v="1"/>
    <x v="0"/>
    <n v="6016414.8279999997"/>
    <x v="3"/>
  </r>
  <r>
    <x v="110"/>
    <x v="3"/>
    <x v="0"/>
    <n v="5607627.1780000003"/>
    <x v="3"/>
  </r>
  <r>
    <x v="110"/>
    <x v="15"/>
    <x v="0"/>
    <n v="6580178.6459999997"/>
    <x v="3"/>
  </r>
  <r>
    <x v="110"/>
    <x v="4"/>
    <x v="0"/>
    <n v="5337902.4539999999"/>
    <x v="3"/>
  </r>
  <r>
    <x v="111"/>
    <x v="23"/>
    <x v="0"/>
    <n v="7865136"/>
    <x v="3"/>
  </r>
  <r>
    <x v="111"/>
    <x v="24"/>
    <x v="0"/>
    <n v="7414667"/>
    <x v="3"/>
  </r>
  <r>
    <x v="111"/>
    <x v="25"/>
    <x v="0"/>
    <n v="7819698"/>
    <x v="3"/>
  </r>
  <r>
    <x v="111"/>
    <x v="5"/>
    <x v="0"/>
    <n v="8994217"/>
    <x v="3"/>
  </r>
  <r>
    <x v="111"/>
    <x v="22"/>
    <x v="0"/>
    <n v="8282226"/>
    <x v="3"/>
  </r>
  <r>
    <x v="111"/>
    <x v="6"/>
    <x v="0"/>
    <n v="7815200"/>
    <x v="3"/>
  </r>
  <r>
    <x v="111"/>
    <x v="7"/>
    <x v="0"/>
    <n v="8274102"/>
    <x v="3"/>
  </r>
  <r>
    <x v="111"/>
    <x v="8"/>
    <x v="0"/>
    <n v="8078440"/>
    <x v="3"/>
  </r>
  <r>
    <x v="111"/>
    <x v="9"/>
    <x v="0"/>
    <n v="8667236"/>
    <x v="3"/>
  </r>
  <r>
    <x v="111"/>
    <x v="10"/>
    <x v="0"/>
    <n v="8661610"/>
    <x v="3"/>
  </r>
  <r>
    <x v="111"/>
    <x v="16"/>
    <x v="0"/>
    <n v="7564883.46"/>
    <x v="3"/>
  </r>
  <r>
    <x v="111"/>
    <x v="21"/>
    <x v="0"/>
    <n v="9383360.193"/>
    <x v="3"/>
  </r>
  <r>
    <x v="111"/>
    <x v="0"/>
    <x v="0"/>
    <n v="8615736"/>
    <x v="3"/>
  </r>
  <r>
    <x v="111"/>
    <x v="2"/>
    <x v="0"/>
    <n v="8981496.1940000001"/>
    <x v="3"/>
  </r>
  <r>
    <x v="111"/>
    <x v="17"/>
    <x v="0"/>
    <n v="8861209.5069999993"/>
    <x v="3"/>
  </r>
  <r>
    <x v="111"/>
    <x v="13"/>
    <x v="0"/>
    <n v="9177589.3289999999"/>
    <x v="3"/>
  </r>
  <r>
    <x v="111"/>
    <x v="18"/>
    <x v="0"/>
    <n v="9110836.4609999992"/>
    <x v="3"/>
  </r>
  <r>
    <x v="111"/>
    <x v="19"/>
    <x v="0"/>
    <n v="8526283.0500000007"/>
    <x v="3"/>
  </r>
  <r>
    <x v="111"/>
    <x v="20"/>
    <x v="0"/>
    <n v="10176666"/>
    <x v="3"/>
  </r>
  <r>
    <x v="111"/>
    <x v="14"/>
    <x v="0"/>
    <n v="8952642.2109999992"/>
    <x v="3"/>
  </r>
  <r>
    <x v="111"/>
    <x v="1"/>
    <x v="0"/>
    <n v="10242753.103"/>
    <x v="3"/>
  </r>
  <r>
    <x v="111"/>
    <x v="3"/>
    <x v="0"/>
    <n v="8695053.7740000002"/>
    <x v="3"/>
  </r>
  <r>
    <x v="111"/>
    <x v="15"/>
    <x v="0"/>
    <n v="10120425.784"/>
    <x v="3"/>
  </r>
  <r>
    <x v="111"/>
    <x v="4"/>
    <x v="0"/>
    <n v="9588829.2850000001"/>
    <x v="3"/>
  </r>
  <r>
    <x v="42"/>
    <x v="11"/>
    <x v="0"/>
    <n v="588726990"/>
    <x v="3"/>
  </r>
  <r>
    <x v="42"/>
    <x v="12"/>
    <x v="0"/>
    <n v="404698786"/>
    <x v="3"/>
  </r>
  <r>
    <x v="42"/>
    <x v="16"/>
    <x v="0"/>
    <n v="30105690"/>
    <x v="3"/>
  </r>
  <r>
    <x v="42"/>
    <x v="21"/>
    <x v="0"/>
    <n v="26107094"/>
    <x v="3"/>
  </r>
  <r>
    <x v="42"/>
    <x v="0"/>
    <x v="0"/>
    <n v="26921788"/>
    <x v="3"/>
  </r>
  <r>
    <x v="42"/>
    <x v="2"/>
    <x v="0"/>
    <n v="32673723.541999999"/>
    <x v="3"/>
  </r>
  <r>
    <x v="42"/>
    <x v="17"/>
    <x v="0"/>
    <n v="35260291.556000002"/>
    <x v="3"/>
  </r>
  <r>
    <x v="42"/>
    <x v="13"/>
    <x v="0"/>
    <n v="23271113.548999999"/>
    <x v="3"/>
  </r>
  <r>
    <x v="42"/>
    <x v="18"/>
    <x v="0"/>
    <n v="26854601.962000001"/>
    <x v="3"/>
  </r>
  <r>
    <x v="42"/>
    <x v="19"/>
    <x v="0"/>
    <n v="32495036.984999999"/>
    <x v="3"/>
  </r>
  <r>
    <x v="42"/>
    <x v="20"/>
    <x v="0"/>
    <n v="43312081.843999997"/>
    <x v="3"/>
  </r>
  <r>
    <x v="42"/>
    <x v="14"/>
    <x v="0"/>
    <n v="39737342.068000004"/>
    <x v="3"/>
  </r>
  <r>
    <x v="42"/>
    <x v="1"/>
    <x v="0"/>
    <n v="54327748.609999999"/>
    <x v="3"/>
  </r>
  <r>
    <x v="42"/>
    <x v="3"/>
    <x v="0"/>
    <n v="57435608.347000003"/>
    <x v="3"/>
  </r>
  <r>
    <x v="42"/>
    <x v="15"/>
    <x v="0"/>
    <n v="75119193.604000002"/>
    <x v="3"/>
  </r>
  <r>
    <x v="42"/>
    <x v="4"/>
    <x v="0"/>
    <n v="10319262.102"/>
    <x v="3"/>
  </r>
  <r>
    <x v="68"/>
    <x v="12"/>
    <x v="0"/>
    <n v="1438216"/>
    <x v="3"/>
  </r>
  <r>
    <x v="68"/>
    <x v="16"/>
    <x v="0"/>
    <n v="1386477"/>
    <x v="3"/>
  </r>
  <r>
    <x v="68"/>
    <x v="21"/>
    <x v="0"/>
    <n v="1465012"/>
    <x v="3"/>
  </r>
  <r>
    <x v="68"/>
    <x v="0"/>
    <x v="0"/>
    <n v="1741183"/>
    <x v="3"/>
  </r>
  <r>
    <x v="68"/>
    <x v="2"/>
    <x v="0"/>
    <n v="1517317"/>
    <x v="3"/>
  </r>
  <r>
    <x v="68"/>
    <x v="17"/>
    <x v="0"/>
    <n v="1333645"/>
    <x v="3"/>
  </r>
  <r>
    <x v="68"/>
    <x v="13"/>
    <x v="0"/>
    <n v="1347707"/>
    <x v="3"/>
  </r>
  <r>
    <x v="68"/>
    <x v="18"/>
    <x v="0"/>
    <n v="1675138"/>
    <x v="3"/>
  </r>
  <r>
    <x v="68"/>
    <x v="19"/>
    <x v="0"/>
    <n v="1768088"/>
    <x v="3"/>
  </r>
  <r>
    <x v="68"/>
    <x v="20"/>
    <x v="0"/>
    <n v="2172598"/>
    <x v="3"/>
  </r>
  <r>
    <x v="68"/>
    <x v="14"/>
    <x v="0"/>
    <n v="1778250"/>
    <x v="3"/>
  </r>
  <r>
    <x v="68"/>
    <x v="3"/>
    <x v="0"/>
    <n v="1830135"/>
    <x v="3"/>
  </r>
  <r>
    <x v="68"/>
    <x v="15"/>
    <x v="0"/>
    <n v="2218794"/>
    <x v="3"/>
  </r>
  <r>
    <x v="43"/>
    <x v="0"/>
    <x v="0"/>
    <n v="10118016"/>
    <x v="3"/>
  </r>
  <r>
    <x v="44"/>
    <x v="0"/>
    <x v="0"/>
    <n v="1012793"/>
    <x v="3"/>
  </r>
  <r>
    <x v="44"/>
    <x v="2"/>
    <x v="0"/>
    <n v="1030266"/>
    <x v="3"/>
  </r>
  <r>
    <x v="44"/>
    <x v="17"/>
    <x v="0"/>
    <n v="1004084"/>
    <x v="3"/>
  </r>
  <r>
    <x v="44"/>
    <x v="13"/>
    <x v="0"/>
    <n v="862973"/>
    <x v="3"/>
  </r>
  <r>
    <x v="44"/>
    <x v="19"/>
    <x v="0"/>
    <n v="1139595"/>
    <x v="3"/>
  </r>
  <r>
    <x v="44"/>
    <x v="20"/>
    <x v="0"/>
    <n v="2769090"/>
    <x v="3"/>
  </r>
  <r>
    <x v="44"/>
    <x v="14"/>
    <x v="0"/>
    <n v="2604630"/>
    <x v="3"/>
  </r>
  <r>
    <x v="44"/>
    <x v="1"/>
    <x v="0"/>
    <n v="3145170"/>
    <x v="3"/>
  </r>
  <r>
    <x v="44"/>
    <x v="3"/>
    <x v="0"/>
    <n v="2361601"/>
    <x v="3"/>
  </r>
  <r>
    <x v="44"/>
    <x v="15"/>
    <x v="0"/>
    <n v="4080870"/>
    <x v="3"/>
  </r>
  <r>
    <x v="44"/>
    <x v="4"/>
    <x v="0"/>
    <n v="2158480"/>
    <x v="3"/>
  </r>
  <r>
    <x v="45"/>
    <x v="11"/>
    <x v="0"/>
    <n v="20545557"/>
    <x v="3"/>
  </r>
  <r>
    <x v="45"/>
    <x v="17"/>
    <x v="0"/>
    <n v="190344128"/>
    <x v="3"/>
  </r>
  <r>
    <x v="45"/>
    <x v="13"/>
    <x v="0"/>
    <n v="197498517"/>
    <x v="3"/>
  </r>
  <r>
    <x v="45"/>
    <x v="18"/>
    <x v="0"/>
    <n v="208737035"/>
    <x v="3"/>
  </r>
  <r>
    <x v="45"/>
    <x v="19"/>
    <x v="0"/>
    <n v="212933634"/>
    <x v="3"/>
  </r>
  <r>
    <x v="45"/>
    <x v="20"/>
    <x v="0"/>
    <n v="260464122"/>
    <x v="3"/>
  </r>
  <r>
    <x v="45"/>
    <x v="14"/>
    <x v="0"/>
    <n v="203216301"/>
    <x v="3"/>
  </r>
  <r>
    <x v="45"/>
    <x v="1"/>
    <x v="0"/>
    <n v="254941605.69100001"/>
    <x v="3"/>
  </r>
  <r>
    <x v="45"/>
    <x v="3"/>
    <x v="0"/>
    <n v="217858533"/>
    <x v="3"/>
  </r>
  <r>
    <x v="45"/>
    <x v="15"/>
    <x v="0"/>
    <n v="230557050"/>
    <x v="3"/>
  </r>
  <r>
    <x v="45"/>
    <x v="4"/>
    <x v="0"/>
    <n v="182572619"/>
    <x v="3"/>
  </r>
  <r>
    <x v="85"/>
    <x v="21"/>
    <x v="0"/>
    <n v="996438.03"/>
    <x v="3"/>
  </r>
  <r>
    <x v="85"/>
    <x v="13"/>
    <x v="0"/>
    <n v="1124492.8600000001"/>
    <x v="3"/>
  </r>
  <r>
    <x v="85"/>
    <x v="18"/>
    <x v="0"/>
    <n v="1172035.6599999999"/>
    <x v="3"/>
  </r>
  <r>
    <x v="85"/>
    <x v="19"/>
    <x v="0"/>
    <n v="2399072.11"/>
    <x v="3"/>
  </r>
  <r>
    <x v="85"/>
    <x v="20"/>
    <x v="0"/>
    <n v="3009128.12"/>
    <x v="3"/>
  </r>
  <r>
    <x v="85"/>
    <x v="14"/>
    <x v="0"/>
    <n v="3419890.94"/>
    <x v="3"/>
  </r>
  <r>
    <x v="85"/>
    <x v="1"/>
    <x v="0"/>
    <n v="2472997.2999999998"/>
    <x v="3"/>
  </r>
  <r>
    <x v="85"/>
    <x v="3"/>
    <x v="0"/>
    <n v="3269779.6680000001"/>
    <x v="3"/>
  </r>
  <r>
    <x v="85"/>
    <x v="15"/>
    <x v="0"/>
    <n v="4371030.3049999997"/>
    <x v="3"/>
  </r>
  <r>
    <x v="85"/>
    <x v="4"/>
    <x v="0"/>
    <n v="3716627.67"/>
    <x v="3"/>
  </r>
  <r>
    <x v="46"/>
    <x v="13"/>
    <x v="0"/>
    <n v="31280959.43"/>
    <x v="3"/>
  </r>
  <r>
    <x v="46"/>
    <x v="18"/>
    <x v="0"/>
    <n v="23354429.18"/>
    <x v="3"/>
  </r>
  <r>
    <x v="46"/>
    <x v="19"/>
    <x v="0"/>
    <n v="23988738.039999999"/>
    <x v="3"/>
  </r>
  <r>
    <x v="47"/>
    <x v="11"/>
    <x v="0"/>
    <n v="96044034"/>
    <x v="3"/>
  </r>
  <r>
    <x v="47"/>
    <x v="12"/>
    <x v="0"/>
    <n v="104259194"/>
    <x v="3"/>
  </r>
  <r>
    <x v="47"/>
    <x v="16"/>
    <x v="0"/>
    <n v="99324381"/>
    <x v="3"/>
  </r>
  <r>
    <x v="47"/>
    <x v="21"/>
    <x v="0"/>
    <n v="107798785"/>
    <x v="3"/>
  </r>
  <r>
    <x v="47"/>
    <x v="0"/>
    <x v="0"/>
    <n v="104299436"/>
    <x v="3"/>
  </r>
  <r>
    <x v="47"/>
    <x v="2"/>
    <x v="0"/>
    <n v="112616912"/>
    <x v="3"/>
  </r>
  <r>
    <x v="47"/>
    <x v="17"/>
    <x v="0"/>
    <n v="113983626"/>
    <x v="3"/>
  </r>
  <r>
    <x v="47"/>
    <x v="13"/>
    <x v="0"/>
    <n v="107824474"/>
    <x v="3"/>
  </r>
  <r>
    <x v="47"/>
    <x v="18"/>
    <x v="0"/>
    <n v="104899482.24600001"/>
    <x v="3"/>
  </r>
  <r>
    <x v="47"/>
    <x v="19"/>
    <x v="0"/>
    <n v="103661082.752"/>
    <x v="3"/>
  </r>
  <r>
    <x v="47"/>
    <x v="20"/>
    <x v="0"/>
    <n v="99335574"/>
    <x v="3"/>
  </r>
  <r>
    <x v="47"/>
    <x v="14"/>
    <x v="0"/>
    <n v="93920488.803000003"/>
    <x v="3"/>
  </r>
  <r>
    <x v="47"/>
    <x v="1"/>
    <x v="0"/>
    <n v="96421222"/>
    <x v="3"/>
  </r>
  <r>
    <x v="47"/>
    <x v="3"/>
    <x v="0"/>
    <n v="88114794"/>
    <x v="3"/>
  </r>
  <r>
    <x v="47"/>
    <x v="15"/>
    <x v="0"/>
    <n v="101455536.23100001"/>
    <x v="3"/>
  </r>
  <r>
    <x v="47"/>
    <x v="4"/>
    <x v="0"/>
    <n v="89547677.066"/>
    <x v="3"/>
  </r>
  <r>
    <x v="112"/>
    <x v="16"/>
    <x v="0"/>
    <n v="901541.50600000005"/>
    <x v="3"/>
  </r>
  <r>
    <x v="112"/>
    <x v="0"/>
    <x v="0"/>
    <n v="1364999.09"/>
    <x v="3"/>
  </r>
  <r>
    <x v="112"/>
    <x v="19"/>
    <x v="0"/>
    <n v="1843790.23"/>
    <x v="3"/>
  </r>
  <r>
    <x v="112"/>
    <x v="20"/>
    <x v="0"/>
    <n v="2063562.68"/>
    <x v="3"/>
  </r>
  <r>
    <x v="112"/>
    <x v="14"/>
    <x v="0"/>
    <n v="2077241.21"/>
    <x v="3"/>
  </r>
  <r>
    <x v="112"/>
    <x v="1"/>
    <x v="0"/>
    <n v="2244610.46"/>
    <x v="3"/>
  </r>
  <r>
    <x v="112"/>
    <x v="3"/>
    <x v="0"/>
    <n v="2470375.1800000002"/>
    <x v="3"/>
  </r>
  <r>
    <x v="48"/>
    <x v="13"/>
    <x v="0"/>
    <n v="1853235.8670000001"/>
    <x v="3"/>
  </r>
  <r>
    <x v="48"/>
    <x v="18"/>
    <x v="0"/>
    <n v="3068123.2009999999"/>
    <x v="3"/>
  </r>
  <r>
    <x v="48"/>
    <x v="19"/>
    <x v="0"/>
    <n v="2423141.7790000001"/>
    <x v="3"/>
  </r>
  <r>
    <x v="48"/>
    <x v="20"/>
    <x v="0"/>
    <n v="2941234.6460000002"/>
    <x v="3"/>
  </r>
  <r>
    <x v="48"/>
    <x v="14"/>
    <x v="0"/>
    <n v="3064832.2259999998"/>
    <x v="3"/>
  </r>
  <r>
    <x v="48"/>
    <x v="1"/>
    <x v="0"/>
    <n v="2806787.8390000002"/>
    <x v="3"/>
  </r>
  <r>
    <x v="48"/>
    <x v="3"/>
    <x v="0"/>
    <n v="5638670.1730000004"/>
    <x v="3"/>
  </r>
  <r>
    <x v="69"/>
    <x v="16"/>
    <x v="0"/>
    <n v="12123316.5"/>
    <x v="3"/>
  </r>
  <r>
    <x v="69"/>
    <x v="2"/>
    <x v="0"/>
    <n v="3869945.3"/>
    <x v="3"/>
  </r>
  <r>
    <x v="69"/>
    <x v="17"/>
    <x v="0"/>
    <n v="2498820"/>
    <x v="3"/>
  </r>
  <r>
    <x v="69"/>
    <x v="18"/>
    <x v="0"/>
    <n v="1515685"/>
    <x v="3"/>
  </r>
  <r>
    <x v="69"/>
    <x v="19"/>
    <x v="0"/>
    <n v="4447377"/>
    <x v="3"/>
  </r>
  <r>
    <x v="70"/>
    <x v="11"/>
    <x v="1"/>
    <n v="8298861.7630000003"/>
    <x v="3"/>
  </r>
  <r>
    <x v="70"/>
    <x v="12"/>
    <x v="1"/>
    <n v="6487811.2400000002"/>
    <x v="3"/>
  </r>
  <r>
    <x v="70"/>
    <x v="16"/>
    <x v="1"/>
    <n v="8895825"/>
    <x v="3"/>
  </r>
  <r>
    <x v="70"/>
    <x v="21"/>
    <x v="1"/>
    <n v="15481797.608999999"/>
    <x v="3"/>
  </r>
  <r>
    <x v="70"/>
    <x v="0"/>
    <x v="1"/>
    <n v="16479632.960999999"/>
    <x v="3"/>
  </r>
  <r>
    <x v="70"/>
    <x v="2"/>
    <x v="1"/>
    <n v="18915133.530000001"/>
    <x v="3"/>
  </r>
  <r>
    <x v="70"/>
    <x v="17"/>
    <x v="1"/>
    <n v="25315556.59"/>
    <x v="3"/>
  </r>
  <r>
    <x v="70"/>
    <x v="13"/>
    <x v="1"/>
    <n v="5364495.6169999996"/>
    <x v="3"/>
  </r>
  <r>
    <x v="86"/>
    <x v="2"/>
    <x v="1"/>
    <n v="17553015.870000001"/>
    <x v="3"/>
  </r>
  <r>
    <x v="86"/>
    <x v="17"/>
    <x v="1"/>
    <n v="16924814.309999999"/>
    <x v="3"/>
  </r>
  <r>
    <x v="86"/>
    <x v="13"/>
    <x v="1"/>
    <n v="16667799.73"/>
    <x v="3"/>
  </r>
  <r>
    <x v="86"/>
    <x v="18"/>
    <x v="1"/>
    <n v="17650816.958999999"/>
    <x v="3"/>
  </r>
  <r>
    <x v="86"/>
    <x v="19"/>
    <x v="1"/>
    <n v="9251767.3049999997"/>
    <x v="3"/>
  </r>
  <r>
    <x v="86"/>
    <x v="20"/>
    <x v="1"/>
    <n v="5145011.2209999999"/>
    <x v="3"/>
  </r>
  <r>
    <x v="86"/>
    <x v="14"/>
    <x v="1"/>
    <n v="5256793.4249999998"/>
    <x v="3"/>
  </r>
  <r>
    <x v="86"/>
    <x v="1"/>
    <x v="1"/>
    <n v="11170877.620999999"/>
    <x v="3"/>
  </r>
  <r>
    <x v="86"/>
    <x v="3"/>
    <x v="1"/>
    <n v="7526748.2759999996"/>
    <x v="3"/>
  </r>
  <r>
    <x v="87"/>
    <x v="11"/>
    <x v="1"/>
    <n v="40151345.869999997"/>
    <x v="3"/>
  </r>
  <r>
    <x v="87"/>
    <x v="12"/>
    <x v="1"/>
    <n v="59706272.079999998"/>
    <x v="3"/>
  </r>
  <r>
    <x v="87"/>
    <x v="16"/>
    <x v="1"/>
    <n v="76803279.890000001"/>
    <x v="3"/>
  </r>
  <r>
    <x v="87"/>
    <x v="21"/>
    <x v="1"/>
    <n v="77146919.969999999"/>
    <x v="3"/>
  </r>
  <r>
    <x v="87"/>
    <x v="0"/>
    <x v="1"/>
    <n v="55008296.390000001"/>
    <x v="3"/>
  </r>
  <r>
    <x v="87"/>
    <x v="2"/>
    <x v="1"/>
    <n v="63387195.799999997"/>
    <x v="3"/>
  </r>
  <r>
    <x v="87"/>
    <x v="17"/>
    <x v="1"/>
    <n v="64930226.590000004"/>
    <x v="3"/>
  </r>
  <r>
    <x v="87"/>
    <x v="13"/>
    <x v="1"/>
    <n v="79173179.019999996"/>
    <x v="3"/>
  </r>
  <r>
    <x v="87"/>
    <x v="18"/>
    <x v="1"/>
    <n v="92857099.260000005"/>
    <x v="3"/>
  </r>
  <r>
    <x v="87"/>
    <x v="19"/>
    <x v="1"/>
    <n v="55822419.170000002"/>
    <x v="3"/>
  </r>
  <r>
    <x v="87"/>
    <x v="20"/>
    <x v="1"/>
    <n v="57389815.630000003"/>
    <x v="3"/>
  </r>
  <r>
    <x v="87"/>
    <x v="14"/>
    <x v="1"/>
    <n v="78196511.900000006"/>
    <x v="3"/>
  </r>
  <r>
    <x v="87"/>
    <x v="1"/>
    <x v="1"/>
    <n v="91649980.219999999"/>
    <x v="3"/>
  </r>
  <r>
    <x v="87"/>
    <x v="3"/>
    <x v="1"/>
    <n v="90493204.549999997"/>
    <x v="3"/>
  </r>
  <r>
    <x v="87"/>
    <x v="15"/>
    <x v="1"/>
    <n v="94673527.739999995"/>
    <x v="3"/>
  </r>
  <r>
    <x v="87"/>
    <x v="4"/>
    <x v="1"/>
    <n v="84855993.5"/>
    <x v="3"/>
  </r>
  <r>
    <x v="0"/>
    <x v="11"/>
    <x v="1"/>
    <n v="174485897.94800001"/>
    <x v="3"/>
  </r>
  <r>
    <x v="0"/>
    <x v="12"/>
    <x v="1"/>
    <n v="209181513.986"/>
    <x v="3"/>
  </r>
  <r>
    <x v="0"/>
    <x v="16"/>
    <x v="1"/>
    <n v="251997661.69299999"/>
    <x v="3"/>
  </r>
  <r>
    <x v="0"/>
    <x v="21"/>
    <x v="1"/>
    <n v="268724670.72899997"/>
    <x v="3"/>
  </r>
  <r>
    <x v="0"/>
    <x v="0"/>
    <x v="1"/>
    <n v="248967014.118"/>
    <x v="3"/>
  </r>
  <r>
    <x v="0"/>
    <x v="2"/>
    <x v="1"/>
    <n v="217662553.88299999"/>
    <x v="3"/>
  </r>
  <r>
    <x v="0"/>
    <x v="17"/>
    <x v="1"/>
    <n v="211505358.542"/>
    <x v="3"/>
  </r>
  <r>
    <x v="0"/>
    <x v="13"/>
    <x v="1"/>
    <n v="226313955.206"/>
    <x v="3"/>
  </r>
  <r>
    <x v="0"/>
    <x v="18"/>
    <x v="1"/>
    <n v="241997939.62"/>
    <x v="3"/>
  </r>
  <r>
    <x v="0"/>
    <x v="19"/>
    <x v="1"/>
    <n v="221975622.914"/>
    <x v="3"/>
  </r>
  <r>
    <x v="0"/>
    <x v="20"/>
    <x v="1"/>
    <n v="208391729.50600001"/>
    <x v="3"/>
  </r>
  <r>
    <x v="0"/>
    <x v="14"/>
    <x v="1"/>
    <n v="197479798.155"/>
    <x v="3"/>
  </r>
  <r>
    <x v="0"/>
    <x v="1"/>
    <x v="1"/>
    <n v="267407150.33500001"/>
    <x v="3"/>
  </r>
  <r>
    <x v="0"/>
    <x v="3"/>
    <x v="1"/>
    <n v="214327035.82300001"/>
    <x v="3"/>
  </r>
  <r>
    <x v="0"/>
    <x v="15"/>
    <x v="1"/>
    <n v="252592809.68700001"/>
    <x v="3"/>
  </r>
  <r>
    <x v="0"/>
    <x v="4"/>
    <x v="1"/>
    <n v="217023521.90200001"/>
    <x v="3"/>
  </r>
  <r>
    <x v="1"/>
    <x v="11"/>
    <x v="1"/>
    <n v="42334771.177000001"/>
    <x v="3"/>
  </r>
  <r>
    <x v="1"/>
    <x v="12"/>
    <x v="1"/>
    <n v="60072844.398999996"/>
    <x v="3"/>
  </r>
  <r>
    <x v="1"/>
    <x v="16"/>
    <x v="1"/>
    <n v="66392009.954999998"/>
    <x v="3"/>
  </r>
  <r>
    <x v="1"/>
    <x v="21"/>
    <x v="1"/>
    <n v="68888416.197999999"/>
    <x v="3"/>
  </r>
  <r>
    <x v="1"/>
    <x v="0"/>
    <x v="1"/>
    <n v="55266631.259000003"/>
    <x v="3"/>
  </r>
  <r>
    <x v="1"/>
    <x v="2"/>
    <x v="1"/>
    <n v="52949775.395999998"/>
    <x v="3"/>
  </r>
  <r>
    <x v="1"/>
    <x v="17"/>
    <x v="1"/>
    <n v="54031750.322999999"/>
    <x v="3"/>
  </r>
  <r>
    <x v="1"/>
    <x v="13"/>
    <x v="1"/>
    <n v="31270704.548"/>
    <x v="3"/>
  </r>
  <r>
    <x v="1"/>
    <x v="1"/>
    <x v="1"/>
    <n v="66246841.493000001"/>
    <x v="3"/>
  </r>
  <r>
    <x v="88"/>
    <x v="13"/>
    <x v="1"/>
    <n v="4752134.7089999998"/>
    <x v="3"/>
  </r>
  <r>
    <x v="89"/>
    <x v="12"/>
    <x v="1"/>
    <n v="3803367.5"/>
    <x v="3"/>
  </r>
  <r>
    <x v="89"/>
    <x v="16"/>
    <x v="1"/>
    <n v="4604204"/>
    <x v="3"/>
  </r>
  <r>
    <x v="89"/>
    <x v="21"/>
    <x v="1"/>
    <n v="3311613"/>
    <x v="3"/>
  </r>
  <r>
    <x v="89"/>
    <x v="0"/>
    <x v="1"/>
    <n v="4424744.5"/>
    <x v="3"/>
  </r>
  <r>
    <x v="89"/>
    <x v="2"/>
    <x v="1"/>
    <n v="4512265"/>
    <x v="3"/>
  </r>
  <r>
    <x v="89"/>
    <x v="17"/>
    <x v="1"/>
    <n v="4696343.5"/>
    <x v="3"/>
  </r>
  <r>
    <x v="89"/>
    <x v="13"/>
    <x v="1"/>
    <n v="5924212"/>
    <x v="3"/>
  </r>
  <r>
    <x v="89"/>
    <x v="18"/>
    <x v="1"/>
    <n v="6564805"/>
    <x v="3"/>
  </r>
  <r>
    <x v="89"/>
    <x v="19"/>
    <x v="1"/>
    <n v="5760268.5"/>
    <x v="3"/>
  </r>
  <r>
    <x v="89"/>
    <x v="20"/>
    <x v="1"/>
    <n v="6984782.5"/>
    <x v="3"/>
  </r>
  <r>
    <x v="89"/>
    <x v="14"/>
    <x v="1"/>
    <n v="6930788"/>
    <x v="3"/>
  </r>
  <r>
    <x v="89"/>
    <x v="1"/>
    <x v="1"/>
    <n v="8380803"/>
    <x v="3"/>
  </r>
  <r>
    <x v="89"/>
    <x v="3"/>
    <x v="1"/>
    <n v="4919596.5"/>
    <x v="3"/>
  </r>
  <r>
    <x v="89"/>
    <x v="15"/>
    <x v="1"/>
    <n v="6112053"/>
    <x v="3"/>
  </r>
  <r>
    <x v="2"/>
    <x v="11"/>
    <x v="1"/>
    <n v="57558735.769000001"/>
    <x v="3"/>
  </r>
  <r>
    <x v="2"/>
    <x v="12"/>
    <x v="1"/>
    <n v="75526885.371999994"/>
    <x v="3"/>
  </r>
  <r>
    <x v="2"/>
    <x v="16"/>
    <x v="1"/>
    <n v="79817278.157000005"/>
    <x v="3"/>
  </r>
  <r>
    <x v="2"/>
    <x v="21"/>
    <x v="1"/>
    <n v="90553534.924999997"/>
    <x v="3"/>
  </r>
  <r>
    <x v="2"/>
    <x v="0"/>
    <x v="1"/>
    <n v="91683597.383000001"/>
    <x v="3"/>
  </r>
  <r>
    <x v="2"/>
    <x v="2"/>
    <x v="1"/>
    <n v="62690525.038000003"/>
    <x v="3"/>
  </r>
  <r>
    <x v="2"/>
    <x v="17"/>
    <x v="1"/>
    <n v="63509789.424999997"/>
    <x v="3"/>
  </r>
  <r>
    <x v="2"/>
    <x v="13"/>
    <x v="1"/>
    <n v="83374691.734999999"/>
    <x v="3"/>
  </r>
  <r>
    <x v="2"/>
    <x v="18"/>
    <x v="1"/>
    <n v="100649770.653"/>
    <x v="3"/>
  </r>
  <r>
    <x v="2"/>
    <x v="19"/>
    <x v="1"/>
    <n v="72511548.010000005"/>
    <x v="3"/>
  </r>
  <r>
    <x v="2"/>
    <x v="20"/>
    <x v="1"/>
    <n v="75302985.386999995"/>
    <x v="3"/>
  </r>
  <r>
    <x v="2"/>
    <x v="14"/>
    <x v="1"/>
    <n v="74758219.148000002"/>
    <x v="3"/>
  </r>
  <r>
    <x v="2"/>
    <x v="1"/>
    <x v="1"/>
    <n v="76178121.606000006"/>
    <x v="3"/>
  </r>
  <r>
    <x v="2"/>
    <x v="3"/>
    <x v="1"/>
    <n v="81853658.627000004"/>
    <x v="3"/>
  </r>
  <r>
    <x v="2"/>
    <x v="15"/>
    <x v="1"/>
    <n v="76618254.408999994"/>
    <x v="3"/>
  </r>
  <r>
    <x v="2"/>
    <x v="4"/>
    <x v="1"/>
    <n v="70860513.280000001"/>
    <x v="3"/>
  </r>
  <r>
    <x v="90"/>
    <x v="11"/>
    <x v="1"/>
    <n v="6791328.9939999999"/>
    <x v="3"/>
  </r>
  <r>
    <x v="90"/>
    <x v="12"/>
    <x v="1"/>
    <n v="6251468"/>
    <x v="3"/>
  </r>
  <r>
    <x v="90"/>
    <x v="16"/>
    <x v="1"/>
    <n v="6226007"/>
    <x v="3"/>
  </r>
  <r>
    <x v="90"/>
    <x v="21"/>
    <x v="1"/>
    <n v="7320281"/>
    <x v="3"/>
  </r>
  <r>
    <x v="90"/>
    <x v="0"/>
    <x v="1"/>
    <n v="8935031"/>
    <x v="3"/>
  </r>
  <r>
    <x v="90"/>
    <x v="2"/>
    <x v="1"/>
    <n v="6197271"/>
    <x v="3"/>
  </r>
  <r>
    <x v="90"/>
    <x v="17"/>
    <x v="1"/>
    <n v="8369066"/>
    <x v="3"/>
  </r>
  <r>
    <x v="90"/>
    <x v="13"/>
    <x v="1"/>
    <n v="8661390.6199999992"/>
    <x v="3"/>
  </r>
  <r>
    <x v="90"/>
    <x v="18"/>
    <x v="1"/>
    <n v="9451492.2799999993"/>
    <x v="3"/>
  </r>
  <r>
    <x v="90"/>
    <x v="19"/>
    <x v="1"/>
    <n v="12127852.57"/>
    <x v="3"/>
  </r>
  <r>
    <x v="90"/>
    <x v="20"/>
    <x v="1"/>
    <n v="9947781.9900000002"/>
    <x v="3"/>
  </r>
  <r>
    <x v="90"/>
    <x v="14"/>
    <x v="1"/>
    <n v="9339052.6099999994"/>
    <x v="3"/>
  </r>
  <r>
    <x v="90"/>
    <x v="1"/>
    <x v="1"/>
    <n v="13096939.810000001"/>
    <x v="3"/>
  </r>
  <r>
    <x v="90"/>
    <x v="3"/>
    <x v="1"/>
    <n v="12726653.937999999"/>
    <x v="3"/>
  </r>
  <r>
    <x v="90"/>
    <x v="15"/>
    <x v="1"/>
    <n v="14417923.323000001"/>
    <x v="3"/>
  </r>
  <r>
    <x v="90"/>
    <x v="4"/>
    <x v="1"/>
    <n v="11102556.329"/>
    <x v="3"/>
  </r>
  <r>
    <x v="3"/>
    <x v="23"/>
    <x v="1"/>
    <n v="1646729"/>
    <x v="3"/>
  </r>
  <r>
    <x v="3"/>
    <x v="8"/>
    <x v="1"/>
    <n v="2755585"/>
    <x v="3"/>
  </r>
  <r>
    <x v="3"/>
    <x v="10"/>
    <x v="1"/>
    <n v="5143366"/>
    <x v="3"/>
  </r>
  <r>
    <x v="3"/>
    <x v="11"/>
    <x v="1"/>
    <n v="9431182"/>
    <x v="3"/>
  </r>
  <r>
    <x v="3"/>
    <x v="12"/>
    <x v="1"/>
    <n v="14902321"/>
    <x v="3"/>
  </r>
  <r>
    <x v="3"/>
    <x v="16"/>
    <x v="1"/>
    <n v="15007736"/>
    <x v="3"/>
  </r>
  <r>
    <x v="3"/>
    <x v="21"/>
    <x v="1"/>
    <n v="28360389"/>
    <x v="3"/>
  </r>
  <r>
    <x v="3"/>
    <x v="0"/>
    <x v="1"/>
    <n v="41994303"/>
    <x v="3"/>
  </r>
  <r>
    <x v="3"/>
    <x v="2"/>
    <x v="1"/>
    <n v="33244231"/>
    <x v="3"/>
  </r>
  <r>
    <x v="3"/>
    <x v="17"/>
    <x v="1"/>
    <n v="28279178"/>
    <x v="3"/>
  </r>
  <r>
    <x v="3"/>
    <x v="13"/>
    <x v="1"/>
    <n v="20626042"/>
    <x v="3"/>
  </r>
  <r>
    <x v="3"/>
    <x v="18"/>
    <x v="1"/>
    <n v="24005097"/>
    <x v="3"/>
  </r>
  <r>
    <x v="3"/>
    <x v="19"/>
    <x v="1"/>
    <n v="11648244"/>
    <x v="3"/>
  </r>
  <r>
    <x v="3"/>
    <x v="20"/>
    <x v="1"/>
    <n v="7724843"/>
    <x v="3"/>
  </r>
  <r>
    <x v="3"/>
    <x v="14"/>
    <x v="1"/>
    <n v="6810905"/>
    <x v="3"/>
  </r>
  <r>
    <x v="3"/>
    <x v="1"/>
    <x v="1"/>
    <n v="10327596"/>
    <x v="3"/>
  </r>
  <r>
    <x v="3"/>
    <x v="15"/>
    <x v="1"/>
    <n v="10404515"/>
    <x v="3"/>
  </r>
  <r>
    <x v="3"/>
    <x v="4"/>
    <x v="1"/>
    <n v="16080713"/>
    <x v="3"/>
  </r>
  <r>
    <x v="91"/>
    <x v="21"/>
    <x v="1"/>
    <n v="4083184.54"/>
    <x v="3"/>
  </r>
  <r>
    <x v="91"/>
    <x v="0"/>
    <x v="1"/>
    <n v="4194878.5389999999"/>
    <x v="3"/>
  </r>
  <r>
    <x v="91"/>
    <x v="17"/>
    <x v="1"/>
    <n v="3269427.25"/>
    <x v="3"/>
  </r>
  <r>
    <x v="91"/>
    <x v="18"/>
    <x v="1"/>
    <n v="4231364.3339999998"/>
    <x v="3"/>
  </r>
  <r>
    <x v="91"/>
    <x v="19"/>
    <x v="1"/>
    <n v="4292880.227"/>
    <x v="3"/>
  </r>
  <r>
    <x v="91"/>
    <x v="20"/>
    <x v="1"/>
    <n v="6549176.4170000004"/>
    <x v="3"/>
  </r>
  <r>
    <x v="91"/>
    <x v="14"/>
    <x v="1"/>
    <n v="6696857.8880000003"/>
    <x v="3"/>
  </r>
  <r>
    <x v="91"/>
    <x v="1"/>
    <x v="1"/>
    <n v="7552154.9979999997"/>
    <x v="3"/>
  </r>
  <r>
    <x v="91"/>
    <x v="3"/>
    <x v="1"/>
    <n v="8547554.6400000006"/>
    <x v="3"/>
  </r>
  <r>
    <x v="4"/>
    <x v="11"/>
    <x v="1"/>
    <n v="127913197.241"/>
    <x v="3"/>
  </r>
  <r>
    <x v="4"/>
    <x v="12"/>
    <x v="1"/>
    <n v="140291531.42300001"/>
    <x v="3"/>
  </r>
  <r>
    <x v="4"/>
    <x v="16"/>
    <x v="1"/>
    <n v="151656533.942"/>
    <x v="3"/>
  </r>
  <r>
    <x v="4"/>
    <x v="21"/>
    <x v="1"/>
    <n v="183508056.396"/>
    <x v="3"/>
  </r>
  <r>
    <x v="4"/>
    <x v="0"/>
    <x v="1"/>
    <n v="151755775.26300001"/>
    <x v="3"/>
  </r>
  <r>
    <x v="4"/>
    <x v="2"/>
    <x v="1"/>
    <n v="159986772.86500001"/>
    <x v="3"/>
  </r>
  <r>
    <x v="4"/>
    <x v="17"/>
    <x v="1"/>
    <n v="141011051.48100001"/>
    <x v="3"/>
  </r>
  <r>
    <x v="4"/>
    <x v="13"/>
    <x v="1"/>
    <n v="148412877.23699999"/>
    <x v="3"/>
  </r>
  <r>
    <x v="4"/>
    <x v="18"/>
    <x v="1"/>
    <n v="167722100.38299999"/>
    <x v="3"/>
  </r>
  <r>
    <x v="4"/>
    <x v="19"/>
    <x v="1"/>
    <n v="162174580.748"/>
    <x v="3"/>
  </r>
  <r>
    <x v="4"/>
    <x v="20"/>
    <x v="1"/>
    <n v="166108275.40799999"/>
    <x v="3"/>
  </r>
  <r>
    <x v="4"/>
    <x v="14"/>
    <x v="1"/>
    <n v="155540976.94800001"/>
    <x v="3"/>
  </r>
  <r>
    <x v="4"/>
    <x v="1"/>
    <x v="1"/>
    <n v="192066986.72600001"/>
    <x v="3"/>
  </r>
  <r>
    <x v="4"/>
    <x v="3"/>
    <x v="1"/>
    <n v="173269868.287"/>
    <x v="3"/>
  </r>
  <r>
    <x v="4"/>
    <x v="15"/>
    <x v="1"/>
    <n v="197243570.64700001"/>
    <x v="3"/>
  </r>
  <r>
    <x v="4"/>
    <x v="4"/>
    <x v="1"/>
    <n v="147428128.46399999"/>
    <x v="3"/>
  </r>
  <r>
    <x v="72"/>
    <x v="5"/>
    <x v="1"/>
    <n v="15493326.946"/>
    <x v="3"/>
  </r>
  <r>
    <x v="72"/>
    <x v="22"/>
    <x v="1"/>
    <n v="18314816.092999998"/>
    <x v="3"/>
  </r>
  <r>
    <x v="72"/>
    <x v="6"/>
    <x v="1"/>
    <n v="20723483.259"/>
    <x v="3"/>
  </r>
  <r>
    <x v="72"/>
    <x v="7"/>
    <x v="1"/>
    <n v="25103173.193999998"/>
    <x v="3"/>
  </r>
  <r>
    <x v="72"/>
    <x v="8"/>
    <x v="1"/>
    <n v="26038484.177999999"/>
    <x v="3"/>
  </r>
  <r>
    <x v="72"/>
    <x v="9"/>
    <x v="1"/>
    <n v="35022066.579000004"/>
    <x v="3"/>
  </r>
  <r>
    <x v="72"/>
    <x v="10"/>
    <x v="1"/>
    <n v="27298178.464000002"/>
    <x v="3"/>
  </r>
  <r>
    <x v="72"/>
    <x v="11"/>
    <x v="1"/>
    <n v="41644195.261"/>
    <x v="3"/>
  </r>
  <r>
    <x v="72"/>
    <x v="12"/>
    <x v="1"/>
    <n v="53894813.210000001"/>
    <x v="3"/>
  </r>
  <r>
    <x v="72"/>
    <x v="16"/>
    <x v="1"/>
    <n v="57745264.803000003"/>
    <x v="3"/>
  </r>
  <r>
    <x v="72"/>
    <x v="21"/>
    <x v="1"/>
    <n v="88796870.459999993"/>
    <x v="3"/>
  </r>
  <r>
    <x v="72"/>
    <x v="0"/>
    <x v="1"/>
    <n v="77868317.680000007"/>
    <x v="3"/>
  </r>
  <r>
    <x v="72"/>
    <x v="2"/>
    <x v="1"/>
    <n v="72989226.497999996"/>
    <x v="3"/>
  </r>
  <r>
    <x v="72"/>
    <x v="17"/>
    <x v="1"/>
    <n v="56660616.663999997"/>
    <x v="3"/>
  </r>
  <r>
    <x v="72"/>
    <x v="13"/>
    <x v="1"/>
    <n v="80951256.424999997"/>
    <x v="3"/>
  </r>
  <r>
    <x v="72"/>
    <x v="18"/>
    <x v="1"/>
    <n v="83941436.458000004"/>
    <x v="3"/>
  </r>
  <r>
    <x v="72"/>
    <x v="19"/>
    <x v="1"/>
    <n v="86393812.559"/>
    <x v="3"/>
  </r>
  <r>
    <x v="72"/>
    <x v="20"/>
    <x v="1"/>
    <n v="99370911.152999997"/>
    <x v="3"/>
  </r>
  <r>
    <x v="72"/>
    <x v="14"/>
    <x v="1"/>
    <n v="87399238.873999998"/>
    <x v="3"/>
  </r>
  <r>
    <x v="72"/>
    <x v="1"/>
    <x v="1"/>
    <n v="111575693.552"/>
    <x v="3"/>
  </r>
  <r>
    <x v="72"/>
    <x v="3"/>
    <x v="1"/>
    <n v="111347168.43799999"/>
    <x v="3"/>
  </r>
  <r>
    <x v="72"/>
    <x v="15"/>
    <x v="1"/>
    <n v="137709627.29899999"/>
    <x v="3"/>
  </r>
  <r>
    <x v="72"/>
    <x v="4"/>
    <x v="1"/>
    <n v="131622540.09999999"/>
    <x v="3"/>
  </r>
  <r>
    <x v="5"/>
    <x v="11"/>
    <x v="1"/>
    <n v="5227154.6880000001"/>
    <x v="3"/>
  </r>
  <r>
    <x v="5"/>
    <x v="12"/>
    <x v="1"/>
    <n v="9652942.1909999996"/>
    <x v="3"/>
  </r>
  <r>
    <x v="5"/>
    <x v="16"/>
    <x v="1"/>
    <n v="6040381.7130000005"/>
    <x v="3"/>
  </r>
  <r>
    <x v="5"/>
    <x v="2"/>
    <x v="1"/>
    <n v="9556857.5250000004"/>
    <x v="3"/>
  </r>
  <r>
    <x v="5"/>
    <x v="17"/>
    <x v="1"/>
    <n v="21751917.397999998"/>
    <x v="3"/>
  </r>
  <r>
    <x v="5"/>
    <x v="13"/>
    <x v="1"/>
    <n v="22429661.048"/>
    <x v="3"/>
  </r>
  <r>
    <x v="5"/>
    <x v="18"/>
    <x v="1"/>
    <n v="28245062.225000001"/>
    <x v="3"/>
  </r>
  <r>
    <x v="5"/>
    <x v="19"/>
    <x v="1"/>
    <n v="27625788.545000002"/>
    <x v="3"/>
  </r>
  <r>
    <x v="5"/>
    <x v="20"/>
    <x v="1"/>
    <n v="30621310.175000001"/>
    <x v="3"/>
  </r>
  <r>
    <x v="5"/>
    <x v="14"/>
    <x v="1"/>
    <n v="26000270.631999999"/>
    <x v="3"/>
  </r>
  <r>
    <x v="5"/>
    <x v="1"/>
    <x v="1"/>
    <n v="29800259.425999999"/>
    <x v="3"/>
  </r>
  <r>
    <x v="5"/>
    <x v="3"/>
    <x v="1"/>
    <n v="33434411.252999999"/>
    <x v="3"/>
  </r>
  <r>
    <x v="5"/>
    <x v="15"/>
    <x v="1"/>
    <n v="25165420.131000001"/>
    <x v="3"/>
  </r>
  <r>
    <x v="5"/>
    <x v="4"/>
    <x v="1"/>
    <n v="11147306.518999999"/>
    <x v="3"/>
  </r>
  <r>
    <x v="6"/>
    <x v="11"/>
    <x v="1"/>
    <n v="28272115.719999999"/>
    <x v="3"/>
  </r>
  <r>
    <x v="6"/>
    <x v="0"/>
    <x v="1"/>
    <n v="154701909.62"/>
    <x v="3"/>
  </r>
  <r>
    <x v="6"/>
    <x v="2"/>
    <x v="1"/>
    <n v="18030756.059999999"/>
    <x v="3"/>
  </r>
  <r>
    <x v="6"/>
    <x v="17"/>
    <x v="1"/>
    <n v="124858316.20999999"/>
    <x v="3"/>
  </r>
  <r>
    <x v="6"/>
    <x v="13"/>
    <x v="1"/>
    <n v="120291367.20999999"/>
    <x v="3"/>
  </r>
  <r>
    <x v="6"/>
    <x v="18"/>
    <x v="1"/>
    <n v="157915545.11000001"/>
    <x v="3"/>
  </r>
  <r>
    <x v="6"/>
    <x v="19"/>
    <x v="1"/>
    <n v="145572197.81999999"/>
    <x v="3"/>
  </r>
  <r>
    <x v="6"/>
    <x v="20"/>
    <x v="1"/>
    <n v="197357755.31"/>
    <x v="3"/>
  </r>
  <r>
    <x v="6"/>
    <x v="14"/>
    <x v="1"/>
    <n v="168783430.16999999"/>
    <x v="3"/>
  </r>
  <r>
    <x v="6"/>
    <x v="1"/>
    <x v="1"/>
    <n v="165377846"/>
    <x v="3"/>
  </r>
  <r>
    <x v="6"/>
    <x v="3"/>
    <x v="1"/>
    <n v="152610133.11000001"/>
    <x v="3"/>
  </r>
  <r>
    <x v="6"/>
    <x v="15"/>
    <x v="1"/>
    <n v="33288259.210000001"/>
    <x v="3"/>
  </r>
  <r>
    <x v="6"/>
    <x v="4"/>
    <x v="1"/>
    <n v="107996658.16"/>
    <x v="3"/>
  </r>
  <r>
    <x v="73"/>
    <x v="18"/>
    <x v="1"/>
    <n v="6493539.5700000003"/>
    <x v="3"/>
  </r>
  <r>
    <x v="73"/>
    <x v="20"/>
    <x v="1"/>
    <n v="9066123.8800000008"/>
    <x v="3"/>
  </r>
  <r>
    <x v="7"/>
    <x v="11"/>
    <x v="1"/>
    <n v="11768856"/>
    <x v="3"/>
  </r>
  <r>
    <x v="7"/>
    <x v="12"/>
    <x v="1"/>
    <n v="12275485"/>
    <x v="3"/>
  </r>
  <r>
    <x v="7"/>
    <x v="16"/>
    <x v="1"/>
    <n v="11554301"/>
    <x v="3"/>
  </r>
  <r>
    <x v="7"/>
    <x v="21"/>
    <x v="1"/>
    <n v="12287747"/>
    <x v="3"/>
  </r>
  <r>
    <x v="7"/>
    <x v="0"/>
    <x v="1"/>
    <n v="14842024"/>
    <x v="3"/>
  </r>
  <r>
    <x v="7"/>
    <x v="2"/>
    <x v="1"/>
    <n v="11791776"/>
    <x v="3"/>
  </r>
  <r>
    <x v="7"/>
    <x v="17"/>
    <x v="1"/>
    <n v="10414470"/>
    <x v="3"/>
  </r>
  <r>
    <x v="7"/>
    <x v="13"/>
    <x v="1"/>
    <n v="14599320"/>
    <x v="3"/>
  </r>
  <r>
    <x v="7"/>
    <x v="18"/>
    <x v="1"/>
    <n v="19369988"/>
    <x v="3"/>
  </r>
  <r>
    <x v="7"/>
    <x v="19"/>
    <x v="1"/>
    <n v="22242340"/>
    <x v="3"/>
  </r>
  <r>
    <x v="7"/>
    <x v="20"/>
    <x v="1"/>
    <n v="21663567"/>
    <x v="3"/>
  </r>
  <r>
    <x v="7"/>
    <x v="14"/>
    <x v="1"/>
    <n v="23345000"/>
    <x v="3"/>
  </r>
  <r>
    <x v="7"/>
    <x v="1"/>
    <x v="1"/>
    <n v="21499418"/>
    <x v="3"/>
  </r>
  <r>
    <x v="7"/>
    <x v="3"/>
    <x v="1"/>
    <n v="25864396"/>
    <x v="3"/>
  </r>
  <r>
    <x v="7"/>
    <x v="15"/>
    <x v="1"/>
    <n v="32997466"/>
    <x v="3"/>
  </r>
  <r>
    <x v="7"/>
    <x v="4"/>
    <x v="1"/>
    <n v="27967070"/>
    <x v="3"/>
  </r>
  <r>
    <x v="92"/>
    <x v="11"/>
    <x v="1"/>
    <n v="8325990.8720000004"/>
    <x v="3"/>
  </r>
  <r>
    <x v="92"/>
    <x v="12"/>
    <x v="1"/>
    <n v="8401794.4700000007"/>
    <x v="3"/>
  </r>
  <r>
    <x v="92"/>
    <x v="16"/>
    <x v="1"/>
    <n v="8198521.4129999997"/>
    <x v="3"/>
  </r>
  <r>
    <x v="92"/>
    <x v="21"/>
    <x v="1"/>
    <n v="11093106.878"/>
    <x v="3"/>
  </r>
  <r>
    <x v="92"/>
    <x v="0"/>
    <x v="1"/>
    <n v="10058667.163000001"/>
    <x v="3"/>
  </r>
  <r>
    <x v="92"/>
    <x v="2"/>
    <x v="1"/>
    <n v="7823547.557"/>
    <x v="3"/>
  </r>
  <r>
    <x v="92"/>
    <x v="17"/>
    <x v="1"/>
    <n v="7813996.5109999999"/>
    <x v="3"/>
  </r>
  <r>
    <x v="92"/>
    <x v="13"/>
    <x v="1"/>
    <n v="8555391.2899999991"/>
    <x v="3"/>
  </r>
  <r>
    <x v="92"/>
    <x v="18"/>
    <x v="1"/>
    <n v="10830690.952"/>
    <x v="3"/>
  </r>
  <r>
    <x v="92"/>
    <x v="19"/>
    <x v="1"/>
    <n v="9097441.977"/>
    <x v="3"/>
  </r>
  <r>
    <x v="92"/>
    <x v="20"/>
    <x v="1"/>
    <n v="8524031.6980000008"/>
    <x v="3"/>
  </r>
  <r>
    <x v="92"/>
    <x v="14"/>
    <x v="1"/>
    <n v="6302850.8289999999"/>
    <x v="3"/>
  </r>
  <r>
    <x v="92"/>
    <x v="1"/>
    <x v="1"/>
    <n v="8775616.5260000005"/>
    <x v="3"/>
  </r>
  <r>
    <x v="92"/>
    <x v="3"/>
    <x v="1"/>
    <n v="10333528.291999999"/>
    <x v="3"/>
  </r>
  <r>
    <x v="92"/>
    <x v="15"/>
    <x v="1"/>
    <n v="12322386.762"/>
    <x v="3"/>
  </r>
  <r>
    <x v="8"/>
    <x v="11"/>
    <x v="1"/>
    <n v="12313097.976"/>
    <x v="3"/>
  </r>
  <r>
    <x v="8"/>
    <x v="12"/>
    <x v="1"/>
    <n v="17223711.723999999"/>
    <x v="3"/>
  </r>
  <r>
    <x v="8"/>
    <x v="16"/>
    <x v="1"/>
    <n v="21137019.179000001"/>
    <x v="3"/>
  </r>
  <r>
    <x v="8"/>
    <x v="21"/>
    <x v="1"/>
    <n v="21629699"/>
    <x v="3"/>
  </r>
  <r>
    <x v="8"/>
    <x v="0"/>
    <x v="1"/>
    <n v="30026251"/>
    <x v="3"/>
  </r>
  <r>
    <x v="8"/>
    <x v="2"/>
    <x v="1"/>
    <n v="25748389"/>
    <x v="3"/>
  </r>
  <r>
    <x v="8"/>
    <x v="17"/>
    <x v="1"/>
    <n v="27636379"/>
    <x v="3"/>
  </r>
  <r>
    <x v="8"/>
    <x v="13"/>
    <x v="1"/>
    <n v="33259299"/>
    <x v="3"/>
  </r>
  <r>
    <x v="8"/>
    <x v="18"/>
    <x v="1"/>
    <n v="44668604"/>
    <x v="3"/>
  </r>
  <r>
    <x v="8"/>
    <x v="19"/>
    <x v="1"/>
    <n v="44335220"/>
    <x v="3"/>
  </r>
  <r>
    <x v="8"/>
    <x v="20"/>
    <x v="1"/>
    <n v="44022043"/>
    <x v="3"/>
  </r>
  <r>
    <x v="8"/>
    <x v="14"/>
    <x v="1"/>
    <n v="45950571"/>
    <x v="3"/>
  </r>
  <r>
    <x v="8"/>
    <x v="1"/>
    <x v="1"/>
    <n v="46518373"/>
    <x v="3"/>
  </r>
  <r>
    <x v="8"/>
    <x v="3"/>
    <x v="1"/>
    <n v="53391564"/>
    <x v="3"/>
  </r>
  <r>
    <x v="8"/>
    <x v="15"/>
    <x v="1"/>
    <n v="59206094"/>
    <x v="3"/>
  </r>
  <r>
    <x v="8"/>
    <x v="4"/>
    <x v="1"/>
    <n v="64202726"/>
    <x v="3"/>
  </r>
  <r>
    <x v="52"/>
    <x v="11"/>
    <x v="1"/>
    <n v="30740638.131999999"/>
    <x v="3"/>
  </r>
  <r>
    <x v="52"/>
    <x v="12"/>
    <x v="1"/>
    <n v="37470847.898000002"/>
    <x v="3"/>
  </r>
  <r>
    <x v="52"/>
    <x v="16"/>
    <x v="1"/>
    <n v="36058691.138999999"/>
    <x v="3"/>
  </r>
  <r>
    <x v="52"/>
    <x v="21"/>
    <x v="1"/>
    <n v="60741789.509000003"/>
    <x v="3"/>
  </r>
  <r>
    <x v="52"/>
    <x v="0"/>
    <x v="1"/>
    <n v="43749404.627999999"/>
    <x v="3"/>
  </r>
  <r>
    <x v="52"/>
    <x v="2"/>
    <x v="1"/>
    <n v="31856670.324000001"/>
    <x v="3"/>
  </r>
  <r>
    <x v="52"/>
    <x v="17"/>
    <x v="1"/>
    <n v="36697191.604999997"/>
    <x v="3"/>
  </r>
  <r>
    <x v="52"/>
    <x v="13"/>
    <x v="1"/>
    <n v="41109135.612999998"/>
    <x v="3"/>
  </r>
  <r>
    <x v="52"/>
    <x v="18"/>
    <x v="1"/>
    <n v="39450383.762000002"/>
    <x v="3"/>
  </r>
  <r>
    <x v="52"/>
    <x v="19"/>
    <x v="1"/>
    <n v="33631458.539999999"/>
    <x v="3"/>
  </r>
  <r>
    <x v="52"/>
    <x v="20"/>
    <x v="1"/>
    <n v="32673642.513"/>
    <x v="3"/>
  </r>
  <r>
    <x v="52"/>
    <x v="14"/>
    <x v="1"/>
    <n v="32120950.679000001"/>
    <x v="3"/>
  </r>
  <r>
    <x v="52"/>
    <x v="1"/>
    <x v="1"/>
    <n v="31855267.306000002"/>
    <x v="3"/>
  </r>
  <r>
    <x v="52"/>
    <x v="3"/>
    <x v="1"/>
    <n v="37750376.931999996"/>
    <x v="3"/>
  </r>
  <r>
    <x v="52"/>
    <x v="15"/>
    <x v="1"/>
    <n v="45528322.748999998"/>
    <x v="3"/>
  </r>
  <r>
    <x v="52"/>
    <x v="4"/>
    <x v="1"/>
    <n v="40523249.126999997"/>
    <x v="3"/>
  </r>
  <r>
    <x v="93"/>
    <x v="25"/>
    <x v="1"/>
    <n v="6663352.0070000002"/>
    <x v="3"/>
  </r>
  <r>
    <x v="93"/>
    <x v="5"/>
    <x v="1"/>
    <n v="4165425.5639999998"/>
    <x v="3"/>
  </r>
  <r>
    <x v="93"/>
    <x v="22"/>
    <x v="1"/>
    <n v="3740405.65"/>
    <x v="3"/>
  </r>
  <r>
    <x v="93"/>
    <x v="6"/>
    <x v="1"/>
    <n v="4774052.47"/>
    <x v="3"/>
  </r>
  <r>
    <x v="93"/>
    <x v="7"/>
    <x v="1"/>
    <n v="6819588.7319999998"/>
    <x v="3"/>
  </r>
  <r>
    <x v="93"/>
    <x v="8"/>
    <x v="1"/>
    <n v="7734631.7300000004"/>
    <x v="3"/>
  </r>
  <r>
    <x v="93"/>
    <x v="9"/>
    <x v="1"/>
    <n v="10373669.09"/>
    <x v="3"/>
  </r>
  <r>
    <x v="93"/>
    <x v="10"/>
    <x v="1"/>
    <n v="9593724.568"/>
    <x v="3"/>
  </r>
  <r>
    <x v="93"/>
    <x v="0"/>
    <x v="1"/>
    <n v="12288077.335000001"/>
    <x v="3"/>
  </r>
  <r>
    <x v="93"/>
    <x v="2"/>
    <x v="1"/>
    <n v="13055921.666999999"/>
    <x v="3"/>
  </r>
  <r>
    <x v="93"/>
    <x v="17"/>
    <x v="1"/>
    <n v="13763819.802999999"/>
    <x v="3"/>
  </r>
  <r>
    <x v="93"/>
    <x v="13"/>
    <x v="1"/>
    <n v="17041042.287"/>
    <x v="3"/>
  </r>
  <r>
    <x v="93"/>
    <x v="18"/>
    <x v="1"/>
    <n v="19884026.612"/>
    <x v="3"/>
  </r>
  <r>
    <x v="93"/>
    <x v="19"/>
    <x v="1"/>
    <n v="19564802.408"/>
    <x v="3"/>
  </r>
  <r>
    <x v="93"/>
    <x v="20"/>
    <x v="1"/>
    <n v="25631466.135000002"/>
    <x v="3"/>
  </r>
  <r>
    <x v="93"/>
    <x v="14"/>
    <x v="1"/>
    <n v="23178627.539999999"/>
    <x v="3"/>
  </r>
  <r>
    <x v="93"/>
    <x v="1"/>
    <x v="1"/>
    <n v="26862150.397999998"/>
    <x v="3"/>
  </r>
  <r>
    <x v="93"/>
    <x v="3"/>
    <x v="1"/>
    <n v="28752671.715999998"/>
    <x v="3"/>
  </r>
  <r>
    <x v="93"/>
    <x v="15"/>
    <x v="1"/>
    <n v="29939134.421"/>
    <x v="3"/>
  </r>
  <r>
    <x v="94"/>
    <x v="11"/>
    <x v="1"/>
    <n v="96757708.510000005"/>
    <x v="3"/>
  </r>
  <r>
    <x v="94"/>
    <x v="2"/>
    <x v="1"/>
    <n v="171129205.08500001"/>
    <x v="3"/>
  </r>
  <r>
    <x v="94"/>
    <x v="17"/>
    <x v="1"/>
    <n v="196453709.83000001"/>
    <x v="3"/>
  </r>
  <r>
    <x v="94"/>
    <x v="13"/>
    <x v="1"/>
    <n v="82723533.048999995"/>
    <x v="3"/>
  </r>
  <r>
    <x v="94"/>
    <x v="18"/>
    <x v="1"/>
    <n v="179382973.76300001"/>
    <x v="3"/>
  </r>
  <r>
    <x v="94"/>
    <x v="19"/>
    <x v="1"/>
    <n v="154630458.73300001"/>
    <x v="3"/>
  </r>
  <r>
    <x v="94"/>
    <x v="20"/>
    <x v="1"/>
    <n v="175796959.014"/>
    <x v="3"/>
  </r>
  <r>
    <x v="94"/>
    <x v="14"/>
    <x v="1"/>
    <n v="230269300.63"/>
    <x v="3"/>
  </r>
  <r>
    <x v="94"/>
    <x v="1"/>
    <x v="1"/>
    <n v="255047297.009"/>
    <x v="3"/>
  </r>
  <r>
    <x v="94"/>
    <x v="3"/>
    <x v="1"/>
    <n v="79432008.076000005"/>
    <x v="3"/>
  </r>
  <r>
    <x v="94"/>
    <x v="15"/>
    <x v="1"/>
    <n v="132221928.317"/>
    <x v="3"/>
  </r>
  <r>
    <x v="94"/>
    <x v="4"/>
    <x v="1"/>
    <n v="119689928.264"/>
    <x v="3"/>
  </r>
  <r>
    <x v="11"/>
    <x v="16"/>
    <x v="1"/>
    <n v="5455043.2599999998"/>
    <x v="3"/>
  </r>
  <r>
    <x v="11"/>
    <x v="21"/>
    <x v="1"/>
    <n v="3747431.97"/>
    <x v="3"/>
  </r>
  <r>
    <x v="11"/>
    <x v="13"/>
    <x v="1"/>
    <n v="4713511.3"/>
    <x v="3"/>
  </r>
  <r>
    <x v="12"/>
    <x v="0"/>
    <x v="1"/>
    <n v="1336197.6340000001"/>
    <x v="3"/>
  </r>
  <r>
    <x v="95"/>
    <x v="17"/>
    <x v="1"/>
    <n v="2174811.4589999998"/>
    <x v="3"/>
  </r>
  <r>
    <x v="95"/>
    <x v="13"/>
    <x v="1"/>
    <n v="1637979.4210000001"/>
    <x v="3"/>
  </r>
  <r>
    <x v="13"/>
    <x v="0"/>
    <x v="1"/>
    <n v="4610317.4689999996"/>
    <x v="3"/>
  </r>
  <r>
    <x v="13"/>
    <x v="2"/>
    <x v="1"/>
    <n v="7357731.9390000002"/>
    <x v="3"/>
  </r>
  <r>
    <x v="13"/>
    <x v="17"/>
    <x v="1"/>
    <n v="6364947.5839999998"/>
    <x v="3"/>
  </r>
  <r>
    <x v="13"/>
    <x v="13"/>
    <x v="1"/>
    <n v="5745327.2010000004"/>
    <x v="3"/>
  </r>
  <r>
    <x v="13"/>
    <x v="18"/>
    <x v="1"/>
    <n v="6317384.6140000001"/>
    <x v="3"/>
  </r>
  <r>
    <x v="13"/>
    <x v="19"/>
    <x v="1"/>
    <n v="5456888.6639999999"/>
    <x v="3"/>
  </r>
  <r>
    <x v="13"/>
    <x v="20"/>
    <x v="1"/>
    <n v="6497216.7000000002"/>
    <x v="3"/>
  </r>
  <r>
    <x v="13"/>
    <x v="14"/>
    <x v="1"/>
    <n v="5938805.3200000003"/>
    <x v="3"/>
  </r>
  <r>
    <x v="13"/>
    <x v="1"/>
    <x v="1"/>
    <n v="4502593.2340000002"/>
    <x v="3"/>
  </r>
  <r>
    <x v="13"/>
    <x v="3"/>
    <x v="1"/>
    <n v="7660670.352"/>
    <x v="3"/>
  </r>
  <r>
    <x v="13"/>
    <x v="15"/>
    <x v="1"/>
    <n v="8895182.0869999994"/>
    <x v="3"/>
  </r>
  <r>
    <x v="13"/>
    <x v="4"/>
    <x v="1"/>
    <n v="6136320.7390000001"/>
    <x v="3"/>
  </r>
  <r>
    <x v="96"/>
    <x v="11"/>
    <x v="1"/>
    <n v="27100330.311999999"/>
    <x v="3"/>
  </r>
  <r>
    <x v="96"/>
    <x v="12"/>
    <x v="1"/>
    <n v="32210354.155999999"/>
    <x v="3"/>
  </r>
  <r>
    <x v="96"/>
    <x v="16"/>
    <x v="1"/>
    <n v="37217396.089000002"/>
    <x v="3"/>
  </r>
  <r>
    <x v="96"/>
    <x v="21"/>
    <x v="1"/>
    <n v="50328236.156999998"/>
    <x v="3"/>
  </r>
  <r>
    <x v="96"/>
    <x v="0"/>
    <x v="1"/>
    <n v="41716320.888999999"/>
    <x v="3"/>
  </r>
  <r>
    <x v="96"/>
    <x v="2"/>
    <x v="1"/>
    <n v="36466909.946000002"/>
    <x v="3"/>
  </r>
  <r>
    <x v="96"/>
    <x v="17"/>
    <x v="1"/>
    <n v="30787457.09"/>
    <x v="3"/>
  </r>
  <r>
    <x v="96"/>
    <x v="13"/>
    <x v="1"/>
    <n v="38722866.217"/>
    <x v="3"/>
  </r>
  <r>
    <x v="96"/>
    <x v="18"/>
    <x v="1"/>
    <n v="36393473.686999999"/>
    <x v="3"/>
  </r>
  <r>
    <x v="96"/>
    <x v="19"/>
    <x v="1"/>
    <n v="43314849.586000003"/>
    <x v="3"/>
  </r>
  <r>
    <x v="96"/>
    <x v="20"/>
    <x v="1"/>
    <n v="38744941.913999997"/>
    <x v="3"/>
  </r>
  <r>
    <x v="96"/>
    <x v="14"/>
    <x v="1"/>
    <n v="34639245.829999998"/>
    <x v="3"/>
  </r>
  <r>
    <x v="96"/>
    <x v="1"/>
    <x v="1"/>
    <n v="42060595.097999997"/>
    <x v="3"/>
  </r>
  <r>
    <x v="96"/>
    <x v="3"/>
    <x v="1"/>
    <n v="36419941.335000001"/>
    <x v="3"/>
  </r>
  <r>
    <x v="96"/>
    <x v="15"/>
    <x v="1"/>
    <n v="43152629.044"/>
    <x v="3"/>
  </r>
  <r>
    <x v="96"/>
    <x v="4"/>
    <x v="1"/>
    <n v="41921942.675999999"/>
    <x v="3"/>
  </r>
  <r>
    <x v="14"/>
    <x v="23"/>
    <x v="1"/>
    <n v="247294152.516"/>
    <x v="3"/>
  </r>
  <r>
    <x v="14"/>
    <x v="24"/>
    <x v="1"/>
    <n v="257250895.79100001"/>
    <x v="3"/>
  </r>
  <r>
    <x v="14"/>
    <x v="25"/>
    <x v="1"/>
    <n v="314371220.12199998"/>
    <x v="3"/>
  </r>
  <r>
    <x v="14"/>
    <x v="5"/>
    <x v="1"/>
    <n v="332495196.50199997"/>
    <x v="3"/>
  </r>
  <r>
    <x v="14"/>
    <x v="22"/>
    <x v="1"/>
    <n v="328324494.37199998"/>
    <x v="3"/>
  </r>
  <r>
    <x v="14"/>
    <x v="6"/>
    <x v="1"/>
    <n v="347721395.10100001"/>
    <x v="3"/>
  </r>
  <r>
    <x v="14"/>
    <x v="7"/>
    <x v="1"/>
    <n v="377709312.99299997"/>
    <x v="3"/>
  </r>
  <r>
    <x v="14"/>
    <x v="8"/>
    <x v="1"/>
    <n v="447286885.30800003"/>
    <x v="3"/>
  </r>
  <r>
    <x v="14"/>
    <x v="9"/>
    <x v="1"/>
    <n v="534098294.95700002"/>
    <x v="3"/>
  </r>
  <r>
    <x v="14"/>
    <x v="10"/>
    <x v="1"/>
    <n v="505963993.43900001"/>
    <x v="3"/>
  </r>
  <r>
    <x v="14"/>
    <x v="11"/>
    <x v="1"/>
    <n v="429653174.86000001"/>
    <x v="3"/>
  </r>
  <r>
    <x v="14"/>
    <x v="12"/>
    <x v="1"/>
    <n v="553204851.39499998"/>
    <x v="3"/>
  </r>
  <r>
    <x v="14"/>
    <x v="16"/>
    <x v="1"/>
    <n v="549998406.58000004"/>
    <x v="3"/>
  </r>
  <r>
    <x v="14"/>
    <x v="21"/>
    <x v="1"/>
    <n v="686023798.98399997"/>
    <x v="3"/>
  </r>
  <r>
    <x v="14"/>
    <x v="0"/>
    <x v="1"/>
    <n v="636565156.59800005"/>
    <x v="3"/>
  </r>
  <r>
    <x v="14"/>
    <x v="2"/>
    <x v="1"/>
    <n v="474199658.602"/>
    <x v="3"/>
  </r>
  <r>
    <x v="14"/>
    <x v="17"/>
    <x v="1"/>
    <n v="415530264.44599998"/>
    <x v="3"/>
  </r>
  <r>
    <x v="14"/>
    <x v="13"/>
    <x v="1"/>
    <n v="520490962.64600003"/>
    <x v="3"/>
  </r>
  <r>
    <x v="14"/>
    <x v="18"/>
    <x v="1"/>
    <n v="555689388.62800002"/>
    <x v="3"/>
  </r>
  <r>
    <x v="14"/>
    <x v="19"/>
    <x v="1"/>
    <n v="520390339.73500001"/>
    <x v="3"/>
  </r>
  <r>
    <x v="14"/>
    <x v="20"/>
    <x v="1"/>
    <n v="555697847.98899996"/>
    <x v="3"/>
  </r>
  <r>
    <x v="14"/>
    <x v="14"/>
    <x v="1"/>
    <n v="536005041.21799999"/>
    <x v="3"/>
  </r>
  <r>
    <x v="14"/>
    <x v="1"/>
    <x v="1"/>
    <n v="549641450.528"/>
    <x v="3"/>
  </r>
  <r>
    <x v="14"/>
    <x v="3"/>
    <x v="1"/>
    <n v="599495749.87"/>
    <x v="3"/>
  </r>
  <r>
    <x v="14"/>
    <x v="15"/>
    <x v="1"/>
    <n v="568217915.78499997"/>
    <x v="3"/>
  </r>
  <r>
    <x v="15"/>
    <x v="9"/>
    <x v="1"/>
    <n v="353240049.48699999"/>
    <x v="3"/>
  </r>
  <r>
    <x v="15"/>
    <x v="10"/>
    <x v="1"/>
    <n v="265903893.05500001"/>
    <x v="3"/>
  </r>
  <r>
    <x v="15"/>
    <x v="11"/>
    <x v="1"/>
    <n v="227177790.55500001"/>
    <x v="3"/>
  </r>
  <r>
    <x v="15"/>
    <x v="12"/>
    <x v="1"/>
    <n v="299689038.171"/>
    <x v="3"/>
  </r>
  <r>
    <x v="15"/>
    <x v="16"/>
    <x v="1"/>
    <n v="365154725.42400002"/>
    <x v="3"/>
  </r>
  <r>
    <x v="15"/>
    <x v="21"/>
    <x v="1"/>
    <n v="432036552.58399999"/>
    <x v="3"/>
  </r>
  <r>
    <x v="15"/>
    <x v="0"/>
    <x v="1"/>
    <n v="372974224.278"/>
    <x v="3"/>
  </r>
  <r>
    <x v="15"/>
    <x v="2"/>
    <x v="1"/>
    <n v="327312434.45499998"/>
    <x v="3"/>
  </r>
  <r>
    <x v="15"/>
    <x v="17"/>
    <x v="1"/>
    <n v="273648571.79299998"/>
    <x v="3"/>
  </r>
  <r>
    <x v="15"/>
    <x v="13"/>
    <x v="1"/>
    <n v="383365531.56099999"/>
    <x v="3"/>
  </r>
  <r>
    <x v="15"/>
    <x v="18"/>
    <x v="1"/>
    <n v="466586687.49599999"/>
    <x v="3"/>
  </r>
  <r>
    <x v="15"/>
    <x v="19"/>
    <x v="1"/>
    <n v="356691331.02399999"/>
    <x v="3"/>
  </r>
  <r>
    <x v="15"/>
    <x v="20"/>
    <x v="1"/>
    <n v="464377361.01200002"/>
    <x v="3"/>
  </r>
  <r>
    <x v="15"/>
    <x v="14"/>
    <x v="1"/>
    <n v="365397191.88700002"/>
    <x v="3"/>
  </r>
  <r>
    <x v="15"/>
    <x v="1"/>
    <x v="1"/>
    <n v="462138320.38300002"/>
    <x v="3"/>
  </r>
  <r>
    <x v="15"/>
    <x v="3"/>
    <x v="1"/>
    <n v="441565749.59200001"/>
    <x v="3"/>
  </r>
  <r>
    <x v="15"/>
    <x v="15"/>
    <x v="1"/>
    <n v="450111937.77100003"/>
    <x v="3"/>
  </r>
  <r>
    <x v="15"/>
    <x v="4"/>
    <x v="1"/>
    <n v="444413141.06300002"/>
    <x v="3"/>
  </r>
  <r>
    <x v="16"/>
    <x v="16"/>
    <x v="1"/>
    <n v="1375991.966"/>
    <x v="3"/>
  </r>
  <r>
    <x v="16"/>
    <x v="21"/>
    <x v="1"/>
    <n v="3227450.5260000001"/>
    <x v="3"/>
  </r>
  <r>
    <x v="16"/>
    <x v="0"/>
    <x v="1"/>
    <n v="1523754.0249999999"/>
    <x v="3"/>
  </r>
  <r>
    <x v="16"/>
    <x v="2"/>
    <x v="1"/>
    <n v="3118127.2620000001"/>
    <x v="3"/>
  </r>
  <r>
    <x v="16"/>
    <x v="20"/>
    <x v="1"/>
    <n v="1268369.67"/>
    <x v="3"/>
  </r>
  <r>
    <x v="16"/>
    <x v="14"/>
    <x v="1"/>
    <n v="1181510.023"/>
    <x v="3"/>
  </r>
  <r>
    <x v="17"/>
    <x v="11"/>
    <x v="1"/>
    <n v="43911827.987000003"/>
    <x v="3"/>
  </r>
  <r>
    <x v="17"/>
    <x v="12"/>
    <x v="1"/>
    <n v="47373276.862999998"/>
    <x v="3"/>
  </r>
  <r>
    <x v="17"/>
    <x v="16"/>
    <x v="1"/>
    <n v="44471289.714000002"/>
    <x v="3"/>
  </r>
  <r>
    <x v="17"/>
    <x v="21"/>
    <x v="1"/>
    <n v="43153317.623000003"/>
    <x v="3"/>
  </r>
  <r>
    <x v="17"/>
    <x v="0"/>
    <x v="1"/>
    <n v="43462025.294"/>
    <x v="3"/>
  </r>
  <r>
    <x v="17"/>
    <x v="2"/>
    <x v="1"/>
    <n v="35177377.956"/>
    <x v="3"/>
  </r>
  <r>
    <x v="17"/>
    <x v="17"/>
    <x v="1"/>
    <n v="36319283.579000004"/>
    <x v="3"/>
  </r>
  <r>
    <x v="17"/>
    <x v="13"/>
    <x v="1"/>
    <n v="36177109.414999999"/>
    <x v="3"/>
  </r>
  <r>
    <x v="17"/>
    <x v="18"/>
    <x v="1"/>
    <n v="38540933.630999997"/>
    <x v="3"/>
  </r>
  <r>
    <x v="17"/>
    <x v="19"/>
    <x v="1"/>
    <n v="43855420.528999999"/>
    <x v="3"/>
  </r>
  <r>
    <x v="17"/>
    <x v="20"/>
    <x v="1"/>
    <n v="43535219.648999996"/>
    <x v="3"/>
  </r>
  <r>
    <x v="17"/>
    <x v="14"/>
    <x v="1"/>
    <n v="44840809.299000002"/>
    <x v="3"/>
  </r>
  <r>
    <x v="17"/>
    <x v="1"/>
    <x v="1"/>
    <n v="48139110.068999998"/>
    <x v="3"/>
  </r>
  <r>
    <x v="17"/>
    <x v="3"/>
    <x v="1"/>
    <n v="44725991.031000003"/>
    <x v="3"/>
  </r>
  <r>
    <x v="17"/>
    <x v="15"/>
    <x v="1"/>
    <n v="47290171.109999999"/>
    <x v="3"/>
  </r>
  <r>
    <x v="17"/>
    <x v="4"/>
    <x v="1"/>
    <n v="44273839.321000002"/>
    <x v="3"/>
  </r>
  <r>
    <x v="18"/>
    <x v="12"/>
    <x v="1"/>
    <n v="7186821"/>
    <x v="3"/>
  </r>
  <r>
    <x v="18"/>
    <x v="14"/>
    <x v="1"/>
    <n v="8306691"/>
    <x v="3"/>
  </r>
  <r>
    <x v="18"/>
    <x v="1"/>
    <x v="1"/>
    <n v="12614350"/>
    <x v="3"/>
  </r>
  <r>
    <x v="18"/>
    <x v="3"/>
    <x v="1"/>
    <n v="10862577"/>
    <x v="3"/>
  </r>
  <r>
    <x v="18"/>
    <x v="15"/>
    <x v="1"/>
    <n v="10240455"/>
    <x v="3"/>
  </r>
  <r>
    <x v="18"/>
    <x v="4"/>
    <x v="1"/>
    <n v="10257795"/>
    <x v="3"/>
  </r>
  <r>
    <x v="19"/>
    <x v="12"/>
    <x v="1"/>
    <n v="7963814.7630000003"/>
    <x v="3"/>
  </r>
  <r>
    <x v="19"/>
    <x v="16"/>
    <x v="1"/>
    <n v="8873484.8359999992"/>
    <x v="3"/>
  </r>
  <r>
    <x v="19"/>
    <x v="13"/>
    <x v="1"/>
    <n v="15202683"/>
    <x v="3"/>
  </r>
  <r>
    <x v="19"/>
    <x v="18"/>
    <x v="1"/>
    <n v="16903740"/>
    <x v="3"/>
  </r>
  <r>
    <x v="19"/>
    <x v="19"/>
    <x v="1"/>
    <n v="17754851"/>
    <x v="3"/>
  </r>
  <r>
    <x v="19"/>
    <x v="20"/>
    <x v="1"/>
    <n v="20243997"/>
    <x v="3"/>
  </r>
  <r>
    <x v="19"/>
    <x v="14"/>
    <x v="1"/>
    <n v="20702464"/>
    <x v="3"/>
  </r>
  <r>
    <x v="19"/>
    <x v="1"/>
    <x v="1"/>
    <n v="21825006"/>
    <x v="3"/>
  </r>
  <r>
    <x v="19"/>
    <x v="3"/>
    <x v="1"/>
    <n v="22587717"/>
    <x v="3"/>
  </r>
  <r>
    <x v="19"/>
    <x v="15"/>
    <x v="1"/>
    <n v="20702182"/>
    <x v="3"/>
  </r>
  <r>
    <x v="19"/>
    <x v="4"/>
    <x v="1"/>
    <n v="19663707.851"/>
    <x v="3"/>
  </r>
  <r>
    <x v="21"/>
    <x v="0"/>
    <x v="1"/>
    <n v="4866293"/>
    <x v="3"/>
  </r>
  <r>
    <x v="21"/>
    <x v="2"/>
    <x v="1"/>
    <n v="4572519"/>
    <x v="3"/>
  </r>
  <r>
    <x v="21"/>
    <x v="17"/>
    <x v="1"/>
    <n v="5530120"/>
    <x v="3"/>
  </r>
  <r>
    <x v="21"/>
    <x v="19"/>
    <x v="1"/>
    <n v="4077992"/>
    <x v="3"/>
  </r>
  <r>
    <x v="54"/>
    <x v="23"/>
    <x v="1"/>
    <n v="9660920.4149999991"/>
    <x v="3"/>
  </r>
  <r>
    <x v="54"/>
    <x v="24"/>
    <x v="1"/>
    <n v="11773806.422"/>
    <x v="3"/>
  </r>
  <r>
    <x v="54"/>
    <x v="25"/>
    <x v="1"/>
    <n v="14545715.969000001"/>
    <x v="3"/>
  </r>
  <r>
    <x v="54"/>
    <x v="5"/>
    <x v="1"/>
    <n v="16531839.168"/>
    <x v="3"/>
  </r>
  <r>
    <x v="54"/>
    <x v="22"/>
    <x v="1"/>
    <n v="14686469.755999999"/>
    <x v="3"/>
  </r>
  <r>
    <x v="54"/>
    <x v="6"/>
    <x v="1"/>
    <n v="20841270.723000001"/>
    <x v="3"/>
  </r>
  <r>
    <x v="54"/>
    <x v="7"/>
    <x v="1"/>
    <n v="19642646.767000001"/>
    <x v="3"/>
  </r>
  <r>
    <x v="54"/>
    <x v="8"/>
    <x v="1"/>
    <n v="19059300.296"/>
    <x v="3"/>
  </r>
  <r>
    <x v="54"/>
    <x v="9"/>
    <x v="1"/>
    <n v="26918598.952"/>
    <x v="3"/>
  </r>
  <r>
    <x v="54"/>
    <x v="10"/>
    <x v="1"/>
    <n v="24252753.112"/>
    <x v="3"/>
  </r>
  <r>
    <x v="54"/>
    <x v="11"/>
    <x v="1"/>
    <n v="20274039.804000001"/>
    <x v="3"/>
  </r>
  <r>
    <x v="54"/>
    <x v="12"/>
    <x v="1"/>
    <n v="33073335.484999999"/>
    <x v="3"/>
  </r>
  <r>
    <x v="54"/>
    <x v="16"/>
    <x v="1"/>
    <n v="33026806.616999999"/>
    <x v="3"/>
  </r>
  <r>
    <x v="54"/>
    <x v="21"/>
    <x v="1"/>
    <n v="37522766.571000002"/>
    <x v="3"/>
  </r>
  <r>
    <x v="54"/>
    <x v="0"/>
    <x v="1"/>
    <n v="35960377.806999996"/>
    <x v="3"/>
  </r>
  <r>
    <x v="54"/>
    <x v="2"/>
    <x v="1"/>
    <n v="29214270.989"/>
    <x v="3"/>
  </r>
  <r>
    <x v="54"/>
    <x v="17"/>
    <x v="1"/>
    <n v="28949572.868999999"/>
    <x v="3"/>
  </r>
  <r>
    <x v="54"/>
    <x v="13"/>
    <x v="1"/>
    <n v="31606964.129000001"/>
    <x v="3"/>
  </r>
  <r>
    <x v="54"/>
    <x v="18"/>
    <x v="1"/>
    <n v="23168919.715"/>
    <x v="3"/>
  </r>
  <r>
    <x v="54"/>
    <x v="19"/>
    <x v="1"/>
    <n v="24654825.136999998"/>
    <x v="3"/>
  </r>
  <r>
    <x v="54"/>
    <x v="20"/>
    <x v="1"/>
    <n v="29767394.037999999"/>
    <x v="3"/>
  </r>
  <r>
    <x v="54"/>
    <x v="14"/>
    <x v="1"/>
    <n v="22474271.425999999"/>
    <x v="3"/>
  </r>
  <r>
    <x v="54"/>
    <x v="1"/>
    <x v="1"/>
    <n v="20822833.627"/>
    <x v="3"/>
  </r>
  <r>
    <x v="54"/>
    <x v="3"/>
    <x v="1"/>
    <n v="23142915.052000001"/>
    <x v="3"/>
  </r>
  <r>
    <x v="54"/>
    <x v="15"/>
    <x v="1"/>
    <n v="28422589.938000001"/>
    <x v="3"/>
  </r>
  <r>
    <x v="54"/>
    <x v="4"/>
    <x v="1"/>
    <n v="27953284.274999999"/>
    <x v="3"/>
  </r>
  <r>
    <x v="76"/>
    <x v="13"/>
    <x v="1"/>
    <n v="98866000"/>
    <x v="3"/>
  </r>
  <r>
    <x v="76"/>
    <x v="18"/>
    <x v="1"/>
    <n v="125527000"/>
    <x v="3"/>
  </r>
  <r>
    <x v="76"/>
    <x v="19"/>
    <x v="1"/>
    <n v="102023000"/>
    <x v="3"/>
  </r>
  <r>
    <x v="76"/>
    <x v="20"/>
    <x v="1"/>
    <n v="94521000"/>
    <x v="3"/>
  </r>
  <r>
    <x v="76"/>
    <x v="14"/>
    <x v="1"/>
    <n v="108301000"/>
    <x v="3"/>
  </r>
  <r>
    <x v="76"/>
    <x v="1"/>
    <x v="1"/>
    <n v="123142000"/>
    <x v="3"/>
  </r>
  <r>
    <x v="76"/>
    <x v="3"/>
    <x v="1"/>
    <n v="125964000"/>
    <x v="3"/>
  </r>
  <r>
    <x v="76"/>
    <x v="15"/>
    <x v="1"/>
    <n v="199685000"/>
    <x v="3"/>
  </r>
  <r>
    <x v="76"/>
    <x v="4"/>
    <x v="1"/>
    <n v="106611000"/>
    <x v="3"/>
  </r>
  <r>
    <x v="22"/>
    <x v="23"/>
    <x v="1"/>
    <n v="202071954.47"/>
    <x v="3"/>
  </r>
  <r>
    <x v="22"/>
    <x v="24"/>
    <x v="1"/>
    <n v="231015297.896"/>
    <x v="3"/>
  </r>
  <r>
    <x v="22"/>
    <x v="25"/>
    <x v="1"/>
    <n v="302143162.74699998"/>
    <x v="3"/>
  </r>
  <r>
    <x v="22"/>
    <x v="5"/>
    <x v="1"/>
    <n v="390049530.22399998"/>
    <x v="3"/>
  </r>
  <r>
    <x v="22"/>
    <x v="22"/>
    <x v="1"/>
    <n v="417273086.36299998"/>
    <x v="3"/>
  </r>
  <r>
    <x v="22"/>
    <x v="6"/>
    <x v="1"/>
    <n v="459973027.03299999"/>
    <x v="3"/>
  </r>
  <r>
    <x v="22"/>
    <x v="7"/>
    <x v="1"/>
    <n v="513639059.77499998"/>
    <x v="3"/>
  </r>
  <r>
    <x v="22"/>
    <x v="8"/>
    <x v="1"/>
    <n v="618396486.50999999"/>
    <x v="3"/>
  </r>
  <r>
    <x v="22"/>
    <x v="9"/>
    <x v="1"/>
    <n v="733839371.98399997"/>
    <x v="3"/>
  </r>
  <r>
    <x v="22"/>
    <x v="10"/>
    <x v="1"/>
    <n v="676750764.63600004"/>
    <x v="3"/>
  </r>
  <r>
    <x v="22"/>
    <x v="11"/>
    <x v="1"/>
    <n v="591309542.829"/>
    <x v="3"/>
  </r>
  <r>
    <x v="22"/>
    <x v="12"/>
    <x v="1"/>
    <n v="720397279.11300004"/>
    <x v="3"/>
  </r>
  <r>
    <x v="22"/>
    <x v="16"/>
    <x v="1"/>
    <n v="741592836.61300004"/>
    <x v="3"/>
  </r>
  <r>
    <x v="22"/>
    <x v="21"/>
    <x v="1"/>
    <n v="813637675.14999998"/>
    <x v="3"/>
  </r>
  <r>
    <x v="22"/>
    <x v="0"/>
    <x v="1"/>
    <n v="807667201.14300001"/>
    <x v="3"/>
  </r>
  <r>
    <x v="22"/>
    <x v="2"/>
    <x v="1"/>
    <n v="623831571.96200001"/>
    <x v="3"/>
  </r>
  <r>
    <x v="22"/>
    <x v="17"/>
    <x v="1"/>
    <n v="639728007.75699997"/>
    <x v="3"/>
  </r>
  <r>
    <x v="22"/>
    <x v="13"/>
    <x v="1"/>
    <n v="786916426.99100006"/>
    <x v="3"/>
  </r>
  <r>
    <x v="22"/>
    <x v="18"/>
    <x v="1"/>
    <n v="872150583.48000002"/>
    <x v="3"/>
  </r>
  <r>
    <x v="22"/>
    <x v="19"/>
    <x v="1"/>
    <n v="740401272.26100004"/>
    <x v="3"/>
  </r>
  <r>
    <x v="22"/>
    <x v="20"/>
    <x v="1"/>
    <n v="793769984.92999995"/>
    <x v="3"/>
  </r>
  <r>
    <x v="22"/>
    <x v="14"/>
    <x v="1"/>
    <n v="787202909.96200001"/>
    <x v="3"/>
  </r>
  <r>
    <x v="22"/>
    <x v="1"/>
    <x v="1"/>
    <n v="879303746.06700003"/>
    <x v="3"/>
  </r>
  <r>
    <x v="22"/>
    <x v="3"/>
    <x v="1"/>
    <n v="976629678.21200001"/>
    <x v="3"/>
  </r>
  <r>
    <x v="22"/>
    <x v="15"/>
    <x v="1"/>
    <n v="953165831.13"/>
    <x v="3"/>
  </r>
  <r>
    <x v="22"/>
    <x v="4"/>
    <x v="1"/>
    <n v="799323275.16700006"/>
    <x v="3"/>
  </r>
  <r>
    <x v="55"/>
    <x v="11"/>
    <x v="1"/>
    <n v="227684073.359"/>
    <x v="3"/>
  </r>
  <r>
    <x v="55"/>
    <x v="12"/>
    <x v="1"/>
    <n v="305922078.741"/>
    <x v="3"/>
  </r>
  <r>
    <x v="55"/>
    <x v="16"/>
    <x v="1"/>
    <n v="366634158.12800002"/>
    <x v="3"/>
  </r>
  <r>
    <x v="55"/>
    <x v="21"/>
    <x v="1"/>
    <n v="338680412.49900001"/>
    <x v="3"/>
  </r>
  <r>
    <x v="55"/>
    <x v="0"/>
    <x v="1"/>
    <n v="299032779.26200002"/>
    <x v="3"/>
  </r>
  <r>
    <x v="55"/>
    <x v="2"/>
    <x v="1"/>
    <n v="270079007.91399997"/>
    <x v="3"/>
  </r>
  <r>
    <x v="55"/>
    <x v="17"/>
    <x v="1"/>
    <n v="300103198.08700001"/>
    <x v="3"/>
  </r>
  <r>
    <x v="55"/>
    <x v="13"/>
    <x v="1"/>
    <n v="346585470.22500002"/>
    <x v="3"/>
  </r>
  <r>
    <x v="55"/>
    <x v="18"/>
    <x v="1"/>
    <n v="377391189.28399998"/>
    <x v="3"/>
  </r>
  <r>
    <x v="55"/>
    <x v="19"/>
    <x v="1"/>
    <n v="366420219.421"/>
    <x v="3"/>
  </r>
  <r>
    <x v="55"/>
    <x v="20"/>
    <x v="1"/>
    <n v="374032370.19599998"/>
    <x v="3"/>
  </r>
  <r>
    <x v="55"/>
    <x v="14"/>
    <x v="1"/>
    <n v="357035278.241"/>
    <x v="3"/>
  </r>
  <r>
    <x v="55"/>
    <x v="1"/>
    <x v="1"/>
    <n v="389369220.71399999"/>
    <x v="3"/>
  </r>
  <r>
    <x v="55"/>
    <x v="3"/>
    <x v="1"/>
    <n v="419626581.19700003"/>
    <x v="3"/>
  </r>
  <r>
    <x v="55"/>
    <x v="15"/>
    <x v="1"/>
    <n v="384687421.89499998"/>
    <x v="3"/>
  </r>
  <r>
    <x v="55"/>
    <x v="4"/>
    <x v="1"/>
    <n v="344785008.16399997"/>
    <x v="3"/>
  </r>
  <r>
    <x v="97"/>
    <x v="11"/>
    <x v="1"/>
    <n v="27416714.206999999"/>
    <x v="3"/>
  </r>
  <r>
    <x v="97"/>
    <x v="12"/>
    <x v="1"/>
    <n v="23087497.806000002"/>
    <x v="3"/>
  </r>
  <r>
    <x v="97"/>
    <x v="16"/>
    <x v="1"/>
    <n v="32606278.679000001"/>
    <x v="3"/>
  </r>
  <r>
    <x v="97"/>
    <x v="21"/>
    <x v="1"/>
    <n v="35534142.671999998"/>
    <x v="3"/>
  </r>
  <r>
    <x v="97"/>
    <x v="13"/>
    <x v="1"/>
    <n v="44677792.292000003"/>
    <x v="3"/>
  </r>
  <r>
    <x v="97"/>
    <x v="1"/>
    <x v="1"/>
    <n v="45786774.442000002"/>
    <x v="3"/>
  </r>
  <r>
    <x v="98"/>
    <x v="3"/>
    <x v="1"/>
    <n v="2158720.29"/>
    <x v="3"/>
  </r>
  <r>
    <x v="23"/>
    <x v="2"/>
    <x v="1"/>
    <n v="27183632.831999999"/>
    <x v="3"/>
  </r>
  <r>
    <x v="23"/>
    <x v="17"/>
    <x v="1"/>
    <n v="24889291.971000001"/>
    <x v="3"/>
  </r>
  <r>
    <x v="23"/>
    <x v="13"/>
    <x v="1"/>
    <n v="33102786.679000001"/>
    <x v="3"/>
  </r>
  <r>
    <x v="23"/>
    <x v="14"/>
    <x v="1"/>
    <n v="22069318"/>
    <x v="3"/>
  </r>
  <r>
    <x v="23"/>
    <x v="1"/>
    <x v="1"/>
    <n v="23747273.324999999"/>
    <x v="3"/>
  </r>
  <r>
    <x v="23"/>
    <x v="3"/>
    <x v="1"/>
    <n v="31844104.396000002"/>
    <x v="3"/>
  </r>
  <r>
    <x v="23"/>
    <x v="15"/>
    <x v="1"/>
    <n v="25269661"/>
    <x v="3"/>
  </r>
  <r>
    <x v="99"/>
    <x v="12"/>
    <x v="1"/>
    <n v="3886014"/>
    <x v="3"/>
  </r>
  <r>
    <x v="99"/>
    <x v="16"/>
    <x v="1"/>
    <n v="3635830"/>
    <x v="3"/>
  </r>
  <r>
    <x v="99"/>
    <x v="21"/>
    <x v="1"/>
    <n v="5679395"/>
    <x v="3"/>
  </r>
  <r>
    <x v="99"/>
    <x v="0"/>
    <x v="1"/>
    <n v="4798969"/>
    <x v="3"/>
  </r>
  <r>
    <x v="99"/>
    <x v="2"/>
    <x v="1"/>
    <n v="3966053"/>
    <x v="3"/>
  </r>
  <r>
    <x v="99"/>
    <x v="17"/>
    <x v="1"/>
    <n v="4058878"/>
    <x v="3"/>
  </r>
  <r>
    <x v="99"/>
    <x v="13"/>
    <x v="1"/>
    <n v="4802098"/>
    <x v="3"/>
  </r>
  <r>
    <x v="99"/>
    <x v="18"/>
    <x v="1"/>
    <n v="5144042"/>
    <x v="3"/>
  </r>
  <r>
    <x v="99"/>
    <x v="19"/>
    <x v="1"/>
    <n v="5126227"/>
    <x v="3"/>
  </r>
  <r>
    <x v="25"/>
    <x v="21"/>
    <x v="1"/>
    <n v="6329152.4800000004"/>
    <x v="3"/>
  </r>
  <r>
    <x v="57"/>
    <x v="12"/>
    <x v="1"/>
    <n v="11784514.588"/>
    <x v="3"/>
  </r>
  <r>
    <x v="57"/>
    <x v="16"/>
    <x v="1"/>
    <n v="17210558.657000002"/>
    <x v="3"/>
  </r>
  <r>
    <x v="57"/>
    <x v="21"/>
    <x v="1"/>
    <n v="12866746.082"/>
    <x v="3"/>
  </r>
  <r>
    <x v="57"/>
    <x v="0"/>
    <x v="1"/>
    <n v="11263585.369999999"/>
    <x v="3"/>
  </r>
  <r>
    <x v="57"/>
    <x v="2"/>
    <x v="1"/>
    <n v="15225552.055"/>
    <x v="3"/>
  </r>
  <r>
    <x v="57"/>
    <x v="17"/>
    <x v="1"/>
    <n v="13129088.084000001"/>
    <x v="3"/>
  </r>
  <r>
    <x v="57"/>
    <x v="13"/>
    <x v="1"/>
    <n v="12939570.277000001"/>
    <x v="3"/>
  </r>
  <r>
    <x v="57"/>
    <x v="18"/>
    <x v="1"/>
    <n v="17964943.491"/>
    <x v="3"/>
  </r>
  <r>
    <x v="57"/>
    <x v="19"/>
    <x v="1"/>
    <n v="16343311.772"/>
    <x v="3"/>
  </r>
  <r>
    <x v="57"/>
    <x v="20"/>
    <x v="1"/>
    <n v="18472079.471000001"/>
    <x v="3"/>
  </r>
  <r>
    <x v="57"/>
    <x v="14"/>
    <x v="1"/>
    <n v="21469336.857999999"/>
    <x v="3"/>
  </r>
  <r>
    <x v="57"/>
    <x v="1"/>
    <x v="1"/>
    <n v="19754163.535999998"/>
    <x v="3"/>
  </r>
  <r>
    <x v="57"/>
    <x v="3"/>
    <x v="1"/>
    <n v="13711194.322000001"/>
    <x v="3"/>
  </r>
  <r>
    <x v="57"/>
    <x v="15"/>
    <x v="1"/>
    <n v="21629882.495999999"/>
    <x v="3"/>
  </r>
  <r>
    <x v="57"/>
    <x v="4"/>
    <x v="1"/>
    <n v="19383943.517999999"/>
    <x v="3"/>
  </r>
  <r>
    <x v="58"/>
    <x v="11"/>
    <x v="1"/>
    <n v="9691717.943"/>
    <x v="3"/>
  </r>
  <r>
    <x v="58"/>
    <x v="12"/>
    <x v="1"/>
    <n v="10811143.989"/>
    <x v="3"/>
  </r>
  <r>
    <x v="58"/>
    <x v="16"/>
    <x v="1"/>
    <n v="14072539.845000001"/>
    <x v="3"/>
  </r>
  <r>
    <x v="58"/>
    <x v="21"/>
    <x v="1"/>
    <n v="13841033.122"/>
    <x v="3"/>
  </r>
  <r>
    <x v="58"/>
    <x v="0"/>
    <x v="1"/>
    <n v="14101534.241"/>
    <x v="3"/>
  </r>
  <r>
    <x v="58"/>
    <x v="2"/>
    <x v="1"/>
    <n v="10184111.457"/>
    <x v="3"/>
  </r>
  <r>
    <x v="58"/>
    <x v="17"/>
    <x v="1"/>
    <n v="9809993.2709999997"/>
    <x v="3"/>
  </r>
  <r>
    <x v="58"/>
    <x v="13"/>
    <x v="1"/>
    <n v="6830735.8030000003"/>
    <x v="3"/>
  </r>
  <r>
    <x v="58"/>
    <x v="19"/>
    <x v="1"/>
    <n v="13410736.452"/>
    <x v="3"/>
  </r>
  <r>
    <x v="58"/>
    <x v="20"/>
    <x v="1"/>
    <n v="12370415.960999999"/>
    <x v="3"/>
  </r>
  <r>
    <x v="58"/>
    <x v="14"/>
    <x v="1"/>
    <n v="10718314.003"/>
    <x v="3"/>
  </r>
  <r>
    <x v="58"/>
    <x v="1"/>
    <x v="1"/>
    <n v="11823217.179"/>
    <x v="3"/>
  </r>
  <r>
    <x v="58"/>
    <x v="3"/>
    <x v="1"/>
    <n v="11662931.774"/>
    <x v="3"/>
  </r>
  <r>
    <x v="58"/>
    <x v="15"/>
    <x v="1"/>
    <n v="15008381.436000001"/>
    <x v="3"/>
  </r>
  <r>
    <x v="29"/>
    <x v="11"/>
    <x v="1"/>
    <n v="26815137"/>
    <x v="3"/>
  </r>
  <r>
    <x v="29"/>
    <x v="12"/>
    <x v="1"/>
    <n v="15102650"/>
    <x v="3"/>
  </r>
  <r>
    <x v="29"/>
    <x v="16"/>
    <x v="1"/>
    <n v="30426617"/>
    <x v="3"/>
  </r>
  <r>
    <x v="29"/>
    <x v="21"/>
    <x v="1"/>
    <n v="21042586"/>
    <x v="3"/>
  </r>
  <r>
    <x v="29"/>
    <x v="2"/>
    <x v="1"/>
    <n v="14852520"/>
    <x v="3"/>
  </r>
  <r>
    <x v="29"/>
    <x v="17"/>
    <x v="1"/>
    <n v="13529646"/>
    <x v="3"/>
  </r>
  <r>
    <x v="29"/>
    <x v="13"/>
    <x v="1"/>
    <n v="22347589"/>
    <x v="3"/>
  </r>
  <r>
    <x v="29"/>
    <x v="18"/>
    <x v="1"/>
    <n v="15539278"/>
    <x v="3"/>
  </r>
  <r>
    <x v="29"/>
    <x v="14"/>
    <x v="1"/>
    <n v="31126331"/>
    <x v="3"/>
  </r>
  <r>
    <x v="29"/>
    <x v="1"/>
    <x v="1"/>
    <n v="30470944"/>
    <x v="3"/>
  </r>
  <r>
    <x v="29"/>
    <x v="3"/>
    <x v="1"/>
    <n v="15856865"/>
    <x v="3"/>
  </r>
  <r>
    <x v="29"/>
    <x v="4"/>
    <x v="1"/>
    <n v="27369474"/>
    <x v="3"/>
  </r>
  <r>
    <x v="30"/>
    <x v="23"/>
    <x v="1"/>
    <n v="3932219.4139999999"/>
    <x v="3"/>
  </r>
  <r>
    <x v="30"/>
    <x v="24"/>
    <x v="1"/>
    <n v="4790069.0460000001"/>
    <x v="3"/>
  </r>
  <r>
    <x v="30"/>
    <x v="25"/>
    <x v="1"/>
    <n v="10233040.973999999"/>
    <x v="3"/>
  </r>
  <r>
    <x v="30"/>
    <x v="5"/>
    <x v="1"/>
    <n v="6380318.159"/>
    <x v="3"/>
  </r>
  <r>
    <x v="30"/>
    <x v="22"/>
    <x v="1"/>
    <n v="8761135.5529999994"/>
    <x v="3"/>
  </r>
  <r>
    <x v="30"/>
    <x v="6"/>
    <x v="1"/>
    <n v="9150856.5710000005"/>
    <x v="3"/>
  </r>
  <r>
    <x v="30"/>
    <x v="7"/>
    <x v="1"/>
    <n v="192823514.23500001"/>
    <x v="3"/>
  </r>
  <r>
    <x v="30"/>
    <x v="8"/>
    <x v="1"/>
    <n v="24922513.57"/>
    <x v="3"/>
  </r>
  <r>
    <x v="30"/>
    <x v="9"/>
    <x v="1"/>
    <n v="21914611.545000002"/>
    <x v="3"/>
  </r>
  <r>
    <x v="30"/>
    <x v="10"/>
    <x v="1"/>
    <n v="19015704.923999999"/>
    <x v="3"/>
  </r>
  <r>
    <x v="30"/>
    <x v="11"/>
    <x v="1"/>
    <n v="162246221.067"/>
    <x v="3"/>
  </r>
  <r>
    <x v="30"/>
    <x v="12"/>
    <x v="1"/>
    <n v="1263784148.721"/>
    <x v="3"/>
  </r>
  <r>
    <x v="30"/>
    <x v="16"/>
    <x v="1"/>
    <n v="1567394340.8559999"/>
    <x v="3"/>
  </r>
  <r>
    <x v="30"/>
    <x v="21"/>
    <x v="1"/>
    <n v="1482097589.925"/>
    <x v="3"/>
  </r>
  <r>
    <x v="30"/>
    <x v="0"/>
    <x v="1"/>
    <n v="1365815637.9519999"/>
    <x v="3"/>
  </r>
  <r>
    <x v="30"/>
    <x v="2"/>
    <x v="1"/>
    <n v="1011899278.495"/>
    <x v="3"/>
  </r>
  <r>
    <x v="30"/>
    <x v="17"/>
    <x v="1"/>
    <n v="123086124.008"/>
    <x v="3"/>
  </r>
  <r>
    <x v="30"/>
    <x v="13"/>
    <x v="1"/>
    <n v="52087398.773000002"/>
    <x v="3"/>
  </r>
  <r>
    <x v="30"/>
    <x v="18"/>
    <x v="1"/>
    <n v="60578480.226000004"/>
    <x v="3"/>
  </r>
  <r>
    <x v="30"/>
    <x v="19"/>
    <x v="1"/>
    <n v="56808053.376999997"/>
    <x v="3"/>
  </r>
  <r>
    <x v="30"/>
    <x v="20"/>
    <x v="1"/>
    <n v="66320333.022"/>
    <x v="3"/>
  </r>
  <r>
    <x v="30"/>
    <x v="14"/>
    <x v="1"/>
    <n v="64446952.719999999"/>
    <x v="3"/>
  </r>
  <r>
    <x v="30"/>
    <x v="1"/>
    <x v="1"/>
    <n v="68642353.753000006"/>
    <x v="3"/>
  </r>
  <r>
    <x v="30"/>
    <x v="3"/>
    <x v="1"/>
    <n v="69709938.767000005"/>
    <x v="3"/>
  </r>
  <r>
    <x v="30"/>
    <x v="15"/>
    <x v="1"/>
    <n v="80209301.482999995"/>
    <x v="3"/>
  </r>
  <r>
    <x v="30"/>
    <x v="4"/>
    <x v="1"/>
    <n v="59396093.726999998"/>
    <x v="3"/>
  </r>
  <r>
    <x v="78"/>
    <x v="22"/>
    <x v="1"/>
    <n v="8231478.9919999801"/>
    <x v="3"/>
  </r>
  <r>
    <x v="78"/>
    <x v="16"/>
    <x v="1"/>
    <n v="557237692.93900001"/>
    <x v="3"/>
  </r>
  <r>
    <x v="78"/>
    <x v="21"/>
    <x v="1"/>
    <n v="501798081.169999"/>
    <x v="3"/>
  </r>
  <r>
    <x v="78"/>
    <x v="0"/>
    <x v="1"/>
    <n v="225253493.31900001"/>
    <x v="3"/>
  </r>
  <r>
    <x v="78"/>
    <x v="2"/>
    <x v="1"/>
    <s v="NA"/>
    <x v="3"/>
  </r>
  <r>
    <x v="78"/>
    <x v="17"/>
    <x v="1"/>
    <s v="NA"/>
    <x v="3"/>
  </r>
  <r>
    <x v="78"/>
    <x v="13"/>
    <x v="1"/>
    <n v="32156829.591001499"/>
    <x v="3"/>
  </r>
  <r>
    <x v="78"/>
    <x v="18"/>
    <x v="1"/>
    <n v="92158403.232999802"/>
    <x v="3"/>
  </r>
  <r>
    <x v="78"/>
    <x v="19"/>
    <x v="1"/>
    <s v="NA"/>
    <x v="3"/>
  </r>
  <r>
    <x v="78"/>
    <x v="20"/>
    <x v="1"/>
    <s v="NA"/>
    <x v="3"/>
  </r>
  <r>
    <x v="78"/>
    <x v="14"/>
    <x v="1"/>
    <s v="NA"/>
    <x v="3"/>
  </r>
  <r>
    <x v="78"/>
    <x v="15"/>
    <x v="1"/>
    <n v="100287536.657998"/>
    <x v="3"/>
  </r>
  <r>
    <x v="59"/>
    <x v="24"/>
    <x v="1"/>
    <n v="845273.22199999995"/>
    <x v="3"/>
  </r>
  <r>
    <x v="59"/>
    <x v="25"/>
    <x v="1"/>
    <n v="1494136.544"/>
    <x v="3"/>
  </r>
  <r>
    <x v="59"/>
    <x v="5"/>
    <x v="1"/>
    <n v="3017541.5329999998"/>
    <x v="3"/>
  </r>
  <r>
    <x v="59"/>
    <x v="22"/>
    <x v="1"/>
    <n v="2853368.33"/>
    <x v="3"/>
  </r>
  <r>
    <x v="59"/>
    <x v="6"/>
    <x v="1"/>
    <n v="4872883.3289999999"/>
    <x v="3"/>
  </r>
  <r>
    <x v="59"/>
    <x v="7"/>
    <x v="1"/>
    <n v="7662893.0259999996"/>
    <x v="3"/>
  </r>
  <r>
    <x v="59"/>
    <x v="8"/>
    <x v="1"/>
    <n v="7122769.2249999996"/>
    <x v="3"/>
  </r>
  <r>
    <x v="59"/>
    <x v="9"/>
    <x v="1"/>
    <n v="11626964.369999999"/>
    <x v="3"/>
  </r>
  <r>
    <x v="59"/>
    <x v="10"/>
    <x v="1"/>
    <n v="15503350.204"/>
    <x v="3"/>
  </r>
  <r>
    <x v="59"/>
    <x v="21"/>
    <x v="1"/>
    <n v="4147832.6770000001"/>
    <x v="3"/>
  </r>
  <r>
    <x v="59"/>
    <x v="2"/>
    <x v="1"/>
    <n v="4517810.6349999998"/>
    <x v="3"/>
  </r>
  <r>
    <x v="59"/>
    <x v="18"/>
    <x v="1"/>
    <n v="16091649.786"/>
    <x v="3"/>
  </r>
  <r>
    <x v="59"/>
    <x v="19"/>
    <x v="1"/>
    <n v="10387940.727"/>
    <x v="3"/>
  </r>
  <r>
    <x v="59"/>
    <x v="20"/>
    <x v="1"/>
    <n v="23060653.237"/>
    <x v="3"/>
  </r>
  <r>
    <x v="59"/>
    <x v="14"/>
    <x v="1"/>
    <n v="37967194.085000001"/>
    <x v="3"/>
  </r>
  <r>
    <x v="59"/>
    <x v="1"/>
    <x v="1"/>
    <n v="27629381.112"/>
    <x v="3"/>
  </r>
  <r>
    <x v="59"/>
    <x v="3"/>
    <x v="1"/>
    <n v="33011694.982999999"/>
    <x v="3"/>
  </r>
  <r>
    <x v="59"/>
    <x v="15"/>
    <x v="1"/>
    <n v="10762441.801999999"/>
    <x v="3"/>
  </r>
  <r>
    <x v="59"/>
    <x v="4"/>
    <x v="1"/>
    <n v="9237925.5979999993"/>
    <x v="3"/>
  </r>
  <r>
    <x v="100"/>
    <x v="0"/>
    <x v="1"/>
    <n v="1838990"/>
    <x v="3"/>
  </r>
  <r>
    <x v="100"/>
    <x v="2"/>
    <x v="1"/>
    <n v="1543721.5049999999"/>
    <x v="3"/>
  </r>
  <r>
    <x v="100"/>
    <x v="18"/>
    <x v="1"/>
    <n v="1352387.4110000001"/>
    <x v="3"/>
  </r>
  <r>
    <x v="60"/>
    <x v="18"/>
    <x v="1"/>
    <n v="783700.45499999996"/>
    <x v="3"/>
  </r>
  <r>
    <x v="32"/>
    <x v="11"/>
    <x v="1"/>
    <n v="124536727.712"/>
    <x v="3"/>
  </r>
  <r>
    <x v="32"/>
    <x v="12"/>
    <x v="1"/>
    <n v="151577367.37900001"/>
    <x v="3"/>
  </r>
  <r>
    <x v="32"/>
    <x v="16"/>
    <x v="1"/>
    <n v="164455649.97600001"/>
    <x v="3"/>
  </r>
  <r>
    <x v="32"/>
    <x v="21"/>
    <x v="1"/>
    <n v="223862722.77700001"/>
    <x v="3"/>
  </r>
  <r>
    <x v="32"/>
    <x v="0"/>
    <x v="1"/>
    <n v="230192967.44100001"/>
    <x v="3"/>
  </r>
  <r>
    <x v="32"/>
    <x v="2"/>
    <x v="1"/>
    <n v="155632333.28999999"/>
    <x v="3"/>
  </r>
  <r>
    <x v="32"/>
    <x v="17"/>
    <x v="1"/>
    <n v="191639968.69100001"/>
    <x v="3"/>
  </r>
  <r>
    <x v="32"/>
    <x v="13"/>
    <x v="1"/>
    <n v="249591985.836"/>
    <x v="3"/>
  </r>
  <r>
    <x v="32"/>
    <x v="18"/>
    <x v="1"/>
    <n v="237936033.919"/>
    <x v="3"/>
  </r>
  <r>
    <x v="32"/>
    <x v="19"/>
    <x v="1"/>
    <n v="306989894.89899999"/>
    <x v="3"/>
  </r>
  <r>
    <x v="32"/>
    <x v="20"/>
    <x v="1"/>
    <n v="422437498.51999998"/>
    <x v="3"/>
  </r>
  <r>
    <x v="32"/>
    <x v="14"/>
    <x v="1"/>
    <n v="390197585.39999998"/>
    <x v="3"/>
  </r>
  <r>
    <x v="32"/>
    <x v="1"/>
    <x v="1"/>
    <n v="242043059.86199999"/>
    <x v="3"/>
  </r>
  <r>
    <x v="32"/>
    <x v="3"/>
    <x v="1"/>
    <n v="288802192.01599997"/>
    <x v="3"/>
  </r>
  <r>
    <x v="32"/>
    <x v="15"/>
    <x v="1"/>
    <n v="307497614.40399998"/>
    <x v="3"/>
  </r>
  <r>
    <x v="32"/>
    <x v="4"/>
    <x v="1"/>
    <n v="262138157.79699999"/>
    <x v="3"/>
  </r>
  <r>
    <x v="62"/>
    <x v="11"/>
    <x v="1"/>
    <n v="20904580.670000002"/>
    <x v="3"/>
  </r>
  <r>
    <x v="62"/>
    <x v="12"/>
    <x v="1"/>
    <n v="25589775.364"/>
    <x v="3"/>
  </r>
  <r>
    <x v="62"/>
    <x v="16"/>
    <x v="1"/>
    <n v="29071366.124000002"/>
    <x v="3"/>
  </r>
  <r>
    <x v="62"/>
    <x v="21"/>
    <x v="1"/>
    <n v="27651361.160999998"/>
    <x v="3"/>
  </r>
  <r>
    <x v="62"/>
    <x v="0"/>
    <x v="1"/>
    <n v="28826015.708999999"/>
    <x v="3"/>
  </r>
  <r>
    <x v="62"/>
    <x v="2"/>
    <x v="1"/>
    <n v="23817548.453000002"/>
    <x v="3"/>
  </r>
  <r>
    <x v="62"/>
    <x v="17"/>
    <x v="1"/>
    <n v="24759810.833000001"/>
    <x v="3"/>
  </r>
  <r>
    <x v="62"/>
    <x v="13"/>
    <x v="1"/>
    <n v="27840660.800000001"/>
    <x v="3"/>
  </r>
  <r>
    <x v="62"/>
    <x v="18"/>
    <x v="1"/>
    <n v="34383300.604000002"/>
    <x v="3"/>
  </r>
  <r>
    <x v="62"/>
    <x v="19"/>
    <x v="1"/>
    <n v="26931009.855"/>
    <x v="3"/>
  </r>
  <r>
    <x v="62"/>
    <x v="20"/>
    <x v="1"/>
    <n v="27820516.340999998"/>
    <x v="3"/>
  </r>
  <r>
    <x v="62"/>
    <x v="14"/>
    <x v="1"/>
    <n v="28206499.081"/>
    <x v="3"/>
  </r>
  <r>
    <x v="62"/>
    <x v="1"/>
    <x v="1"/>
    <n v="26639182.811000001"/>
    <x v="3"/>
  </r>
  <r>
    <x v="62"/>
    <x v="3"/>
    <x v="1"/>
    <n v="27767010.963"/>
    <x v="3"/>
  </r>
  <r>
    <x v="62"/>
    <x v="15"/>
    <x v="1"/>
    <n v="34688001.170000002"/>
    <x v="3"/>
  </r>
  <r>
    <x v="62"/>
    <x v="4"/>
    <x v="1"/>
    <n v="27246863.388"/>
    <x v="3"/>
  </r>
  <r>
    <x v="63"/>
    <x v="1"/>
    <x v="1"/>
    <n v="6359699.0700000003"/>
    <x v="3"/>
  </r>
  <r>
    <x v="63"/>
    <x v="3"/>
    <x v="1"/>
    <n v="6595225.7000000002"/>
    <x v="3"/>
  </r>
  <r>
    <x v="101"/>
    <x v="7"/>
    <x v="1"/>
    <n v="3423243.7"/>
    <x v="3"/>
  </r>
  <r>
    <x v="101"/>
    <x v="8"/>
    <x v="1"/>
    <n v="4377524.8499999996"/>
    <x v="3"/>
  </r>
  <r>
    <x v="101"/>
    <x v="9"/>
    <x v="1"/>
    <n v="4970612"/>
    <x v="3"/>
  </r>
  <r>
    <x v="101"/>
    <x v="11"/>
    <x v="1"/>
    <n v="3965257.02"/>
    <x v="3"/>
  </r>
  <r>
    <x v="101"/>
    <x v="12"/>
    <x v="1"/>
    <n v="5063914.9029999999"/>
    <x v="3"/>
  </r>
  <r>
    <x v="101"/>
    <x v="16"/>
    <x v="1"/>
    <n v="4886156.9579999996"/>
    <x v="3"/>
  </r>
  <r>
    <x v="101"/>
    <x v="21"/>
    <x v="1"/>
    <n v="5914150.4819999998"/>
    <x v="3"/>
  </r>
  <r>
    <x v="101"/>
    <x v="0"/>
    <x v="1"/>
    <n v="6282403.5190000003"/>
    <x v="3"/>
  </r>
  <r>
    <x v="101"/>
    <x v="2"/>
    <x v="1"/>
    <n v="5311280.68"/>
    <x v="3"/>
  </r>
  <r>
    <x v="101"/>
    <x v="17"/>
    <x v="1"/>
    <n v="5245407.57"/>
    <x v="3"/>
  </r>
  <r>
    <x v="101"/>
    <x v="13"/>
    <x v="1"/>
    <n v="6227102.6799999997"/>
    <x v="3"/>
  </r>
  <r>
    <x v="101"/>
    <x v="18"/>
    <x v="1"/>
    <n v="6533934.8899999997"/>
    <x v="3"/>
  </r>
  <r>
    <x v="101"/>
    <x v="19"/>
    <x v="1"/>
    <n v="6271781.9000000004"/>
    <x v="3"/>
  </r>
  <r>
    <x v="101"/>
    <x v="20"/>
    <x v="1"/>
    <n v="6036672.4400000004"/>
    <x v="3"/>
  </r>
  <r>
    <x v="101"/>
    <x v="14"/>
    <x v="1"/>
    <n v="6750934.5300000003"/>
    <x v="3"/>
  </r>
  <r>
    <x v="101"/>
    <x v="1"/>
    <x v="1"/>
    <n v="7576173.4000000004"/>
    <x v="3"/>
  </r>
  <r>
    <x v="101"/>
    <x v="3"/>
    <x v="1"/>
    <n v="6696442.4330000002"/>
    <x v="3"/>
  </r>
  <r>
    <x v="101"/>
    <x v="15"/>
    <x v="1"/>
    <n v="9001443.2119999994"/>
    <x v="3"/>
  </r>
  <r>
    <x v="102"/>
    <x v="23"/>
    <x v="1"/>
    <n v="2721345.4479999999"/>
    <x v="3"/>
  </r>
  <r>
    <x v="102"/>
    <x v="24"/>
    <x v="1"/>
    <n v="2826809.091"/>
    <x v="3"/>
  </r>
  <r>
    <x v="102"/>
    <x v="25"/>
    <x v="1"/>
    <n v="3465037.8489999999"/>
    <x v="3"/>
  </r>
  <r>
    <x v="102"/>
    <x v="5"/>
    <x v="1"/>
    <n v="5010923.5939999996"/>
    <x v="3"/>
  </r>
  <r>
    <x v="102"/>
    <x v="22"/>
    <x v="1"/>
    <n v="4279534.5410000002"/>
    <x v="3"/>
  </r>
  <r>
    <x v="102"/>
    <x v="6"/>
    <x v="1"/>
    <n v="6239447.915"/>
    <x v="3"/>
  </r>
  <r>
    <x v="102"/>
    <x v="7"/>
    <x v="1"/>
    <n v="5732066.9349999996"/>
    <x v="3"/>
  </r>
  <r>
    <x v="102"/>
    <x v="8"/>
    <x v="1"/>
    <n v="6541788.9400000004"/>
    <x v="3"/>
  </r>
  <r>
    <x v="102"/>
    <x v="9"/>
    <x v="1"/>
    <n v="9294961.9240000006"/>
    <x v="3"/>
  </r>
  <r>
    <x v="102"/>
    <x v="10"/>
    <x v="1"/>
    <n v="8663919.4670000002"/>
    <x v="3"/>
  </r>
  <r>
    <x v="102"/>
    <x v="11"/>
    <x v="1"/>
    <n v="7217272.9890000001"/>
    <x v="3"/>
  </r>
  <r>
    <x v="102"/>
    <x v="12"/>
    <x v="1"/>
    <n v="10634485.366"/>
    <x v="3"/>
  </r>
  <r>
    <x v="102"/>
    <x v="16"/>
    <x v="1"/>
    <n v="10720132.295"/>
    <x v="3"/>
  </r>
  <r>
    <x v="102"/>
    <x v="21"/>
    <x v="1"/>
    <n v="16157186.941"/>
    <x v="3"/>
  </r>
  <r>
    <x v="102"/>
    <x v="0"/>
    <x v="1"/>
    <n v="10888290.218"/>
    <x v="3"/>
  </r>
  <r>
    <x v="102"/>
    <x v="2"/>
    <x v="1"/>
    <n v="12822610.540999999"/>
    <x v="3"/>
  </r>
  <r>
    <x v="102"/>
    <x v="17"/>
    <x v="1"/>
    <n v="15645958.745999999"/>
    <x v="3"/>
  </r>
  <r>
    <x v="102"/>
    <x v="13"/>
    <x v="1"/>
    <n v="9661121.2819999997"/>
    <x v="3"/>
  </r>
  <r>
    <x v="102"/>
    <x v="18"/>
    <x v="1"/>
    <n v="11295231.390000001"/>
    <x v="3"/>
  </r>
  <r>
    <x v="102"/>
    <x v="19"/>
    <x v="1"/>
    <n v="12669663.657"/>
    <x v="3"/>
  </r>
  <r>
    <x v="102"/>
    <x v="20"/>
    <x v="1"/>
    <n v="11475359.289000001"/>
    <x v="3"/>
  </r>
  <r>
    <x v="102"/>
    <x v="14"/>
    <x v="1"/>
    <n v="7264687.9469999997"/>
    <x v="3"/>
  </r>
  <r>
    <x v="102"/>
    <x v="1"/>
    <x v="1"/>
    <n v="10367728.734999999"/>
    <x v="3"/>
  </r>
  <r>
    <x v="102"/>
    <x v="3"/>
    <x v="1"/>
    <n v="6992335.4110000003"/>
    <x v="3"/>
  </r>
  <r>
    <x v="102"/>
    <x v="15"/>
    <x v="1"/>
    <n v="11604953.334000001"/>
    <x v="3"/>
  </r>
  <r>
    <x v="102"/>
    <x v="4"/>
    <x v="1"/>
    <n v="11807004.164000001"/>
    <x v="3"/>
  </r>
  <r>
    <x v="33"/>
    <x v="2"/>
    <x v="1"/>
    <n v="13390971.483999999"/>
    <x v="3"/>
  </r>
  <r>
    <x v="33"/>
    <x v="17"/>
    <x v="1"/>
    <n v="14366815.35"/>
    <x v="3"/>
  </r>
  <r>
    <x v="33"/>
    <x v="18"/>
    <x v="1"/>
    <n v="14614846.539000001"/>
    <x v="3"/>
  </r>
  <r>
    <x v="33"/>
    <x v="1"/>
    <x v="1"/>
    <n v="17151565.645"/>
    <x v="3"/>
  </r>
  <r>
    <x v="33"/>
    <x v="3"/>
    <x v="1"/>
    <n v="17677110.502999999"/>
    <x v="3"/>
  </r>
  <r>
    <x v="65"/>
    <x v="11"/>
    <x v="1"/>
    <n v="6208381"/>
    <x v="3"/>
  </r>
  <r>
    <x v="65"/>
    <x v="12"/>
    <x v="1"/>
    <n v="6663508"/>
    <x v="3"/>
  </r>
  <r>
    <x v="65"/>
    <x v="16"/>
    <x v="1"/>
    <n v="13521997"/>
    <x v="3"/>
  </r>
  <r>
    <x v="65"/>
    <x v="21"/>
    <x v="1"/>
    <n v="16574360"/>
    <x v="3"/>
  </r>
  <r>
    <x v="65"/>
    <x v="0"/>
    <x v="1"/>
    <n v="17273452"/>
    <x v="3"/>
  </r>
  <r>
    <x v="65"/>
    <x v="2"/>
    <x v="1"/>
    <n v="19233002"/>
    <x v="3"/>
  </r>
  <r>
    <x v="65"/>
    <x v="17"/>
    <x v="1"/>
    <n v="16138018"/>
    <x v="3"/>
  </r>
  <r>
    <x v="65"/>
    <x v="13"/>
    <x v="1"/>
    <n v="23213615"/>
    <x v="3"/>
  </r>
  <r>
    <x v="65"/>
    <x v="18"/>
    <x v="1"/>
    <n v="26808828"/>
    <x v="3"/>
  </r>
  <r>
    <x v="65"/>
    <x v="19"/>
    <x v="1"/>
    <n v="23972832"/>
    <x v="3"/>
  </r>
  <r>
    <x v="65"/>
    <x v="20"/>
    <x v="1"/>
    <n v="31541969"/>
    <x v="3"/>
  </r>
  <r>
    <x v="65"/>
    <x v="14"/>
    <x v="1"/>
    <n v="33574409"/>
    <x v="3"/>
  </r>
  <r>
    <x v="65"/>
    <x v="1"/>
    <x v="1"/>
    <n v="30392701"/>
    <x v="3"/>
  </r>
  <r>
    <x v="65"/>
    <x v="3"/>
    <x v="1"/>
    <n v="28038779"/>
    <x v="3"/>
  </r>
  <r>
    <x v="65"/>
    <x v="15"/>
    <x v="1"/>
    <n v="33749549"/>
    <x v="3"/>
  </r>
  <r>
    <x v="65"/>
    <x v="4"/>
    <x v="1"/>
    <n v="23989683"/>
    <x v="3"/>
  </r>
  <r>
    <x v="103"/>
    <x v="21"/>
    <x v="1"/>
    <n v="2866894"/>
    <x v="3"/>
  </r>
  <r>
    <x v="103"/>
    <x v="0"/>
    <x v="1"/>
    <n v="3347153"/>
    <x v="3"/>
  </r>
  <r>
    <x v="103"/>
    <x v="18"/>
    <x v="1"/>
    <n v="4291676"/>
    <x v="3"/>
  </r>
  <r>
    <x v="103"/>
    <x v="19"/>
    <x v="1"/>
    <n v="3472992"/>
    <x v="3"/>
  </r>
  <r>
    <x v="34"/>
    <x v="11"/>
    <x v="1"/>
    <n v="30778883.48"/>
    <x v="3"/>
  </r>
  <r>
    <x v="34"/>
    <x v="12"/>
    <x v="1"/>
    <n v="47500773.329999998"/>
    <x v="3"/>
  </r>
  <r>
    <x v="34"/>
    <x v="16"/>
    <x v="1"/>
    <n v="55213287.189999998"/>
    <x v="3"/>
  </r>
  <r>
    <x v="34"/>
    <x v="21"/>
    <x v="1"/>
    <n v="73514345.5"/>
    <x v="3"/>
  </r>
  <r>
    <x v="34"/>
    <x v="0"/>
    <x v="1"/>
    <n v="51290798.399999999"/>
    <x v="3"/>
  </r>
  <r>
    <x v="34"/>
    <x v="2"/>
    <x v="1"/>
    <n v="66726704.020000003"/>
    <x v="3"/>
  </r>
  <r>
    <x v="34"/>
    <x v="17"/>
    <x v="1"/>
    <n v="56850872.630000003"/>
    <x v="3"/>
  </r>
  <r>
    <x v="34"/>
    <x v="13"/>
    <x v="1"/>
    <n v="72373986.120000005"/>
    <x v="3"/>
  </r>
  <r>
    <x v="34"/>
    <x v="18"/>
    <x v="1"/>
    <n v="67339108.310000002"/>
    <x v="3"/>
  </r>
  <r>
    <x v="34"/>
    <x v="19"/>
    <x v="1"/>
    <n v="104049948.94"/>
    <x v="3"/>
  </r>
  <r>
    <x v="34"/>
    <x v="20"/>
    <x v="1"/>
    <n v="30780500.02"/>
    <x v="3"/>
  </r>
  <r>
    <x v="34"/>
    <x v="15"/>
    <x v="1"/>
    <n v="91757530.162"/>
    <x v="3"/>
  </r>
  <r>
    <x v="34"/>
    <x v="4"/>
    <x v="1"/>
    <n v="52770798.620999999"/>
    <x v="3"/>
  </r>
  <r>
    <x v="35"/>
    <x v="2"/>
    <x v="1"/>
    <n v="2332415.75"/>
    <x v="3"/>
  </r>
  <r>
    <x v="35"/>
    <x v="17"/>
    <x v="1"/>
    <n v="3156930"/>
    <x v="3"/>
  </r>
  <r>
    <x v="35"/>
    <x v="13"/>
    <x v="1"/>
    <n v="2429630"/>
    <x v="3"/>
  </r>
  <r>
    <x v="35"/>
    <x v="18"/>
    <x v="1"/>
    <n v="5005461"/>
    <x v="3"/>
  </r>
  <r>
    <x v="35"/>
    <x v="19"/>
    <x v="1"/>
    <n v="9454637"/>
    <x v="3"/>
  </r>
  <r>
    <x v="35"/>
    <x v="20"/>
    <x v="1"/>
    <n v="15815240"/>
    <x v="3"/>
  </r>
  <r>
    <x v="35"/>
    <x v="14"/>
    <x v="1"/>
    <n v="15113728"/>
    <x v="3"/>
  </r>
  <r>
    <x v="35"/>
    <x v="1"/>
    <x v="1"/>
    <n v="13240606"/>
    <x v="3"/>
  </r>
  <r>
    <x v="35"/>
    <x v="3"/>
    <x v="1"/>
    <n v="15825153"/>
    <x v="3"/>
  </r>
  <r>
    <x v="35"/>
    <x v="15"/>
    <x v="1"/>
    <n v="4907265"/>
    <x v="3"/>
  </r>
  <r>
    <x v="35"/>
    <x v="4"/>
    <x v="1"/>
    <n v="17632327"/>
    <x v="3"/>
  </r>
  <r>
    <x v="79"/>
    <x v="22"/>
    <x v="1"/>
    <n v="13281551"/>
    <x v="3"/>
  </r>
  <r>
    <x v="79"/>
    <x v="6"/>
    <x v="1"/>
    <n v="13776737"/>
    <x v="3"/>
  </r>
  <r>
    <x v="79"/>
    <x v="7"/>
    <x v="1"/>
    <n v="14268663"/>
    <x v="3"/>
  </r>
  <r>
    <x v="79"/>
    <x v="8"/>
    <x v="1"/>
    <n v="16243532"/>
    <x v="3"/>
  </r>
  <r>
    <x v="79"/>
    <x v="9"/>
    <x v="1"/>
    <n v="30727502"/>
    <x v="3"/>
  </r>
  <r>
    <x v="79"/>
    <x v="10"/>
    <x v="1"/>
    <n v="23339993"/>
    <x v="3"/>
  </r>
  <r>
    <x v="79"/>
    <x v="11"/>
    <x v="1"/>
    <n v="26979709.429000001"/>
    <x v="3"/>
  </r>
  <r>
    <x v="79"/>
    <x v="12"/>
    <x v="1"/>
    <n v="27740342"/>
    <x v="3"/>
  </r>
  <r>
    <x v="79"/>
    <x v="16"/>
    <x v="1"/>
    <n v="26003252"/>
    <x v="3"/>
  </r>
  <r>
    <x v="79"/>
    <x v="21"/>
    <x v="1"/>
    <n v="48018837.667000003"/>
    <x v="3"/>
  </r>
  <r>
    <x v="79"/>
    <x v="0"/>
    <x v="1"/>
    <n v="35376969"/>
    <x v="3"/>
  </r>
  <r>
    <x v="79"/>
    <x v="2"/>
    <x v="1"/>
    <n v="34439941"/>
    <x v="3"/>
  </r>
  <r>
    <x v="79"/>
    <x v="17"/>
    <x v="1"/>
    <n v="36602555"/>
    <x v="3"/>
  </r>
  <r>
    <x v="79"/>
    <x v="13"/>
    <x v="1"/>
    <n v="32324843"/>
    <x v="3"/>
  </r>
  <r>
    <x v="79"/>
    <x v="18"/>
    <x v="1"/>
    <n v="43991890"/>
    <x v="3"/>
  </r>
  <r>
    <x v="79"/>
    <x v="19"/>
    <x v="1"/>
    <n v="48595616"/>
    <x v="3"/>
  </r>
  <r>
    <x v="79"/>
    <x v="20"/>
    <x v="1"/>
    <n v="46475572"/>
    <x v="3"/>
  </r>
  <r>
    <x v="79"/>
    <x v="14"/>
    <x v="1"/>
    <n v="55368077"/>
    <x v="3"/>
  </r>
  <r>
    <x v="79"/>
    <x v="1"/>
    <x v="1"/>
    <n v="59223745"/>
    <x v="3"/>
  </r>
  <r>
    <x v="79"/>
    <x v="3"/>
    <x v="1"/>
    <n v="64062035"/>
    <x v="3"/>
  </r>
  <r>
    <x v="79"/>
    <x v="15"/>
    <x v="1"/>
    <n v="82516662"/>
    <x v="3"/>
  </r>
  <r>
    <x v="79"/>
    <x v="4"/>
    <x v="1"/>
    <n v="72208324"/>
    <x v="3"/>
  </r>
  <r>
    <x v="36"/>
    <x v="11"/>
    <x v="1"/>
    <n v="59534107.840000004"/>
    <x v="3"/>
  </r>
  <r>
    <x v="36"/>
    <x v="12"/>
    <x v="1"/>
    <n v="70971200.562999994"/>
    <x v="3"/>
  </r>
  <r>
    <x v="36"/>
    <x v="16"/>
    <x v="1"/>
    <n v="79593615.430000007"/>
    <x v="3"/>
  </r>
  <r>
    <x v="36"/>
    <x v="21"/>
    <x v="1"/>
    <n v="122862426.926"/>
    <x v="3"/>
  </r>
  <r>
    <x v="36"/>
    <x v="0"/>
    <x v="1"/>
    <n v="125509309.51100001"/>
    <x v="3"/>
  </r>
  <r>
    <x v="36"/>
    <x v="2"/>
    <x v="1"/>
    <n v="82867766.725999996"/>
    <x v="3"/>
  </r>
  <r>
    <x v="36"/>
    <x v="17"/>
    <x v="1"/>
    <n v="90806279.943000004"/>
    <x v="3"/>
  </r>
  <r>
    <x v="36"/>
    <x v="13"/>
    <x v="1"/>
    <n v="116884232.366"/>
    <x v="3"/>
  </r>
  <r>
    <x v="36"/>
    <x v="18"/>
    <x v="1"/>
    <n v="117130771.501"/>
    <x v="3"/>
  </r>
  <r>
    <x v="36"/>
    <x v="19"/>
    <x v="1"/>
    <n v="111514209.226"/>
    <x v="3"/>
  </r>
  <r>
    <x v="36"/>
    <x v="20"/>
    <x v="1"/>
    <n v="132597822.54099999"/>
    <x v="3"/>
  </r>
  <r>
    <x v="36"/>
    <x v="14"/>
    <x v="1"/>
    <n v="120763953.91"/>
    <x v="3"/>
  </r>
  <r>
    <x v="36"/>
    <x v="1"/>
    <x v="1"/>
    <n v="139664280.22400001"/>
    <x v="3"/>
  </r>
  <r>
    <x v="36"/>
    <x v="3"/>
    <x v="1"/>
    <n v="171781486.722"/>
    <x v="3"/>
  </r>
  <r>
    <x v="36"/>
    <x v="15"/>
    <x v="1"/>
    <n v="174777148.69"/>
    <x v="3"/>
  </r>
  <r>
    <x v="36"/>
    <x v="4"/>
    <x v="1"/>
    <n v="189602660.088"/>
    <x v="3"/>
  </r>
  <r>
    <x v="80"/>
    <x v="16"/>
    <x v="1"/>
    <n v="11192060.976"/>
    <x v="3"/>
  </r>
  <r>
    <x v="80"/>
    <x v="21"/>
    <x v="1"/>
    <n v="9742052.3420000002"/>
    <x v="3"/>
  </r>
  <r>
    <x v="80"/>
    <x v="0"/>
    <x v="1"/>
    <n v="9024802.1669999994"/>
    <x v="3"/>
  </r>
  <r>
    <x v="80"/>
    <x v="2"/>
    <x v="1"/>
    <n v="14522450.794"/>
    <x v="3"/>
  </r>
  <r>
    <x v="80"/>
    <x v="17"/>
    <x v="1"/>
    <n v="13842601.982999999"/>
    <x v="3"/>
  </r>
  <r>
    <x v="80"/>
    <x v="13"/>
    <x v="1"/>
    <n v="13620334.938999999"/>
    <x v="3"/>
  </r>
  <r>
    <x v="80"/>
    <x v="18"/>
    <x v="1"/>
    <n v="12624133.280999999"/>
    <x v="3"/>
  </r>
  <r>
    <x v="80"/>
    <x v="19"/>
    <x v="1"/>
    <n v="12090987.771"/>
    <x v="3"/>
  </r>
  <r>
    <x v="80"/>
    <x v="20"/>
    <x v="1"/>
    <n v="10821201.819"/>
    <x v="3"/>
  </r>
  <r>
    <x v="80"/>
    <x v="14"/>
    <x v="1"/>
    <n v="9685615.3800000008"/>
    <x v="3"/>
  </r>
  <r>
    <x v="80"/>
    <x v="1"/>
    <x v="1"/>
    <n v="14746544.596999999"/>
    <x v="3"/>
  </r>
  <r>
    <x v="80"/>
    <x v="3"/>
    <x v="1"/>
    <n v="10448555.262"/>
    <x v="3"/>
  </r>
  <r>
    <x v="37"/>
    <x v="2"/>
    <x v="1"/>
    <n v="8702001"/>
    <x v="3"/>
  </r>
  <r>
    <x v="37"/>
    <x v="17"/>
    <x v="1"/>
    <n v="7525849"/>
    <x v="3"/>
  </r>
  <r>
    <x v="37"/>
    <x v="13"/>
    <x v="1"/>
    <n v="6334230"/>
    <x v="3"/>
  </r>
  <r>
    <x v="37"/>
    <x v="18"/>
    <x v="1"/>
    <n v="6793957"/>
    <x v="3"/>
  </r>
  <r>
    <x v="37"/>
    <x v="19"/>
    <x v="1"/>
    <n v="5867083"/>
    <x v="3"/>
  </r>
  <r>
    <x v="37"/>
    <x v="20"/>
    <x v="1"/>
    <n v="6518461"/>
    <x v="3"/>
  </r>
  <r>
    <x v="37"/>
    <x v="14"/>
    <x v="1"/>
    <n v="7482973"/>
    <x v="3"/>
  </r>
  <r>
    <x v="37"/>
    <x v="1"/>
    <x v="1"/>
    <n v="9907134"/>
    <x v="3"/>
  </r>
  <r>
    <x v="37"/>
    <x v="3"/>
    <x v="1"/>
    <n v="24116044"/>
    <x v="3"/>
  </r>
  <r>
    <x v="37"/>
    <x v="15"/>
    <x v="1"/>
    <n v="32186626"/>
    <x v="3"/>
  </r>
  <r>
    <x v="104"/>
    <x v="23"/>
    <x v="1"/>
    <n v="937187.5"/>
    <x v="3"/>
  </r>
  <r>
    <x v="104"/>
    <x v="24"/>
    <x v="1"/>
    <n v="1279314.96"/>
    <x v="3"/>
  </r>
  <r>
    <x v="104"/>
    <x v="5"/>
    <x v="1"/>
    <n v="2420019.2400000002"/>
    <x v="3"/>
  </r>
  <r>
    <x v="104"/>
    <x v="22"/>
    <x v="1"/>
    <n v="2963137.78"/>
    <x v="3"/>
  </r>
  <r>
    <x v="104"/>
    <x v="6"/>
    <x v="1"/>
    <n v="4618585.6399999997"/>
    <x v="3"/>
  </r>
  <r>
    <x v="104"/>
    <x v="7"/>
    <x v="1"/>
    <n v="8235709.6299999999"/>
    <x v="3"/>
  </r>
  <r>
    <x v="104"/>
    <x v="8"/>
    <x v="1"/>
    <n v="6206445"/>
    <x v="3"/>
  </r>
  <r>
    <x v="104"/>
    <x v="9"/>
    <x v="1"/>
    <n v="11504849.67"/>
    <x v="3"/>
  </r>
  <r>
    <x v="104"/>
    <x v="10"/>
    <x v="1"/>
    <n v="9143631.3900000006"/>
    <x v="3"/>
  </r>
  <r>
    <x v="104"/>
    <x v="11"/>
    <x v="1"/>
    <n v="6920873.8159999996"/>
    <x v="3"/>
  </r>
  <r>
    <x v="104"/>
    <x v="12"/>
    <x v="1"/>
    <n v="10244534.16"/>
    <x v="3"/>
  </r>
  <r>
    <x v="104"/>
    <x v="16"/>
    <x v="1"/>
    <n v="14463050.220000001"/>
    <x v="3"/>
  </r>
  <r>
    <x v="104"/>
    <x v="21"/>
    <x v="1"/>
    <n v="17099683.138"/>
    <x v="3"/>
  </r>
  <r>
    <x v="104"/>
    <x v="0"/>
    <x v="1"/>
    <n v="16979268.120000001"/>
    <x v="3"/>
  </r>
  <r>
    <x v="104"/>
    <x v="2"/>
    <x v="1"/>
    <n v="16834825.532000002"/>
    <x v="3"/>
  </r>
  <r>
    <x v="104"/>
    <x v="17"/>
    <x v="1"/>
    <n v="20340296.763999999"/>
    <x v="3"/>
  </r>
  <r>
    <x v="104"/>
    <x v="13"/>
    <x v="1"/>
    <n v="28505103.16"/>
    <x v="3"/>
  </r>
  <r>
    <x v="104"/>
    <x v="18"/>
    <x v="1"/>
    <n v="31168792.59"/>
    <x v="3"/>
  </r>
  <r>
    <x v="104"/>
    <x v="19"/>
    <x v="1"/>
    <n v="30563187.530000001"/>
    <x v="3"/>
  </r>
  <r>
    <x v="104"/>
    <x v="20"/>
    <x v="1"/>
    <n v="35482113.219999999"/>
    <x v="3"/>
  </r>
  <r>
    <x v="104"/>
    <x v="14"/>
    <x v="1"/>
    <n v="39180462"/>
    <x v="3"/>
  </r>
  <r>
    <x v="104"/>
    <x v="1"/>
    <x v="1"/>
    <n v="36510467.159999996"/>
    <x v="3"/>
  </r>
  <r>
    <x v="104"/>
    <x v="3"/>
    <x v="1"/>
    <n v="41363148.520000003"/>
    <x v="3"/>
  </r>
  <r>
    <x v="104"/>
    <x v="15"/>
    <x v="1"/>
    <n v="46420998.590000004"/>
    <x v="3"/>
  </r>
  <r>
    <x v="104"/>
    <x v="4"/>
    <x v="1"/>
    <n v="36007162.740000002"/>
    <x v="3"/>
  </r>
  <r>
    <x v="81"/>
    <x v="21"/>
    <x v="1"/>
    <n v="20942979"/>
    <x v="3"/>
  </r>
  <r>
    <x v="81"/>
    <x v="0"/>
    <x v="1"/>
    <n v="23304263"/>
    <x v="3"/>
  </r>
  <r>
    <x v="81"/>
    <x v="2"/>
    <x v="1"/>
    <n v="14873886"/>
    <x v="3"/>
  </r>
  <r>
    <x v="81"/>
    <x v="17"/>
    <x v="1"/>
    <n v="15666142.57"/>
    <x v="3"/>
  </r>
  <r>
    <x v="81"/>
    <x v="13"/>
    <x v="1"/>
    <n v="13672031.539999999"/>
    <x v="3"/>
  </r>
  <r>
    <x v="81"/>
    <x v="18"/>
    <x v="1"/>
    <n v="16493369.560000001"/>
    <x v="3"/>
  </r>
  <r>
    <x v="81"/>
    <x v="19"/>
    <x v="1"/>
    <n v="23448150.199999999"/>
    <x v="3"/>
  </r>
  <r>
    <x v="81"/>
    <x v="20"/>
    <x v="1"/>
    <n v="22007718.82"/>
    <x v="3"/>
  </r>
  <r>
    <x v="81"/>
    <x v="14"/>
    <x v="1"/>
    <n v="22026696.699999999"/>
    <x v="3"/>
  </r>
  <r>
    <x v="82"/>
    <x v="2"/>
    <x v="1"/>
    <n v="138681011.25600001"/>
    <x v="3"/>
  </r>
  <r>
    <x v="82"/>
    <x v="17"/>
    <x v="1"/>
    <n v="158209264.428"/>
    <x v="3"/>
  </r>
  <r>
    <x v="82"/>
    <x v="13"/>
    <x v="1"/>
    <n v="115186445.01100001"/>
    <x v="3"/>
  </r>
  <r>
    <x v="82"/>
    <x v="20"/>
    <x v="1"/>
    <n v="262697833.167"/>
    <x v="3"/>
  </r>
  <r>
    <x v="82"/>
    <x v="14"/>
    <x v="1"/>
    <n v="184005562.067"/>
    <x v="3"/>
  </r>
  <r>
    <x v="82"/>
    <x v="4"/>
    <x v="1"/>
    <n v="69591992.128999993"/>
    <x v="3"/>
  </r>
  <r>
    <x v="105"/>
    <x v="11"/>
    <x v="1"/>
    <n v="16328634"/>
    <x v="3"/>
  </r>
  <r>
    <x v="105"/>
    <x v="12"/>
    <x v="1"/>
    <n v="20586068"/>
    <x v="3"/>
  </r>
  <r>
    <x v="105"/>
    <x v="16"/>
    <x v="1"/>
    <n v="15896837"/>
    <x v="3"/>
  </r>
  <r>
    <x v="105"/>
    <x v="21"/>
    <x v="1"/>
    <n v="15860302"/>
    <x v="3"/>
  </r>
  <r>
    <x v="105"/>
    <x v="0"/>
    <x v="1"/>
    <n v="12529267"/>
    <x v="3"/>
  </r>
  <r>
    <x v="105"/>
    <x v="2"/>
    <x v="1"/>
    <n v="6457665"/>
    <x v="3"/>
  </r>
  <r>
    <x v="105"/>
    <x v="17"/>
    <x v="1"/>
    <n v="8776209"/>
    <x v="3"/>
  </r>
  <r>
    <x v="105"/>
    <x v="13"/>
    <x v="1"/>
    <n v="15504051"/>
    <x v="3"/>
  </r>
  <r>
    <x v="105"/>
    <x v="18"/>
    <x v="1"/>
    <n v="14982136"/>
    <x v="3"/>
  </r>
  <r>
    <x v="105"/>
    <x v="19"/>
    <x v="1"/>
    <n v="14755705"/>
    <x v="3"/>
  </r>
  <r>
    <x v="105"/>
    <x v="20"/>
    <x v="1"/>
    <n v="13944678"/>
    <x v="3"/>
  </r>
  <r>
    <x v="105"/>
    <x v="14"/>
    <x v="1"/>
    <n v="17504626"/>
    <x v="3"/>
  </r>
  <r>
    <x v="105"/>
    <x v="1"/>
    <x v="1"/>
    <n v="19690873"/>
    <x v="3"/>
  </r>
  <r>
    <x v="105"/>
    <x v="3"/>
    <x v="1"/>
    <n v="21405098"/>
    <x v="3"/>
  </r>
  <r>
    <x v="105"/>
    <x v="15"/>
    <x v="1"/>
    <n v="24416640"/>
    <x v="3"/>
  </r>
  <r>
    <x v="105"/>
    <x v="4"/>
    <x v="1"/>
    <n v="20036752"/>
    <x v="3"/>
  </r>
  <r>
    <x v="67"/>
    <x v="11"/>
    <x v="1"/>
    <n v="11316722"/>
    <x v="3"/>
  </r>
  <r>
    <x v="67"/>
    <x v="12"/>
    <x v="1"/>
    <n v="12040882"/>
    <x v="3"/>
  </r>
  <r>
    <x v="67"/>
    <x v="16"/>
    <x v="1"/>
    <n v="15515067"/>
    <x v="3"/>
  </r>
  <r>
    <x v="67"/>
    <x v="21"/>
    <x v="1"/>
    <n v="12705170.033"/>
    <x v="3"/>
  </r>
  <r>
    <x v="67"/>
    <x v="0"/>
    <x v="1"/>
    <n v="12034678.714"/>
    <x v="3"/>
  </r>
  <r>
    <x v="67"/>
    <x v="2"/>
    <x v="1"/>
    <n v="10962577.352"/>
    <x v="3"/>
  </r>
  <r>
    <x v="67"/>
    <x v="17"/>
    <x v="1"/>
    <n v="12172298.118000001"/>
    <x v="3"/>
  </r>
  <r>
    <x v="67"/>
    <x v="13"/>
    <x v="1"/>
    <n v="10496958.174000001"/>
    <x v="3"/>
  </r>
  <r>
    <x v="67"/>
    <x v="18"/>
    <x v="1"/>
    <n v="11700502.425000001"/>
    <x v="3"/>
  </r>
  <r>
    <x v="67"/>
    <x v="19"/>
    <x v="1"/>
    <n v="11689691.717"/>
    <x v="3"/>
  </r>
  <r>
    <x v="67"/>
    <x v="20"/>
    <x v="1"/>
    <n v="29000140.423999999"/>
    <x v="3"/>
  </r>
  <r>
    <x v="67"/>
    <x v="14"/>
    <x v="1"/>
    <n v="12012170.978"/>
    <x v="3"/>
  </r>
  <r>
    <x v="67"/>
    <x v="1"/>
    <x v="1"/>
    <n v="10968075.765000001"/>
    <x v="3"/>
  </r>
  <r>
    <x v="67"/>
    <x v="3"/>
    <x v="1"/>
    <n v="10438627.106000001"/>
    <x v="3"/>
  </r>
  <r>
    <x v="67"/>
    <x v="15"/>
    <x v="1"/>
    <n v="11298957.674000001"/>
    <x v="3"/>
  </r>
  <r>
    <x v="106"/>
    <x v="11"/>
    <x v="1"/>
    <n v="6466426.398"/>
    <x v="3"/>
  </r>
  <r>
    <x v="106"/>
    <x v="12"/>
    <x v="1"/>
    <n v="9470427.7719999999"/>
    <x v="3"/>
  </r>
  <r>
    <x v="106"/>
    <x v="16"/>
    <x v="1"/>
    <n v="9286721.5989999995"/>
    <x v="3"/>
  </r>
  <r>
    <x v="106"/>
    <x v="21"/>
    <x v="1"/>
    <n v="12265647.502"/>
    <x v="3"/>
  </r>
  <r>
    <x v="106"/>
    <x v="0"/>
    <x v="1"/>
    <n v="12565740.664000001"/>
    <x v="3"/>
  </r>
  <r>
    <x v="106"/>
    <x v="2"/>
    <x v="1"/>
    <n v="12225952.484999999"/>
    <x v="3"/>
  </r>
  <r>
    <x v="106"/>
    <x v="17"/>
    <x v="1"/>
    <n v="11054415.528000001"/>
    <x v="3"/>
  </r>
  <r>
    <x v="106"/>
    <x v="13"/>
    <x v="1"/>
    <n v="13139342.362"/>
    <x v="3"/>
  </r>
  <r>
    <x v="106"/>
    <x v="18"/>
    <x v="1"/>
    <n v="16343841.537"/>
    <x v="3"/>
  </r>
  <r>
    <x v="106"/>
    <x v="19"/>
    <x v="1"/>
    <n v="16867116.440000001"/>
    <x v="3"/>
  </r>
  <r>
    <x v="106"/>
    <x v="20"/>
    <x v="1"/>
    <n v="17978268.778999999"/>
    <x v="3"/>
  </r>
  <r>
    <x v="106"/>
    <x v="14"/>
    <x v="1"/>
    <n v="17668516.958000001"/>
    <x v="3"/>
  </r>
  <r>
    <x v="106"/>
    <x v="1"/>
    <x v="1"/>
    <n v="22563665.993000001"/>
    <x v="3"/>
  </r>
  <r>
    <x v="106"/>
    <x v="3"/>
    <x v="1"/>
    <n v="21138197.704999998"/>
    <x v="3"/>
  </r>
  <r>
    <x v="106"/>
    <x v="15"/>
    <x v="1"/>
    <n v="24747661.18"/>
    <x v="3"/>
  </r>
  <r>
    <x v="106"/>
    <x v="4"/>
    <x v="1"/>
    <n v="18942460.508000001"/>
    <x v="3"/>
  </r>
  <r>
    <x v="83"/>
    <x v="11"/>
    <x v="1"/>
    <n v="16368591.066"/>
    <x v="3"/>
  </r>
  <r>
    <x v="83"/>
    <x v="12"/>
    <x v="1"/>
    <n v="21298932.441"/>
    <x v="3"/>
  </r>
  <r>
    <x v="83"/>
    <x v="16"/>
    <x v="1"/>
    <n v="19990568.017000001"/>
    <x v="3"/>
  </r>
  <r>
    <x v="83"/>
    <x v="21"/>
    <x v="1"/>
    <n v="23325817.191"/>
    <x v="3"/>
  </r>
  <r>
    <x v="83"/>
    <x v="0"/>
    <x v="1"/>
    <n v="22388418.250999998"/>
    <x v="3"/>
  </r>
  <r>
    <x v="83"/>
    <x v="2"/>
    <x v="1"/>
    <n v="17424525.035"/>
    <x v="3"/>
  </r>
  <r>
    <x v="83"/>
    <x v="17"/>
    <x v="1"/>
    <n v="16910019.230999999"/>
    <x v="3"/>
  </r>
  <r>
    <x v="83"/>
    <x v="13"/>
    <x v="1"/>
    <n v="19888849.27"/>
    <x v="3"/>
  </r>
  <r>
    <x v="83"/>
    <x v="18"/>
    <x v="1"/>
    <n v="20028689.350000001"/>
    <x v="3"/>
  </r>
  <r>
    <x v="83"/>
    <x v="19"/>
    <x v="1"/>
    <n v="20323551.269000001"/>
    <x v="3"/>
  </r>
  <r>
    <x v="83"/>
    <x v="20"/>
    <x v="1"/>
    <n v="23144057.934999999"/>
    <x v="3"/>
  </r>
  <r>
    <x v="83"/>
    <x v="14"/>
    <x v="1"/>
    <n v="23119974.223999999"/>
    <x v="3"/>
  </r>
  <r>
    <x v="83"/>
    <x v="1"/>
    <x v="1"/>
    <n v="23868634.421"/>
    <x v="3"/>
  </r>
  <r>
    <x v="83"/>
    <x v="3"/>
    <x v="1"/>
    <n v="25045029.607999999"/>
    <x v="3"/>
  </r>
  <r>
    <x v="83"/>
    <x v="15"/>
    <x v="1"/>
    <n v="28433016.160999998"/>
    <x v="3"/>
  </r>
  <r>
    <x v="83"/>
    <x v="4"/>
    <x v="1"/>
    <n v="20176318.124000002"/>
    <x v="3"/>
  </r>
  <r>
    <x v="40"/>
    <x v="11"/>
    <x v="1"/>
    <n v="33646563.531000003"/>
    <x v="3"/>
  </r>
  <r>
    <x v="40"/>
    <x v="12"/>
    <x v="1"/>
    <n v="31353090.432"/>
    <x v="3"/>
  </r>
  <r>
    <x v="40"/>
    <x v="16"/>
    <x v="1"/>
    <n v="49823833.011"/>
    <x v="3"/>
  </r>
  <r>
    <x v="40"/>
    <x v="21"/>
    <x v="1"/>
    <n v="51251206.605999999"/>
    <x v="3"/>
  </r>
  <r>
    <x v="40"/>
    <x v="0"/>
    <x v="1"/>
    <n v="44611831.131999999"/>
    <x v="3"/>
  </r>
  <r>
    <x v="40"/>
    <x v="2"/>
    <x v="1"/>
    <n v="37803646.656999998"/>
    <x v="3"/>
  </r>
  <r>
    <x v="40"/>
    <x v="17"/>
    <x v="1"/>
    <n v="23910724.145"/>
    <x v="3"/>
  </r>
  <r>
    <x v="40"/>
    <x v="13"/>
    <x v="1"/>
    <n v="46739352.033"/>
    <x v="3"/>
  </r>
  <r>
    <x v="40"/>
    <x v="18"/>
    <x v="1"/>
    <n v="39992173.489"/>
    <x v="3"/>
  </r>
  <r>
    <x v="40"/>
    <x v="19"/>
    <x v="1"/>
    <n v="46407730.967"/>
    <x v="3"/>
  </r>
  <r>
    <x v="40"/>
    <x v="20"/>
    <x v="1"/>
    <n v="27181612.339000002"/>
    <x v="3"/>
  </r>
  <r>
    <x v="40"/>
    <x v="14"/>
    <x v="1"/>
    <n v="35719424.615999997"/>
    <x v="3"/>
  </r>
  <r>
    <x v="40"/>
    <x v="1"/>
    <x v="1"/>
    <n v="37012640.895000003"/>
    <x v="3"/>
  </r>
  <r>
    <x v="40"/>
    <x v="3"/>
    <x v="1"/>
    <n v="24575438.504999999"/>
    <x v="3"/>
  </r>
  <r>
    <x v="40"/>
    <x v="15"/>
    <x v="1"/>
    <n v="47773301.384000003"/>
    <x v="3"/>
  </r>
  <r>
    <x v="40"/>
    <x v="4"/>
    <x v="1"/>
    <n v="23341893.015999999"/>
    <x v="3"/>
  </r>
  <r>
    <x v="41"/>
    <x v="25"/>
    <x v="1"/>
    <n v="63260874.240000002"/>
    <x v="3"/>
  </r>
  <r>
    <x v="41"/>
    <x v="5"/>
    <x v="1"/>
    <n v="107058934.02500001"/>
    <x v="3"/>
  </r>
  <r>
    <x v="41"/>
    <x v="22"/>
    <x v="1"/>
    <n v="118133797.634"/>
    <x v="3"/>
  </r>
  <r>
    <x v="41"/>
    <x v="6"/>
    <x v="1"/>
    <n v="206899070.84099999"/>
    <x v="3"/>
  </r>
  <r>
    <x v="41"/>
    <x v="7"/>
    <x v="1"/>
    <n v="270129689.11900002"/>
    <x v="3"/>
  </r>
  <r>
    <x v="41"/>
    <x v="8"/>
    <x v="1"/>
    <n v="313074983.22600001"/>
    <x v="3"/>
  </r>
  <r>
    <x v="41"/>
    <x v="9"/>
    <x v="1"/>
    <n v="407854252.11400002"/>
    <x v="3"/>
  </r>
  <r>
    <x v="41"/>
    <x v="10"/>
    <x v="1"/>
    <n v="398069920.91299999"/>
    <x v="3"/>
  </r>
  <r>
    <x v="41"/>
    <x v="11"/>
    <x v="1"/>
    <n v="397843755.51099998"/>
    <x v="3"/>
  </r>
  <r>
    <x v="41"/>
    <x v="12"/>
    <x v="1"/>
    <n v="436326167.986"/>
    <x v="3"/>
  </r>
  <r>
    <x v="41"/>
    <x v="16"/>
    <x v="1"/>
    <n v="539862154.75300002"/>
    <x v="3"/>
  </r>
  <r>
    <x v="41"/>
    <x v="21"/>
    <x v="1"/>
    <n v="582428048.29299998"/>
    <x v="3"/>
  </r>
  <r>
    <x v="41"/>
    <x v="0"/>
    <x v="1"/>
    <n v="504777429.509"/>
    <x v="3"/>
  </r>
  <r>
    <x v="41"/>
    <x v="2"/>
    <x v="1"/>
    <n v="464607944.611"/>
    <x v="3"/>
  </r>
  <r>
    <x v="41"/>
    <x v="17"/>
    <x v="1"/>
    <n v="405801807.42799997"/>
    <x v="3"/>
  </r>
  <r>
    <x v="41"/>
    <x v="13"/>
    <x v="1"/>
    <n v="619260506.75699997"/>
    <x v="3"/>
  </r>
  <r>
    <x v="41"/>
    <x v="18"/>
    <x v="1"/>
    <n v="706951190.95000005"/>
    <x v="3"/>
  </r>
  <r>
    <x v="41"/>
    <x v="19"/>
    <x v="1"/>
    <n v="715354608.125"/>
    <x v="3"/>
  </r>
  <r>
    <x v="41"/>
    <x v="20"/>
    <x v="1"/>
    <n v="612321948.60800004"/>
    <x v="3"/>
  </r>
  <r>
    <x v="41"/>
    <x v="14"/>
    <x v="1"/>
    <n v="653178549.50999999"/>
    <x v="3"/>
  </r>
  <r>
    <x v="41"/>
    <x v="1"/>
    <x v="1"/>
    <n v="881492356.47500002"/>
    <x v="3"/>
  </r>
  <r>
    <x v="41"/>
    <x v="3"/>
    <x v="1"/>
    <n v="816105992.50199997"/>
    <x v="3"/>
  </r>
  <r>
    <x v="41"/>
    <x v="15"/>
    <x v="1"/>
    <n v="930840252.18400002"/>
    <x v="3"/>
  </r>
  <r>
    <x v="41"/>
    <x v="4"/>
    <x v="1"/>
    <n v="912605897.63199997"/>
    <x v="3"/>
  </r>
  <r>
    <x v="107"/>
    <x v="8"/>
    <x v="1"/>
    <n v="10700140.744999999"/>
    <x v="3"/>
  </r>
  <r>
    <x v="107"/>
    <x v="9"/>
    <x v="1"/>
    <n v="11655895.691"/>
    <x v="3"/>
  </r>
  <r>
    <x v="107"/>
    <x v="10"/>
    <x v="1"/>
    <n v="7118965.4280000003"/>
    <x v="3"/>
  </r>
  <r>
    <x v="107"/>
    <x v="13"/>
    <x v="1"/>
    <n v="6645524.767"/>
    <x v="3"/>
  </r>
  <r>
    <x v="107"/>
    <x v="18"/>
    <x v="1"/>
    <n v="9251092.0950000007"/>
    <x v="3"/>
  </r>
  <r>
    <x v="107"/>
    <x v="19"/>
    <x v="1"/>
    <n v="10779304.83"/>
    <x v="3"/>
  </r>
  <r>
    <x v="107"/>
    <x v="20"/>
    <x v="1"/>
    <n v="10760907.99"/>
    <x v="3"/>
  </r>
  <r>
    <x v="107"/>
    <x v="14"/>
    <x v="1"/>
    <n v="8687653.5899999999"/>
    <x v="3"/>
  </r>
  <r>
    <x v="107"/>
    <x v="1"/>
    <x v="1"/>
    <n v="13795601.472999999"/>
    <x v="3"/>
  </r>
  <r>
    <x v="107"/>
    <x v="3"/>
    <x v="1"/>
    <n v="10419653.611"/>
    <x v="3"/>
  </r>
  <r>
    <x v="108"/>
    <x v="16"/>
    <x v="1"/>
    <n v="2020937"/>
    <x v="3"/>
  </r>
  <r>
    <x v="108"/>
    <x v="2"/>
    <x v="1"/>
    <n v="1929428.31"/>
    <x v="3"/>
  </r>
  <r>
    <x v="108"/>
    <x v="17"/>
    <x v="1"/>
    <n v="1970989"/>
    <x v="3"/>
  </r>
  <r>
    <x v="108"/>
    <x v="18"/>
    <x v="1"/>
    <n v="1822130"/>
    <x v="3"/>
  </r>
  <r>
    <x v="109"/>
    <x v="10"/>
    <x v="1"/>
    <n v="2416078.6320000002"/>
    <x v="3"/>
  </r>
  <r>
    <x v="110"/>
    <x v="11"/>
    <x v="1"/>
    <n v="17526526.379999999"/>
    <x v="3"/>
  </r>
  <r>
    <x v="110"/>
    <x v="12"/>
    <x v="1"/>
    <n v="24399572.506000001"/>
    <x v="3"/>
  </r>
  <r>
    <x v="110"/>
    <x v="16"/>
    <x v="1"/>
    <n v="26376042.842"/>
    <x v="3"/>
  </r>
  <r>
    <x v="110"/>
    <x v="21"/>
    <x v="1"/>
    <n v="33354528.445"/>
    <x v="3"/>
  </r>
  <r>
    <x v="110"/>
    <x v="0"/>
    <x v="1"/>
    <n v="29894933.487"/>
    <x v="3"/>
  </r>
  <r>
    <x v="110"/>
    <x v="2"/>
    <x v="1"/>
    <n v="24938028.910999998"/>
    <x v="3"/>
  </r>
  <r>
    <x v="110"/>
    <x v="17"/>
    <x v="1"/>
    <n v="24175327.973999999"/>
    <x v="3"/>
  </r>
  <r>
    <x v="110"/>
    <x v="13"/>
    <x v="1"/>
    <n v="26093385.620999999"/>
    <x v="3"/>
  </r>
  <r>
    <x v="110"/>
    <x v="18"/>
    <x v="1"/>
    <n v="31792867.232999999"/>
    <x v="3"/>
  </r>
  <r>
    <x v="110"/>
    <x v="19"/>
    <x v="1"/>
    <n v="34523713.732000001"/>
    <x v="3"/>
  </r>
  <r>
    <x v="110"/>
    <x v="20"/>
    <x v="1"/>
    <n v="34844754.277000003"/>
    <x v="3"/>
  </r>
  <r>
    <x v="110"/>
    <x v="14"/>
    <x v="1"/>
    <n v="25897897.291000001"/>
    <x v="3"/>
  </r>
  <r>
    <x v="110"/>
    <x v="1"/>
    <x v="1"/>
    <n v="30011694.611000001"/>
    <x v="3"/>
  </r>
  <r>
    <x v="110"/>
    <x v="3"/>
    <x v="1"/>
    <n v="31910254.728999998"/>
    <x v="3"/>
  </r>
  <r>
    <x v="110"/>
    <x v="15"/>
    <x v="1"/>
    <n v="36036677.416000001"/>
    <x v="3"/>
  </r>
  <r>
    <x v="110"/>
    <x v="4"/>
    <x v="1"/>
    <n v="29372019.673999999"/>
    <x v="3"/>
  </r>
  <r>
    <x v="111"/>
    <x v="23"/>
    <x v="1"/>
    <n v="26498259.897"/>
    <x v="3"/>
  </r>
  <r>
    <x v="111"/>
    <x v="24"/>
    <x v="1"/>
    <n v="24995215.829999998"/>
    <x v="3"/>
  </r>
  <r>
    <x v="111"/>
    <x v="25"/>
    <x v="1"/>
    <n v="28402097.366"/>
    <x v="3"/>
  </r>
  <r>
    <x v="111"/>
    <x v="5"/>
    <x v="1"/>
    <n v="32073120.504000001"/>
    <x v="3"/>
  </r>
  <r>
    <x v="111"/>
    <x v="22"/>
    <x v="1"/>
    <n v="30922069.864"/>
    <x v="3"/>
  </r>
  <r>
    <x v="111"/>
    <x v="6"/>
    <x v="1"/>
    <n v="34094296.553000003"/>
    <x v="3"/>
  </r>
  <r>
    <x v="111"/>
    <x v="7"/>
    <x v="1"/>
    <n v="37768139.659000002"/>
    <x v="3"/>
  </r>
  <r>
    <x v="111"/>
    <x v="8"/>
    <x v="1"/>
    <n v="39470701.560999997"/>
    <x v="3"/>
  </r>
  <r>
    <x v="111"/>
    <x v="9"/>
    <x v="1"/>
    <n v="50722897.754000001"/>
    <x v="3"/>
  </r>
  <r>
    <x v="111"/>
    <x v="10"/>
    <x v="1"/>
    <n v="45067082.202"/>
    <x v="3"/>
  </r>
  <r>
    <x v="111"/>
    <x v="16"/>
    <x v="1"/>
    <n v="50645284.377999999"/>
    <x v="3"/>
  </r>
  <r>
    <x v="111"/>
    <x v="21"/>
    <x v="1"/>
    <n v="66842363.489"/>
    <x v="3"/>
  </r>
  <r>
    <x v="111"/>
    <x v="0"/>
    <x v="1"/>
    <n v="58079467.098999999"/>
    <x v="3"/>
  </r>
  <r>
    <x v="111"/>
    <x v="2"/>
    <x v="1"/>
    <n v="51523793.511"/>
    <x v="3"/>
  </r>
  <r>
    <x v="111"/>
    <x v="17"/>
    <x v="1"/>
    <n v="51332622.585000001"/>
    <x v="3"/>
  </r>
  <r>
    <x v="111"/>
    <x v="13"/>
    <x v="1"/>
    <n v="58826502.693000004"/>
    <x v="3"/>
  </r>
  <r>
    <x v="111"/>
    <x v="18"/>
    <x v="1"/>
    <n v="62075646.494000003"/>
    <x v="3"/>
  </r>
  <r>
    <x v="111"/>
    <x v="19"/>
    <x v="1"/>
    <n v="55576283.122000001"/>
    <x v="3"/>
  </r>
  <r>
    <x v="111"/>
    <x v="20"/>
    <x v="1"/>
    <n v="65233560.625"/>
    <x v="3"/>
  </r>
  <r>
    <x v="111"/>
    <x v="14"/>
    <x v="1"/>
    <n v="59921692.638999999"/>
    <x v="3"/>
  </r>
  <r>
    <x v="111"/>
    <x v="1"/>
    <x v="1"/>
    <n v="63676157.931000002"/>
    <x v="3"/>
  </r>
  <r>
    <x v="111"/>
    <x v="3"/>
    <x v="1"/>
    <n v="59243801.767999999"/>
    <x v="3"/>
  </r>
  <r>
    <x v="111"/>
    <x v="15"/>
    <x v="1"/>
    <n v="69416250.584000006"/>
    <x v="3"/>
  </r>
  <r>
    <x v="111"/>
    <x v="4"/>
    <x v="1"/>
    <n v="63610073.998000003"/>
    <x v="3"/>
  </r>
  <r>
    <x v="42"/>
    <x v="11"/>
    <x v="1"/>
    <n v="1879315622"/>
    <x v="3"/>
  </r>
  <r>
    <x v="42"/>
    <x v="12"/>
    <x v="1"/>
    <n v="1540146668"/>
    <x v="3"/>
  </r>
  <r>
    <x v="42"/>
    <x v="16"/>
    <x v="1"/>
    <n v="155553489"/>
    <x v="3"/>
  </r>
  <r>
    <x v="42"/>
    <x v="21"/>
    <x v="1"/>
    <n v="137007386"/>
    <x v="3"/>
  </r>
  <r>
    <x v="42"/>
    <x v="0"/>
    <x v="1"/>
    <n v="106681715.124"/>
    <x v="3"/>
  </r>
  <r>
    <x v="42"/>
    <x v="2"/>
    <x v="1"/>
    <n v="116911150.86"/>
    <x v="3"/>
  </r>
  <r>
    <x v="42"/>
    <x v="17"/>
    <x v="1"/>
    <n v="132976277.75"/>
    <x v="3"/>
  </r>
  <r>
    <x v="42"/>
    <x v="13"/>
    <x v="1"/>
    <n v="100851339.34999999"/>
    <x v="3"/>
  </r>
  <r>
    <x v="42"/>
    <x v="18"/>
    <x v="1"/>
    <n v="124016234.98999999"/>
    <x v="3"/>
  </r>
  <r>
    <x v="42"/>
    <x v="19"/>
    <x v="1"/>
    <n v="142143354.92899999"/>
    <x v="3"/>
  </r>
  <r>
    <x v="42"/>
    <x v="20"/>
    <x v="1"/>
    <n v="156816499.42500001"/>
    <x v="3"/>
  </r>
  <r>
    <x v="42"/>
    <x v="14"/>
    <x v="1"/>
    <n v="127826250.142"/>
    <x v="3"/>
  </r>
  <r>
    <x v="42"/>
    <x v="1"/>
    <x v="1"/>
    <n v="196505249.523"/>
    <x v="3"/>
  </r>
  <r>
    <x v="42"/>
    <x v="3"/>
    <x v="1"/>
    <n v="227070080.59999999"/>
    <x v="3"/>
  </r>
  <r>
    <x v="42"/>
    <x v="15"/>
    <x v="1"/>
    <n v="288921092.64200002"/>
    <x v="3"/>
  </r>
  <r>
    <x v="42"/>
    <x v="4"/>
    <x v="1"/>
    <n v="40499689.818000004"/>
    <x v="3"/>
  </r>
  <r>
    <x v="68"/>
    <x v="12"/>
    <x v="1"/>
    <n v="4529059.6140000001"/>
    <x v="3"/>
  </r>
  <r>
    <x v="68"/>
    <x v="16"/>
    <x v="1"/>
    <n v="5589487.3480000002"/>
    <x v="3"/>
  </r>
  <r>
    <x v="68"/>
    <x v="21"/>
    <x v="1"/>
    <n v="6062004.716"/>
    <x v="3"/>
  </r>
  <r>
    <x v="68"/>
    <x v="0"/>
    <x v="1"/>
    <n v="6215570.4670000002"/>
    <x v="3"/>
  </r>
  <r>
    <x v="68"/>
    <x v="2"/>
    <x v="1"/>
    <n v="5535094.4950000001"/>
    <x v="3"/>
  </r>
  <r>
    <x v="68"/>
    <x v="17"/>
    <x v="1"/>
    <n v="4689326.5410000002"/>
    <x v="3"/>
  </r>
  <r>
    <x v="68"/>
    <x v="13"/>
    <x v="1"/>
    <n v="4947240.8779999996"/>
    <x v="3"/>
  </r>
  <r>
    <x v="68"/>
    <x v="18"/>
    <x v="1"/>
    <n v="6766122.6979999999"/>
    <x v="3"/>
  </r>
  <r>
    <x v="68"/>
    <x v="19"/>
    <x v="1"/>
    <n v="9885515.159"/>
    <x v="3"/>
  </r>
  <r>
    <x v="68"/>
    <x v="20"/>
    <x v="1"/>
    <n v="7867483.8499999996"/>
    <x v="3"/>
  </r>
  <r>
    <x v="68"/>
    <x v="14"/>
    <x v="1"/>
    <n v="7004704.9330000002"/>
    <x v="3"/>
  </r>
  <r>
    <x v="68"/>
    <x v="3"/>
    <x v="1"/>
    <n v="7590168.9340000004"/>
    <x v="3"/>
  </r>
  <r>
    <x v="68"/>
    <x v="15"/>
    <x v="1"/>
    <n v="8659768.4609999992"/>
    <x v="3"/>
  </r>
  <r>
    <x v="43"/>
    <x v="0"/>
    <x v="1"/>
    <n v="11126596.737"/>
    <x v="3"/>
  </r>
  <r>
    <x v="44"/>
    <x v="0"/>
    <x v="1"/>
    <n v="4448063"/>
    <x v="3"/>
  </r>
  <r>
    <x v="44"/>
    <x v="2"/>
    <x v="1"/>
    <n v="4131190"/>
    <x v="3"/>
  </r>
  <r>
    <x v="44"/>
    <x v="17"/>
    <x v="1"/>
    <n v="3364566"/>
    <x v="3"/>
  </r>
  <r>
    <x v="44"/>
    <x v="13"/>
    <x v="1"/>
    <n v="2689412"/>
    <x v="3"/>
  </r>
  <r>
    <x v="44"/>
    <x v="19"/>
    <x v="1"/>
    <n v="4129142"/>
    <x v="3"/>
  </r>
  <r>
    <x v="44"/>
    <x v="20"/>
    <x v="1"/>
    <n v="10703555"/>
    <x v="3"/>
  </r>
  <r>
    <x v="44"/>
    <x v="14"/>
    <x v="1"/>
    <n v="10736194"/>
    <x v="3"/>
  </r>
  <r>
    <x v="44"/>
    <x v="1"/>
    <x v="1"/>
    <n v="14462900"/>
    <x v="3"/>
  </r>
  <r>
    <x v="44"/>
    <x v="3"/>
    <x v="1"/>
    <n v="9970307"/>
    <x v="3"/>
  </r>
  <r>
    <x v="44"/>
    <x v="15"/>
    <x v="1"/>
    <n v="16479564"/>
    <x v="3"/>
  </r>
  <r>
    <x v="44"/>
    <x v="4"/>
    <x v="1"/>
    <n v="8479402"/>
    <x v="3"/>
  </r>
  <r>
    <x v="45"/>
    <x v="11"/>
    <x v="1"/>
    <n v="950600398"/>
    <x v="3"/>
  </r>
  <r>
    <x v="45"/>
    <x v="17"/>
    <x v="1"/>
    <n v="839412728"/>
    <x v="3"/>
  </r>
  <r>
    <x v="45"/>
    <x v="13"/>
    <x v="1"/>
    <n v="976793354"/>
    <x v="3"/>
  </r>
  <r>
    <x v="45"/>
    <x v="18"/>
    <x v="1"/>
    <n v="1102559745"/>
    <x v="3"/>
  </r>
  <r>
    <x v="45"/>
    <x v="19"/>
    <x v="1"/>
    <n v="1129684296"/>
    <x v="3"/>
  </r>
  <r>
    <x v="45"/>
    <x v="20"/>
    <x v="1"/>
    <n v="1288275815"/>
    <x v="3"/>
  </r>
  <r>
    <x v="45"/>
    <x v="14"/>
    <x v="1"/>
    <n v="1060432697"/>
    <x v="3"/>
  </r>
  <r>
    <x v="45"/>
    <x v="1"/>
    <x v="1"/>
    <n v="1325676061"/>
    <x v="3"/>
  </r>
  <r>
    <x v="45"/>
    <x v="3"/>
    <x v="1"/>
    <n v="1181803287"/>
    <x v="3"/>
  </r>
  <r>
    <x v="45"/>
    <x v="15"/>
    <x v="1"/>
    <n v="1152074646"/>
    <x v="3"/>
  </r>
  <r>
    <x v="45"/>
    <x v="4"/>
    <x v="1"/>
    <n v="904594342"/>
    <x v="3"/>
  </r>
  <r>
    <x v="85"/>
    <x v="21"/>
    <x v="1"/>
    <n v="3396914.62"/>
    <x v="3"/>
  </r>
  <r>
    <x v="85"/>
    <x v="13"/>
    <x v="1"/>
    <n v="3324466.3"/>
    <x v="3"/>
  </r>
  <r>
    <x v="85"/>
    <x v="18"/>
    <x v="1"/>
    <n v="3928202.29"/>
    <x v="3"/>
  </r>
  <r>
    <x v="85"/>
    <x v="19"/>
    <x v="1"/>
    <n v="8694330.4199999999"/>
    <x v="3"/>
  </r>
  <r>
    <x v="85"/>
    <x v="20"/>
    <x v="1"/>
    <n v="12141598.34"/>
    <x v="3"/>
  </r>
  <r>
    <x v="85"/>
    <x v="14"/>
    <x v="1"/>
    <n v="13873425.75"/>
    <x v="3"/>
  </r>
  <r>
    <x v="85"/>
    <x v="1"/>
    <x v="1"/>
    <n v="11532333.1"/>
    <x v="3"/>
  </r>
  <r>
    <x v="85"/>
    <x v="3"/>
    <x v="1"/>
    <n v="14674594.34"/>
    <x v="3"/>
  </r>
  <r>
    <x v="85"/>
    <x v="15"/>
    <x v="1"/>
    <n v="19428950.359999999"/>
    <x v="3"/>
  </r>
  <r>
    <x v="85"/>
    <x v="4"/>
    <x v="1"/>
    <n v="16559501.35"/>
    <x v="3"/>
  </r>
  <r>
    <x v="46"/>
    <x v="13"/>
    <x v="1"/>
    <n v="95808999.995000005"/>
    <x v="3"/>
  </r>
  <r>
    <x v="46"/>
    <x v="18"/>
    <x v="1"/>
    <n v="83047122.027999997"/>
    <x v="3"/>
  </r>
  <r>
    <x v="46"/>
    <x v="19"/>
    <x v="1"/>
    <n v="82571566.951000005"/>
    <x v="3"/>
  </r>
  <r>
    <x v="47"/>
    <x v="11"/>
    <x v="1"/>
    <n v="372249035.676"/>
    <x v="3"/>
  </r>
  <r>
    <x v="47"/>
    <x v="12"/>
    <x v="1"/>
    <n v="468472997.18699998"/>
    <x v="3"/>
  </r>
  <r>
    <x v="47"/>
    <x v="16"/>
    <x v="1"/>
    <n v="513709923.90499997"/>
    <x v="3"/>
  </r>
  <r>
    <x v="47"/>
    <x v="21"/>
    <x v="1"/>
    <n v="614736717.80200005"/>
    <x v="3"/>
  </r>
  <r>
    <x v="47"/>
    <x v="0"/>
    <x v="1"/>
    <n v="544900630.92700005"/>
    <x v="3"/>
  </r>
  <r>
    <x v="47"/>
    <x v="2"/>
    <x v="1"/>
    <n v="506092439.57200003"/>
    <x v="3"/>
  </r>
  <r>
    <x v="47"/>
    <x v="17"/>
    <x v="1"/>
    <n v="463117204.51800001"/>
    <x v="3"/>
  </r>
  <r>
    <x v="47"/>
    <x v="13"/>
    <x v="1"/>
    <n v="513326934.69999999"/>
    <x v="3"/>
  </r>
  <r>
    <x v="47"/>
    <x v="18"/>
    <x v="1"/>
    <n v="549980928.58800006"/>
    <x v="3"/>
  </r>
  <r>
    <x v="47"/>
    <x v="19"/>
    <x v="1"/>
    <n v="511914242.71200001"/>
    <x v="3"/>
  </r>
  <r>
    <x v="47"/>
    <x v="20"/>
    <x v="1"/>
    <n v="481385030.02999997"/>
    <x v="3"/>
  </r>
  <r>
    <x v="47"/>
    <x v="14"/>
    <x v="1"/>
    <n v="450156235.20200002"/>
    <x v="3"/>
  </r>
  <r>
    <x v="47"/>
    <x v="1"/>
    <x v="1"/>
    <n v="443369681.454"/>
    <x v="3"/>
  </r>
  <r>
    <x v="47"/>
    <x v="3"/>
    <x v="1"/>
    <n v="464720676.34600002"/>
    <x v="3"/>
  </r>
  <r>
    <x v="47"/>
    <x v="15"/>
    <x v="1"/>
    <n v="539916437.847"/>
    <x v="3"/>
  </r>
  <r>
    <x v="47"/>
    <x v="4"/>
    <x v="1"/>
    <n v="485959667.954"/>
    <x v="3"/>
  </r>
  <r>
    <x v="112"/>
    <x v="16"/>
    <x v="1"/>
    <n v="5022941.43"/>
    <x v="3"/>
  </r>
  <r>
    <x v="112"/>
    <x v="0"/>
    <x v="1"/>
    <n v="7140501.3700000001"/>
    <x v="3"/>
  </r>
  <r>
    <x v="112"/>
    <x v="19"/>
    <x v="1"/>
    <n v="8814301.6999999993"/>
    <x v="3"/>
  </r>
  <r>
    <x v="112"/>
    <x v="20"/>
    <x v="1"/>
    <n v="9096555.0700000003"/>
    <x v="3"/>
  </r>
  <r>
    <x v="112"/>
    <x v="14"/>
    <x v="1"/>
    <n v="9281306.5"/>
    <x v="3"/>
  </r>
  <r>
    <x v="112"/>
    <x v="1"/>
    <x v="1"/>
    <n v="11099378.710000001"/>
    <x v="3"/>
  </r>
  <r>
    <x v="112"/>
    <x v="3"/>
    <x v="1"/>
    <n v="12967821.27"/>
    <x v="3"/>
  </r>
  <r>
    <x v="48"/>
    <x v="13"/>
    <x v="1"/>
    <n v="9065504.8929999992"/>
    <x v="3"/>
  </r>
  <r>
    <x v="48"/>
    <x v="18"/>
    <x v="1"/>
    <n v="16663814.509"/>
    <x v="3"/>
  </r>
  <r>
    <x v="48"/>
    <x v="19"/>
    <x v="1"/>
    <n v="11754393.649"/>
    <x v="3"/>
  </r>
  <r>
    <x v="48"/>
    <x v="20"/>
    <x v="1"/>
    <n v="14128265.801000001"/>
    <x v="3"/>
  </r>
  <r>
    <x v="48"/>
    <x v="14"/>
    <x v="1"/>
    <n v="15084511.027000001"/>
    <x v="3"/>
  </r>
  <r>
    <x v="48"/>
    <x v="1"/>
    <x v="1"/>
    <n v="14578170.855"/>
    <x v="3"/>
  </r>
  <r>
    <x v="48"/>
    <x v="3"/>
    <x v="1"/>
    <n v="32052221.375999998"/>
    <x v="3"/>
  </r>
  <r>
    <x v="69"/>
    <x v="16"/>
    <x v="1"/>
    <n v="14679335.702"/>
    <x v="3"/>
  </r>
  <r>
    <x v="69"/>
    <x v="2"/>
    <x v="1"/>
    <n v="7336930.875"/>
    <x v="3"/>
  </r>
  <r>
    <x v="69"/>
    <x v="17"/>
    <x v="1"/>
    <n v="9291588.0170000009"/>
    <x v="3"/>
  </r>
  <r>
    <x v="69"/>
    <x v="18"/>
    <x v="1"/>
    <n v="2059640.9739999999"/>
    <x v="3"/>
  </r>
  <r>
    <x v="69"/>
    <x v="19"/>
    <x v="1"/>
    <n v="4838031.04"/>
    <x v="3"/>
  </r>
  <r>
    <x v="70"/>
    <x v="11"/>
    <x v="2"/>
    <n v="1.06349619696703"/>
    <x v="3"/>
  </r>
  <r>
    <x v="70"/>
    <x v="12"/>
    <x v="2"/>
    <n v="1.0288441943937801"/>
    <x v="3"/>
  </r>
  <r>
    <x v="70"/>
    <x v="16"/>
    <x v="2"/>
    <n v="1.56237541233577"/>
    <x v="3"/>
  </r>
  <r>
    <x v="70"/>
    <x v="21"/>
    <x v="2"/>
    <n v="1.9152969935555499"/>
    <x v="3"/>
  </r>
  <r>
    <x v="70"/>
    <x v="0"/>
    <x v="2"/>
    <n v="2.4447336956671402"/>
    <x v="3"/>
  </r>
  <r>
    <x v="70"/>
    <x v="2"/>
    <x v="2"/>
    <n v="2.6336853353204299"/>
    <x v="3"/>
  </r>
  <r>
    <x v="70"/>
    <x v="17"/>
    <x v="2"/>
    <n v="3.2227222690623001"/>
    <x v="3"/>
  </r>
  <r>
    <x v="70"/>
    <x v="13"/>
    <x v="2"/>
    <n v="3.1411658580258601"/>
    <x v="3"/>
  </r>
  <r>
    <x v="86"/>
    <x v="2"/>
    <x v="2"/>
    <n v="0.76516137115799798"/>
    <x v="3"/>
  </r>
  <r>
    <x v="86"/>
    <x v="17"/>
    <x v="2"/>
    <n v="0.98960221062895304"/>
    <x v="3"/>
  </r>
  <r>
    <x v="86"/>
    <x v="13"/>
    <x v="2"/>
    <n v="4.9813801986591804"/>
    <x v="3"/>
  </r>
  <r>
    <x v="86"/>
    <x v="18"/>
    <x v="2"/>
    <n v="1.6472951584237101"/>
    <x v="3"/>
  </r>
  <r>
    <x v="86"/>
    <x v="19"/>
    <x v="2"/>
    <n v="4.1681135727714604"/>
    <x v="3"/>
  </r>
  <r>
    <x v="86"/>
    <x v="20"/>
    <x v="2"/>
    <n v="3.84494035280066"/>
    <x v="3"/>
  </r>
  <r>
    <x v="86"/>
    <x v="14"/>
    <x v="2"/>
    <n v="2.9877796550306899"/>
    <x v="3"/>
  </r>
  <r>
    <x v="86"/>
    <x v="1"/>
    <x v="2"/>
    <n v="3.5087066522392401"/>
    <x v="3"/>
  </r>
  <r>
    <x v="86"/>
    <x v="3"/>
    <x v="2"/>
    <n v="3.7387756877624101"/>
    <x v="3"/>
  </r>
  <r>
    <x v="87"/>
    <x v="11"/>
    <x v="2"/>
    <n v="3.6458275603233399"/>
    <x v="3"/>
  </r>
  <r>
    <x v="87"/>
    <x v="12"/>
    <x v="2"/>
    <n v="4.2811528800908203"/>
    <x v="3"/>
  </r>
  <r>
    <x v="87"/>
    <x v="16"/>
    <x v="2"/>
    <n v="5.4607965830752203"/>
    <x v="3"/>
  </r>
  <r>
    <x v="87"/>
    <x v="21"/>
    <x v="2"/>
    <n v="5.9147216189953502"/>
    <x v="3"/>
  </r>
  <r>
    <x v="87"/>
    <x v="0"/>
    <x v="2"/>
    <n v="5.0266993661104697"/>
    <x v="3"/>
  </r>
  <r>
    <x v="87"/>
    <x v="2"/>
    <x v="2"/>
    <n v="4.1487693689594201"/>
    <x v="3"/>
  </r>
  <r>
    <x v="87"/>
    <x v="17"/>
    <x v="2"/>
    <n v="4.2032933511267698"/>
    <x v="3"/>
  </r>
  <r>
    <x v="87"/>
    <x v="13"/>
    <x v="2"/>
    <n v="4.7879904027439997"/>
    <x v="3"/>
  </r>
  <r>
    <x v="87"/>
    <x v="18"/>
    <x v="2"/>
    <n v="5.1153183268937097"/>
    <x v="3"/>
  </r>
  <r>
    <x v="87"/>
    <x v="19"/>
    <x v="2"/>
    <n v="4.53260832860681"/>
    <x v="3"/>
  </r>
  <r>
    <x v="87"/>
    <x v="20"/>
    <x v="2"/>
    <n v="4.3228595190074302"/>
    <x v="3"/>
  </r>
  <r>
    <x v="87"/>
    <x v="14"/>
    <x v="2"/>
    <n v="4.5014549886858299"/>
    <x v="3"/>
  </r>
  <r>
    <x v="87"/>
    <x v="1"/>
    <x v="2"/>
    <n v="4.87988580568509"/>
    <x v="3"/>
  </r>
  <r>
    <x v="87"/>
    <x v="3"/>
    <x v="2"/>
    <n v="5.3905080815055699"/>
    <x v="3"/>
  </r>
  <r>
    <x v="87"/>
    <x v="15"/>
    <x v="2"/>
    <n v="5.4358503064568504"/>
    <x v="3"/>
  </r>
  <r>
    <x v="87"/>
    <x v="4"/>
    <x v="2"/>
    <n v="5.0340768873577399"/>
    <x v="3"/>
  </r>
  <r>
    <x v="0"/>
    <x v="11"/>
    <x v="2"/>
    <n v="17.298850937624199"/>
    <x v="3"/>
  </r>
  <r>
    <x v="0"/>
    <x v="12"/>
    <x v="2"/>
    <n v="4.7732543429303904"/>
    <x v="3"/>
  </r>
  <r>
    <x v="0"/>
    <x v="16"/>
    <x v="2"/>
    <n v="5.58365089999565"/>
    <x v="3"/>
  </r>
  <r>
    <x v="0"/>
    <x v="21"/>
    <x v="2"/>
    <n v="5.7131127720438402"/>
    <x v="3"/>
  </r>
  <r>
    <x v="0"/>
    <x v="0"/>
    <x v="2"/>
    <n v="5.1622061121651699"/>
    <x v="3"/>
  </r>
  <r>
    <x v="0"/>
    <x v="2"/>
    <x v="2"/>
    <n v="4.5893839503443203"/>
    <x v="3"/>
  </r>
  <r>
    <x v="0"/>
    <x v="17"/>
    <x v="2"/>
    <n v="4.6791773962544001"/>
    <x v="3"/>
  </r>
  <r>
    <x v="0"/>
    <x v="13"/>
    <x v="2"/>
    <n v="4.96065537492023"/>
    <x v="3"/>
  </r>
  <r>
    <x v="0"/>
    <x v="18"/>
    <x v="2"/>
    <n v="5.13588465977874"/>
    <x v="3"/>
  </r>
  <r>
    <x v="0"/>
    <x v="19"/>
    <x v="2"/>
    <n v="5.0299360403670796"/>
    <x v="3"/>
  </r>
  <r>
    <x v="0"/>
    <x v="20"/>
    <x v="2"/>
    <n v="4.8902579767152101"/>
    <x v="3"/>
  </r>
  <r>
    <x v="0"/>
    <x v="14"/>
    <x v="2"/>
    <n v="5.03295992743395"/>
    <x v="3"/>
  </r>
  <r>
    <x v="0"/>
    <x v="1"/>
    <x v="2"/>
    <n v="5.43685443596135"/>
    <x v="3"/>
  </r>
  <r>
    <x v="0"/>
    <x v="3"/>
    <x v="2"/>
    <n v="5.4554743126743901"/>
    <x v="3"/>
  </r>
  <r>
    <x v="0"/>
    <x v="15"/>
    <x v="2"/>
    <n v="5.2894298511722901"/>
    <x v="3"/>
  </r>
  <r>
    <x v="0"/>
    <x v="4"/>
    <x v="2"/>
    <n v="5.33155412259197"/>
    <x v="3"/>
  </r>
  <r>
    <x v="1"/>
    <x v="11"/>
    <x v="2"/>
    <n v="5.4146229730386501"/>
    <x v="3"/>
  </r>
  <r>
    <x v="1"/>
    <x v="12"/>
    <x v="2"/>
    <n v="5.8605937776455299"/>
    <x v="3"/>
  </r>
  <r>
    <x v="1"/>
    <x v="16"/>
    <x v="2"/>
    <n v="6.7987680823937797"/>
    <x v="3"/>
  </r>
  <r>
    <x v="1"/>
    <x v="21"/>
    <x v="2"/>
    <n v="8.3157393317318693"/>
    <x v="3"/>
  </r>
  <r>
    <x v="1"/>
    <x v="0"/>
    <x v="2"/>
    <n v="9.2883533485151499"/>
    <x v="3"/>
  </r>
  <r>
    <x v="1"/>
    <x v="2"/>
    <x v="2"/>
    <n v="7.4240847860718802"/>
    <x v="3"/>
  </r>
  <r>
    <x v="1"/>
    <x v="17"/>
    <x v="2"/>
    <n v="7.2964448738564798"/>
    <x v="3"/>
  </r>
  <r>
    <x v="1"/>
    <x v="13"/>
    <x v="2"/>
    <n v="5.8049762298354901"/>
    <x v="3"/>
  </r>
  <r>
    <x v="1"/>
    <x v="1"/>
    <x v="2"/>
    <n v="6.3799337604987398"/>
    <x v="3"/>
  </r>
  <r>
    <x v="88"/>
    <x v="13"/>
    <x v="2"/>
    <n v="5.6146801824917798"/>
    <x v="3"/>
  </r>
  <r>
    <x v="89"/>
    <x v="12"/>
    <x v="2"/>
    <n v="3.43742289592294"/>
    <x v="3"/>
  </r>
  <r>
    <x v="89"/>
    <x v="16"/>
    <x v="2"/>
    <n v="4.3677845574731"/>
    <x v="3"/>
  </r>
  <r>
    <x v="89"/>
    <x v="21"/>
    <x v="2"/>
    <n v="4.1839656551286701"/>
    <x v="3"/>
  </r>
  <r>
    <x v="89"/>
    <x v="0"/>
    <x v="2"/>
    <n v="3.8558084027491502"/>
    <x v="3"/>
  </r>
  <r>
    <x v="89"/>
    <x v="2"/>
    <x v="2"/>
    <n v="3.4273690335037501"/>
    <x v="3"/>
  </r>
  <r>
    <x v="89"/>
    <x v="17"/>
    <x v="2"/>
    <n v="2.5857035258466099"/>
    <x v="3"/>
  </r>
  <r>
    <x v="89"/>
    <x v="13"/>
    <x v="2"/>
    <n v="2.4194371375211299"/>
    <x v="3"/>
  </r>
  <r>
    <x v="89"/>
    <x v="18"/>
    <x v="2"/>
    <n v="2.6675052051419201"/>
    <x v="3"/>
  </r>
  <r>
    <x v="89"/>
    <x v="19"/>
    <x v="2"/>
    <n v="2.6284700690078102"/>
    <x v="3"/>
  </r>
  <r>
    <x v="89"/>
    <x v="20"/>
    <x v="2"/>
    <n v="2.364126088705"/>
    <x v="3"/>
  </r>
  <r>
    <x v="89"/>
    <x v="14"/>
    <x v="2"/>
    <n v="2.3735526570835801"/>
    <x v="3"/>
  </r>
  <r>
    <x v="89"/>
    <x v="1"/>
    <x v="2"/>
    <n v="2.2948573559697398"/>
    <x v="3"/>
  </r>
  <r>
    <x v="89"/>
    <x v="3"/>
    <x v="2"/>
    <n v="1.82990340888379"/>
    <x v="3"/>
  </r>
  <r>
    <x v="89"/>
    <x v="15"/>
    <x v="2"/>
    <n v="2.9518384114301601"/>
    <x v="3"/>
  </r>
  <r>
    <x v="2"/>
    <x v="11"/>
    <x v="2"/>
    <n v="4.3133039609866097"/>
    <x v="3"/>
  </r>
  <r>
    <x v="2"/>
    <x v="12"/>
    <x v="2"/>
    <n v="4.8595068711615301"/>
    <x v="3"/>
  </r>
  <r>
    <x v="2"/>
    <x v="16"/>
    <x v="2"/>
    <n v="5.3870387985706003"/>
    <x v="3"/>
  </r>
  <r>
    <x v="2"/>
    <x v="21"/>
    <x v="2"/>
    <n v="6.30626833275723"/>
    <x v="3"/>
  </r>
  <r>
    <x v="2"/>
    <x v="0"/>
    <x v="2"/>
    <n v="5.6224269580158399"/>
    <x v="3"/>
  </r>
  <r>
    <x v="2"/>
    <x v="2"/>
    <x v="2"/>
    <n v="4.7325383822501603"/>
    <x v="3"/>
  </r>
  <r>
    <x v="2"/>
    <x v="17"/>
    <x v="2"/>
    <n v="4.7113972610998296"/>
    <x v="3"/>
  </r>
  <r>
    <x v="2"/>
    <x v="13"/>
    <x v="2"/>
    <n v="5.0652610916238103"/>
    <x v="3"/>
  </r>
  <r>
    <x v="2"/>
    <x v="18"/>
    <x v="2"/>
    <n v="5.7435957014665204"/>
    <x v="3"/>
  </r>
  <r>
    <x v="2"/>
    <x v="19"/>
    <x v="2"/>
    <n v="5.3978541338663399"/>
    <x v="3"/>
  </r>
  <r>
    <x v="2"/>
    <x v="20"/>
    <x v="2"/>
    <n v="5.6390821783493701"/>
    <x v="3"/>
  </r>
  <r>
    <x v="2"/>
    <x v="14"/>
    <x v="2"/>
    <n v="5.6252809183487198"/>
    <x v="3"/>
  </r>
  <r>
    <x v="2"/>
    <x v="1"/>
    <x v="2"/>
    <n v="5.3689130350277496"/>
    <x v="3"/>
  </r>
  <r>
    <x v="2"/>
    <x v="3"/>
    <x v="2"/>
    <n v="6.1560545849184098"/>
    <x v="3"/>
  </r>
  <r>
    <x v="2"/>
    <x v="15"/>
    <x v="2"/>
    <n v="6.0651567803133499"/>
    <x v="3"/>
  </r>
  <r>
    <x v="2"/>
    <x v="4"/>
    <x v="2"/>
    <n v="6.1843232523305502"/>
    <x v="3"/>
  </r>
  <r>
    <x v="90"/>
    <x v="11"/>
    <x v="2"/>
    <n v="3.4572431839713"/>
    <x v="3"/>
  </r>
  <r>
    <x v="90"/>
    <x v="12"/>
    <x v="2"/>
    <n v="4.3978431007010297"/>
    <x v="3"/>
  </r>
  <r>
    <x v="90"/>
    <x v="16"/>
    <x v="2"/>
    <n v="5.5267906124557697"/>
    <x v="3"/>
  </r>
  <r>
    <x v="90"/>
    <x v="21"/>
    <x v="2"/>
    <n v="5.6576459531608201"/>
    <x v="3"/>
  </r>
  <r>
    <x v="90"/>
    <x v="0"/>
    <x v="2"/>
    <n v="4.2576008752472498"/>
    <x v="3"/>
  </r>
  <r>
    <x v="90"/>
    <x v="2"/>
    <x v="2"/>
    <n v="3.5705373547606101"/>
    <x v="3"/>
  </r>
  <r>
    <x v="90"/>
    <x v="17"/>
    <x v="2"/>
    <n v="3.7266356836022601"/>
    <x v="3"/>
  </r>
  <r>
    <x v="90"/>
    <x v="13"/>
    <x v="2"/>
    <n v="4.1525460196508304"/>
    <x v="3"/>
  </r>
  <r>
    <x v="90"/>
    <x v="18"/>
    <x v="2"/>
    <n v="4.4373224441638"/>
    <x v="3"/>
  </r>
  <r>
    <x v="90"/>
    <x v="19"/>
    <x v="2"/>
    <n v="4.3600805862553402"/>
    <x v="3"/>
  </r>
  <r>
    <x v="90"/>
    <x v="20"/>
    <x v="2"/>
    <n v="4.2158057709102499"/>
    <x v="3"/>
  </r>
  <r>
    <x v="90"/>
    <x v="14"/>
    <x v="2"/>
    <n v="4.9820665339794603"/>
    <x v="3"/>
  </r>
  <r>
    <x v="90"/>
    <x v="1"/>
    <x v="2"/>
    <n v="4.7654602171480001"/>
    <x v="3"/>
  </r>
  <r>
    <x v="90"/>
    <x v="3"/>
    <x v="2"/>
    <n v="4.8862903508529802"/>
    <x v="3"/>
  </r>
  <r>
    <x v="90"/>
    <x v="15"/>
    <x v="2"/>
    <n v="4.8772909699288496"/>
    <x v="3"/>
  </r>
  <r>
    <x v="90"/>
    <x v="4"/>
    <x v="2"/>
    <n v="5.1492324776902203"/>
    <x v="3"/>
  </r>
  <r>
    <x v="3"/>
    <x v="23"/>
    <x v="2"/>
    <n v="2.3216386388757302"/>
    <x v="3"/>
  </r>
  <r>
    <x v="3"/>
    <x v="8"/>
    <x v="2"/>
    <n v="3.32238365083193"/>
    <x v="3"/>
  </r>
  <r>
    <x v="3"/>
    <x v="10"/>
    <x v="2"/>
    <n v="3.68614986361571"/>
    <x v="3"/>
  </r>
  <r>
    <x v="3"/>
    <x v="11"/>
    <x v="2"/>
    <n v="4.1142537317013899"/>
    <x v="3"/>
  </r>
  <r>
    <x v="3"/>
    <x v="12"/>
    <x v="2"/>
    <n v="4.3684885214588398"/>
    <x v="3"/>
  </r>
  <r>
    <x v="3"/>
    <x v="16"/>
    <x v="2"/>
    <n v="5.5113902109407098"/>
    <x v="3"/>
  </r>
  <r>
    <x v="3"/>
    <x v="21"/>
    <x v="2"/>
    <n v="6.0612280358300001"/>
    <x v="3"/>
  </r>
  <r>
    <x v="3"/>
    <x v="0"/>
    <x v="2"/>
    <n v="4.8024696963077904"/>
    <x v="3"/>
  </r>
  <r>
    <x v="3"/>
    <x v="2"/>
    <x v="2"/>
    <n v="4.0547871806483897"/>
    <x v="3"/>
  </r>
  <r>
    <x v="3"/>
    <x v="17"/>
    <x v="2"/>
    <n v="4.1194305406385299"/>
    <x v="3"/>
  </r>
  <r>
    <x v="3"/>
    <x v="13"/>
    <x v="2"/>
    <n v="4.8524464975693098"/>
    <x v="3"/>
  </r>
  <r>
    <x v="3"/>
    <x v="18"/>
    <x v="2"/>
    <n v="5.5444055314951202"/>
    <x v="3"/>
  </r>
  <r>
    <x v="3"/>
    <x v="19"/>
    <x v="2"/>
    <n v="4.54442897761853"/>
    <x v="3"/>
  </r>
  <r>
    <x v="3"/>
    <x v="20"/>
    <x v="2"/>
    <n v="4.3757518940734998"/>
    <x v="3"/>
  </r>
  <r>
    <x v="3"/>
    <x v="14"/>
    <x v="2"/>
    <n v="4.2490902477932302"/>
    <x v="3"/>
  </r>
  <r>
    <x v="3"/>
    <x v="1"/>
    <x v="2"/>
    <n v="5.3028139182745297"/>
    <x v="3"/>
  </r>
  <r>
    <x v="3"/>
    <x v="15"/>
    <x v="2"/>
    <n v="4.9172372203767001"/>
    <x v="3"/>
  </r>
  <r>
    <x v="3"/>
    <x v="4"/>
    <x v="2"/>
    <n v="4.56316654961301"/>
    <x v="3"/>
  </r>
  <r>
    <x v="91"/>
    <x v="21"/>
    <x v="2"/>
    <n v="4.66929819606049"/>
    <x v="3"/>
  </r>
  <r>
    <x v="91"/>
    <x v="0"/>
    <x v="2"/>
    <n v="4.6854445872891803"/>
    <x v="3"/>
  </r>
  <r>
    <x v="91"/>
    <x v="17"/>
    <x v="2"/>
    <n v="3.7357368689269399"/>
    <x v="3"/>
  </r>
  <r>
    <x v="91"/>
    <x v="18"/>
    <x v="2"/>
    <n v="4.6889183659900402"/>
    <x v="3"/>
  </r>
  <r>
    <x v="91"/>
    <x v="19"/>
    <x v="2"/>
    <n v="4.47150802977339"/>
    <x v="3"/>
  </r>
  <r>
    <x v="91"/>
    <x v="20"/>
    <x v="2"/>
    <n v="3.8879675821458699"/>
    <x v="3"/>
  </r>
  <r>
    <x v="91"/>
    <x v="14"/>
    <x v="2"/>
    <n v="4.4888566397544096"/>
    <x v="3"/>
  </r>
  <r>
    <x v="91"/>
    <x v="1"/>
    <x v="2"/>
    <n v="4.4593365950046104"/>
    <x v="3"/>
  </r>
  <r>
    <x v="91"/>
    <x v="3"/>
    <x v="2"/>
    <n v="4.8310702610315603"/>
    <x v="3"/>
  </r>
  <r>
    <x v="4"/>
    <x v="11"/>
    <x v="2"/>
    <n v="3.6932213813030299"/>
    <x v="3"/>
  </r>
  <r>
    <x v="4"/>
    <x v="12"/>
    <x v="2"/>
    <n v="4.5227388027088002"/>
    <x v="3"/>
  </r>
  <r>
    <x v="4"/>
    <x v="16"/>
    <x v="2"/>
    <n v="4.9980537248017898"/>
    <x v="3"/>
  </r>
  <r>
    <x v="4"/>
    <x v="21"/>
    <x v="2"/>
    <n v="5.1887744956944699"/>
    <x v="3"/>
  </r>
  <r>
    <x v="4"/>
    <x v="0"/>
    <x v="2"/>
    <n v="4.5228710654083901"/>
    <x v="3"/>
  </r>
  <r>
    <x v="4"/>
    <x v="2"/>
    <x v="2"/>
    <n v="4.4078334907105896"/>
    <x v="3"/>
  </r>
  <r>
    <x v="4"/>
    <x v="17"/>
    <x v="2"/>
    <n v="5.3343165163711497"/>
    <x v="3"/>
  </r>
  <r>
    <x v="4"/>
    <x v="13"/>
    <x v="2"/>
    <n v="5.0176195542590198"/>
    <x v="3"/>
  </r>
  <r>
    <x v="4"/>
    <x v="18"/>
    <x v="2"/>
    <n v="6.0797160846930201"/>
    <x v="3"/>
  </r>
  <r>
    <x v="4"/>
    <x v="19"/>
    <x v="2"/>
    <n v="5.5262567559195901"/>
    <x v="3"/>
  </r>
  <r>
    <x v="4"/>
    <x v="20"/>
    <x v="2"/>
    <n v="4.5435130230539604"/>
    <x v="3"/>
  </r>
  <r>
    <x v="4"/>
    <x v="14"/>
    <x v="2"/>
    <n v="5.0145196358811299"/>
    <x v="3"/>
  </r>
  <r>
    <x v="4"/>
    <x v="1"/>
    <x v="2"/>
    <n v="5.1368367987732899"/>
    <x v="3"/>
  </r>
  <r>
    <x v="4"/>
    <x v="3"/>
    <x v="2"/>
    <n v="5.5610977397730297"/>
    <x v="3"/>
  </r>
  <r>
    <x v="4"/>
    <x v="15"/>
    <x v="2"/>
    <n v="5.2743081694235698"/>
    <x v="3"/>
  </r>
  <r>
    <x v="4"/>
    <x v="4"/>
    <x v="2"/>
    <n v="5.2257596010867999"/>
    <x v="3"/>
  </r>
  <r>
    <x v="72"/>
    <x v="5"/>
    <x v="2"/>
    <n v="2.3868159082489799"/>
    <x v="3"/>
  </r>
  <r>
    <x v="72"/>
    <x v="22"/>
    <x v="2"/>
    <n v="2.5173859066290798"/>
    <x v="3"/>
  </r>
  <r>
    <x v="72"/>
    <x v="6"/>
    <x v="2"/>
    <n v="2.7092205990082099"/>
    <x v="3"/>
  </r>
  <r>
    <x v="72"/>
    <x v="7"/>
    <x v="2"/>
    <n v="2.9702502572430398"/>
    <x v="3"/>
  </r>
  <r>
    <x v="72"/>
    <x v="8"/>
    <x v="2"/>
    <n v="3.3347115221119501"/>
    <x v="3"/>
  </r>
  <r>
    <x v="72"/>
    <x v="9"/>
    <x v="2"/>
    <n v="4.1167847240995199"/>
    <x v="3"/>
  </r>
  <r>
    <x v="72"/>
    <x v="10"/>
    <x v="2"/>
    <n v="3.8764781119748202"/>
    <x v="3"/>
  </r>
  <r>
    <x v="72"/>
    <x v="11"/>
    <x v="2"/>
    <n v="3.8736470720374201"/>
    <x v="3"/>
  </r>
  <r>
    <x v="72"/>
    <x v="12"/>
    <x v="2"/>
    <n v="4.3396244256105296"/>
    <x v="3"/>
  </r>
  <r>
    <x v="72"/>
    <x v="16"/>
    <x v="2"/>
    <n v="5.33307525329512"/>
    <x v="3"/>
  </r>
  <r>
    <x v="72"/>
    <x v="21"/>
    <x v="2"/>
    <n v="5.4294674085689598"/>
    <x v="3"/>
  </r>
  <r>
    <x v="72"/>
    <x v="0"/>
    <x v="2"/>
    <n v="4.6027497047697903"/>
    <x v="3"/>
  </r>
  <r>
    <x v="72"/>
    <x v="2"/>
    <x v="2"/>
    <n v="3.78675241854156"/>
    <x v="3"/>
  </r>
  <r>
    <x v="72"/>
    <x v="17"/>
    <x v="2"/>
    <n v="3.66835758533208"/>
    <x v="3"/>
  </r>
  <r>
    <x v="72"/>
    <x v="13"/>
    <x v="2"/>
    <n v="3.6884877852973199"/>
    <x v="3"/>
  </r>
  <r>
    <x v="72"/>
    <x v="18"/>
    <x v="2"/>
    <n v="3.7577409951958902"/>
    <x v="3"/>
  </r>
  <r>
    <x v="72"/>
    <x v="19"/>
    <x v="2"/>
    <n v="3.6157735112644098"/>
    <x v="3"/>
  </r>
  <r>
    <x v="72"/>
    <x v="20"/>
    <x v="2"/>
    <n v="3.36623372061938"/>
    <x v="3"/>
  </r>
  <r>
    <x v="72"/>
    <x v="14"/>
    <x v="2"/>
    <n v="3.54352610645096"/>
    <x v="3"/>
  </r>
  <r>
    <x v="72"/>
    <x v="1"/>
    <x v="2"/>
    <n v="3.9591961641565998"/>
    <x v="3"/>
  </r>
  <r>
    <x v="72"/>
    <x v="3"/>
    <x v="2"/>
    <n v="4.2038466296325998"/>
    <x v="3"/>
  </r>
  <r>
    <x v="72"/>
    <x v="15"/>
    <x v="2"/>
    <n v="4.0560158053609303"/>
    <x v="3"/>
  </r>
  <r>
    <x v="72"/>
    <x v="4"/>
    <x v="2"/>
    <n v="3.9455467007425198"/>
    <x v="3"/>
  </r>
  <r>
    <x v="5"/>
    <x v="11"/>
    <x v="2"/>
    <n v="2.8091096337194998"/>
    <x v="3"/>
  </r>
  <r>
    <x v="5"/>
    <x v="12"/>
    <x v="2"/>
    <n v="3.7367100538735198"/>
    <x v="3"/>
  </r>
  <r>
    <x v="5"/>
    <x v="16"/>
    <x v="2"/>
    <n v="4.9597837153658197"/>
    <x v="3"/>
  </r>
  <r>
    <x v="5"/>
    <x v="2"/>
    <x v="2"/>
    <n v="3.4336885571893001"/>
    <x v="3"/>
  </r>
  <r>
    <x v="5"/>
    <x v="17"/>
    <x v="2"/>
    <n v="3.80679702469198"/>
    <x v="3"/>
  </r>
  <r>
    <x v="5"/>
    <x v="13"/>
    <x v="2"/>
    <n v="4.5182396426984104"/>
    <x v="3"/>
  </r>
  <r>
    <x v="5"/>
    <x v="18"/>
    <x v="2"/>
    <n v="4.7600337686854202"/>
    <x v="3"/>
  </r>
  <r>
    <x v="5"/>
    <x v="19"/>
    <x v="2"/>
    <n v="4.3714933380863004"/>
    <x v="3"/>
  </r>
  <r>
    <x v="5"/>
    <x v="20"/>
    <x v="2"/>
    <n v="4.4657090911230499"/>
    <x v="3"/>
  </r>
  <r>
    <x v="5"/>
    <x v="14"/>
    <x v="2"/>
    <n v="4.55324770682427"/>
    <x v="3"/>
  </r>
  <r>
    <x v="5"/>
    <x v="1"/>
    <x v="2"/>
    <n v="4.7709766129722997"/>
    <x v="3"/>
  </r>
  <r>
    <x v="5"/>
    <x v="3"/>
    <x v="2"/>
    <n v="5.0155845097491101"/>
    <x v="3"/>
  </r>
  <r>
    <x v="5"/>
    <x v="15"/>
    <x v="2"/>
    <n v="5.2579108865904898"/>
    <x v="3"/>
  </r>
  <r>
    <x v="5"/>
    <x v="4"/>
    <x v="2"/>
    <n v="4.5232633142877496"/>
    <x v="3"/>
  </r>
  <r>
    <x v="6"/>
    <x v="11"/>
    <x v="2"/>
    <n v="3.87524108257624"/>
    <x v="3"/>
  </r>
  <r>
    <x v="6"/>
    <x v="0"/>
    <x v="2"/>
    <n v="5.1187658522387496"/>
    <x v="3"/>
  </r>
  <r>
    <x v="6"/>
    <x v="2"/>
    <x v="2"/>
    <n v="5.4908063971747296"/>
    <x v="3"/>
  </r>
  <r>
    <x v="6"/>
    <x v="17"/>
    <x v="2"/>
    <n v="4.3727451009887899"/>
    <x v="3"/>
  </r>
  <r>
    <x v="6"/>
    <x v="13"/>
    <x v="2"/>
    <n v="4.7175389466915698"/>
    <x v="3"/>
  </r>
  <r>
    <x v="6"/>
    <x v="18"/>
    <x v="2"/>
    <n v="4.9044959848500698"/>
    <x v="3"/>
  </r>
  <r>
    <x v="6"/>
    <x v="19"/>
    <x v="2"/>
    <n v="4.6661600851783298"/>
    <x v="3"/>
  </r>
  <r>
    <x v="6"/>
    <x v="20"/>
    <x v="2"/>
    <n v="4.2526506102969899"/>
    <x v="3"/>
  </r>
  <r>
    <x v="6"/>
    <x v="14"/>
    <x v="2"/>
    <n v="4.24385469459639"/>
    <x v="3"/>
  </r>
  <r>
    <x v="6"/>
    <x v="1"/>
    <x v="2"/>
    <n v="4.8651809598459099"/>
    <x v="3"/>
  </r>
  <r>
    <x v="6"/>
    <x v="3"/>
    <x v="2"/>
    <n v="5.0312203603096304"/>
    <x v="3"/>
  </r>
  <r>
    <x v="6"/>
    <x v="15"/>
    <x v="2"/>
    <n v="5.3618444836564496"/>
    <x v="3"/>
  </r>
  <r>
    <x v="6"/>
    <x v="4"/>
    <x v="2"/>
    <n v="4.7681378935591701"/>
    <x v="3"/>
  </r>
  <r>
    <x v="73"/>
    <x v="18"/>
    <x v="2"/>
    <n v="4.9417062350825098"/>
    <x v="3"/>
  </r>
  <r>
    <x v="73"/>
    <x v="20"/>
    <x v="2"/>
    <n v="4.4731620506380096"/>
    <x v="3"/>
  </r>
  <r>
    <x v="7"/>
    <x v="11"/>
    <x v="2"/>
    <n v="3.7378083832867799"/>
    <x v="3"/>
  </r>
  <r>
    <x v="7"/>
    <x v="12"/>
    <x v="2"/>
    <n v="4.5516040665075197"/>
    <x v="3"/>
  </r>
  <r>
    <x v="7"/>
    <x v="16"/>
    <x v="2"/>
    <n v="7.6916529034001799"/>
    <x v="3"/>
  </r>
  <r>
    <x v="7"/>
    <x v="21"/>
    <x v="2"/>
    <n v="6.0261673855418998"/>
    <x v="3"/>
  </r>
  <r>
    <x v="7"/>
    <x v="0"/>
    <x v="2"/>
    <n v="5.3900690263281996"/>
    <x v="3"/>
  </r>
  <r>
    <x v="7"/>
    <x v="2"/>
    <x v="2"/>
    <n v="0.13864718157036399"/>
    <x v="3"/>
  </r>
  <r>
    <x v="7"/>
    <x v="17"/>
    <x v="2"/>
    <n v="4.6254307669375496"/>
    <x v="3"/>
  </r>
  <r>
    <x v="7"/>
    <x v="13"/>
    <x v="2"/>
    <n v="5.30223084829636"/>
    <x v="3"/>
  </r>
  <r>
    <x v="7"/>
    <x v="18"/>
    <x v="2"/>
    <n v="5.9844020508096998"/>
    <x v="3"/>
  </r>
  <r>
    <x v="7"/>
    <x v="19"/>
    <x v="2"/>
    <n v="5.7799214565429304"/>
    <x v="3"/>
  </r>
  <r>
    <x v="7"/>
    <x v="20"/>
    <x v="2"/>
    <n v="5.8717248729326696"/>
    <x v="3"/>
  </r>
  <r>
    <x v="7"/>
    <x v="14"/>
    <x v="2"/>
    <n v="6.1819185109167298"/>
    <x v="3"/>
  </r>
  <r>
    <x v="7"/>
    <x v="1"/>
    <x v="2"/>
    <n v="5.8937764599039202"/>
    <x v="3"/>
  </r>
  <r>
    <x v="7"/>
    <x v="3"/>
    <x v="2"/>
    <n v="7.0053842655512097"/>
    <x v="3"/>
  </r>
  <r>
    <x v="7"/>
    <x v="15"/>
    <x v="2"/>
    <n v="6.9854305807609496"/>
    <x v="3"/>
  </r>
  <r>
    <x v="7"/>
    <x v="4"/>
    <x v="2"/>
    <n v="6.8665082766429002"/>
    <x v="3"/>
  </r>
  <r>
    <x v="92"/>
    <x v="11"/>
    <x v="2"/>
    <n v="4.8118770571577203"/>
    <x v="3"/>
  </r>
  <r>
    <x v="92"/>
    <x v="12"/>
    <x v="2"/>
    <n v="5.3429535580286203"/>
    <x v="3"/>
  </r>
  <r>
    <x v="92"/>
    <x v="16"/>
    <x v="2"/>
    <n v="5.7400555996639397"/>
    <x v="3"/>
  </r>
  <r>
    <x v="92"/>
    <x v="21"/>
    <x v="2"/>
    <n v="5.7320808332907003"/>
    <x v="3"/>
  </r>
  <r>
    <x v="92"/>
    <x v="0"/>
    <x v="2"/>
    <n v="5.3658645057042502"/>
    <x v="3"/>
  </r>
  <r>
    <x v="92"/>
    <x v="2"/>
    <x v="2"/>
    <n v="4.3001882853766498"/>
    <x v="3"/>
  </r>
  <r>
    <x v="92"/>
    <x v="17"/>
    <x v="2"/>
    <n v="4.6491958868818104"/>
    <x v="3"/>
  </r>
  <r>
    <x v="92"/>
    <x v="13"/>
    <x v="2"/>
    <n v="5.12183367569894"/>
    <x v="3"/>
  </r>
  <r>
    <x v="92"/>
    <x v="18"/>
    <x v="2"/>
    <n v="5.59124030474704"/>
    <x v="3"/>
  </r>
  <r>
    <x v="92"/>
    <x v="19"/>
    <x v="2"/>
    <n v="5.1732720120645102"/>
    <x v="3"/>
  </r>
  <r>
    <x v="92"/>
    <x v="20"/>
    <x v="2"/>
    <n v="4.9134311854156296"/>
    <x v="3"/>
  </r>
  <r>
    <x v="92"/>
    <x v="14"/>
    <x v="2"/>
    <n v="5.5028269834087498"/>
    <x v="3"/>
  </r>
  <r>
    <x v="92"/>
    <x v="1"/>
    <x v="2"/>
    <n v="5.2886792404845098"/>
    <x v="3"/>
  </r>
  <r>
    <x v="92"/>
    <x v="3"/>
    <x v="2"/>
    <n v="6.1305802555929096"/>
    <x v="3"/>
  </r>
  <r>
    <x v="92"/>
    <x v="15"/>
    <x v="2"/>
    <n v="6.3294556294533901"/>
    <x v="3"/>
  </r>
  <r>
    <x v="8"/>
    <x v="11"/>
    <x v="2"/>
    <n v="7.4475884449283196"/>
    <x v="3"/>
  </r>
  <r>
    <x v="8"/>
    <x v="12"/>
    <x v="2"/>
    <n v="6.8508459186189903"/>
    <x v="3"/>
  </r>
  <r>
    <x v="8"/>
    <x v="16"/>
    <x v="2"/>
    <n v="8.5219607220900695"/>
    <x v="3"/>
  </r>
  <r>
    <x v="8"/>
    <x v="21"/>
    <x v="2"/>
    <n v="6.7814711827357597"/>
    <x v="3"/>
  </r>
  <r>
    <x v="8"/>
    <x v="0"/>
    <x v="2"/>
    <n v="5.4255771923116702"/>
    <x v="3"/>
  </r>
  <r>
    <x v="8"/>
    <x v="2"/>
    <x v="2"/>
    <n v="4.8930351695366996"/>
    <x v="3"/>
  </r>
  <r>
    <x v="8"/>
    <x v="17"/>
    <x v="2"/>
    <n v="5.1199196341482596"/>
    <x v="3"/>
  </r>
  <r>
    <x v="8"/>
    <x v="13"/>
    <x v="2"/>
    <n v="5.6235674564549196"/>
    <x v="3"/>
  </r>
  <r>
    <x v="8"/>
    <x v="18"/>
    <x v="2"/>
    <n v="5.9351230322582396"/>
    <x v="3"/>
  </r>
  <r>
    <x v="8"/>
    <x v="19"/>
    <x v="2"/>
    <n v="5.5759938791423496"/>
    <x v="3"/>
  </r>
  <r>
    <x v="8"/>
    <x v="20"/>
    <x v="2"/>
    <n v="5.4280224260178498"/>
    <x v="3"/>
  </r>
  <r>
    <x v="8"/>
    <x v="14"/>
    <x v="2"/>
    <n v="5.8902505805954899"/>
    <x v="3"/>
  </r>
  <r>
    <x v="8"/>
    <x v="1"/>
    <x v="2"/>
    <n v="5.8375192079200797"/>
    <x v="3"/>
  </r>
  <r>
    <x v="8"/>
    <x v="3"/>
    <x v="2"/>
    <n v="6.4984647932541204"/>
    <x v="3"/>
  </r>
  <r>
    <x v="8"/>
    <x v="15"/>
    <x v="2"/>
    <n v="6.3027085729137804"/>
    <x v="3"/>
  </r>
  <r>
    <x v="8"/>
    <x v="4"/>
    <x v="2"/>
    <n v="6.3893427018228799"/>
    <x v="3"/>
  </r>
  <r>
    <x v="52"/>
    <x v="11"/>
    <x v="2"/>
    <n v="4.1300298436156497"/>
    <x v="3"/>
  </r>
  <r>
    <x v="52"/>
    <x v="12"/>
    <x v="2"/>
    <n v="4.6881925653729697"/>
    <x v="3"/>
  </r>
  <r>
    <x v="52"/>
    <x v="16"/>
    <x v="2"/>
    <n v="5.5198069894069803"/>
    <x v="3"/>
  </r>
  <r>
    <x v="52"/>
    <x v="21"/>
    <x v="2"/>
    <n v="6.1772148953545098"/>
    <x v="3"/>
  </r>
  <r>
    <x v="52"/>
    <x v="0"/>
    <x v="2"/>
    <n v="5.3385145851423497"/>
    <x v="3"/>
  </r>
  <r>
    <x v="52"/>
    <x v="2"/>
    <x v="2"/>
    <n v="4.5726278124923301"/>
    <x v="3"/>
  </r>
  <r>
    <x v="52"/>
    <x v="17"/>
    <x v="2"/>
    <n v="4.4835010545586096"/>
    <x v="3"/>
  </r>
  <r>
    <x v="52"/>
    <x v="13"/>
    <x v="2"/>
    <n v="4.8618880882419901"/>
    <x v="3"/>
  </r>
  <r>
    <x v="52"/>
    <x v="18"/>
    <x v="2"/>
    <n v="5.3988830869213098"/>
    <x v="3"/>
  </r>
  <r>
    <x v="52"/>
    <x v="19"/>
    <x v="2"/>
    <n v="4.8170307437270301"/>
    <x v="3"/>
  </r>
  <r>
    <x v="52"/>
    <x v="20"/>
    <x v="2"/>
    <n v="4.7233631385713801"/>
    <x v="3"/>
  </r>
  <r>
    <x v="52"/>
    <x v="14"/>
    <x v="2"/>
    <n v="4.9893258736420698"/>
    <x v="3"/>
  </r>
  <r>
    <x v="52"/>
    <x v="1"/>
    <x v="2"/>
    <n v="4.7819839393939896"/>
    <x v="3"/>
  </r>
  <r>
    <x v="52"/>
    <x v="3"/>
    <x v="2"/>
    <n v="5.4700321927379596"/>
    <x v="3"/>
  </r>
  <r>
    <x v="52"/>
    <x v="15"/>
    <x v="2"/>
    <n v="5.5117468581492401"/>
    <x v="3"/>
  </r>
  <r>
    <x v="52"/>
    <x v="4"/>
    <x v="2"/>
    <n v="5.4892063140540497"/>
    <x v="3"/>
  </r>
  <r>
    <x v="93"/>
    <x v="25"/>
    <x v="2"/>
    <n v="0.44051389993439699"/>
    <x v="3"/>
  </r>
  <r>
    <x v="93"/>
    <x v="5"/>
    <x v="2"/>
    <n v="0.43744093426473102"/>
    <x v="3"/>
  </r>
  <r>
    <x v="93"/>
    <x v="22"/>
    <x v="2"/>
    <n v="0.45342417699908899"/>
    <x v="3"/>
  </r>
  <r>
    <x v="93"/>
    <x v="6"/>
    <x v="2"/>
    <n v="0.46338003902370201"/>
    <x v="3"/>
  </r>
  <r>
    <x v="93"/>
    <x v="7"/>
    <x v="2"/>
    <n v="0.47314753077916799"/>
    <x v="3"/>
  </r>
  <r>
    <x v="93"/>
    <x v="8"/>
    <x v="2"/>
    <n v="0.53187874626234499"/>
    <x v="3"/>
  </r>
  <r>
    <x v="93"/>
    <x v="9"/>
    <x v="2"/>
    <n v="0.72617470066238798"/>
    <x v="3"/>
  </r>
  <r>
    <x v="93"/>
    <x v="10"/>
    <x v="2"/>
    <n v="1.0088184293779301"/>
    <x v="3"/>
  </r>
  <r>
    <x v="93"/>
    <x v="0"/>
    <x v="2"/>
    <n v="4.4250608941246297"/>
    <x v="3"/>
  </r>
  <r>
    <x v="93"/>
    <x v="2"/>
    <x v="2"/>
    <n v="3.8189056502529302"/>
    <x v="3"/>
  </r>
  <r>
    <x v="93"/>
    <x v="17"/>
    <x v="2"/>
    <n v="3.7097520897220999"/>
    <x v="3"/>
  </r>
  <r>
    <x v="93"/>
    <x v="13"/>
    <x v="2"/>
    <n v="3.8040196305784"/>
    <x v="3"/>
  </r>
  <r>
    <x v="93"/>
    <x v="18"/>
    <x v="2"/>
    <n v="4.1160690241114199"/>
    <x v="3"/>
  </r>
  <r>
    <x v="93"/>
    <x v="19"/>
    <x v="2"/>
    <n v="3.86351659252378"/>
    <x v="3"/>
  </r>
  <r>
    <x v="93"/>
    <x v="20"/>
    <x v="2"/>
    <n v="3.9882538850707001"/>
    <x v="3"/>
  </r>
  <r>
    <x v="93"/>
    <x v="14"/>
    <x v="2"/>
    <n v="3.7985417707406701"/>
    <x v="3"/>
  </r>
  <r>
    <x v="93"/>
    <x v="1"/>
    <x v="2"/>
    <n v="4.7832814817715104"/>
    <x v="3"/>
  </r>
  <r>
    <x v="93"/>
    <x v="3"/>
    <x v="2"/>
    <n v="4.6676148629846201"/>
    <x v="3"/>
  </r>
  <r>
    <x v="93"/>
    <x v="15"/>
    <x v="2"/>
    <n v="4.6291904198823701"/>
    <x v="3"/>
  </r>
  <r>
    <x v="94"/>
    <x v="11"/>
    <x v="2"/>
    <n v="1.6452946442901899"/>
    <x v="3"/>
  </r>
  <r>
    <x v="94"/>
    <x v="2"/>
    <x v="2"/>
    <n v="1.99050103873857"/>
    <x v="3"/>
  </r>
  <r>
    <x v="94"/>
    <x v="17"/>
    <x v="2"/>
    <n v="1.5921763011137799"/>
    <x v="3"/>
  </r>
  <r>
    <x v="94"/>
    <x v="13"/>
    <x v="2"/>
    <n v="2.75121187948919"/>
    <x v="3"/>
  </r>
  <r>
    <x v="94"/>
    <x v="18"/>
    <x v="2"/>
    <n v="5.4312729351779403"/>
    <x v="3"/>
  </r>
  <r>
    <x v="94"/>
    <x v="19"/>
    <x v="2"/>
    <n v="4.8508897681786403"/>
    <x v="3"/>
  </r>
  <r>
    <x v="94"/>
    <x v="20"/>
    <x v="2"/>
    <n v="4.8035153693936499"/>
    <x v="3"/>
  </r>
  <r>
    <x v="94"/>
    <x v="14"/>
    <x v="2"/>
    <n v="4.9218064497652199"/>
    <x v="3"/>
  </r>
  <r>
    <x v="94"/>
    <x v="1"/>
    <x v="2"/>
    <n v="5.1938983916028798"/>
    <x v="3"/>
  </r>
  <r>
    <x v="94"/>
    <x v="3"/>
    <x v="2"/>
    <n v="5.6363529751508699"/>
    <x v="3"/>
  </r>
  <r>
    <x v="94"/>
    <x v="15"/>
    <x v="2"/>
    <n v="5.5718715532404097"/>
    <x v="3"/>
  </r>
  <r>
    <x v="94"/>
    <x v="4"/>
    <x v="2"/>
    <n v="5.3824680269657001"/>
    <x v="3"/>
  </r>
  <r>
    <x v="11"/>
    <x v="16"/>
    <x v="2"/>
    <n v="4.9872179303791198"/>
    <x v="3"/>
  </r>
  <r>
    <x v="11"/>
    <x v="21"/>
    <x v="2"/>
    <n v="5.1139288305315302"/>
    <x v="3"/>
  </r>
  <r>
    <x v="11"/>
    <x v="13"/>
    <x v="2"/>
    <n v="5.1749097176117802"/>
    <x v="3"/>
  </r>
  <r>
    <x v="12"/>
    <x v="0"/>
    <x v="2"/>
    <n v="1.41882621647802E-2"/>
    <x v="3"/>
  </r>
  <r>
    <x v="95"/>
    <x v="17"/>
    <x v="2"/>
    <n v="2.2789100653440602"/>
    <x v="3"/>
  </r>
  <r>
    <x v="95"/>
    <x v="13"/>
    <x v="2"/>
    <n v="1.79960540134506"/>
    <x v="3"/>
  </r>
  <r>
    <x v="13"/>
    <x v="0"/>
    <x v="2"/>
    <n v="3.3526480576145699"/>
    <x v="3"/>
  </r>
  <r>
    <x v="13"/>
    <x v="2"/>
    <x v="2"/>
    <n v="3.3169226112664099"/>
    <x v="3"/>
  </r>
  <r>
    <x v="13"/>
    <x v="17"/>
    <x v="2"/>
    <n v="2.6565897612726599"/>
    <x v="3"/>
  </r>
  <r>
    <x v="13"/>
    <x v="13"/>
    <x v="2"/>
    <n v="2.46352772721783"/>
    <x v="3"/>
  </r>
  <r>
    <x v="13"/>
    <x v="18"/>
    <x v="2"/>
    <n v="2.46996945689652"/>
    <x v="3"/>
  </r>
  <r>
    <x v="13"/>
    <x v="19"/>
    <x v="2"/>
    <n v="2.6541864587638302"/>
    <x v="3"/>
  </r>
  <r>
    <x v="13"/>
    <x v="20"/>
    <x v="2"/>
    <n v="2.6972803042879101"/>
    <x v="3"/>
  </r>
  <r>
    <x v="13"/>
    <x v="14"/>
    <x v="2"/>
    <n v="2.46327499923868"/>
    <x v="3"/>
  </r>
  <r>
    <x v="13"/>
    <x v="1"/>
    <x v="2"/>
    <n v="2.8494052773576102"/>
    <x v="3"/>
  </r>
  <r>
    <x v="13"/>
    <x v="3"/>
    <x v="2"/>
    <n v="3.0862872448029002"/>
    <x v="3"/>
  </r>
  <r>
    <x v="13"/>
    <x v="15"/>
    <x v="2"/>
    <n v="2.7705902335264199"/>
    <x v="3"/>
  </r>
  <r>
    <x v="13"/>
    <x v="4"/>
    <x v="2"/>
    <n v="2.9066850066567"/>
    <x v="3"/>
  </r>
  <r>
    <x v="96"/>
    <x v="11"/>
    <x v="2"/>
    <n v="3.7534043810420799"/>
    <x v="3"/>
  </r>
  <r>
    <x v="96"/>
    <x v="12"/>
    <x v="2"/>
    <n v="4.5765045261572599"/>
    <x v="3"/>
  </r>
  <r>
    <x v="96"/>
    <x v="16"/>
    <x v="2"/>
    <n v="5.7207365985212997"/>
    <x v="3"/>
  </r>
  <r>
    <x v="96"/>
    <x v="21"/>
    <x v="2"/>
    <n v="6.2768266301675899"/>
    <x v="3"/>
  </r>
  <r>
    <x v="96"/>
    <x v="0"/>
    <x v="2"/>
    <n v="5.5897761974860396"/>
    <x v="3"/>
  </r>
  <r>
    <x v="96"/>
    <x v="2"/>
    <x v="2"/>
    <n v="4.8739873217475802"/>
    <x v="3"/>
  </r>
  <r>
    <x v="96"/>
    <x v="17"/>
    <x v="2"/>
    <n v="4.6627167498043702"/>
    <x v="3"/>
  </r>
  <r>
    <x v="96"/>
    <x v="13"/>
    <x v="2"/>
    <n v="4.8348018810631901"/>
    <x v="3"/>
  </r>
  <r>
    <x v="96"/>
    <x v="18"/>
    <x v="2"/>
    <n v="5.4883549381054397"/>
    <x v="3"/>
  </r>
  <r>
    <x v="96"/>
    <x v="19"/>
    <x v="2"/>
    <n v="5.0375007190805796"/>
    <x v="3"/>
  </r>
  <r>
    <x v="96"/>
    <x v="20"/>
    <x v="2"/>
    <n v="4.7999589087222203"/>
    <x v="3"/>
  </r>
  <r>
    <x v="96"/>
    <x v="14"/>
    <x v="2"/>
    <n v="4.8969360304012497"/>
    <x v="3"/>
  </r>
  <r>
    <x v="96"/>
    <x v="1"/>
    <x v="2"/>
    <n v="5.2421826836180596"/>
    <x v="3"/>
  </r>
  <r>
    <x v="96"/>
    <x v="3"/>
    <x v="2"/>
    <n v="5.9882594632162904"/>
    <x v="3"/>
  </r>
  <r>
    <x v="96"/>
    <x v="15"/>
    <x v="2"/>
    <n v="5.8152954993368597"/>
    <x v="3"/>
  </r>
  <r>
    <x v="96"/>
    <x v="4"/>
    <x v="2"/>
    <n v="5.7837178333199297"/>
    <x v="3"/>
  </r>
  <r>
    <x v="14"/>
    <x v="23"/>
    <x v="2"/>
    <n v="2.27014205558062"/>
    <x v="3"/>
  </r>
  <r>
    <x v="14"/>
    <x v="24"/>
    <x v="2"/>
    <n v="2.4786181398298002"/>
    <x v="3"/>
  </r>
  <r>
    <x v="14"/>
    <x v="25"/>
    <x v="2"/>
    <n v="2.5084486894581"/>
    <x v="3"/>
  </r>
  <r>
    <x v="14"/>
    <x v="5"/>
    <x v="2"/>
    <n v="2.86205586814097"/>
    <x v="3"/>
  </r>
  <r>
    <x v="14"/>
    <x v="22"/>
    <x v="2"/>
    <n v="2.8632949892481299"/>
    <x v="3"/>
  </r>
  <r>
    <x v="14"/>
    <x v="6"/>
    <x v="2"/>
    <n v="3.0076273565561999"/>
    <x v="3"/>
  </r>
  <r>
    <x v="14"/>
    <x v="7"/>
    <x v="2"/>
    <n v="3.2224137909749699"/>
    <x v="3"/>
  </r>
  <r>
    <x v="14"/>
    <x v="8"/>
    <x v="2"/>
    <n v="3.9949895146214098"/>
    <x v="3"/>
  </r>
  <r>
    <x v="14"/>
    <x v="9"/>
    <x v="2"/>
    <n v="5.07331298826933"/>
    <x v="3"/>
  </r>
  <r>
    <x v="14"/>
    <x v="10"/>
    <x v="2"/>
    <n v="4.75370854955501"/>
    <x v="3"/>
  </r>
  <r>
    <x v="14"/>
    <x v="11"/>
    <x v="2"/>
    <n v="4.3863465811965803"/>
    <x v="3"/>
  </r>
  <r>
    <x v="14"/>
    <x v="12"/>
    <x v="2"/>
    <n v="5.16937546974372"/>
    <x v="3"/>
  </r>
  <r>
    <x v="14"/>
    <x v="16"/>
    <x v="2"/>
    <n v="5.4779080961724302"/>
    <x v="3"/>
  </r>
  <r>
    <x v="14"/>
    <x v="21"/>
    <x v="2"/>
    <n v="6.2359960747675496"/>
    <x v="3"/>
  </r>
  <r>
    <x v="14"/>
    <x v="0"/>
    <x v="2"/>
    <n v="5.5817982432331998"/>
    <x v="3"/>
  </r>
  <r>
    <x v="14"/>
    <x v="2"/>
    <x v="2"/>
    <n v="4.6193295057098602"/>
    <x v="3"/>
  </r>
  <r>
    <x v="14"/>
    <x v="17"/>
    <x v="2"/>
    <n v="4.6850495347413803"/>
    <x v="3"/>
  </r>
  <r>
    <x v="14"/>
    <x v="13"/>
    <x v="2"/>
    <n v="5.1978702340718801"/>
    <x v="3"/>
  </r>
  <r>
    <x v="14"/>
    <x v="18"/>
    <x v="2"/>
    <n v="5.4312729354980398"/>
    <x v="3"/>
  </r>
  <r>
    <x v="14"/>
    <x v="19"/>
    <x v="2"/>
    <n v="5.3981123046244699"/>
    <x v="3"/>
  </r>
  <r>
    <x v="14"/>
    <x v="20"/>
    <x v="2"/>
    <n v="5.5195736866101903"/>
    <x v="3"/>
  </r>
  <r>
    <x v="14"/>
    <x v="14"/>
    <x v="2"/>
    <n v="5.6460573174974398"/>
    <x v="3"/>
  </r>
  <r>
    <x v="14"/>
    <x v="1"/>
    <x v="2"/>
    <n v="5.5917988536862797"/>
    <x v="3"/>
  </r>
  <r>
    <x v="14"/>
    <x v="3"/>
    <x v="2"/>
    <n v="6.3090344544228696"/>
    <x v="3"/>
  </r>
  <r>
    <x v="14"/>
    <x v="15"/>
    <x v="2"/>
    <n v="6.1650372293088296"/>
    <x v="3"/>
  </r>
  <r>
    <x v="15"/>
    <x v="9"/>
    <x v="2"/>
    <n v="4.2512225902239296"/>
    <x v="3"/>
  </r>
  <r>
    <x v="15"/>
    <x v="10"/>
    <x v="2"/>
    <n v="3.73484094744693"/>
    <x v="3"/>
  </r>
  <r>
    <x v="15"/>
    <x v="11"/>
    <x v="2"/>
    <n v="3.4304626255178299"/>
    <x v="3"/>
  </r>
  <r>
    <x v="15"/>
    <x v="12"/>
    <x v="2"/>
    <n v="4.1039599161428297"/>
    <x v="3"/>
  </r>
  <r>
    <x v="15"/>
    <x v="16"/>
    <x v="2"/>
    <n v="4.9156011935341901"/>
    <x v="3"/>
  </r>
  <r>
    <x v="15"/>
    <x v="21"/>
    <x v="2"/>
    <n v="5.5260469398198797"/>
    <x v="3"/>
  </r>
  <r>
    <x v="15"/>
    <x v="0"/>
    <x v="2"/>
    <n v="4.8684958618224199"/>
    <x v="3"/>
  </r>
  <r>
    <x v="15"/>
    <x v="2"/>
    <x v="2"/>
    <n v="4.1683904895608697"/>
    <x v="3"/>
  </r>
  <r>
    <x v="15"/>
    <x v="17"/>
    <x v="2"/>
    <n v="3.9628976743272699"/>
    <x v="3"/>
  </r>
  <r>
    <x v="15"/>
    <x v="13"/>
    <x v="2"/>
    <n v="4.5398579101113699"/>
    <x v="3"/>
  </r>
  <r>
    <x v="15"/>
    <x v="18"/>
    <x v="2"/>
    <n v="5.0062142922955903"/>
    <x v="3"/>
  </r>
  <r>
    <x v="15"/>
    <x v="19"/>
    <x v="2"/>
    <n v="4.5080222599465003"/>
    <x v="3"/>
  </r>
  <r>
    <x v="15"/>
    <x v="20"/>
    <x v="2"/>
    <n v="4.491199780174"/>
    <x v="3"/>
  </r>
  <r>
    <x v="15"/>
    <x v="14"/>
    <x v="2"/>
    <n v="4.7059055618286498"/>
    <x v="3"/>
  </r>
  <r>
    <x v="15"/>
    <x v="1"/>
    <x v="2"/>
    <n v="4.8902513873817997"/>
    <x v="3"/>
  </r>
  <r>
    <x v="15"/>
    <x v="3"/>
    <x v="2"/>
    <n v="5.4576924921843304"/>
    <x v="3"/>
  </r>
  <r>
    <x v="15"/>
    <x v="15"/>
    <x v="2"/>
    <n v="5.2697490382339396"/>
    <x v="3"/>
  </r>
  <r>
    <x v="15"/>
    <x v="4"/>
    <x v="2"/>
    <n v="5.2511618913242204"/>
    <x v="3"/>
  </r>
  <r>
    <x v="16"/>
    <x v="16"/>
    <x v="2"/>
    <n v="1.9178605978438501"/>
    <x v="3"/>
  </r>
  <r>
    <x v="16"/>
    <x v="21"/>
    <x v="2"/>
    <n v="3.76640570647394"/>
    <x v="3"/>
  </r>
  <r>
    <x v="16"/>
    <x v="0"/>
    <x v="2"/>
    <n v="1.7177626959519601"/>
    <x v="3"/>
  </r>
  <r>
    <x v="16"/>
    <x v="2"/>
    <x v="2"/>
    <n v="2.0295124510779199"/>
    <x v="3"/>
  </r>
  <r>
    <x v="16"/>
    <x v="20"/>
    <x v="2"/>
    <n v="0.83246486217257798"/>
    <x v="3"/>
  </r>
  <r>
    <x v="16"/>
    <x v="14"/>
    <x v="2"/>
    <n v="1.0238034501150499"/>
    <x v="3"/>
  </r>
  <r>
    <x v="17"/>
    <x v="11"/>
    <x v="2"/>
    <n v="5.82323201609909"/>
    <x v="3"/>
  </r>
  <r>
    <x v="17"/>
    <x v="12"/>
    <x v="2"/>
    <n v="6.5653967602139804"/>
    <x v="3"/>
  </r>
  <r>
    <x v="17"/>
    <x v="16"/>
    <x v="2"/>
    <n v="6.5629624288307404"/>
    <x v="3"/>
  </r>
  <r>
    <x v="17"/>
    <x v="21"/>
    <x v="2"/>
    <n v="7.1281870991219201"/>
    <x v="3"/>
  </r>
  <r>
    <x v="17"/>
    <x v="0"/>
    <x v="2"/>
    <n v="6.7190206353677304"/>
    <x v="3"/>
  </r>
  <r>
    <x v="17"/>
    <x v="2"/>
    <x v="2"/>
    <n v="5.6166224109400398"/>
    <x v="3"/>
  </r>
  <r>
    <x v="17"/>
    <x v="17"/>
    <x v="2"/>
    <n v="5.2993202639965604"/>
    <x v="3"/>
  </r>
  <r>
    <x v="17"/>
    <x v="13"/>
    <x v="2"/>
    <n v="6.2046219748979103"/>
    <x v="3"/>
  </r>
  <r>
    <x v="17"/>
    <x v="18"/>
    <x v="2"/>
    <n v="6.5672258097990701"/>
    <x v="3"/>
  </r>
  <r>
    <x v="17"/>
    <x v="19"/>
    <x v="2"/>
    <n v="6.0951270623409304"/>
    <x v="3"/>
  </r>
  <r>
    <x v="17"/>
    <x v="20"/>
    <x v="2"/>
    <n v="6.1653308138238101"/>
    <x v="3"/>
  </r>
  <r>
    <x v="17"/>
    <x v="14"/>
    <x v="2"/>
    <n v="6.5563879836327201"/>
    <x v="3"/>
  </r>
  <r>
    <x v="17"/>
    <x v="1"/>
    <x v="2"/>
    <n v="6.4914206979552498"/>
    <x v="3"/>
  </r>
  <r>
    <x v="17"/>
    <x v="3"/>
    <x v="2"/>
    <n v="7.1705524451162299"/>
    <x v="3"/>
  </r>
  <r>
    <x v="17"/>
    <x v="15"/>
    <x v="2"/>
    <n v="7.4682314852804197"/>
    <x v="3"/>
  </r>
  <r>
    <x v="17"/>
    <x v="4"/>
    <x v="2"/>
    <n v="6.92917614451002"/>
    <x v="3"/>
  </r>
  <r>
    <x v="18"/>
    <x v="12"/>
    <x v="2"/>
    <n v="3.09571275963369"/>
    <x v="3"/>
  </r>
  <r>
    <x v="18"/>
    <x v="14"/>
    <x v="2"/>
    <n v="3.8410987421517402"/>
    <x v="3"/>
  </r>
  <r>
    <x v="18"/>
    <x v="1"/>
    <x v="2"/>
    <n v="4.4897300364001902"/>
    <x v="3"/>
  </r>
  <r>
    <x v="18"/>
    <x v="3"/>
    <x v="2"/>
    <n v="4.54621347569734"/>
    <x v="3"/>
  </r>
  <r>
    <x v="18"/>
    <x v="15"/>
    <x v="2"/>
    <n v="4.3542644809003397"/>
    <x v="3"/>
  </r>
  <r>
    <x v="18"/>
    <x v="4"/>
    <x v="2"/>
    <n v="4.7723681896554098"/>
    <x v="3"/>
  </r>
  <r>
    <x v="19"/>
    <x v="12"/>
    <x v="2"/>
    <n v="7.1200847232901197"/>
    <x v="3"/>
  </r>
  <r>
    <x v="19"/>
    <x v="16"/>
    <x v="2"/>
    <n v="6.5822155893479701"/>
    <x v="3"/>
  </r>
  <r>
    <x v="19"/>
    <x v="13"/>
    <x v="2"/>
    <n v="5.5313117046276901"/>
    <x v="3"/>
  </r>
  <r>
    <x v="19"/>
    <x v="18"/>
    <x v="2"/>
    <n v="6.1014486110003201"/>
    <x v="3"/>
  </r>
  <r>
    <x v="19"/>
    <x v="19"/>
    <x v="2"/>
    <n v="6.1820533363695498"/>
    <x v="3"/>
  </r>
  <r>
    <x v="19"/>
    <x v="20"/>
    <x v="2"/>
    <n v="6.1532635189292497"/>
    <x v="3"/>
  </r>
  <r>
    <x v="19"/>
    <x v="14"/>
    <x v="2"/>
    <n v="6.1759040134123504"/>
    <x v="3"/>
  </r>
  <r>
    <x v="19"/>
    <x v="1"/>
    <x v="2"/>
    <n v="5.6638226642118603"/>
    <x v="3"/>
  </r>
  <r>
    <x v="19"/>
    <x v="3"/>
    <x v="2"/>
    <n v="5.2911086237497997"/>
    <x v="3"/>
  </r>
  <r>
    <x v="19"/>
    <x v="15"/>
    <x v="2"/>
    <n v="6.3583389959328702"/>
    <x v="3"/>
  </r>
  <r>
    <x v="19"/>
    <x v="4"/>
    <x v="2"/>
    <n v="2.5409687353342001"/>
    <x v="3"/>
  </r>
  <r>
    <x v="21"/>
    <x v="0"/>
    <x v="2"/>
    <n v="4.71639191574197"/>
    <x v="3"/>
  </r>
  <r>
    <x v="21"/>
    <x v="2"/>
    <x v="2"/>
    <n v="4.3668996687572603"/>
    <x v="3"/>
  </r>
  <r>
    <x v="21"/>
    <x v="17"/>
    <x v="2"/>
    <n v="4.3236981921995303"/>
    <x v="3"/>
  </r>
  <r>
    <x v="21"/>
    <x v="19"/>
    <x v="2"/>
    <n v="3.9984978639664801"/>
    <x v="3"/>
  </r>
  <r>
    <x v="54"/>
    <x v="23"/>
    <x v="2"/>
    <n v="2.9623493715266198"/>
    <x v="3"/>
  </r>
  <r>
    <x v="54"/>
    <x v="24"/>
    <x v="2"/>
    <n v="2.66317988589803"/>
    <x v="3"/>
  </r>
  <r>
    <x v="54"/>
    <x v="25"/>
    <x v="2"/>
    <n v="2.92378962555023"/>
    <x v="3"/>
  </r>
  <r>
    <x v="54"/>
    <x v="5"/>
    <x v="2"/>
    <n v="3.3160274214787702"/>
    <x v="3"/>
  </r>
  <r>
    <x v="54"/>
    <x v="22"/>
    <x v="2"/>
    <n v="3.70930209362013"/>
    <x v="3"/>
  </r>
  <r>
    <x v="54"/>
    <x v="6"/>
    <x v="2"/>
    <n v="3.35841799199798"/>
    <x v="3"/>
  </r>
  <r>
    <x v="54"/>
    <x v="7"/>
    <x v="2"/>
    <n v="3.1278792264669502"/>
    <x v="3"/>
  </r>
  <r>
    <x v="54"/>
    <x v="8"/>
    <x v="2"/>
    <n v="3.5783404256917"/>
    <x v="3"/>
  </r>
  <r>
    <x v="54"/>
    <x v="9"/>
    <x v="2"/>
    <n v="4.8555680051198999"/>
    <x v="3"/>
  </r>
  <r>
    <x v="54"/>
    <x v="10"/>
    <x v="2"/>
    <n v="4.6645812320097404"/>
    <x v="3"/>
  </r>
  <r>
    <x v="54"/>
    <x v="11"/>
    <x v="2"/>
    <n v="4.36420570578845"/>
    <x v="3"/>
  </r>
  <r>
    <x v="54"/>
    <x v="12"/>
    <x v="2"/>
    <n v="5.1999941331051698"/>
    <x v="3"/>
  </r>
  <r>
    <x v="54"/>
    <x v="16"/>
    <x v="2"/>
    <n v="5.82332797498918"/>
    <x v="3"/>
  </r>
  <r>
    <x v="54"/>
    <x v="21"/>
    <x v="2"/>
    <n v="6.4067010263283697"/>
    <x v="3"/>
  </r>
  <r>
    <x v="54"/>
    <x v="0"/>
    <x v="2"/>
    <n v="6.45259524153016"/>
    <x v="3"/>
  </r>
  <r>
    <x v="54"/>
    <x v="2"/>
    <x v="2"/>
    <n v="5.3209644288795204"/>
    <x v="3"/>
  </r>
  <r>
    <x v="54"/>
    <x v="17"/>
    <x v="2"/>
    <n v="3.7148995036205101"/>
    <x v="3"/>
  </r>
  <r>
    <x v="54"/>
    <x v="13"/>
    <x v="2"/>
    <n v="3.05457515580474"/>
    <x v="3"/>
  </r>
  <r>
    <x v="54"/>
    <x v="18"/>
    <x v="2"/>
    <n v="6.2180714424505004"/>
    <x v="3"/>
  </r>
  <r>
    <x v="54"/>
    <x v="19"/>
    <x v="2"/>
    <n v="5.9546305893945499"/>
    <x v="3"/>
  </r>
  <r>
    <x v="54"/>
    <x v="20"/>
    <x v="2"/>
    <n v="5.2004277473834799"/>
    <x v="3"/>
  </r>
  <r>
    <x v="54"/>
    <x v="14"/>
    <x v="2"/>
    <n v="5.2119606549727902"/>
    <x v="3"/>
  </r>
  <r>
    <x v="54"/>
    <x v="1"/>
    <x v="2"/>
    <n v="5.3442699963816196"/>
    <x v="3"/>
  </r>
  <r>
    <x v="54"/>
    <x v="3"/>
    <x v="2"/>
    <n v="6.0137891804204502"/>
    <x v="3"/>
  </r>
  <r>
    <x v="54"/>
    <x v="15"/>
    <x v="2"/>
    <n v="4.2420738871457502"/>
    <x v="3"/>
  </r>
  <r>
    <x v="54"/>
    <x v="4"/>
    <x v="2"/>
    <n v="3.6999489500787499"/>
    <x v="3"/>
  </r>
  <r>
    <x v="76"/>
    <x v="13"/>
    <x v="2"/>
    <n v="4.75331330355045"/>
    <x v="3"/>
  </r>
  <r>
    <x v="76"/>
    <x v="18"/>
    <x v="2"/>
    <n v="5.4312729341691801"/>
    <x v="3"/>
  </r>
  <r>
    <x v="76"/>
    <x v="19"/>
    <x v="2"/>
    <n v="4.7200314663521103"/>
    <x v="3"/>
  </r>
  <r>
    <x v="76"/>
    <x v="20"/>
    <x v="2"/>
    <n v="4.8347482970682103"/>
    <x v="3"/>
  </r>
  <r>
    <x v="76"/>
    <x v="14"/>
    <x v="2"/>
    <n v="4.7943463707660898"/>
    <x v="3"/>
  </r>
  <r>
    <x v="76"/>
    <x v="1"/>
    <x v="2"/>
    <n v="5.0601552147322799"/>
    <x v="3"/>
  </r>
  <r>
    <x v="76"/>
    <x v="3"/>
    <x v="2"/>
    <n v="5.6843582605476497"/>
    <x v="3"/>
  </r>
  <r>
    <x v="76"/>
    <x v="15"/>
    <x v="2"/>
    <n v="5.6145467113691998"/>
    <x v="3"/>
  </r>
  <r>
    <x v="76"/>
    <x v="4"/>
    <x v="2"/>
    <n v="5.4691185684463202"/>
    <x v="3"/>
  </r>
  <r>
    <x v="22"/>
    <x v="23"/>
    <x v="2"/>
    <n v="3.1289131082895398"/>
    <x v="3"/>
  </r>
  <r>
    <x v="22"/>
    <x v="24"/>
    <x v="2"/>
    <n v="3.2105507930813899"/>
    <x v="3"/>
  </r>
  <r>
    <x v="22"/>
    <x v="25"/>
    <x v="2"/>
    <n v="3.5922509766441602"/>
    <x v="3"/>
  </r>
  <r>
    <x v="22"/>
    <x v="5"/>
    <x v="2"/>
    <n v="4.1013107757078497"/>
    <x v="3"/>
  </r>
  <r>
    <x v="22"/>
    <x v="22"/>
    <x v="2"/>
    <n v="4.2672929662662904"/>
    <x v="3"/>
  </r>
  <r>
    <x v="22"/>
    <x v="6"/>
    <x v="2"/>
    <n v="4.5792384074187202"/>
    <x v="3"/>
  </r>
  <r>
    <x v="22"/>
    <x v="7"/>
    <x v="2"/>
    <n v="5.0379443291322001"/>
    <x v="3"/>
  </r>
  <r>
    <x v="22"/>
    <x v="8"/>
    <x v="2"/>
    <n v="5.7783608026928803"/>
    <x v="3"/>
  </r>
  <r>
    <x v="22"/>
    <x v="9"/>
    <x v="2"/>
    <n v="6.80208029772567"/>
    <x v="3"/>
  </r>
  <r>
    <x v="22"/>
    <x v="10"/>
    <x v="2"/>
    <n v="6.0778053459552002"/>
    <x v="3"/>
  </r>
  <r>
    <x v="22"/>
    <x v="11"/>
    <x v="2"/>
    <n v="6.3066761679001404"/>
    <x v="3"/>
  </r>
  <r>
    <x v="22"/>
    <x v="12"/>
    <x v="2"/>
    <n v="7.0885290077104299"/>
    <x v="3"/>
  </r>
  <r>
    <x v="22"/>
    <x v="16"/>
    <x v="2"/>
    <n v="7.0503668452060602"/>
    <x v="3"/>
  </r>
  <r>
    <x v="22"/>
    <x v="21"/>
    <x v="2"/>
    <n v="7.5970117110505502"/>
    <x v="3"/>
  </r>
  <r>
    <x v="22"/>
    <x v="0"/>
    <x v="2"/>
    <n v="6.59647791062888"/>
    <x v="3"/>
  </r>
  <r>
    <x v="22"/>
    <x v="2"/>
    <x v="2"/>
    <n v="5.8886719368462703"/>
    <x v="3"/>
  </r>
  <r>
    <x v="22"/>
    <x v="17"/>
    <x v="2"/>
    <n v="5.56601925792281"/>
    <x v="3"/>
  </r>
  <r>
    <x v="22"/>
    <x v="13"/>
    <x v="2"/>
    <n v="6.0645284181653301"/>
    <x v="3"/>
  </r>
  <r>
    <x v="22"/>
    <x v="18"/>
    <x v="2"/>
    <n v="6.75065443322839"/>
    <x v="3"/>
  </r>
  <r>
    <x v="22"/>
    <x v="19"/>
    <x v="2"/>
    <n v="6.2554184365130601"/>
    <x v="3"/>
  </r>
  <r>
    <x v="22"/>
    <x v="20"/>
    <x v="2"/>
    <n v="6.3151205593190296"/>
    <x v="3"/>
  </r>
  <r>
    <x v="22"/>
    <x v="14"/>
    <x v="2"/>
    <n v="6.4829833390002998"/>
    <x v="3"/>
  </r>
  <r>
    <x v="22"/>
    <x v="1"/>
    <x v="2"/>
    <n v="6.7332773002716202"/>
    <x v="3"/>
  </r>
  <r>
    <x v="22"/>
    <x v="3"/>
    <x v="2"/>
    <n v="7.2511512471393997"/>
    <x v="3"/>
  </r>
  <r>
    <x v="22"/>
    <x v="15"/>
    <x v="2"/>
    <n v="7.4650517491050596"/>
    <x v="3"/>
  </r>
  <r>
    <x v="22"/>
    <x v="4"/>
    <x v="2"/>
    <n v="7.18000099605353"/>
    <x v="3"/>
  </r>
  <r>
    <x v="55"/>
    <x v="11"/>
    <x v="2"/>
    <n v="4.8051810895743099"/>
    <x v="3"/>
  </r>
  <r>
    <x v="55"/>
    <x v="12"/>
    <x v="2"/>
    <n v="5.7765449762489496"/>
    <x v="3"/>
  </r>
  <r>
    <x v="55"/>
    <x v="16"/>
    <x v="2"/>
    <n v="6.5615248616834698"/>
    <x v="3"/>
  </r>
  <r>
    <x v="55"/>
    <x v="21"/>
    <x v="2"/>
    <n v="6.31511852037334"/>
    <x v="3"/>
  </r>
  <r>
    <x v="55"/>
    <x v="0"/>
    <x v="2"/>
    <n v="5.5115019858400496"/>
    <x v="3"/>
  </r>
  <r>
    <x v="55"/>
    <x v="2"/>
    <x v="2"/>
    <n v="4.9521199116015504"/>
    <x v="3"/>
  </r>
  <r>
    <x v="55"/>
    <x v="17"/>
    <x v="2"/>
    <n v="4.9688515122482899"/>
    <x v="3"/>
  </r>
  <r>
    <x v="55"/>
    <x v="13"/>
    <x v="2"/>
    <n v="5.5046692578715"/>
    <x v="3"/>
  </r>
  <r>
    <x v="55"/>
    <x v="18"/>
    <x v="2"/>
    <n v="5.7879524053567897"/>
    <x v="3"/>
  </r>
  <r>
    <x v="55"/>
    <x v="19"/>
    <x v="2"/>
    <n v="5.6293828014423504"/>
    <x v="3"/>
  </r>
  <r>
    <x v="55"/>
    <x v="20"/>
    <x v="2"/>
    <n v="5.5645713841182198"/>
    <x v="3"/>
  </r>
  <r>
    <x v="55"/>
    <x v="14"/>
    <x v="2"/>
    <n v="5.3613908626660196"/>
    <x v="3"/>
  </r>
  <r>
    <x v="55"/>
    <x v="1"/>
    <x v="2"/>
    <n v="5.65767909548559"/>
    <x v="3"/>
  </r>
  <r>
    <x v="55"/>
    <x v="3"/>
    <x v="2"/>
    <n v="5.9730271309420804"/>
    <x v="3"/>
  </r>
  <r>
    <x v="55"/>
    <x v="15"/>
    <x v="2"/>
    <n v="5.60492250813782"/>
    <x v="3"/>
  </r>
  <r>
    <x v="55"/>
    <x v="4"/>
    <x v="2"/>
    <n v="5.4579966129188904"/>
    <x v="3"/>
  </r>
  <r>
    <x v="97"/>
    <x v="11"/>
    <x v="2"/>
    <n v="3.5179581796293"/>
    <x v="3"/>
  </r>
  <r>
    <x v="97"/>
    <x v="12"/>
    <x v="2"/>
    <n v="4.2845622687004203"/>
    <x v="3"/>
  </r>
  <r>
    <x v="97"/>
    <x v="16"/>
    <x v="2"/>
    <n v="4.8126369311989201"/>
    <x v="3"/>
  </r>
  <r>
    <x v="97"/>
    <x v="21"/>
    <x v="2"/>
    <n v="5.2091445659937596"/>
    <x v="3"/>
  </r>
  <r>
    <x v="97"/>
    <x v="13"/>
    <x v="2"/>
    <n v="4.20466128500333"/>
    <x v="3"/>
  </r>
  <r>
    <x v="97"/>
    <x v="1"/>
    <x v="2"/>
    <n v="5.1938983910997196"/>
    <x v="3"/>
  </r>
  <r>
    <x v="98"/>
    <x v="3"/>
    <x v="2"/>
    <n v="1.16058447962442"/>
    <x v="3"/>
  </r>
  <r>
    <x v="23"/>
    <x v="2"/>
    <x v="2"/>
    <n v="5.0683119820846603"/>
    <x v="3"/>
  </r>
  <r>
    <x v="23"/>
    <x v="17"/>
    <x v="2"/>
    <n v="5.1339076235437098"/>
    <x v="3"/>
  </r>
  <r>
    <x v="23"/>
    <x v="13"/>
    <x v="2"/>
    <n v="5.3609857727819898"/>
    <x v="3"/>
  </r>
  <r>
    <x v="23"/>
    <x v="14"/>
    <x v="2"/>
    <n v="5.0275600473640401"/>
    <x v="3"/>
  </r>
  <r>
    <x v="23"/>
    <x v="1"/>
    <x v="2"/>
    <n v="5.1938983864948298"/>
    <x v="3"/>
  </r>
  <r>
    <x v="23"/>
    <x v="3"/>
    <x v="2"/>
    <n v="5.3273001888825702"/>
    <x v="3"/>
  </r>
  <r>
    <x v="23"/>
    <x v="15"/>
    <x v="2"/>
    <n v="5.0252201723761898"/>
    <x v="3"/>
  </r>
  <r>
    <x v="99"/>
    <x v="12"/>
    <x v="2"/>
    <n v="3.8213557061136298"/>
    <x v="3"/>
  </r>
  <r>
    <x v="99"/>
    <x v="16"/>
    <x v="2"/>
    <n v="4.2085219412191899"/>
    <x v="3"/>
  </r>
  <r>
    <x v="99"/>
    <x v="21"/>
    <x v="2"/>
    <n v="4.9811370993704003"/>
    <x v="3"/>
  </r>
  <r>
    <x v="99"/>
    <x v="0"/>
    <x v="2"/>
    <n v="4.6666008210450496"/>
    <x v="3"/>
  </r>
  <r>
    <x v="99"/>
    <x v="2"/>
    <x v="2"/>
    <n v="3.8326828425239099"/>
    <x v="3"/>
  </r>
  <r>
    <x v="99"/>
    <x v="17"/>
    <x v="2"/>
    <n v="4.2283718633033303"/>
    <x v="3"/>
  </r>
  <r>
    <x v="99"/>
    <x v="13"/>
    <x v="2"/>
    <n v="4.7098763601280398"/>
    <x v="3"/>
  </r>
  <r>
    <x v="99"/>
    <x v="18"/>
    <x v="2"/>
    <n v="5.4661009510895502"/>
    <x v="3"/>
  </r>
  <r>
    <x v="99"/>
    <x v="19"/>
    <x v="2"/>
    <n v="5.2372835987106603"/>
    <x v="3"/>
  </r>
  <r>
    <x v="25"/>
    <x v="21"/>
    <x v="2"/>
    <n v="5.0546289926214599E-2"/>
    <x v="3"/>
  </r>
  <r>
    <x v="57"/>
    <x v="12"/>
    <x v="2"/>
    <n v="4.2607848714321603"/>
    <x v="3"/>
  </r>
  <r>
    <x v="57"/>
    <x v="16"/>
    <x v="2"/>
    <n v="4.7247793513189"/>
    <x v="3"/>
  </r>
  <r>
    <x v="57"/>
    <x v="21"/>
    <x v="2"/>
    <n v="3.5092687781324701"/>
    <x v="3"/>
  </r>
  <r>
    <x v="57"/>
    <x v="0"/>
    <x v="2"/>
    <n v="4.0666456522430297"/>
    <x v="3"/>
  </r>
  <r>
    <x v="57"/>
    <x v="2"/>
    <x v="2"/>
    <n v="4.9380735984798996"/>
    <x v="3"/>
  </r>
  <r>
    <x v="57"/>
    <x v="17"/>
    <x v="2"/>
    <n v="4.8447888569644402"/>
    <x v="3"/>
  </r>
  <r>
    <x v="57"/>
    <x v="13"/>
    <x v="2"/>
    <n v="5.29766065918745"/>
    <x v="3"/>
  </r>
  <r>
    <x v="57"/>
    <x v="18"/>
    <x v="2"/>
    <n v="5.6094857138938901"/>
    <x v="3"/>
  </r>
  <r>
    <x v="57"/>
    <x v="19"/>
    <x v="2"/>
    <n v="5.3627244309697799"/>
    <x v="3"/>
  </r>
  <r>
    <x v="57"/>
    <x v="20"/>
    <x v="2"/>
    <n v="5.5541223216392401"/>
    <x v="3"/>
  </r>
  <r>
    <x v="57"/>
    <x v="14"/>
    <x v="2"/>
    <n v="6.15515032372031"/>
    <x v="3"/>
  </r>
  <r>
    <x v="57"/>
    <x v="1"/>
    <x v="2"/>
    <n v="4.4146776523217497"/>
    <x v="3"/>
  </r>
  <r>
    <x v="57"/>
    <x v="3"/>
    <x v="2"/>
    <n v="2.9004045557287901"/>
    <x v="3"/>
  </r>
  <r>
    <x v="57"/>
    <x v="15"/>
    <x v="2"/>
    <n v="2.6684707604206999"/>
    <x v="3"/>
  </r>
  <r>
    <x v="57"/>
    <x v="4"/>
    <x v="2"/>
    <n v="3.6094239804558099"/>
    <x v="3"/>
  </r>
  <r>
    <x v="58"/>
    <x v="11"/>
    <x v="2"/>
    <n v="5.97221958528469"/>
    <x v="3"/>
  </r>
  <r>
    <x v="58"/>
    <x v="12"/>
    <x v="2"/>
    <n v="7.7073814707350099"/>
    <x v="3"/>
  </r>
  <r>
    <x v="58"/>
    <x v="16"/>
    <x v="2"/>
    <n v="8.15279522912925"/>
    <x v="3"/>
  </r>
  <r>
    <x v="58"/>
    <x v="21"/>
    <x v="2"/>
    <n v="9.4220783675970097"/>
    <x v="3"/>
  </r>
  <r>
    <x v="58"/>
    <x v="0"/>
    <x v="2"/>
    <n v="6.2443139711287197"/>
    <x v="3"/>
  </r>
  <r>
    <x v="58"/>
    <x v="2"/>
    <x v="2"/>
    <n v="5.3894339129486797"/>
    <x v="3"/>
  </r>
  <r>
    <x v="58"/>
    <x v="17"/>
    <x v="2"/>
    <n v="5.4017496345143901"/>
    <x v="3"/>
  </r>
  <r>
    <x v="58"/>
    <x v="13"/>
    <x v="2"/>
    <n v="5.2641021534255001"/>
    <x v="3"/>
  </r>
  <r>
    <x v="58"/>
    <x v="19"/>
    <x v="2"/>
    <n v="5.4980962511684304"/>
    <x v="3"/>
  </r>
  <r>
    <x v="58"/>
    <x v="20"/>
    <x v="2"/>
    <n v="5.8914317369376104"/>
    <x v="3"/>
  </r>
  <r>
    <x v="58"/>
    <x v="14"/>
    <x v="2"/>
    <n v="6.1672804246656403"/>
    <x v="3"/>
  </r>
  <r>
    <x v="58"/>
    <x v="1"/>
    <x v="2"/>
    <n v="6.3863369464115003"/>
    <x v="3"/>
  </r>
  <r>
    <x v="58"/>
    <x v="3"/>
    <x v="2"/>
    <n v="6.6520569845580999"/>
    <x v="3"/>
  </r>
  <r>
    <x v="58"/>
    <x v="15"/>
    <x v="2"/>
    <n v="6.54925955537907"/>
    <x v="3"/>
  </r>
  <r>
    <x v="29"/>
    <x v="11"/>
    <x v="2"/>
    <n v="3.3637891943849598"/>
    <x v="3"/>
  </r>
  <r>
    <x v="29"/>
    <x v="12"/>
    <x v="2"/>
    <n v="3.9427321278772598"/>
    <x v="3"/>
  </r>
  <r>
    <x v="29"/>
    <x v="16"/>
    <x v="2"/>
    <n v="6.34738952883776"/>
    <x v="3"/>
  </r>
  <r>
    <x v="29"/>
    <x v="21"/>
    <x v="2"/>
    <n v="6.3750430692726097"/>
    <x v="3"/>
  </r>
  <r>
    <x v="29"/>
    <x v="2"/>
    <x v="2"/>
    <n v="3.9983587371252001"/>
    <x v="3"/>
  </r>
  <r>
    <x v="29"/>
    <x v="17"/>
    <x v="2"/>
    <n v="4.4845780419575201"/>
    <x v="3"/>
  </r>
  <r>
    <x v="29"/>
    <x v="13"/>
    <x v="2"/>
    <n v="4.8461803858366101"/>
    <x v="3"/>
  </r>
  <r>
    <x v="29"/>
    <x v="18"/>
    <x v="2"/>
    <n v="5.4600529727047897"/>
    <x v="3"/>
  </r>
  <r>
    <x v="29"/>
    <x v="14"/>
    <x v="2"/>
    <n v="4.0876258902107399"/>
    <x v="3"/>
  </r>
  <r>
    <x v="29"/>
    <x v="1"/>
    <x v="2"/>
    <n v="4.92423649630177"/>
    <x v="3"/>
  </r>
  <r>
    <x v="29"/>
    <x v="3"/>
    <x v="2"/>
    <n v="4.6793302100153902"/>
    <x v="3"/>
  </r>
  <r>
    <x v="29"/>
    <x v="4"/>
    <x v="2"/>
    <n v="4.5325165041752298"/>
    <x v="3"/>
  </r>
  <r>
    <x v="30"/>
    <x v="23"/>
    <x v="2"/>
    <n v="2.0001099022462498"/>
    <x v="3"/>
  </r>
  <r>
    <x v="30"/>
    <x v="24"/>
    <x v="2"/>
    <n v="2.0493102598761901"/>
    <x v="3"/>
  </r>
  <r>
    <x v="30"/>
    <x v="25"/>
    <x v="2"/>
    <n v="2.7652163796973399"/>
    <x v="3"/>
  </r>
  <r>
    <x v="30"/>
    <x v="5"/>
    <x v="2"/>
    <n v="2.1240280987021598"/>
    <x v="3"/>
  </r>
  <r>
    <x v="30"/>
    <x v="22"/>
    <x v="2"/>
    <n v="2.2805766500208802"/>
    <x v="3"/>
  </r>
  <r>
    <x v="30"/>
    <x v="6"/>
    <x v="2"/>
    <n v="2.1923055542036001"/>
    <x v="3"/>
  </r>
  <r>
    <x v="30"/>
    <x v="7"/>
    <x v="2"/>
    <n v="49.7776939417056"/>
    <x v="3"/>
  </r>
  <r>
    <x v="30"/>
    <x v="8"/>
    <x v="2"/>
    <n v="6.7102918922342303"/>
    <x v="3"/>
  </r>
  <r>
    <x v="30"/>
    <x v="9"/>
    <x v="2"/>
    <n v="4.1301844132984202"/>
    <x v="3"/>
  </r>
  <r>
    <x v="30"/>
    <x v="10"/>
    <x v="2"/>
    <n v="3.5307091446948702"/>
    <x v="3"/>
  </r>
  <r>
    <x v="30"/>
    <x v="11"/>
    <x v="2"/>
    <n v="10.489155261403001"/>
    <x v="3"/>
  </r>
  <r>
    <x v="30"/>
    <x v="12"/>
    <x v="2"/>
    <n v="95.053825518372307"/>
    <x v="3"/>
  </r>
  <r>
    <x v="30"/>
    <x v="16"/>
    <x v="2"/>
    <n v="165.716522121064"/>
    <x v="3"/>
  </r>
  <r>
    <x v="30"/>
    <x v="21"/>
    <x v="2"/>
    <n v="137.67642414447599"/>
    <x v="3"/>
  </r>
  <r>
    <x v="30"/>
    <x v="0"/>
    <x v="2"/>
    <n v="123.065438032716"/>
    <x v="3"/>
  </r>
  <r>
    <x v="30"/>
    <x v="2"/>
    <x v="2"/>
    <n v="81.936377671967094"/>
    <x v="3"/>
  </r>
  <r>
    <x v="30"/>
    <x v="17"/>
    <x v="2"/>
    <n v="8.9982175637937907"/>
    <x v="3"/>
  </r>
  <r>
    <x v="30"/>
    <x v="13"/>
    <x v="2"/>
    <n v="3.6419903785273098"/>
    <x v="3"/>
  </r>
  <r>
    <x v="30"/>
    <x v="18"/>
    <x v="2"/>
    <n v="4.2067469503534296"/>
    <x v="3"/>
  </r>
  <r>
    <x v="30"/>
    <x v="19"/>
    <x v="2"/>
    <n v="4.0175951890540604"/>
    <x v="3"/>
  </r>
  <r>
    <x v="30"/>
    <x v="20"/>
    <x v="2"/>
    <n v="4.0184777168972401"/>
    <x v="3"/>
  </r>
  <r>
    <x v="30"/>
    <x v="14"/>
    <x v="2"/>
    <n v="4.2944520651798301"/>
    <x v="3"/>
  </r>
  <r>
    <x v="30"/>
    <x v="1"/>
    <x v="2"/>
    <n v="4.3666517707686401"/>
    <x v="3"/>
  </r>
  <r>
    <x v="30"/>
    <x v="3"/>
    <x v="2"/>
    <n v="4.8735791518610503"/>
    <x v="3"/>
  </r>
  <r>
    <x v="30"/>
    <x v="15"/>
    <x v="2"/>
    <n v="5.0598469844498402"/>
    <x v="3"/>
  </r>
  <r>
    <x v="30"/>
    <x v="4"/>
    <x v="2"/>
    <n v="5.0024599232757501"/>
    <x v="3"/>
  </r>
  <r>
    <x v="78"/>
    <x v="22"/>
    <x v="2"/>
    <s v="NA"/>
    <x v="3"/>
  </r>
  <r>
    <x v="78"/>
    <x v="16"/>
    <x v="2"/>
    <n v="1.53174426783377"/>
    <x v="3"/>
  </r>
  <r>
    <x v="78"/>
    <x v="21"/>
    <x v="2"/>
    <n v="1.2250037907562601"/>
    <x v="3"/>
  </r>
  <r>
    <x v="78"/>
    <x v="0"/>
    <x v="2"/>
    <n v="1.16394942930409"/>
    <x v="3"/>
  </r>
  <r>
    <x v="78"/>
    <x v="2"/>
    <x v="2"/>
    <s v="NA"/>
    <x v="3"/>
  </r>
  <r>
    <x v="78"/>
    <x v="17"/>
    <x v="2"/>
    <s v="NA"/>
    <x v="3"/>
  </r>
  <r>
    <x v="78"/>
    <x v="13"/>
    <x v="2"/>
    <n v="0.259232282600735"/>
    <x v="3"/>
  </r>
  <r>
    <x v="78"/>
    <x v="18"/>
    <x v="2"/>
    <n v="0.49963416656396997"/>
    <x v="3"/>
  </r>
  <r>
    <x v="78"/>
    <x v="19"/>
    <x v="2"/>
    <s v="NA"/>
    <x v="3"/>
  </r>
  <r>
    <x v="78"/>
    <x v="20"/>
    <x v="2"/>
    <s v="NA"/>
    <x v="3"/>
  </r>
  <r>
    <x v="78"/>
    <x v="14"/>
    <x v="2"/>
    <s v="NA"/>
    <x v="3"/>
  </r>
  <r>
    <x v="78"/>
    <x v="15"/>
    <x v="2"/>
    <n v="0.60972925818430401"/>
    <x v="3"/>
  </r>
  <r>
    <x v="59"/>
    <x v="24"/>
    <x v="2"/>
    <n v="1.1772968280365099"/>
    <x v="3"/>
  </r>
  <r>
    <x v="59"/>
    <x v="25"/>
    <x v="2"/>
    <n v="0.93661885415719803"/>
    <x v="3"/>
  </r>
  <r>
    <x v="59"/>
    <x v="5"/>
    <x v="2"/>
    <n v="1.4558021337640601"/>
    <x v="3"/>
  </r>
  <r>
    <x v="59"/>
    <x v="22"/>
    <x v="2"/>
    <n v="1.5372766131912901"/>
    <x v="3"/>
  </r>
  <r>
    <x v="59"/>
    <x v="6"/>
    <x v="2"/>
    <n v="1.75233587289669"/>
    <x v="3"/>
  </r>
  <r>
    <x v="59"/>
    <x v="7"/>
    <x v="2"/>
    <n v="2.1171540570879799"/>
    <x v="3"/>
  </r>
  <r>
    <x v="59"/>
    <x v="8"/>
    <x v="2"/>
    <n v="2.2024859939863402"/>
    <x v="3"/>
  </r>
  <r>
    <x v="59"/>
    <x v="9"/>
    <x v="2"/>
    <n v="2.6646069285951"/>
    <x v="3"/>
  </r>
  <r>
    <x v="59"/>
    <x v="10"/>
    <x v="2"/>
    <n v="3.3227414803493698"/>
    <x v="3"/>
  </r>
  <r>
    <x v="59"/>
    <x v="21"/>
    <x v="2"/>
    <n v="4.8300110203918196"/>
    <x v="3"/>
  </r>
  <r>
    <x v="59"/>
    <x v="2"/>
    <x v="2"/>
    <n v="4.3397701331628502"/>
    <x v="3"/>
  </r>
  <r>
    <x v="59"/>
    <x v="18"/>
    <x v="2"/>
    <n v="4.7521882765407097"/>
    <x v="3"/>
  </r>
  <r>
    <x v="59"/>
    <x v="19"/>
    <x v="2"/>
    <n v="4.6537754649837204"/>
    <x v="3"/>
  </r>
  <r>
    <x v="59"/>
    <x v="20"/>
    <x v="2"/>
    <n v="4.3249540285976202"/>
    <x v="3"/>
  </r>
  <r>
    <x v="59"/>
    <x v="14"/>
    <x v="2"/>
    <n v="4.8556429146763103"/>
    <x v="3"/>
  </r>
  <r>
    <x v="59"/>
    <x v="1"/>
    <x v="2"/>
    <n v="4.6169593817083499"/>
    <x v="3"/>
  </r>
  <r>
    <x v="59"/>
    <x v="3"/>
    <x v="2"/>
    <n v="4.9567998161156197"/>
    <x v="3"/>
  </r>
  <r>
    <x v="59"/>
    <x v="15"/>
    <x v="2"/>
    <n v="4.9805629509956004"/>
    <x v="3"/>
  </r>
  <r>
    <x v="59"/>
    <x v="4"/>
    <x v="2"/>
    <n v="4.9661110444274703"/>
    <x v="3"/>
  </r>
  <r>
    <x v="100"/>
    <x v="0"/>
    <x v="2"/>
    <n v="1.4089804411917899"/>
    <x v="3"/>
  </r>
  <r>
    <x v="100"/>
    <x v="2"/>
    <x v="2"/>
    <n v="1.3226589083525"/>
    <x v="3"/>
  </r>
  <r>
    <x v="100"/>
    <x v="18"/>
    <x v="2"/>
    <n v="1.5291286926868199"/>
    <x v="3"/>
  </r>
  <r>
    <x v="60"/>
    <x v="18"/>
    <x v="2"/>
    <n v="0.50181410238920199"/>
    <x v="3"/>
  </r>
  <r>
    <x v="32"/>
    <x v="11"/>
    <x v="2"/>
    <n v="2.4485364766022402"/>
    <x v="3"/>
  </r>
  <r>
    <x v="32"/>
    <x v="12"/>
    <x v="2"/>
    <n v="4.1847918787214997"/>
    <x v="3"/>
  </r>
  <r>
    <x v="32"/>
    <x v="16"/>
    <x v="2"/>
    <n v="5.2454285819657196"/>
    <x v="3"/>
  </r>
  <r>
    <x v="32"/>
    <x v="21"/>
    <x v="2"/>
    <n v="5.9551076874234603"/>
    <x v="3"/>
  </r>
  <r>
    <x v="32"/>
    <x v="0"/>
    <x v="2"/>
    <n v="5.0888978795227899"/>
    <x v="3"/>
  </r>
  <r>
    <x v="32"/>
    <x v="2"/>
    <x v="2"/>
    <n v="4.2969138214384897"/>
    <x v="3"/>
  </r>
  <r>
    <x v="32"/>
    <x v="17"/>
    <x v="2"/>
    <n v="4.1281204030480501"/>
    <x v="3"/>
  </r>
  <r>
    <x v="32"/>
    <x v="13"/>
    <x v="2"/>
    <n v="4.7176188044337497"/>
    <x v="3"/>
  </r>
  <r>
    <x v="32"/>
    <x v="18"/>
    <x v="2"/>
    <n v="4.9530666840045896"/>
    <x v="3"/>
  </r>
  <r>
    <x v="32"/>
    <x v="19"/>
    <x v="2"/>
    <n v="4.6868186952675499"/>
    <x v="3"/>
  </r>
  <r>
    <x v="32"/>
    <x v="20"/>
    <x v="2"/>
    <n v="4.6217287547190997"/>
    <x v="3"/>
  </r>
  <r>
    <x v="32"/>
    <x v="14"/>
    <x v="2"/>
    <n v="5.0130499199135299"/>
    <x v="3"/>
  </r>
  <r>
    <x v="32"/>
    <x v="1"/>
    <x v="2"/>
    <n v="5.2410645272224796"/>
    <x v="3"/>
  </r>
  <r>
    <x v="32"/>
    <x v="3"/>
    <x v="2"/>
    <n v="5.44653832622022"/>
    <x v="3"/>
  </r>
  <r>
    <x v="32"/>
    <x v="15"/>
    <x v="2"/>
    <n v="5.2991422094342804"/>
    <x v="3"/>
  </r>
  <r>
    <x v="32"/>
    <x v="4"/>
    <x v="2"/>
    <n v="5.3131366118288703"/>
    <x v="3"/>
  </r>
  <r>
    <x v="62"/>
    <x v="11"/>
    <x v="2"/>
    <n v="4.0599168093638101"/>
    <x v="3"/>
  </r>
  <r>
    <x v="62"/>
    <x v="12"/>
    <x v="2"/>
    <n v="3.8031453527652599"/>
    <x v="3"/>
  </r>
  <r>
    <x v="62"/>
    <x v="16"/>
    <x v="2"/>
    <n v="4.2359541623397199"/>
    <x v="3"/>
  </r>
  <r>
    <x v="62"/>
    <x v="21"/>
    <x v="2"/>
    <n v="4.1976947305812304"/>
    <x v="3"/>
  </r>
  <r>
    <x v="62"/>
    <x v="0"/>
    <x v="2"/>
    <n v="3.76700164147928"/>
    <x v="3"/>
  </r>
  <r>
    <x v="62"/>
    <x v="2"/>
    <x v="2"/>
    <n v="3.2704305827718998"/>
    <x v="3"/>
  </r>
  <r>
    <x v="62"/>
    <x v="17"/>
    <x v="2"/>
    <n v="3.2470716243114701"/>
    <x v="3"/>
  </r>
  <r>
    <x v="62"/>
    <x v="13"/>
    <x v="2"/>
    <n v="3.9630703551813"/>
    <x v="3"/>
  </r>
  <r>
    <x v="62"/>
    <x v="18"/>
    <x v="2"/>
    <n v="5.58210273080027"/>
    <x v="3"/>
  </r>
  <r>
    <x v="62"/>
    <x v="19"/>
    <x v="2"/>
    <n v="5.1754891749276597"/>
    <x v="3"/>
  </r>
  <r>
    <x v="62"/>
    <x v="20"/>
    <x v="2"/>
    <n v="4.95597270756224"/>
    <x v="3"/>
  </r>
  <r>
    <x v="62"/>
    <x v="14"/>
    <x v="2"/>
    <n v="4.9674879004378498"/>
    <x v="3"/>
  </r>
  <r>
    <x v="62"/>
    <x v="1"/>
    <x v="2"/>
    <n v="4.8892538668779002"/>
    <x v="3"/>
  </r>
  <r>
    <x v="62"/>
    <x v="3"/>
    <x v="2"/>
    <n v="5.3810879190389498"/>
    <x v="3"/>
  </r>
  <r>
    <x v="62"/>
    <x v="15"/>
    <x v="2"/>
    <n v="5.3443204302695504"/>
    <x v="3"/>
  </r>
  <r>
    <x v="62"/>
    <x v="4"/>
    <x v="2"/>
    <n v="5.3142597491809704"/>
    <x v="3"/>
  </r>
  <r>
    <x v="63"/>
    <x v="1"/>
    <x v="2"/>
    <n v="5.3064748280796001"/>
    <x v="3"/>
  </r>
  <r>
    <x v="63"/>
    <x v="3"/>
    <x v="2"/>
    <n v="5.6224094324348499"/>
    <x v="3"/>
  </r>
  <r>
    <x v="101"/>
    <x v="7"/>
    <x v="2"/>
    <n v="2.3900609725871198"/>
    <x v="3"/>
  </r>
  <r>
    <x v="101"/>
    <x v="8"/>
    <x v="2"/>
    <n v="2.68654907289267"/>
    <x v="3"/>
  </r>
  <r>
    <x v="101"/>
    <x v="9"/>
    <x v="2"/>
    <n v="3.4081470053824301"/>
    <x v="3"/>
  </r>
  <r>
    <x v="101"/>
    <x v="11"/>
    <x v="2"/>
    <n v="3.3251105032828501"/>
    <x v="3"/>
  </r>
  <r>
    <x v="101"/>
    <x v="12"/>
    <x v="2"/>
    <n v="3.6752394031592499"/>
    <x v="3"/>
  </r>
  <r>
    <x v="101"/>
    <x v="16"/>
    <x v="2"/>
    <n v="4.55917468227371"/>
    <x v="3"/>
  </r>
  <r>
    <x v="101"/>
    <x v="21"/>
    <x v="2"/>
    <n v="4.62277034154791"/>
    <x v="3"/>
  </r>
  <r>
    <x v="101"/>
    <x v="0"/>
    <x v="2"/>
    <n v="3.9616169818982998"/>
    <x v="3"/>
  </r>
  <r>
    <x v="101"/>
    <x v="2"/>
    <x v="2"/>
    <n v="3.3929678882877599"/>
    <x v="3"/>
  </r>
  <r>
    <x v="101"/>
    <x v="17"/>
    <x v="2"/>
    <n v="3.3621495727604298"/>
    <x v="3"/>
  </r>
  <r>
    <x v="101"/>
    <x v="13"/>
    <x v="2"/>
    <n v="3.8883303184232099"/>
    <x v="3"/>
  </r>
  <r>
    <x v="101"/>
    <x v="18"/>
    <x v="2"/>
    <n v="4.1719459633753901"/>
    <x v="3"/>
  </r>
  <r>
    <x v="101"/>
    <x v="19"/>
    <x v="2"/>
    <n v="4.0999059316039697"/>
    <x v="3"/>
  </r>
  <r>
    <x v="101"/>
    <x v="20"/>
    <x v="2"/>
    <n v="3.7662704537301299"/>
    <x v="3"/>
  </r>
  <r>
    <x v="101"/>
    <x v="14"/>
    <x v="2"/>
    <n v="4.1306995946967904"/>
    <x v="3"/>
  </r>
  <r>
    <x v="101"/>
    <x v="1"/>
    <x v="2"/>
    <n v="4.5983366007319804"/>
    <x v="3"/>
  </r>
  <r>
    <x v="101"/>
    <x v="3"/>
    <x v="2"/>
    <n v="4.3705980738266401"/>
    <x v="3"/>
  </r>
  <r>
    <x v="101"/>
    <x v="15"/>
    <x v="2"/>
    <n v="4.4040117108359"/>
    <x v="3"/>
  </r>
  <r>
    <x v="102"/>
    <x v="23"/>
    <x v="2"/>
    <n v="1.7359582555355699"/>
    <x v="3"/>
  </r>
  <r>
    <x v="102"/>
    <x v="24"/>
    <x v="2"/>
    <n v="1.8907144674506899"/>
    <x v="3"/>
  </r>
  <r>
    <x v="102"/>
    <x v="25"/>
    <x v="2"/>
    <n v="2.1052337111978998"/>
    <x v="3"/>
  </r>
  <r>
    <x v="102"/>
    <x v="5"/>
    <x v="2"/>
    <n v="2.03952431023058"/>
    <x v="3"/>
  </r>
  <r>
    <x v="102"/>
    <x v="22"/>
    <x v="2"/>
    <n v="2.4134827642797299"/>
    <x v="3"/>
  </r>
  <r>
    <x v="102"/>
    <x v="6"/>
    <x v="2"/>
    <n v="2.6245070369511998"/>
    <x v="3"/>
  </r>
  <r>
    <x v="102"/>
    <x v="7"/>
    <x v="2"/>
    <n v="2.70771218234235"/>
    <x v="3"/>
  </r>
  <r>
    <x v="102"/>
    <x v="8"/>
    <x v="2"/>
    <n v="3.2030882939062999"/>
    <x v="3"/>
  </r>
  <r>
    <x v="102"/>
    <x v="9"/>
    <x v="2"/>
    <n v="4.0993379835320196"/>
    <x v="3"/>
  </r>
  <r>
    <x v="102"/>
    <x v="10"/>
    <x v="2"/>
    <n v="3.5902157700781898"/>
    <x v="3"/>
  </r>
  <r>
    <x v="102"/>
    <x v="11"/>
    <x v="2"/>
    <n v="3.1929170925866699"/>
    <x v="3"/>
  </r>
  <r>
    <x v="102"/>
    <x v="12"/>
    <x v="2"/>
    <n v="4.1791790830512001"/>
    <x v="3"/>
  </r>
  <r>
    <x v="102"/>
    <x v="16"/>
    <x v="2"/>
    <n v="5.0026610351647296"/>
    <x v="3"/>
  </r>
  <r>
    <x v="102"/>
    <x v="21"/>
    <x v="2"/>
    <n v="5.5111668110643697"/>
    <x v="3"/>
  </r>
  <r>
    <x v="102"/>
    <x v="0"/>
    <x v="2"/>
    <n v="4.38045464028969"/>
    <x v="3"/>
  </r>
  <r>
    <x v="102"/>
    <x v="2"/>
    <x v="2"/>
    <n v="4.1203655456541197"/>
    <x v="3"/>
  </r>
  <r>
    <x v="102"/>
    <x v="17"/>
    <x v="2"/>
    <n v="4.2697226162994903"/>
    <x v="3"/>
  </r>
  <r>
    <x v="102"/>
    <x v="13"/>
    <x v="2"/>
    <n v="4.8588684083470302"/>
    <x v="3"/>
  </r>
  <r>
    <x v="102"/>
    <x v="18"/>
    <x v="2"/>
    <n v="5.6462267232260901"/>
    <x v="3"/>
  </r>
  <r>
    <x v="102"/>
    <x v="19"/>
    <x v="2"/>
    <n v="5.43757487893886"/>
    <x v="3"/>
  </r>
  <r>
    <x v="102"/>
    <x v="20"/>
    <x v="2"/>
    <n v="5.2896490175389603"/>
    <x v="3"/>
  </r>
  <r>
    <x v="102"/>
    <x v="14"/>
    <x v="2"/>
    <n v="5.3581467959265998"/>
    <x v="3"/>
  </r>
  <r>
    <x v="102"/>
    <x v="1"/>
    <x v="2"/>
    <n v="5.4119369191137503"/>
    <x v="3"/>
  </r>
  <r>
    <x v="102"/>
    <x v="3"/>
    <x v="2"/>
    <n v="5.7705534423182803"/>
    <x v="3"/>
  </r>
  <r>
    <x v="102"/>
    <x v="15"/>
    <x v="2"/>
    <n v="5.6617261547918698"/>
    <x v="3"/>
  </r>
  <r>
    <x v="102"/>
    <x v="4"/>
    <x v="2"/>
    <n v="5.4785755448760902"/>
    <x v="3"/>
  </r>
  <r>
    <x v="33"/>
    <x v="2"/>
    <x v="2"/>
    <n v="3.58411143609931"/>
    <x v="3"/>
  </r>
  <r>
    <x v="33"/>
    <x v="17"/>
    <x v="2"/>
    <n v="3.5567472364731301"/>
    <x v="3"/>
  </r>
  <r>
    <x v="33"/>
    <x v="18"/>
    <x v="2"/>
    <n v="4.5183679968811603"/>
    <x v="3"/>
  </r>
  <r>
    <x v="33"/>
    <x v="1"/>
    <x v="2"/>
    <n v="5.1938984004883304"/>
    <x v="3"/>
  </r>
  <r>
    <x v="33"/>
    <x v="3"/>
    <x v="2"/>
    <n v="5.6471438369149798"/>
    <x v="3"/>
  </r>
  <r>
    <x v="65"/>
    <x v="11"/>
    <x v="2"/>
    <n v="3.6538479873582701"/>
    <x v="3"/>
  </r>
  <r>
    <x v="65"/>
    <x v="12"/>
    <x v="2"/>
    <n v="3.6925472532989598"/>
    <x v="3"/>
  </r>
  <r>
    <x v="65"/>
    <x v="16"/>
    <x v="2"/>
    <n v="4.4581926479039202"/>
    <x v="3"/>
  </r>
  <r>
    <x v="65"/>
    <x v="21"/>
    <x v="2"/>
    <n v="4.5956363198775101"/>
    <x v="3"/>
  </r>
  <r>
    <x v="65"/>
    <x v="0"/>
    <x v="2"/>
    <n v="4.9608373207871503"/>
    <x v="3"/>
  </r>
  <r>
    <x v="65"/>
    <x v="2"/>
    <x v="2"/>
    <n v="4.9008683350121398"/>
    <x v="3"/>
  </r>
  <r>
    <x v="65"/>
    <x v="17"/>
    <x v="2"/>
    <n v="4.3354800266715801"/>
    <x v="3"/>
  </r>
  <r>
    <x v="65"/>
    <x v="13"/>
    <x v="2"/>
    <n v="4.5509334038052902"/>
    <x v="3"/>
  </r>
  <r>
    <x v="65"/>
    <x v="18"/>
    <x v="2"/>
    <n v="5.1223617776002897"/>
    <x v="3"/>
  </r>
  <r>
    <x v="65"/>
    <x v="19"/>
    <x v="2"/>
    <n v="4.9611971359662697"/>
    <x v="3"/>
  </r>
  <r>
    <x v="65"/>
    <x v="20"/>
    <x v="2"/>
    <n v="4.4934786656426597"/>
    <x v="3"/>
  </r>
  <r>
    <x v="65"/>
    <x v="14"/>
    <x v="2"/>
    <n v="4.6448375059903197"/>
    <x v="3"/>
  </r>
  <r>
    <x v="65"/>
    <x v="1"/>
    <x v="2"/>
    <n v="5.0201657614158197"/>
    <x v="3"/>
  </r>
  <r>
    <x v="65"/>
    <x v="3"/>
    <x v="2"/>
    <n v="5.2188346713228704"/>
    <x v="3"/>
  </r>
  <r>
    <x v="65"/>
    <x v="15"/>
    <x v="2"/>
    <n v="5.4370161192364002"/>
    <x v="3"/>
  </r>
  <r>
    <x v="65"/>
    <x v="4"/>
    <x v="2"/>
    <n v="5.4195601491019998"/>
    <x v="3"/>
  </r>
  <r>
    <x v="103"/>
    <x v="21"/>
    <x v="2"/>
    <n v="3.0634642468642901"/>
    <x v="3"/>
  </r>
  <r>
    <x v="103"/>
    <x v="0"/>
    <x v="2"/>
    <n v="2.7781399348283302"/>
    <x v="3"/>
  </r>
  <r>
    <x v="103"/>
    <x v="18"/>
    <x v="2"/>
    <n v="3.80664812278697"/>
    <x v="3"/>
  </r>
  <r>
    <x v="103"/>
    <x v="19"/>
    <x v="2"/>
    <n v="3.5591118289244901"/>
    <x v="3"/>
  </r>
  <r>
    <x v="34"/>
    <x v="11"/>
    <x v="2"/>
    <n v="3.9970793354488601"/>
    <x v="3"/>
  </r>
  <r>
    <x v="34"/>
    <x v="12"/>
    <x v="2"/>
    <n v="4.0578162608390098"/>
    <x v="3"/>
  </r>
  <r>
    <x v="34"/>
    <x v="16"/>
    <x v="2"/>
    <n v="5.3520801247078902"/>
    <x v="3"/>
  </r>
  <r>
    <x v="34"/>
    <x v="21"/>
    <x v="2"/>
    <n v="5.49757533082553"/>
    <x v="3"/>
  </r>
  <r>
    <x v="34"/>
    <x v="0"/>
    <x v="2"/>
    <n v="4.6076870914269596"/>
    <x v="3"/>
  </r>
  <r>
    <x v="34"/>
    <x v="2"/>
    <x v="2"/>
    <n v="4.2230717931901802"/>
    <x v="3"/>
  </r>
  <r>
    <x v="34"/>
    <x v="17"/>
    <x v="2"/>
    <n v="4.1636072865706097"/>
    <x v="3"/>
  </r>
  <r>
    <x v="34"/>
    <x v="13"/>
    <x v="2"/>
    <n v="4.4727999431300303"/>
    <x v="3"/>
  </r>
  <r>
    <x v="34"/>
    <x v="18"/>
    <x v="2"/>
    <n v="4.6557518986015598"/>
    <x v="3"/>
  </r>
  <r>
    <x v="34"/>
    <x v="19"/>
    <x v="2"/>
    <n v="4.30686232102624"/>
    <x v="3"/>
  </r>
  <r>
    <x v="34"/>
    <x v="20"/>
    <x v="2"/>
    <n v="3.9152217430838601"/>
    <x v="3"/>
  </r>
  <r>
    <x v="34"/>
    <x v="15"/>
    <x v="2"/>
    <n v="4.8029159058058903"/>
    <x v="3"/>
  </r>
  <r>
    <x v="34"/>
    <x v="4"/>
    <x v="2"/>
    <n v="4.68839931833209"/>
    <x v="3"/>
  </r>
  <r>
    <x v="35"/>
    <x v="2"/>
    <x v="2"/>
    <n v="2.2802239324329401"/>
    <x v="3"/>
  </r>
  <r>
    <x v="35"/>
    <x v="17"/>
    <x v="2"/>
    <n v="1.8094924653089199"/>
    <x v="3"/>
  </r>
  <r>
    <x v="35"/>
    <x v="13"/>
    <x v="2"/>
    <n v="2.0065718877629299"/>
    <x v="3"/>
  </r>
  <r>
    <x v="35"/>
    <x v="18"/>
    <x v="2"/>
    <n v="3.0616507308915399"/>
    <x v="3"/>
  </r>
  <r>
    <x v="35"/>
    <x v="19"/>
    <x v="2"/>
    <n v="3.2166074494453598"/>
    <x v="3"/>
  </r>
  <r>
    <x v="35"/>
    <x v="20"/>
    <x v="2"/>
    <n v="3.27498577587478"/>
    <x v="3"/>
  </r>
  <r>
    <x v="35"/>
    <x v="14"/>
    <x v="2"/>
    <n v="3.6694411846227899"/>
    <x v="3"/>
  </r>
  <r>
    <x v="35"/>
    <x v="1"/>
    <x v="2"/>
    <n v="3.7855873093342098"/>
    <x v="3"/>
  </r>
  <r>
    <x v="35"/>
    <x v="3"/>
    <x v="2"/>
    <n v="3.7677923075248398"/>
    <x v="3"/>
  </r>
  <r>
    <x v="35"/>
    <x v="15"/>
    <x v="2"/>
    <n v="2.6048890144438599"/>
    <x v="3"/>
  </r>
  <r>
    <x v="35"/>
    <x v="4"/>
    <x v="2"/>
    <n v="3.6179365018942198"/>
    <x v="3"/>
  </r>
  <r>
    <x v="79"/>
    <x v="22"/>
    <x v="2"/>
    <n v="1.8668531146521601"/>
    <x v="3"/>
  </r>
  <r>
    <x v="79"/>
    <x v="6"/>
    <x v="2"/>
    <n v="2.3122754380421502"/>
    <x v="3"/>
  </r>
  <r>
    <x v="79"/>
    <x v="7"/>
    <x v="2"/>
    <n v="2.5553125187639201"/>
    <x v="3"/>
  </r>
  <r>
    <x v="79"/>
    <x v="8"/>
    <x v="2"/>
    <n v="3.31344447821537"/>
    <x v="3"/>
  </r>
  <r>
    <x v="79"/>
    <x v="9"/>
    <x v="2"/>
    <n v="4.5189470012224104"/>
    <x v="3"/>
  </r>
  <r>
    <x v="79"/>
    <x v="10"/>
    <x v="2"/>
    <n v="3.7583821689671901"/>
    <x v="3"/>
  </r>
  <r>
    <x v="79"/>
    <x v="11"/>
    <x v="2"/>
    <n v="3.5179759592390201"/>
    <x v="3"/>
  </r>
  <r>
    <x v="79"/>
    <x v="12"/>
    <x v="2"/>
    <n v="4.0032230310345502"/>
    <x v="3"/>
  </r>
  <r>
    <x v="79"/>
    <x v="16"/>
    <x v="2"/>
    <n v="4.9618267619294603"/>
    <x v="3"/>
  </r>
  <r>
    <x v="79"/>
    <x v="21"/>
    <x v="2"/>
    <n v="5.3344294618494601"/>
    <x v="3"/>
  </r>
  <r>
    <x v="79"/>
    <x v="0"/>
    <x v="2"/>
    <n v="4.6613792329226396"/>
    <x v="3"/>
  </r>
  <r>
    <x v="79"/>
    <x v="2"/>
    <x v="2"/>
    <n v="3.7469389882181199"/>
    <x v="3"/>
  </r>
  <r>
    <x v="79"/>
    <x v="17"/>
    <x v="2"/>
    <n v="3.88344525398134"/>
    <x v="3"/>
  </r>
  <r>
    <x v="79"/>
    <x v="13"/>
    <x v="2"/>
    <n v="4.3394619497481797"/>
    <x v="3"/>
  </r>
  <r>
    <x v="79"/>
    <x v="18"/>
    <x v="2"/>
    <n v="5.0187914233577704"/>
    <x v="3"/>
  </r>
  <r>
    <x v="79"/>
    <x v="19"/>
    <x v="2"/>
    <n v="4.7833875876824301"/>
    <x v="3"/>
  </r>
  <r>
    <x v="79"/>
    <x v="20"/>
    <x v="2"/>
    <n v="3.9129810124522799"/>
    <x v="3"/>
  </r>
  <r>
    <x v="79"/>
    <x v="14"/>
    <x v="2"/>
    <n v="4.8588108402208103"/>
    <x v="3"/>
  </r>
  <r>
    <x v="79"/>
    <x v="1"/>
    <x v="2"/>
    <n v="4.9555501371308601"/>
    <x v="3"/>
  </r>
  <r>
    <x v="79"/>
    <x v="3"/>
    <x v="2"/>
    <n v="5.4888124262163398"/>
    <x v="3"/>
  </r>
  <r>
    <x v="79"/>
    <x v="15"/>
    <x v="2"/>
    <n v="5.7790430429104998"/>
    <x v="3"/>
  </r>
  <r>
    <x v="79"/>
    <x v="4"/>
    <x v="2"/>
    <n v="5.7646450210305504"/>
    <x v="3"/>
  </r>
  <r>
    <x v="36"/>
    <x v="11"/>
    <x v="2"/>
    <n v="4.7141737687832403"/>
    <x v="3"/>
  </r>
  <r>
    <x v="36"/>
    <x v="12"/>
    <x v="2"/>
    <n v="5.2598225032996497"/>
    <x v="3"/>
  </r>
  <r>
    <x v="36"/>
    <x v="16"/>
    <x v="2"/>
    <n v="6.1843907000747897"/>
    <x v="3"/>
  </r>
  <r>
    <x v="36"/>
    <x v="21"/>
    <x v="2"/>
    <n v="6.8986536114406496"/>
    <x v="3"/>
  </r>
  <r>
    <x v="36"/>
    <x v="0"/>
    <x v="2"/>
    <n v="5.9457101477596002"/>
    <x v="3"/>
  </r>
  <r>
    <x v="36"/>
    <x v="2"/>
    <x v="2"/>
    <n v="4.6131566925642096"/>
    <x v="3"/>
  </r>
  <r>
    <x v="36"/>
    <x v="17"/>
    <x v="2"/>
    <n v="4.5157353014775898"/>
    <x v="3"/>
  </r>
  <r>
    <x v="36"/>
    <x v="13"/>
    <x v="2"/>
    <n v="5.4050629550963603"/>
    <x v="3"/>
  </r>
  <r>
    <x v="36"/>
    <x v="18"/>
    <x v="2"/>
    <n v="5.8478980121725304"/>
    <x v="3"/>
  </r>
  <r>
    <x v="36"/>
    <x v="19"/>
    <x v="2"/>
    <n v="5.37256465821305"/>
    <x v="3"/>
  </r>
  <r>
    <x v="36"/>
    <x v="20"/>
    <x v="2"/>
    <n v="4.9059175292247703"/>
    <x v="3"/>
  </r>
  <r>
    <x v="36"/>
    <x v="14"/>
    <x v="2"/>
    <n v="4.77110140256951"/>
    <x v="3"/>
  </r>
  <r>
    <x v="36"/>
    <x v="1"/>
    <x v="2"/>
    <n v="5.1069902615385203"/>
    <x v="3"/>
  </r>
  <r>
    <x v="36"/>
    <x v="3"/>
    <x v="2"/>
    <n v="5.5829581538190096"/>
    <x v="3"/>
  </r>
  <r>
    <x v="36"/>
    <x v="15"/>
    <x v="2"/>
    <n v="4.9436877005386801"/>
    <x v="3"/>
  </r>
  <r>
    <x v="36"/>
    <x v="4"/>
    <x v="2"/>
    <n v="5.4437946701316298"/>
    <x v="3"/>
  </r>
  <r>
    <x v="80"/>
    <x v="16"/>
    <x v="2"/>
    <n v="5.02842406620299"/>
    <x v="3"/>
  </r>
  <r>
    <x v="80"/>
    <x v="21"/>
    <x v="2"/>
    <n v="5.8375131620474097"/>
    <x v="3"/>
  </r>
  <r>
    <x v="80"/>
    <x v="0"/>
    <x v="2"/>
    <n v="5.2388811913540803"/>
    <x v="3"/>
  </r>
  <r>
    <x v="80"/>
    <x v="2"/>
    <x v="2"/>
    <n v="5.40393504552629"/>
    <x v="3"/>
  </r>
  <r>
    <x v="80"/>
    <x v="17"/>
    <x v="2"/>
    <n v="5.2932609718692802"/>
    <x v="3"/>
  </r>
  <r>
    <x v="80"/>
    <x v="13"/>
    <x v="2"/>
    <n v="5.0259319122603197"/>
    <x v="3"/>
  </r>
  <r>
    <x v="80"/>
    <x v="18"/>
    <x v="2"/>
    <n v="4.6480553782116303"/>
    <x v="3"/>
  </r>
  <r>
    <x v="80"/>
    <x v="19"/>
    <x v="2"/>
    <n v="4.12792200175776"/>
    <x v="3"/>
  </r>
  <r>
    <x v="80"/>
    <x v="20"/>
    <x v="2"/>
    <n v="4.31418008345935"/>
    <x v="3"/>
  </r>
  <r>
    <x v="80"/>
    <x v="14"/>
    <x v="2"/>
    <n v="4.6411349226323297"/>
    <x v="3"/>
  </r>
  <r>
    <x v="80"/>
    <x v="1"/>
    <x v="2"/>
    <n v="5.0155972808331004"/>
    <x v="3"/>
  </r>
  <r>
    <x v="80"/>
    <x v="3"/>
    <x v="2"/>
    <n v="5.6363529782358297"/>
    <x v="3"/>
  </r>
  <r>
    <x v="37"/>
    <x v="2"/>
    <x v="2"/>
    <n v="5.1416750766703903"/>
    <x v="3"/>
  </r>
  <r>
    <x v="37"/>
    <x v="17"/>
    <x v="2"/>
    <n v="5.4743581205412504"/>
    <x v="3"/>
  </r>
  <r>
    <x v="37"/>
    <x v="13"/>
    <x v="2"/>
    <n v="5.9449333517299801"/>
    <x v="3"/>
  </r>
  <r>
    <x v="37"/>
    <x v="18"/>
    <x v="2"/>
    <n v="4.97982129775448"/>
    <x v="3"/>
  </r>
  <r>
    <x v="37"/>
    <x v="19"/>
    <x v="2"/>
    <n v="4.2950361255963498"/>
    <x v="3"/>
  </r>
  <r>
    <x v="37"/>
    <x v="20"/>
    <x v="2"/>
    <n v="4.9131759397356696"/>
    <x v="3"/>
  </r>
  <r>
    <x v="37"/>
    <x v="14"/>
    <x v="2"/>
    <n v="5.1594831862392496"/>
    <x v="3"/>
  </r>
  <r>
    <x v="37"/>
    <x v="1"/>
    <x v="2"/>
    <n v="4.9946221069586603"/>
    <x v="3"/>
  </r>
  <r>
    <x v="37"/>
    <x v="3"/>
    <x v="2"/>
    <n v="4.9232767744446502"/>
    <x v="3"/>
  </r>
  <r>
    <x v="37"/>
    <x v="15"/>
    <x v="2"/>
    <n v="4.7117074104862899"/>
    <x v="3"/>
  </r>
  <r>
    <x v="104"/>
    <x v="23"/>
    <x v="2"/>
    <n v="1.27173699172926"/>
    <x v="3"/>
  </r>
  <r>
    <x v="104"/>
    <x v="24"/>
    <x v="2"/>
    <n v="0.964990249360129"/>
    <x v="3"/>
  </r>
  <r>
    <x v="104"/>
    <x v="5"/>
    <x v="2"/>
    <n v="1.56300978418262"/>
    <x v="3"/>
  </r>
  <r>
    <x v="104"/>
    <x v="22"/>
    <x v="2"/>
    <n v="1.7792517987006"/>
    <x v="3"/>
  </r>
  <r>
    <x v="104"/>
    <x v="6"/>
    <x v="2"/>
    <n v="1.9586029951206501"/>
    <x v="3"/>
  </r>
  <r>
    <x v="104"/>
    <x v="7"/>
    <x v="2"/>
    <n v="2.2763979463347201"/>
    <x v="3"/>
  </r>
  <r>
    <x v="104"/>
    <x v="8"/>
    <x v="2"/>
    <n v="2.7388509706778601"/>
    <x v="3"/>
  </r>
  <r>
    <x v="104"/>
    <x v="9"/>
    <x v="2"/>
    <n v="4.0422240927292998"/>
    <x v="3"/>
  </r>
  <r>
    <x v="104"/>
    <x v="10"/>
    <x v="2"/>
    <n v="4.5874853982490702"/>
    <x v="3"/>
  </r>
  <r>
    <x v="104"/>
    <x v="11"/>
    <x v="2"/>
    <n v="3.73207784139856"/>
    <x v="3"/>
  </r>
  <r>
    <x v="104"/>
    <x v="12"/>
    <x v="2"/>
    <n v="3.9432445350496601"/>
    <x v="3"/>
  </r>
  <r>
    <x v="104"/>
    <x v="16"/>
    <x v="2"/>
    <n v="4.7687552203312604"/>
    <x v="3"/>
  </r>
  <r>
    <x v="104"/>
    <x v="21"/>
    <x v="2"/>
    <n v="5.9021329723563296"/>
    <x v="3"/>
  </r>
  <r>
    <x v="104"/>
    <x v="0"/>
    <x v="2"/>
    <n v="5.3602739603209004"/>
    <x v="3"/>
  </r>
  <r>
    <x v="104"/>
    <x v="2"/>
    <x v="2"/>
    <n v="6.2435230081751696"/>
    <x v="3"/>
  </r>
  <r>
    <x v="104"/>
    <x v="17"/>
    <x v="2"/>
    <n v="5.8529926841536399"/>
    <x v="3"/>
  </r>
  <r>
    <x v="104"/>
    <x v="13"/>
    <x v="2"/>
    <n v="5.6214525686208203"/>
    <x v="3"/>
  </r>
  <r>
    <x v="104"/>
    <x v="18"/>
    <x v="2"/>
    <n v="6.0269811470356798"/>
    <x v="3"/>
  </r>
  <r>
    <x v="104"/>
    <x v="19"/>
    <x v="2"/>
    <n v="5.59914677646083"/>
    <x v="3"/>
  </r>
  <r>
    <x v="104"/>
    <x v="20"/>
    <x v="2"/>
    <n v="5.4603017569613597"/>
    <x v="3"/>
  </r>
  <r>
    <x v="104"/>
    <x v="14"/>
    <x v="2"/>
    <n v="5.6922616080400603"/>
    <x v="3"/>
  </r>
  <r>
    <x v="104"/>
    <x v="1"/>
    <x v="2"/>
    <n v="5.3963886693960204"/>
    <x v="3"/>
  </r>
  <r>
    <x v="104"/>
    <x v="3"/>
    <x v="2"/>
    <n v="6.40323122256435"/>
    <x v="3"/>
  </r>
  <r>
    <x v="104"/>
    <x v="15"/>
    <x v="2"/>
    <n v="6.1729717204394996"/>
    <x v="3"/>
  </r>
  <r>
    <x v="104"/>
    <x v="4"/>
    <x v="2"/>
    <n v="6.6060800976812599"/>
    <x v="3"/>
  </r>
  <r>
    <x v="81"/>
    <x v="21"/>
    <x v="2"/>
    <n v="3.8408153474315601"/>
    <x v="3"/>
  </r>
  <r>
    <x v="81"/>
    <x v="0"/>
    <x v="2"/>
    <n v="3.4439358138238498"/>
    <x v="3"/>
  </r>
  <r>
    <x v="81"/>
    <x v="2"/>
    <x v="2"/>
    <n v="2.7654127764388199"/>
    <x v="3"/>
  </r>
  <r>
    <x v="81"/>
    <x v="17"/>
    <x v="2"/>
    <n v="2.6821027201547101"/>
    <x v="3"/>
  </r>
  <r>
    <x v="81"/>
    <x v="13"/>
    <x v="2"/>
    <n v="3.2662432947920998"/>
    <x v="3"/>
  </r>
  <r>
    <x v="81"/>
    <x v="18"/>
    <x v="2"/>
    <n v="3.5370326385910902"/>
    <x v="3"/>
  </r>
  <r>
    <x v="81"/>
    <x v="19"/>
    <x v="2"/>
    <n v="3.3239998921266301"/>
    <x v="3"/>
  </r>
  <r>
    <x v="81"/>
    <x v="20"/>
    <x v="2"/>
    <n v="3.2769145615553001"/>
    <x v="3"/>
  </r>
  <r>
    <x v="81"/>
    <x v="14"/>
    <x v="2"/>
    <n v="3.46629334549396"/>
    <x v="3"/>
  </r>
  <r>
    <x v="82"/>
    <x v="2"/>
    <x v="2"/>
    <n v="4.08260807089344"/>
    <x v="3"/>
  </r>
  <r>
    <x v="82"/>
    <x v="17"/>
    <x v="2"/>
    <n v="4.0607085143605097"/>
    <x v="3"/>
  </r>
  <r>
    <x v="82"/>
    <x v="13"/>
    <x v="2"/>
    <n v="4.2973602824578396"/>
    <x v="3"/>
  </r>
  <r>
    <x v="82"/>
    <x v="20"/>
    <x v="2"/>
    <n v="4.0000617778930598"/>
    <x v="3"/>
  </r>
  <r>
    <x v="82"/>
    <x v="14"/>
    <x v="2"/>
    <n v="4.1550962491499304"/>
    <x v="3"/>
  </r>
  <r>
    <x v="82"/>
    <x v="4"/>
    <x v="2"/>
    <n v="4.2746753240235797"/>
    <x v="3"/>
  </r>
  <r>
    <x v="105"/>
    <x v="11"/>
    <x v="2"/>
    <n v="2.99612306306825"/>
    <x v="3"/>
  </r>
  <r>
    <x v="105"/>
    <x v="12"/>
    <x v="2"/>
    <n v="3.7019303166878901"/>
    <x v="3"/>
  </r>
  <r>
    <x v="105"/>
    <x v="16"/>
    <x v="2"/>
    <n v="4.0901612307299597"/>
    <x v="3"/>
  </r>
  <r>
    <x v="105"/>
    <x v="21"/>
    <x v="2"/>
    <n v="4.5132799167705597"/>
    <x v="3"/>
  </r>
  <r>
    <x v="105"/>
    <x v="0"/>
    <x v="2"/>
    <n v="4.0571988406029904"/>
    <x v="3"/>
  </r>
  <r>
    <x v="105"/>
    <x v="2"/>
    <x v="2"/>
    <n v="0.492183232448829"/>
    <x v="3"/>
  </r>
  <r>
    <x v="105"/>
    <x v="17"/>
    <x v="2"/>
    <n v="2.0683664136026301"/>
    <x v="3"/>
  </r>
  <r>
    <x v="105"/>
    <x v="13"/>
    <x v="2"/>
    <n v="3.2337172734246602"/>
    <x v="3"/>
  </r>
  <r>
    <x v="105"/>
    <x v="18"/>
    <x v="2"/>
    <n v="3.42455476277825"/>
    <x v="3"/>
  </r>
  <r>
    <x v="105"/>
    <x v="19"/>
    <x v="2"/>
    <n v="3.4339191234906798"/>
    <x v="3"/>
  </r>
  <r>
    <x v="105"/>
    <x v="20"/>
    <x v="2"/>
    <n v="3.1851774021463299"/>
    <x v="3"/>
  </r>
  <r>
    <x v="105"/>
    <x v="14"/>
    <x v="2"/>
    <n v="3.5813604059002802"/>
    <x v="3"/>
  </r>
  <r>
    <x v="105"/>
    <x v="1"/>
    <x v="2"/>
    <n v="3.6449722992535798"/>
    <x v="3"/>
  </r>
  <r>
    <x v="105"/>
    <x v="3"/>
    <x v="2"/>
    <n v="4.2029877696659401"/>
    <x v="3"/>
  </r>
  <r>
    <x v="105"/>
    <x v="15"/>
    <x v="2"/>
    <n v="4.63012586307695"/>
    <x v="3"/>
  </r>
  <r>
    <x v="105"/>
    <x v="4"/>
    <x v="2"/>
    <n v="4.7438569642064898"/>
    <x v="3"/>
  </r>
  <r>
    <x v="67"/>
    <x v="11"/>
    <x v="2"/>
    <n v="4.8857540854295998"/>
    <x v="3"/>
  </r>
  <r>
    <x v="67"/>
    <x v="12"/>
    <x v="2"/>
    <n v="5.5233149293202404"/>
    <x v="3"/>
  </r>
  <r>
    <x v="67"/>
    <x v="16"/>
    <x v="2"/>
    <n v="6.2468612073780596"/>
    <x v="3"/>
  </r>
  <r>
    <x v="67"/>
    <x v="21"/>
    <x v="2"/>
    <n v="5.0198490523736403"/>
    <x v="3"/>
  </r>
  <r>
    <x v="67"/>
    <x v="0"/>
    <x v="2"/>
    <n v="4.7308102096510902"/>
    <x v="3"/>
  </r>
  <r>
    <x v="67"/>
    <x v="2"/>
    <x v="2"/>
    <n v="4.9368926151223098"/>
    <x v="3"/>
  </r>
  <r>
    <x v="67"/>
    <x v="17"/>
    <x v="2"/>
    <n v="4.52395530144749"/>
    <x v="3"/>
  </r>
  <r>
    <x v="67"/>
    <x v="13"/>
    <x v="2"/>
    <n v="4.9576660643387704"/>
    <x v="3"/>
  </r>
  <r>
    <x v="67"/>
    <x v="18"/>
    <x v="2"/>
    <n v="5.09723076207686"/>
    <x v="3"/>
  </r>
  <r>
    <x v="67"/>
    <x v="19"/>
    <x v="2"/>
    <n v="4.9510520608721702"/>
    <x v="3"/>
  </r>
  <r>
    <x v="67"/>
    <x v="20"/>
    <x v="2"/>
    <n v="4.4356004339073003"/>
    <x v="3"/>
  </r>
  <r>
    <x v="67"/>
    <x v="14"/>
    <x v="2"/>
    <n v="5.5045410983663201"/>
    <x v="3"/>
  </r>
  <r>
    <x v="67"/>
    <x v="1"/>
    <x v="2"/>
    <n v="5.1592002168805902"/>
    <x v="3"/>
  </r>
  <r>
    <x v="67"/>
    <x v="3"/>
    <x v="2"/>
    <n v="5.3013046708194"/>
    <x v="3"/>
  </r>
  <r>
    <x v="67"/>
    <x v="15"/>
    <x v="2"/>
    <n v="5.2730485559101101"/>
    <x v="3"/>
  </r>
  <r>
    <x v="106"/>
    <x v="11"/>
    <x v="2"/>
    <n v="4.7443368136811896"/>
    <x v="3"/>
  </r>
  <r>
    <x v="106"/>
    <x v="12"/>
    <x v="2"/>
    <n v="5.3788657489606297"/>
    <x v="3"/>
  </r>
  <r>
    <x v="106"/>
    <x v="16"/>
    <x v="2"/>
    <n v="5.67309608220953"/>
    <x v="3"/>
  </r>
  <r>
    <x v="106"/>
    <x v="21"/>
    <x v="2"/>
    <n v="6.2497751432795701"/>
    <x v="3"/>
  </r>
  <r>
    <x v="106"/>
    <x v="0"/>
    <x v="2"/>
    <n v="6.3637137809498503"/>
    <x v="3"/>
  </r>
  <r>
    <x v="106"/>
    <x v="2"/>
    <x v="2"/>
    <n v="4.9725959056659201"/>
    <x v="3"/>
  </r>
  <r>
    <x v="106"/>
    <x v="17"/>
    <x v="2"/>
    <n v="5.04435457732645"/>
    <x v="3"/>
  </r>
  <r>
    <x v="106"/>
    <x v="13"/>
    <x v="2"/>
    <n v="6.00795857773997"/>
    <x v="3"/>
  </r>
  <r>
    <x v="106"/>
    <x v="18"/>
    <x v="2"/>
    <n v="5.8841616579643103"/>
    <x v="3"/>
  </r>
  <r>
    <x v="106"/>
    <x v="19"/>
    <x v="2"/>
    <n v="5.5396267420210998"/>
    <x v="3"/>
  </r>
  <r>
    <x v="106"/>
    <x v="20"/>
    <x v="2"/>
    <n v="5.44413944001725"/>
    <x v="3"/>
  </r>
  <r>
    <x v="106"/>
    <x v="14"/>
    <x v="2"/>
    <n v="6.0898137155707897"/>
    <x v="3"/>
  </r>
  <r>
    <x v="106"/>
    <x v="1"/>
    <x v="2"/>
    <n v="5.9515293912139198"/>
    <x v="3"/>
  </r>
  <r>
    <x v="106"/>
    <x v="3"/>
    <x v="2"/>
    <n v="5.8713023623171301"/>
    <x v="3"/>
  </r>
  <r>
    <x v="106"/>
    <x v="15"/>
    <x v="2"/>
    <n v="6.9614736559514201"/>
    <x v="3"/>
  </r>
  <r>
    <x v="106"/>
    <x v="4"/>
    <x v="2"/>
    <n v="6.9496656808521902"/>
    <x v="3"/>
  </r>
  <r>
    <x v="83"/>
    <x v="11"/>
    <x v="2"/>
    <n v="6.1574331011772196"/>
    <x v="3"/>
  </r>
  <r>
    <x v="83"/>
    <x v="12"/>
    <x v="2"/>
    <n v="7.2141939513327502"/>
    <x v="3"/>
  </r>
  <r>
    <x v="83"/>
    <x v="16"/>
    <x v="2"/>
    <n v="7.3886699489340302"/>
    <x v="3"/>
  </r>
  <r>
    <x v="83"/>
    <x v="21"/>
    <x v="2"/>
    <n v="8.7464093595253907"/>
    <x v="3"/>
  </r>
  <r>
    <x v="83"/>
    <x v="0"/>
    <x v="2"/>
    <n v="7.9536147554318699"/>
    <x v="3"/>
  </r>
  <r>
    <x v="83"/>
    <x v="2"/>
    <x v="2"/>
    <n v="6.2590939179545497"/>
    <x v="3"/>
  </r>
  <r>
    <x v="83"/>
    <x v="17"/>
    <x v="2"/>
    <n v="10.8929761287927"/>
    <x v="3"/>
  </r>
  <r>
    <x v="83"/>
    <x v="13"/>
    <x v="2"/>
    <n v="6.7946704051701001"/>
    <x v="3"/>
  </r>
  <r>
    <x v="83"/>
    <x v="18"/>
    <x v="2"/>
    <n v="7.1650775144696501"/>
    <x v="3"/>
  </r>
  <r>
    <x v="83"/>
    <x v="19"/>
    <x v="2"/>
    <n v="6.7382317186002396"/>
    <x v="3"/>
  </r>
  <r>
    <x v="83"/>
    <x v="20"/>
    <x v="2"/>
    <n v="6.6828093245713101"/>
    <x v="3"/>
  </r>
  <r>
    <x v="83"/>
    <x v="14"/>
    <x v="2"/>
    <n v="6.8666056633017103"/>
    <x v="3"/>
  </r>
  <r>
    <x v="83"/>
    <x v="1"/>
    <x v="2"/>
    <n v="6.8433835476248799"/>
    <x v="3"/>
  </r>
  <r>
    <x v="83"/>
    <x v="3"/>
    <x v="2"/>
    <n v="7.8525813817480197"/>
    <x v="3"/>
  </r>
  <r>
    <x v="83"/>
    <x v="15"/>
    <x v="2"/>
    <n v="8.3720485131270994"/>
    <x v="3"/>
  </r>
  <r>
    <x v="83"/>
    <x v="4"/>
    <x v="2"/>
    <n v="8.3298213814394302"/>
    <x v="3"/>
  </r>
  <r>
    <x v="40"/>
    <x v="11"/>
    <x v="2"/>
    <n v="2.7239550868634002"/>
    <x v="3"/>
  </r>
  <r>
    <x v="40"/>
    <x v="12"/>
    <x v="2"/>
    <n v="3.17780361830307"/>
    <x v="3"/>
  </r>
  <r>
    <x v="40"/>
    <x v="16"/>
    <x v="2"/>
    <n v="4.2332316597017501"/>
    <x v="3"/>
  </r>
  <r>
    <x v="40"/>
    <x v="21"/>
    <x v="2"/>
    <n v="4.2366198158880799"/>
    <x v="3"/>
  </r>
  <r>
    <x v="40"/>
    <x v="0"/>
    <x v="2"/>
    <n v="3.4528778604050698"/>
    <x v="3"/>
  </r>
  <r>
    <x v="40"/>
    <x v="2"/>
    <x v="2"/>
    <n v="3.0151513615106098"/>
    <x v="3"/>
  </r>
  <r>
    <x v="40"/>
    <x v="17"/>
    <x v="2"/>
    <n v="3.2241609465938299"/>
    <x v="3"/>
  </r>
  <r>
    <x v="40"/>
    <x v="13"/>
    <x v="2"/>
    <n v="3.4792333930856398"/>
    <x v="3"/>
  </r>
  <r>
    <x v="40"/>
    <x v="18"/>
    <x v="2"/>
    <n v="3.8595787544583899"/>
    <x v="3"/>
  </r>
  <r>
    <x v="40"/>
    <x v="19"/>
    <x v="2"/>
    <n v="3.5629424215715901"/>
    <x v="3"/>
  </r>
  <r>
    <x v="40"/>
    <x v="20"/>
    <x v="2"/>
    <n v="3.4034423583331601"/>
    <x v="3"/>
  </r>
  <r>
    <x v="40"/>
    <x v="14"/>
    <x v="2"/>
    <n v="3.4477655682493902"/>
    <x v="3"/>
  </r>
  <r>
    <x v="40"/>
    <x v="1"/>
    <x v="2"/>
    <n v="3.7170918606544001"/>
    <x v="3"/>
  </r>
  <r>
    <x v="40"/>
    <x v="3"/>
    <x v="2"/>
    <n v="4.13427056031618"/>
    <x v="3"/>
  </r>
  <r>
    <x v="40"/>
    <x v="15"/>
    <x v="2"/>
    <n v="3.8020899095180698"/>
    <x v="3"/>
  </r>
  <r>
    <x v="40"/>
    <x v="4"/>
    <x v="2"/>
    <n v="3.8545896623857101"/>
    <x v="3"/>
  </r>
  <r>
    <x v="41"/>
    <x v="25"/>
    <x v="2"/>
    <n v="2.7290376204478801"/>
    <x v="3"/>
  </r>
  <r>
    <x v="41"/>
    <x v="5"/>
    <x v="2"/>
    <n v="2.7377811267754502"/>
    <x v="3"/>
  </r>
  <r>
    <x v="41"/>
    <x v="22"/>
    <x v="2"/>
    <n v="3.0670064748500501"/>
    <x v="3"/>
  </r>
  <r>
    <x v="41"/>
    <x v="6"/>
    <x v="2"/>
    <n v="3.3026847595973998"/>
    <x v="3"/>
  </r>
  <r>
    <x v="41"/>
    <x v="7"/>
    <x v="2"/>
    <n v="3.56561138619292"/>
    <x v="3"/>
  </r>
  <r>
    <x v="41"/>
    <x v="8"/>
    <x v="2"/>
    <n v="4.1848734768523697"/>
    <x v="3"/>
  </r>
  <r>
    <x v="41"/>
    <x v="9"/>
    <x v="2"/>
    <n v="5.0926945721736301"/>
    <x v="3"/>
  </r>
  <r>
    <x v="41"/>
    <x v="10"/>
    <x v="2"/>
    <n v="4.1604109896596997"/>
    <x v="3"/>
  </r>
  <r>
    <x v="41"/>
    <x v="11"/>
    <x v="2"/>
    <n v="4.2351611999391396"/>
    <x v="3"/>
  </r>
  <r>
    <x v="41"/>
    <x v="12"/>
    <x v="2"/>
    <n v="4.88249134567205"/>
    <x v="3"/>
  </r>
  <r>
    <x v="41"/>
    <x v="16"/>
    <x v="2"/>
    <n v="6.0971026270243103"/>
    <x v="3"/>
  </r>
  <r>
    <x v="41"/>
    <x v="21"/>
    <x v="2"/>
    <n v="6.46213259895839"/>
    <x v="3"/>
  </r>
  <r>
    <x v="41"/>
    <x v="0"/>
    <x v="2"/>
    <n v="5.2017385100047404"/>
    <x v="3"/>
  </r>
  <r>
    <x v="41"/>
    <x v="2"/>
    <x v="2"/>
    <n v="4.0046434703256697"/>
    <x v="3"/>
  </r>
  <r>
    <x v="41"/>
    <x v="17"/>
    <x v="2"/>
    <n v="4.2698213017209197"/>
    <x v="3"/>
  </r>
  <r>
    <x v="41"/>
    <x v="13"/>
    <x v="2"/>
    <n v="5.0515097455623099"/>
    <x v="3"/>
  </r>
  <r>
    <x v="41"/>
    <x v="18"/>
    <x v="2"/>
    <n v="5.5110303212932203"/>
    <x v="3"/>
  </r>
  <r>
    <x v="41"/>
    <x v="19"/>
    <x v="2"/>
    <n v="4.6241461867744"/>
    <x v="3"/>
  </r>
  <r>
    <x v="41"/>
    <x v="20"/>
    <x v="2"/>
    <n v="4.4143299024411897"/>
    <x v="3"/>
  </r>
  <r>
    <x v="41"/>
    <x v="14"/>
    <x v="2"/>
    <n v="4.7187765666600399"/>
    <x v="3"/>
  </r>
  <r>
    <x v="41"/>
    <x v="1"/>
    <x v="2"/>
    <n v="5.3493043527602904"/>
    <x v="3"/>
  </r>
  <r>
    <x v="41"/>
    <x v="3"/>
    <x v="2"/>
    <n v="5.7977925452480097"/>
    <x v="3"/>
  </r>
  <r>
    <x v="41"/>
    <x v="15"/>
    <x v="2"/>
    <n v="5.36168412527703"/>
    <x v="3"/>
  </r>
  <r>
    <x v="41"/>
    <x v="4"/>
    <x v="2"/>
    <n v="5.4293198428354899"/>
    <x v="3"/>
  </r>
  <r>
    <x v="107"/>
    <x v="8"/>
    <x v="2"/>
    <n v="3.3384884371658798"/>
    <x v="3"/>
  </r>
  <r>
    <x v="107"/>
    <x v="9"/>
    <x v="2"/>
    <n v="4.3376356115800503"/>
    <x v="3"/>
  </r>
  <r>
    <x v="107"/>
    <x v="10"/>
    <x v="2"/>
    <n v="3.94261679306747"/>
    <x v="3"/>
  </r>
  <r>
    <x v="107"/>
    <x v="13"/>
    <x v="2"/>
    <n v="4.8917167182021997"/>
    <x v="3"/>
  </r>
  <r>
    <x v="107"/>
    <x v="18"/>
    <x v="2"/>
    <n v="5.4312729384088598"/>
    <x v="3"/>
  </r>
  <r>
    <x v="107"/>
    <x v="19"/>
    <x v="2"/>
    <n v="4.8508897580558896"/>
    <x v="3"/>
  </r>
  <r>
    <x v="107"/>
    <x v="20"/>
    <x v="2"/>
    <n v="4.8035153671437296"/>
    <x v="3"/>
  </r>
  <r>
    <x v="107"/>
    <x v="14"/>
    <x v="2"/>
    <n v="4.9218064466447"/>
    <x v="3"/>
  </r>
  <r>
    <x v="107"/>
    <x v="1"/>
    <x v="2"/>
    <n v="5.19389839415628"/>
    <x v="3"/>
  </r>
  <r>
    <x v="107"/>
    <x v="3"/>
    <x v="2"/>
    <n v="5.7106716140893496"/>
    <x v="3"/>
  </r>
  <r>
    <x v="108"/>
    <x v="16"/>
    <x v="2"/>
    <n v="1.3157673031072901"/>
    <x v="3"/>
  </r>
  <r>
    <x v="108"/>
    <x v="2"/>
    <x v="2"/>
    <n v="2.2895149193064501"/>
    <x v="3"/>
  </r>
  <r>
    <x v="108"/>
    <x v="17"/>
    <x v="2"/>
    <n v="2.0457913135901098"/>
    <x v="3"/>
  </r>
  <r>
    <x v="108"/>
    <x v="18"/>
    <x v="2"/>
    <n v="1.7996638957573099"/>
    <x v="3"/>
  </r>
  <r>
    <x v="109"/>
    <x v="10"/>
    <x v="2"/>
    <n v="1.9708708150077301"/>
    <x v="3"/>
  </r>
  <r>
    <x v="110"/>
    <x v="11"/>
    <x v="2"/>
    <n v="3.5730503098752302"/>
    <x v="3"/>
  </r>
  <r>
    <x v="110"/>
    <x v="12"/>
    <x v="2"/>
    <n v="4.17136623288257"/>
    <x v="3"/>
  </r>
  <r>
    <x v="110"/>
    <x v="16"/>
    <x v="2"/>
    <n v="5.2378395332812602"/>
    <x v="3"/>
  </r>
  <r>
    <x v="110"/>
    <x v="21"/>
    <x v="2"/>
    <n v="5.5128093972653396"/>
    <x v="3"/>
  </r>
  <r>
    <x v="110"/>
    <x v="0"/>
    <x v="2"/>
    <n v="4.9846922614659297"/>
    <x v="3"/>
  </r>
  <r>
    <x v="110"/>
    <x v="2"/>
    <x v="2"/>
    <n v="4.1581585624657897"/>
    <x v="3"/>
  </r>
  <r>
    <x v="110"/>
    <x v="17"/>
    <x v="2"/>
    <n v="4.1407748411754897"/>
    <x v="3"/>
  </r>
  <r>
    <x v="110"/>
    <x v="13"/>
    <x v="2"/>
    <n v="4.7865817921589899"/>
    <x v="3"/>
  </r>
  <r>
    <x v="110"/>
    <x v="18"/>
    <x v="2"/>
    <n v="5.0898029379092504"/>
    <x v="3"/>
  </r>
  <r>
    <x v="110"/>
    <x v="19"/>
    <x v="2"/>
    <n v="4.94962914840543"/>
    <x v="3"/>
  </r>
  <r>
    <x v="110"/>
    <x v="20"/>
    <x v="2"/>
    <n v="4.7497584481005202"/>
    <x v="3"/>
  </r>
  <r>
    <x v="110"/>
    <x v="14"/>
    <x v="2"/>
    <n v="4.8349721592282497"/>
    <x v="3"/>
  </r>
  <r>
    <x v="110"/>
    <x v="1"/>
    <x v="2"/>
    <n v="4.9883020817194197"/>
    <x v="3"/>
  </r>
  <r>
    <x v="110"/>
    <x v="3"/>
    <x v="2"/>
    <n v="5.6905093216951403"/>
    <x v="3"/>
  </r>
  <r>
    <x v="110"/>
    <x v="15"/>
    <x v="2"/>
    <n v="5.47655000794032"/>
    <x v="3"/>
  </r>
  <r>
    <x v="110"/>
    <x v="4"/>
    <x v="2"/>
    <n v="5.5025396074800597"/>
    <x v="3"/>
  </r>
  <r>
    <x v="111"/>
    <x v="23"/>
    <x v="2"/>
    <n v="3.36907841097725"/>
    <x v="3"/>
  </r>
  <r>
    <x v="111"/>
    <x v="24"/>
    <x v="2"/>
    <n v="3.3710503560038498"/>
    <x v="3"/>
  </r>
  <r>
    <x v="111"/>
    <x v="25"/>
    <x v="2"/>
    <n v="3.6321220290093001"/>
    <x v="3"/>
  </r>
  <r>
    <x v="111"/>
    <x v="5"/>
    <x v="2"/>
    <n v="3.5659713907280599"/>
    <x v="3"/>
  </r>
  <r>
    <x v="111"/>
    <x v="22"/>
    <x v="2"/>
    <n v="3.73354577187341"/>
    <x v="3"/>
  </r>
  <r>
    <x v="111"/>
    <x v="6"/>
    <x v="2"/>
    <n v="4.3625622572678902"/>
    <x v="3"/>
  </r>
  <r>
    <x v="111"/>
    <x v="7"/>
    <x v="2"/>
    <n v="4.5646209895647898"/>
    <x v="3"/>
  </r>
  <r>
    <x v="111"/>
    <x v="8"/>
    <x v="2"/>
    <n v="4.8859311402944101"/>
    <x v="3"/>
  </r>
  <r>
    <x v="111"/>
    <x v="9"/>
    <x v="2"/>
    <n v="5.8522576002314901"/>
    <x v="3"/>
  </r>
  <r>
    <x v="111"/>
    <x v="10"/>
    <x v="2"/>
    <n v="5.2030837456315897"/>
    <x v="3"/>
  </r>
  <r>
    <x v="111"/>
    <x v="16"/>
    <x v="2"/>
    <n v="6.6947871233960798"/>
    <x v="3"/>
  </r>
  <r>
    <x v="111"/>
    <x v="21"/>
    <x v="2"/>
    <n v="7.1234996967146698"/>
    <x v="3"/>
  </r>
  <r>
    <x v="111"/>
    <x v="0"/>
    <x v="2"/>
    <n v="6.7410917766050398"/>
    <x v="3"/>
  </r>
  <r>
    <x v="111"/>
    <x v="2"/>
    <x v="2"/>
    <n v="5.7366603957834998"/>
    <x v="3"/>
  </r>
  <r>
    <x v="111"/>
    <x v="17"/>
    <x v="2"/>
    <n v="5.7929589120367"/>
    <x v="3"/>
  </r>
  <r>
    <x v="111"/>
    <x v="13"/>
    <x v="2"/>
    <n v="6.4097989770707899"/>
    <x v="3"/>
  </r>
  <r>
    <x v="111"/>
    <x v="18"/>
    <x v="2"/>
    <n v="6.8133860990395396"/>
    <x v="3"/>
  </r>
  <r>
    <x v="111"/>
    <x v="19"/>
    <x v="2"/>
    <n v="6.5182310739730802"/>
    <x v="3"/>
  </r>
  <r>
    <x v="111"/>
    <x v="20"/>
    <x v="2"/>
    <n v="6.4101111921134102"/>
    <x v="3"/>
  </r>
  <r>
    <x v="111"/>
    <x v="14"/>
    <x v="2"/>
    <n v="6.6931852325534704"/>
    <x v="3"/>
  </r>
  <r>
    <x v="111"/>
    <x v="1"/>
    <x v="2"/>
    <n v="6.2167033892821104"/>
    <x v="3"/>
  </r>
  <r>
    <x v="111"/>
    <x v="3"/>
    <x v="2"/>
    <n v="6.8135060814863699"/>
    <x v="3"/>
  </r>
  <r>
    <x v="111"/>
    <x v="15"/>
    <x v="2"/>
    <n v="6.8590247155158597"/>
    <x v="3"/>
  </r>
  <r>
    <x v="111"/>
    <x v="4"/>
    <x v="2"/>
    <n v="6.6337685349666797"/>
    <x v="3"/>
  </r>
  <r>
    <x v="42"/>
    <x v="11"/>
    <x v="2"/>
    <n v="3.19216827820311"/>
    <x v="3"/>
  </r>
  <r>
    <x v="42"/>
    <x v="12"/>
    <x v="2"/>
    <n v="3.8056616952638902"/>
    <x v="3"/>
  </r>
  <r>
    <x v="42"/>
    <x v="16"/>
    <x v="2"/>
    <n v="5.1669132645689198"/>
    <x v="3"/>
  </r>
  <r>
    <x v="42"/>
    <x v="21"/>
    <x v="2"/>
    <n v="5.2478987511976598"/>
    <x v="3"/>
  </r>
  <r>
    <x v="42"/>
    <x v="0"/>
    <x v="2"/>
    <n v="3.9626534138074301"/>
    <x v="3"/>
  </r>
  <r>
    <x v="42"/>
    <x v="2"/>
    <x v="2"/>
    <n v="3.5781398073506399"/>
    <x v="3"/>
  </r>
  <r>
    <x v="42"/>
    <x v="17"/>
    <x v="2"/>
    <n v="3.7712756157676299"/>
    <x v="3"/>
  </r>
  <r>
    <x v="42"/>
    <x v="13"/>
    <x v="2"/>
    <n v="4.3337564890328899"/>
    <x v="3"/>
  </r>
  <r>
    <x v="42"/>
    <x v="18"/>
    <x v="2"/>
    <n v="4.6180626756444303"/>
    <x v="3"/>
  </r>
  <r>
    <x v="42"/>
    <x v="19"/>
    <x v="2"/>
    <n v="4.3743096828791002"/>
    <x v="3"/>
  </r>
  <r>
    <x v="42"/>
    <x v="20"/>
    <x v="2"/>
    <n v="3.6206179141842298"/>
    <x v="3"/>
  </r>
  <r>
    <x v="42"/>
    <x v="14"/>
    <x v="2"/>
    <n v="3.21677906698589"/>
    <x v="3"/>
  </r>
  <r>
    <x v="42"/>
    <x v="1"/>
    <x v="2"/>
    <n v="3.6170328156545302"/>
    <x v="3"/>
  </r>
  <r>
    <x v="42"/>
    <x v="3"/>
    <x v="2"/>
    <n v="3.95347219495169"/>
    <x v="3"/>
  </r>
  <r>
    <x v="42"/>
    <x v="15"/>
    <x v="2"/>
    <n v="3.8461687190770801"/>
    <x v="3"/>
  </r>
  <r>
    <x v="42"/>
    <x v="4"/>
    <x v="2"/>
    <n v="3.9246691689467501"/>
    <x v="3"/>
  </r>
  <r>
    <x v="68"/>
    <x v="12"/>
    <x v="2"/>
    <n v="3.1490816497660998"/>
    <x v="3"/>
  </r>
  <r>
    <x v="68"/>
    <x v="16"/>
    <x v="2"/>
    <n v="4.0314317136166"/>
    <x v="3"/>
  </r>
  <r>
    <x v="68"/>
    <x v="21"/>
    <x v="2"/>
    <n v="4.1378532844782203"/>
    <x v="3"/>
  </r>
  <r>
    <x v="68"/>
    <x v="0"/>
    <x v="2"/>
    <n v="3.5697399222252901"/>
    <x v="3"/>
  </r>
  <r>
    <x v="68"/>
    <x v="2"/>
    <x v="2"/>
    <n v="3.6479486455368302"/>
    <x v="3"/>
  </r>
  <r>
    <x v="68"/>
    <x v="17"/>
    <x v="2"/>
    <n v="3.5161730003111802"/>
    <x v="3"/>
  </r>
  <r>
    <x v="68"/>
    <x v="13"/>
    <x v="2"/>
    <n v="3.6708578927022"/>
    <x v="3"/>
  </r>
  <r>
    <x v="68"/>
    <x v="18"/>
    <x v="2"/>
    <n v="4.0391434604193801"/>
    <x v="3"/>
  </r>
  <r>
    <x v="68"/>
    <x v="19"/>
    <x v="2"/>
    <n v="5.5910764390686403"/>
    <x v="3"/>
  </r>
  <r>
    <x v="68"/>
    <x v="20"/>
    <x v="2"/>
    <n v="3.6212331273433902"/>
    <x v="3"/>
  </r>
  <r>
    <x v="68"/>
    <x v="14"/>
    <x v="2"/>
    <n v="3.9391002013215202"/>
    <x v="3"/>
  </r>
  <r>
    <x v="68"/>
    <x v="3"/>
    <x v="2"/>
    <n v="4.1473273468897096"/>
    <x v="3"/>
  </r>
  <r>
    <x v="68"/>
    <x v="15"/>
    <x v="2"/>
    <n v="3.9029168372548302"/>
    <x v="3"/>
  </r>
  <r>
    <x v="43"/>
    <x v="0"/>
    <x v="2"/>
    <n v="1.0996816704974599"/>
    <x v="3"/>
  </r>
  <r>
    <x v="44"/>
    <x v="0"/>
    <x v="2"/>
    <n v="4.3918777084754703"/>
    <x v="3"/>
  </r>
  <r>
    <x v="44"/>
    <x v="2"/>
    <x v="2"/>
    <n v="4.0098285297195098"/>
    <x v="3"/>
  </r>
  <r>
    <x v="44"/>
    <x v="17"/>
    <x v="2"/>
    <n v="3.3508810019878799"/>
    <x v="3"/>
  </r>
  <r>
    <x v="44"/>
    <x v="13"/>
    <x v="2"/>
    <n v="3.1164497614641502"/>
    <x v="3"/>
  </r>
  <r>
    <x v="44"/>
    <x v="19"/>
    <x v="2"/>
    <n v="3.6233416257530102"/>
    <x v="3"/>
  </r>
  <r>
    <x v="44"/>
    <x v="20"/>
    <x v="2"/>
    <n v="3.8653691284862499"/>
    <x v="3"/>
  </r>
  <r>
    <x v="44"/>
    <x v="14"/>
    <x v="2"/>
    <n v="4.12196511596657"/>
    <x v="3"/>
  </r>
  <r>
    <x v="44"/>
    <x v="1"/>
    <x v="2"/>
    <n v="4.5984477786574303"/>
    <x v="3"/>
  </r>
  <r>
    <x v="44"/>
    <x v="3"/>
    <x v="2"/>
    <n v="4.2218423010491604"/>
    <x v="3"/>
  </r>
  <r>
    <x v="44"/>
    <x v="15"/>
    <x v="2"/>
    <n v="4.0382477265877101"/>
    <x v="3"/>
  </r>
  <r>
    <x v="44"/>
    <x v="4"/>
    <x v="2"/>
    <n v="3.928413513213"/>
    <x v="3"/>
  </r>
  <r>
    <x v="45"/>
    <x v="11"/>
    <x v="2"/>
    <n v="46.267930239126599"/>
    <x v="3"/>
  </r>
  <r>
    <x v="45"/>
    <x v="17"/>
    <x v="2"/>
    <n v="4.4099743807174301"/>
    <x v="3"/>
  </r>
  <r>
    <x v="45"/>
    <x v="13"/>
    <x v="2"/>
    <n v="4.9458262716980297"/>
    <x v="3"/>
  </r>
  <r>
    <x v="45"/>
    <x v="18"/>
    <x v="2"/>
    <n v="5.2820513858501403"/>
    <x v="3"/>
  </r>
  <r>
    <x v="45"/>
    <x v="19"/>
    <x v="2"/>
    <n v="5.3053351637252399"/>
    <x v="3"/>
  </r>
  <r>
    <x v="45"/>
    <x v="20"/>
    <x v="2"/>
    <n v="4.9460778133581096"/>
    <x v="3"/>
  </r>
  <r>
    <x v="45"/>
    <x v="14"/>
    <x v="2"/>
    <n v="5.2182462321268197"/>
    <x v="3"/>
  </r>
  <r>
    <x v="45"/>
    <x v="1"/>
    <x v="2"/>
    <n v="5.1999204186655001"/>
    <x v="3"/>
  </r>
  <r>
    <x v="45"/>
    <x v="3"/>
    <x v="2"/>
    <n v="5.42463621105904"/>
    <x v="3"/>
  </r>
  <r>
    <x v="45"/>
    <x v="15"/>
    <x v="2"/>
    <n v="4.9969178821467404"/>
    <x v="3"/>
  </r>
  <r>
    <x v="45"/>
    <x v="4"/>
    <x v="2"/>
    <n v="4.9547097859181202"/>
    <x v="3"/>
  </r>
  <r>
    <x v="85"/>
    <x v="21"/>
    <x v="2"/>
    <n v="3.40905758083119"/>
    <x v="3"/>
  </r>
  <r>
    <x v="85"/>
    <x v="13"/>
    <x v="2"/>
    <n v="2.9564138806537201"/>
    <x v="3"/>
  </r>
  <r>
    <x v="85"/>
    <x v="18"/>
    <x v="2"/>
    <n v="3.3516064605064999"/>
    <x v="3"/>
  </r>
  <r>
    <x v="85"/>
    <x v="19"/>
    <x v="2"/>
    <n v="3.6240388039023999"/>
    <x v="3"/>
  </r>
  <r>
    <x v="85"/>
    <x v="20"/>
    <x v="2"/>
    <n v="4.0349223614978502"/>
    <x v="3"/>
  </r>
  <r>
    <x v="85"/>
    <x v="14"/>
    <x v="2"/>
    <n v="4.0566866000703499"/>
    <x v="3"/>
  </r>
  <r>
    <x v="85"/>
    <x v="1"/>
    <x v="2"/>
    <n v="4.6633019372888098"/>
    <x v="3"/>
  </r>
  <r>
    <x v="85"/>
    <x v="3"/>
    <x v="2"/>
    <n v="4.4879459260250103"/>
    <x v="3"/>
  </r>
  <r>
    <x v="85"/>
    <x v="15"/>
    <x v="2"/>
    <n v="4.4449360915606801"/>
    <x v="3"/>
  </r>
  <r>
    <x v="85"/>
    <x v="4"/>
    <x v="2"/>
    <n v="4.45551796421943"/>
    <x v="3"/>
  </r>
  <r>
    <x v="46"/>
    <x v="13"/>
    <x v="2"/>
    <n v="3.0628536253627301"/>
    <x v="3"/>
  </r>
  <r>
    <x v="46"/>
    <x v="18"/>
    <x v="2"/>
    <n v="3.55594741314076"/>
    <x v="3"/>
  </r>
  <r>
    <x v="46"/>
    <x v="19"/>
    <x v="2"/>
    <n v="3.4420971546446499"/>
    <x v="3"/>
  </r>
  <r>
    <x v="47"/>
    <x v="11"/>
    <x v="2"/>
    <n v="3.8758163331206998"/>
    <x v="3"/>
  </r>
  <r>
    <x v="47"/>
    <x v="12"/>
    <x v="2"/>
    <n v="4.4933494995846601"/>
    <x v="3"/>
  </r>
  <r>
    <x v="47"/>
    <x v="16"/>
    <x v="2"/>
    <n v="5.1720425411460704"/>
    <x v="3"/>
  </r>
  <r>
    <x v="47"/>
    <x v="21"/>
    <x v="2"/>
    <n v="5.70263122911821"/>
    <x v="3"/>
  </r>
  <r>
    <x v="47"/>
    <x v="0"/>
    <x v="2"/>
    <n v="5.2243871282966499"/>
    <x v="3"/>
  </r>
  <r>
    <x v="47"/>
    <x v="2"/>
    <x v="2"/>
    <n v="4.49392929165026"/>
    <x v="3"/>
  </r>
  <r>
    <x v="47"/>
    <x v="17"/>
    <x v="2"/>
    <n v="4.0630151958668197"/>
    <x v="3"/>
  </r>
  <r>
    <x v="47"/>
    <x v="13"/>
    <x v="2"/>
    <n v="4.7607645616708503"/>
    <x v="3"/>
  </r>
  <r>
    <x v="47"/>
    <x v="18"/>
    <x v="2"/>
    <n v="5.2429327277158402"/>
    <x v="3"/>
  </r>
  <r>
    <x v="47"/>
    <x v="19"/>
    <x v="2"/>
    <n v="4.9383455113690999"/>
    <x v="3"/>
  </r>
  <r>
    <x v="47"/>
    <x v="20"/>
    <x v="2"/>
    <n v="4.8460487078878698"/>
    <x v="3"/>
  </r>
  <r>
    <x v="47"/>
    <x v="14"/>
    <x v="2"/>
    <n v="4.7929503023159397"/>
    <x v="3"/>
  </r>
  <r>
    <x v="47"/>
    <x v="1"/>
    <x v="2"/>
    <n v="4.5982582698858598"/>
    <x v="3"/>
  </r>
  <r>
    <x v="47"/>
    <x v="3"/>
    <x v="2"/>
    <n v="5.2740369153674704"/>
    <x v="3"/>
  </r>
  <r>
    <x v="47"/>
    <x v="15"/>
    <x v="2"/>
    <n v="5.3217050335990201"/>
    <x v="3"/>
  </r>
  <r>
    <x v="47"/>
    <x v="4"/>
    <x v="2"/>
    <n v="5.4268260649109799"/>
    <x v="3"/>
  </r>
  <r>
    <x v="112"/>
    <x v="16"/>
    <x v="2"/>
    <n v="5.57150324923587"/>
    <x v="3"/>
  </r>
  <r>
    <x v="112"/>
    <x v="0"/>
    <x v="2"/>
    <n v="5.2311400222252198"/>
    <x v="3"/>
  </r>
  <r>
    <x v="112"/>
    <x v="19"/>
    <x v="2"/>
    <n v="4.7805339005403003"/>
    <x v="3"/>
  </r>
  <r>
    <x v="112"/>
    <x v="20"/>
    <x v="2"/>
    <n v="4.40817967787632"/>
    <x v="3"/>
  </r>
  <r>
    <x v="112"/>
    <x v="14"/>
    <x v="2"/>
    <n v="4.4680928027612197"/>
    <x v="3"/>
  </r>
  <r>
    <x v="112"/>
    <x v="1"/>
    <x v="2"/>
    <n v="4.94490198089873"/>
    <x v="3"/>
  </r>
  <r>
    <x v="112"/>
    <x v="3"/>
    <x v="2"/>
    <n v="5.2493327228133797"/>
    <x v="3"/>
  </r>
  <r>
    <x v="48"/>
    <x v="13"/>
    <x v="2"/>
    <n v="4.8917167287913301"/>
    <x v="3"/>
  </r>
  <r>
    <x v="48"/>
    <x v="18"/>
    <x v="2"/>
    <n v="5.4312729370087602"/>
    <x v="3"/>
  </r>
  <r>
    <x v="48"/>
    <x v="19"/>
    <x v="2"/>
    <n v="4.8508897625672098"/>
    <x v="3"/>
  </r>
  <r>
    <x v="48"/>
    <x v="20"/>
    <x v="2"/>
    <n v="4.8035153605354397"/>
    <x v="3"/>
  </r>
  <r>
    <x v="48"/>
    <x v="14"/>
    <x v="2"/>
    <n v="4.9218064529056598"/>
    <x v="3"/>
  </r>
  <r>
    <x v="48"/>
    <x v="1"/>
    <x v="2"/>
    <n v="5.1938983960376204"/>
    <x v="3"/>
  </r>
  <r>
    <x v="48"/>
    <x v="3"/>
    <x v="2"/>
    <n v="5.6843582604773903"/>
    <x v="3"/>
  </r>
  <r>
    <x v="69"/>
    <x v="16"/>
    <x v="2"/>
    <n v="1.21083498084043"/>
    <x v="3"/>
  </r>
  <r>
    <x v="69"/>
    <x v="2"/>
    <x v="2"/>
    <n v="1.8958745683046201"/>
    <x v="3"/>
  </r>
  <r>
    <x v="69"/>
    <x v="17"/>
    <x v="2"/>
    <n v="3.7183902870154699"/>
    <x v="3"/>
  </r>
  <r>
    <x v="69"/>
    <x v="18"/>
    <x v="2"/>
    <n v="1.3588845795795299"/>
    <x v="3"/>
  </r>
  <r>
    <x v="69"/>
    <x v="19"/>
    <x v="2"/>
    <n v="1.087839200499530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43503-F7A2-4A68-850F-4B1D9A4488F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1:V213" firstHeaderRow="1" firstDataRow="2" firstDataCol="1" rowPageCount="3" colPageCount="1"/>
  <pivotFields count="5">
    <pivotField axis="axisPage" showAll="0">
      <items count="114">
        <item x="70"/>
        <item x="86"/>
        <item x="87"/>
        <item x="0"/>
        <item x="1"/>
        <item x="88"/>
        <item x="89"/>
        <item x="2"/>
        <item x="71"/>
        <item x="90"/>
        <item x="3"/>
        <item x="49"/>
        <item x="91"/>
        <item x="9"/>
        <item x="50"/>
        <item x="51"/>
        <item x="4"/>
        <item x="72"/>
        <item x="5"/>
        <item x="6"/>
        <item x="73"/>
        <item x="7"/>
        <item x="92"/>
        <item x="8"/>
        <item x="74"/>
        <item x="52"/>
        <item x="93"/>
        <item x="10"/>
        <item x="94"/>
        <item x="11"/>
        <item x="12"/>
        <item x="95"/>
        <item x="13"/>
        <item x="96"/>
        <item x="14"/>
        <item x="53"/>
        <item x="15"/>
        <item x="16"/>
        <item x="17"/>
        <item x="18"/>
        <item x="19"/>
        <item x="20"/>
        <item x="21"/>
        <item x="75"/>
        <item x="54"/>
        <item x="76"/>
        <item x="22"/>
        <item x="55"/>
        <item x="97"/>
        <item x="98"/>
        <item x="77"/>
        <item x="56"/>
        <item x="23"/>
        <item x="24"/>
        <item x="99"/>
        <item x="25"/>
        <item x="26"/>
        <item x="57"/>
        <item x="27"/>
        <item x="58"/>
        <item x="28"/>
        <item x="29"/>
        <item x="30"/>
        <item x="31"/>
        <item x="78"/>
        <item x="59"/>
        <item x="100"/>
        <item x="60"/>
        <item x="61"/>
        <item x="32"/>
        <item x="62"/>
        <item x="63"/>
        <item x="101"/>
        <item x="102"/>
        <item x="33"/>
        <item x="64"/>
        <item x="65"/>
        <item x="103"/>
        <item x="34"/>
        <item x="35"/>
        <item x="79"/>
        <item x="36"/>
        <item x="80"/>
        <item x="37"/>
        <item x="104"/>
        <item x="81"/>
        <item x="66"/>
        <item x="82"/>
        <item x="38"/>
        <item x="105"/>
        <item x="39"/>
        <item x="67"/>
        <item x="106"/>
        <item x="83"/>
        <item x="40"/>
        <item x="41"/>
        <item x="107"/>
        <item x="108"/>
        <item x="109"/>
        <item x="110"/>
        <item x="111"/>
        <item x="44"/>
        <item x="42"/>
        <item x="84"/>
        <item x="68"/>
        <item x="43"/>
        <item x="85"/>
        <item x="46"/>
        <item x="47"/>
        <item x="112"/>
        <item x="45"/>
        <item x="48"/>
        <item x="69"/>
        <item t="default"/>
      </items>
    </pivotField>
    <pivotField axis="axisCol" showAll="0">
      <items count="27">
        <item x="23"/>
        <item x="24"/>
        <item x="25"/>
        <item x="5"/>
        <item x="22"/>
        <item x="6"/>
        <item x="7"/>
        <item x="8"/>
        <item x="9"/>
        <item x="10"/>
        <item x="11"/>
        <item x="12"/>
        <item x="16"/>
        <item x="21"/>
        <item x="0"/>
        <item x="2"/>
        <item x="17"/>
        <item x="13"/>
        <item x="18"/>
        <item x="19"/>
        <item x="20"/>
        <item x="14"/>
        <item x="1"/>
        <item x="3"/>
        <item x="15"/>
        <item x="4"/>
        <item t="default"/>
      </items>
    </pivotField>
    <pivotField axis="axisPage" showAll="0">
      <items count="4">
        <item x="2"/>
        <item x="0"/>
        <item x="1"/>
        <item t="default"/>
      </items>
    </pivotField>
    <pivotField dataField="1" showAll="0"/>
    <pivotField axis="axisPage" showAll="0">
      <items count="5">
        <item x="1"/>
        <item x="2"/>
        <item x="0"/>
        <item x="3"/>
        <item t="default"/>
      </items>
    </pivotField>
  </pivotFields>
  <rowItems count="1">
    <i/>
  </rowItems>
  <colFields count="1">
    <field x="1"/>
  </colFields>
  <colItems count="21">
    <i>
      <x v="3"/>
    </i>
    <i>
      <x v="5"/>
    </i>
    <i>
      <x v="6"/>
    </i>
    <i>
      <x v="7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colItems>
  <pageFields count="3">
    <pageField fld="2" item="1" hier="-1"/>
    <pageField fld="4" item="0" hier="-1"/>
    <pageField fld="0" item="63" hier="-1"/>
  </pageFields>
  <dataFields count="1">
    <dataField name="Sum of value" fld="3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D5F01-C6B7-47C8-8913-D0DD042B1A14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4:I1511" firstHeaderRow="1" firstDataRow="3" firstDataCol="1"/>
  <pivotFields count="5">
    <pivotField axis="axisRow" multipleItemSelectionAllowed="1" showAll="0">
      <items count="114">
        <item x="70"/>
        <item x="86"/>
        <item x="87"/>
        <item x="0"/>
        <item x="1"/>
        <item x="88"/>
        <item x="89"/>
        <item x="2"/>
        <item x="71"/>
        <item x="90"/>
        <item x="3"/>
        <item x="49"/>
        <item x="91"/>
        <item x="9"/>
        <item x="50"/>
        <item x="51"/>
        <item x="4"/>
        <item x="72"/>
        <item x="5"/>
        <item x="6"/>
        <item x="73"/>
        <item x="7"/>
        <item x="92"/>
        <item x="8"/>
        <item x="74"/>
        <item x="52"/>
        <item x="93"/>
        <item x="10"/>
        <item x="94"/>
        <item x="11"/>
        <item x="12"/>
        <item x="95"/>
        <item x="13"/>
        <item x="96"/>
        <item x="14"/>
        <item x="53"/>
        <item x="15"/>
        <item x="16"/>
        <item x="17"/>
        <item x="18"/>
        <item x="19"/>
        <item x="20"/>
        <item x="21"/>
        <item x="75"/>
        <item x="54"/>
        <item x="76"/>
        <item x="22"/>
        <item x="55"/>
        <item x="97"/>
        <item x="98"/>
        <item x="77"/>
        <item x="56"/>
        <item x="23"/>
        <item x="24"/>
        <item x="99"/>
        <item x="25"/>
        <item x="26"/>
        <item x="57"/>
        <item x="27"/>
        <item x="58"/>
        <item x="28"/>
        <item x="29"/>
        <item x="30"/>
        <item x="31"/>
        <item x="78"/>
        <item x="59"/>
        <item x="100"/>
        <item x="60"/>
        <item x="61"/>
        <item x="32"/>
        <item x="62"/>
        <item x="63"/>
        <item x="101"/>
        <item x="102"/>
        <item x="33"/>
        <item x="64"/>
        <item x="65"/>
        <item x="103"/>
        <item x="34"/>
        <item x="35"/>
        <item x="79"/>
        <item x="36"/>
        <item x="80"/>
        <item x="37"/>
        <item x="104"/>
        <item x="81"/>
        <item x="66"/>
        <item x="82"/>
        <item x="38"/>
        <item x="105"/>
        <item x="39"/>
        <item x="67"/>
        <item x="106"/>
        <item x="83"/>
        <item x="40"/>
        <item x="41"/>
        <item x="107"/>
        <item x="108"/>
        <item x="109"/>
        <item x="110"/>
        <item x="111"/>
        <item x="44"/>
        <item x="42"/>
        <item x="84"/>
        <item x="68"/>
        <item x="43"/>
        <item x="85"/>
        <item x="46"/>
        <item x="47"/>
        <item x="112"/>
        <item x="45"/>
        <item x="48"/>
        <item x="69"/>
        <item t="default"/>
      </items>
    </pivotField>
    <pivotField axis="axisRow" showAll="0">
      <items count="27">
        <item x="23"/>
        <item x="24"/>
        <item x="25"/>
        <item x="5"/>
        <item x="22"/>
        <item x="6"/>
        <item x="7"/>
        <item x="8"/>
        <item x="9"/>
        <item x="10"/>
        <item x="11"/>
        <item x="12"/>
        <item x="16"/>
        <item x="21"/>
        <item x="0"/>
        <item x="2"/>
        <item x="17"/>
        <item x="13"/>
        <item x="18"/>
        <item x="19"/>
        <item x="20"/>
        <item x="14"/>
        <item x="1"/>
        <item x="3"/>
        <item x="15"/>
        <item x="4"/>
        <item t="default"/>
      </items>
    </pivotField>
    <pivotField axis="axisCol" showAll="0" defaultSubtotal="0">
      <items count="3">
        <item h="1" x="2"/>
        <item x="0"/>
        <item x="1"/>
      </items>
    </pivotField>
    <pivotField dataField="1" showAll="0"/>
    <pivotField axis="axisCol" showAll="0">
      <items count="5">
        <item x="2"/>
        <item x="1"/>
        <item x="3"/>
        <item x="0"/>
        <item t="default"/>
      </items>
    </pivotField>
  </pivotFields>
  <rowFields count="2">
    <field x="0"/>
    <field x="1"/>
  </rowFields>
  <rowItems count="1505">
    <i>
      <x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1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2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3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4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22"/>
    </i>
    <i>
      <x v="5"/>
    </i>
    <i r="1">
      <x v="17"/>
    </i>
    <i>
      <x v="6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7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8"/>
    </i>
    <i r="1">
      <x v="16"/>
    </i>
    <i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11"/>
    </i>
    <i r="1">
      <x v="19"/>
    </i>
    <i>
      <x v="12"/>
    </i>
    <i r="1">
      <x v="13"/>
    </i>
    <i r="1">
      <x v="14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>
      <x v="13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14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9"/>
    </i>
    <i>
      <x v="15"/>
    </i>
    <i r="1">
      <x v="11"/>
    </i>
    <i r="1">
      <x v="12"/>
    </i>
    <i r="1">
      <x v="13"/>
    </i>
    <i r="1">
      <x v="22"/>
    </i>
    <i r="1">
      <x v="23"/>
    </i>
    <i>
      <x v="16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17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1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19"/>
    </i>
    <i r="1">
      <x v="10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0"/>
    </i>
    <i r="1">
      <x v="18"/>
    </i>
    <i r="1">
      <x v="20"/>
    </i>
    <i>
      <x v="21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2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3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4"/>
    </i>
    <i r="1">
      <x v="15"/>
    </i>
    <i>
      <x v="25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6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7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>
      <x v="28"/>
    </i>
    <i r="1">
      <x v="10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9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30"/>
    </i>
    <i r="1">
      <x v="14"/>
    </i>
    <i>
      <x v="31"/>
    </i>
    <i r="1">
      <x v="16"/>
    </i>
    <i r="1">
      <x v="17"/>
    </i>
    <i>
      <x v="3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33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3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5"/>
    </i>
    <i r="1">
      <x v="15"/>
    </i>
    <i r="1">
      <x v="21"/>
    </i>
    <i r="1">
      <x v="22"/>
    </i>
    <i>
      <x v="3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37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38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39"/>
    </i>
    <i r="1">
      <x v="10"/>
    </i>
    <i r="1">
      <x v="11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40"/>
    </i>
    <i r="1">
      <x v="11"/>
    </i>
    <i r="1">
      <x v="12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41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42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43"/>
    </i>
    <i r="1">
      <x v="10"/>
    </i>
    <i>
      <x v="4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4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4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47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48"/>
    </i>
    <i r="1">
      <x v="10"/>
    </i>
    <i r="1">
      <x v="11"/>
    </i>
    <i r="1">
      <x v="12"/>
    </i>
    <i r="1">
      <x v="13"/>
    </i>
    <i r="1">
      <x v="17"/>
    </i>
    <i r="1">
      <x v="22"/>
    </i>
    <i>
      <x v="49"/>
    </i>
    <i r="1">
      <x v="23"/>
    </i>
    <i>
      <x v="50"/>
    </i>
    <i r="1">
      <x v="11"/>
    </i>
    <i>
      <x v="51"/>
    </i>
    <i r="1">
      <x v="17"/>
    </i>
    <i r="1">
      <x v="18"/>
    </i>
    <i>
      <x v="52"/>
    </i>
    <i r="1">
      <x v="15"/>
    </i>
    <i r="1">
      <x v="16"/>
    </i>
    <i r="1">
      <x v="17"/>
    </i>
    <i r="1">
      <x v="21"/>
    </i>
    <i r="1">
      <x v="22"/>
    </i>
    <i r="1">
      <x v="23"/>
    </i>
    <i r="1">
      <x v="24"/>
    </i>
    <i>
      <x v="53"/>
    </i>
    <i r="1">
      <x v="25"/>
    </i>
    <i>
      <x v="54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55"/>
    </i>
    <i r="1">
      <x v="13"/>
    </i>
    <i>
      <x v="5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57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58"/>
    </i>
    <i r="1">
      <x v="18"/>
    </i>
    <i>
      <x v="5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>
      <x v="60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61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6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6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6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4"/>
    </i>
    <i>
      <x v="6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3"/>
    </i>
    <i r="1">
      <x v="15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66"/>
    </i>
    <i r="1">
      <x v="14"/>
    </i>
    <i r="1">
      <x v="15"/>
    </i>
    <i r="1">
      <x v="18"/>
    </i>
    <i>
      <x v="67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68"/>
    </i>
    <i r="1">
      <x v="20"/>
    </i>
    <i r="1">
      <x v="21"/>
    </i>
    <i r="1">
      <x v="22"/>
    </i>
    <i>
      <x v="6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70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71"/>
    </i>
    <i r="1">
      <x v="19"/>
    </i>
    <i r="1">
      <x v="20"/>
    </i>
    <i r="1">
      <x v="21"/>
    </i>
    <i r="1">
      <x v="22"/>
    </i>
    <i r="1">
      <x v="23"/>
    </i>
    <i>
      <x v="72"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7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74"/>
    </i>
    <i r="1">
      <x v="15"/>
    </i>
    <i r="1">
      <x v="16"/>
    </i>
    <i r="1">
      <x v="18"/>
    </i>
    <i r="1">
      <x v="22"/>
    </i>
    <i r="1">
      <x v="23"/>
    </i>
    <i>
      <x v="75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9"/>
    </i>
    <i r="1">
      <x v="20"/>
    </i>
    <i r="1">
      <x v="23"/>
    </i>
    <i r="1">
      <x v="24"/>
    </i>
    <i r="1">
      <x v="25"/>
    </i>
    <i>
      <x v="76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77"/>
    </i>
    <i r="1">
      <x v="13"/>
    </i>
    <i r="1">
      <x v="14"/>
    </i>
    <i r="1">
      <x v="18"/>
    </i>
    <i r="1">
      <x v="19"/>
    </i>
    <i>
      <x v="78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4"/>
    </i>
    <i r="1">
      <x v="25"/>
    </i>
    <i>
      <x v="7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80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81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82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8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84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85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86"/>
    </i>
    <i r="1">
      <x v="18"/>
    </i>
    <i>
      <x v="87"/>
    </i>
    <i r="1">
      <x v="15"/>
    </i>
    <i r="1">
      <x v="16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>
      <x v="88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>
      <x v="8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90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91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92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93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94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95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96"/>
    </i>
    <i r="1">
      <x v="7"/>
    </i>
    <i r="1">
      <x v="8"/>
    </i>
    <i r="1">
      <x v="9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97"/>
    </i>
    <i r="1">
      <x v="12"/>
    </i>
    <i r="1">
      <x v="15"/>
    </i>
    <i r="1">
      <x v="16"/>
    </i>
    <i r="1">
      <x v="18"/>
    </i>
    <i>
      <x v="98"/>
    </i>
    <i r="1">
      <x v="9"/>
    </i>
    <i>
      <x v="9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10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10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102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103"/>
    </i>
    <i r="1">
      <x v="12"/>
    </i>
    <i>
      <x v="104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>
      <x v="105"/>
    </i>
    <i r="1">
      <x v="14"/>
    </i>
    <i r="1">
      <x v="21"/>
    </i>
    <i r="1">
      <x v="22"/>
    </i>
    <i>
      <x v="106"/>
    </i>
    <i r="1">
      <x v="13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107"/>
    </i>
    <i r="1">
      <x v="17"/>
    </i>
    <i r="1">
      <x v="18"/>
    </i>
    <i r="1">
      <x v="19"/>
    </i>
    <i>
      <x v="108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109"/>
    </i>
    <i r="1">
      <x v="12"/>
    </i>
    <i r="1">
      <x v="14"/>
    </i>
    <i r="1">
      <x v="19"/>
    </i>
    <i r="1">
      <x v="20"/>
    </i>
    <i r="1">
      <x v="21"/>
    </i>
    <i r="1">
      <x v="22"/>
    </i>
    <i r="1">
      <x v="23"/>
    </i>
    <i>
      <x v="110"/>
    </i>
    <i r="1">
      <x v="10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111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112"/>
    </i>
    <i r="1">
      <x v="12"/>
    </i>
    <i r="1">
      <x v="15"/>
    </i>
    <i r="1">
      <x v="16"/>
    </i>
    <i r="1">
      <x v="18"/>
    </i>
    <i r="1">
      <x v="19"/>
    </i>
  </rowItems>
  <colFields count="2">
    <field x="2"/>
    <field x="4"/>
  </colFields>
  <colItems count="8"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</colItems>
  <dataFields count="1">
    <dataField name="Sum of value" fld="3" baseField="1" baseItem="1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D4647-933F-40F0-A067-CDB477C1A8DB}">
  <dimension ref="A1:BF228"/>
  <sheetViews>
    <sheetView topLeftCell="A178" zoomScale="80" zoomScaleNormal="80" workbookViewId="0">
      <pane xSplit="1" topLeftCell="B1" activePane="topRight" state="frozen"/>
      <selection activeCell="A67" sqref="A67"/>
      <selection pane="topRight" activeCell="T216" sqref="T216"/>
    </sheetView>
  </sheetViews>
  <sheetFormatPr defaultColWidth="9.140625" defaultRowHeight="13.5" x14ac:dyDescent="0.25"/>
  <cols>
    <col min="1" max="1" width="13.42578125" style="12" bestFit="1" customWidth="1"/>
    <col min="2" max="2" width="17.42578125" style="11" bestFit="1" customWidth="1"/>
    <col min="3" max="4" width="5.5703125" style="11" bestFit="1" customWidth="1"/>
    <col min="5" max="5" width="13.5703125" style="11" bestFit="1" customWidth="1"/>
    <col min="6" max="7" width="12" style="11" bestFit="1" customWidth="1"/>
    <col min="8" max="8" width="13.5703125" style="11" bestFit="1" customWidth="1"/>
    <col min="9" max="9" width="12" style="11" bestFit="1" customWidth="1"/>
    <col min="10" max="10" width="13.5703125" style="11" bestFit="1" customWidth="1"/>
    <col min="11" max="11" width="12" style="11" bestFit="1" customWidth="1"/>
    <col min="12" max="12" width="13.5703125" style="11" bestFit="1" customWidth="1"/>
    <col min="13" max="21" width="12" style="11" bestFit="1" customWidth="1"/>
    <col min="22" max="22" width="14.85546875" style="11" bestFit="1" customWidth="1"/>
    <col min="23" max="26" width="13.5703125" style="12" bestFit="1" customWidth="1"/>
    <col min="27" max="27" width="12" style="12" bestFit="1" customWidth="1"/>
    <col min="28" max="28" width="14.85546875" style="12" bestFit="1" customWidth="1"/>
    <col min="29" max="29" width="11.85546875" style="12" customWidth="1"/>
    <col min="30" max="16384" width="9.140625" style="12"/>
  </cols>
  <sheetData>
    <row r="1" spans="1:29" s="9" customFormat="1" ht="15.75" x14ac:dyDescent="0.25">
      <c r="A1" s="7" t="s">
        <v>130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9" x14ac:dyDescent="0.25">
      <c r="A2" s="10" t="s">
        <v>131</v>
      </c>
    </row>
    <row r="4" spans="1:29" ht="14.25" thickBot="1" x14ac:dyDescent="0.3">
      <c r="A4" s="13" t="s">
        <v>132</v>
      </c>
      <c r="V4" s="14"/>
      <c r="W4" s="14"/>
      <c r="X4" s="14"/>
      <c r="Y4" s="14"/>
    </row>
    <row r="5" spans="1:29" s="17" customFormat="1" x14ac:dyDescent="0.25">
      <c r="A5" s="15"/>
      <c r="B5" s="16">
        <v>1997</v>
      </c>
      <c r="C5" s="16">
        <v>1998</v>
      </c>
      <c r="D5" s="16">
        <v>1999</v>
      </c>
      <c r="E5" s="16">
        <v>2000</v>
      </c>
      <c r="F5" s="16">
        <v>2001</v>
      </c>
      <c r="G5" s="16">
        <v>2002</v>
      </c>
      <c r="H5" s="16">
        <v>2003</v>
      </c>
      <c r="I5" s="16">
        <v>2004</v>
      </c>
      <c r="J5" s="16">
        <v>2005</v>
      </c>
      <c r="K5" s="16">
        <v>2006</v>
      </c>
      <c r="L5" s="16">
        <v>2007</v>
      </c>
      <c r="M5" s="16">
        <v>2008</v>
      </c>
      <c r="N5" s="16">
        <v>2009</v>
      </c>
      <c r="O5" s="16">
        <v>2010</v>
      </c>
      <c r="P5" s="16">
        <v>2011</v>
      </c>
      <c r="Q5" s="16">
        <v>2012</v>
      </c>
      <c r="R5" s="16">
        <v>2013</v>
      </c>
      <c r="S5" s="16">
        <v>2014</v>
      </c>
      <c r="T5" s="16">
        <v>2015</v>
      </c>
      <c r="U5" s="16">
        <v>2016</v>
      </c>
      <c r="V5" s="16">
        <v>2017</v>
      </c>
      <c r="W5" s="16">
        <v>2018</v>
      </c>
      <c r="X5" s="16">
        <v>2019</v>
      </c>
      <c r="Y5" s="16">
        <v>2020</v>
      </c>
      <c r="Z5" s="16">
        <v>2021</v>
      </c>
      <c r="AA5" s="16">
        <v>2022</v>
      </c>
      <c r="AB5" s="16">
        <v>2023</v>
      </c>
      <c r="AC5" s="16">
        <v>2024</v>
      </c>
    </row>
    <row r="6" spans="1:29" s="18" customFormat="1" x14ac:dyDescent="0.25">
      <c r="A6" s="18" t="s">
        <v>133</v>
      </c>
      <c r="B6" s="19">
        <v>226040</v>
      </c>
      <c r="C6" s="19">
        <v>251429</v>
      </c>
      <c r="D6" s="19">
        <v>218783</v>
      </c>
      <c r="E6" s="19">
        <v>248354</v>
      </c>
      <c r="F6" s="19">
        <v>264273</v>
      </c>
      <c r="G6" s="19">
        <v>281550</v>
      </c>
      <c r="H6" s="19">
        <v>261526</v>
      </c>
      <c r="I6" s="19">
        <v>285206</v>
      </c>
      <c r="J6" s="19">
        <v>250771</v>
      </c>
      <c r="K6" s="19">
        <v>255695</v>
      </c>
      <c r="L6" s="19">
        <v>245137</v>
      </c>
      <c r="M6" s="19">
        <v>247678</v>
      </c>
      <c r="N6" s="19">
        <v>280391</v>
      </c>
      <c r="O6" s="19">
        <v>278510</v>
      </c>
      <c r="P6" s="19">
        <v>261801</v>
      </c>
      <c r="Q6" s="19">
        <v>275109</v>
      </c>
      <c r="R6" s="19">
        <v>242854</v>
      </c>
      <c r="S6" s="19">
        <v>264682</v>
      </c>
      <c r="T6" s="19">
        <v>270141</v>
      </c>
      <c r="U6" s="19">
        <v>241014</v>
      </c>
      <c r="V6" s="19">
        <v>246633</v>
      </c>
      <c r="W6" s="19">
        <v>257487</v>
      </c>
      <c r="X6" s="19">
        <v>268608</v>
      </c>
      <c r="Y6" s="19">
        <v>212294</v>
      </c>
      <c r="Z6" s="19">
        <v>205387</v>
      </c>
      <c r="AA6" s="19">
        <v>231506</v>
      </c>
      <c r="AB6" s="19">
        <v>228004</v>
      </c>
      <c r="AC6" s="19">
        <v>226561</v>
      </c>
    </row>
    <row r="7" spans="1:29" s="18" customFormat="1" x14ac:dyDescent="0.25">
      <c r="A7" s="18" t="s">
        <v>134</v>
      </c>
      <c r="B7" s="19">
        <v>958951</v>
      </c>
      <c r="C7" s="19">
        <v>1255832</v>
      </c>
      <c r="D7" s="19">
        <v>1061850</v>
      </c>
      <c r="E7" s="19">
        <v>1143134</v>
      </c>
      <c r="F7" s="19">
        <v>1118794</v>
      </c>
      <c r="G7" s="19">
        <v>1265407</v>
      </c>
      <c r="H7" s="19">
        <v>1265759</v>
      </c>
      <c r="I7" s="19">
        <v>1354187</v>
      </c>
      <c r="J7" s="19">
        <v>1483370</v>
      </c>
      <c r="K7" s="19">
        <v>1524422</v>
      </c>
      <c r="L7" s="19">
        <v>1685359</v>
      </c>
      <c r="M7" s="19">
        <v>1736472</v>
      </c>
      <c r="N7" s="19">
        <v>1798547</v>
      </c>
      <c r="O7" s="19">
        <v>1707212</v>
      </c>
      <c r="P7" s="19">
        <v>1574849</v>
      </c>
      <c r="Q7" s="19">
        <v>1847061</v>
      </c>
      <c r="R7" s="19">
        <v>1932645</v>
      </c>
      <c r="S7" s="19">
        <v>2077821</v>
      </c>
      <c r="T7" s="19">
        <v>1771661</v>
      </c>
      <c r="U7" s="19">
        <v>1859066</v>
      </c>
      <c r="V7" s="19">
        <v>1830992</v>
      </c>
      <c r="W7" s="19">
        <v>1907318</v>
      </c>
      <c r="X7" s="19">
        <v>2098850</v>
      </c>
      <c r="Y7" s="19">
        <v>1879312</v>
      </c>
      <c r="Z7" s="19">
        <v>1834182</v>
      </c>
      <c r="AA7" s="19">
        <v>1876661</v>
      </c>
      <c r="AB7" s="19">
        <v>1836104</v>
      </c>
      <c r="AC7" s="19">
        <v>2145086</v>
      </c>
    </row>
    <row r="8" spans="1:29" s="18" customFormat="1" x14ac:dyDescent="0.25">
      <c r="A8" s="18" t="s">
        <v>135</v>
      </c>
      <c r="B8" s="19">
        <v>298668</v>
      </c>
      <c r="C8" s="19">
        <v>323645</v>
      </c>
      <c r="D8" s="19">
        <v>338479</v>
      </c>
      <c r="E8" s="19">
        <v>319855</v>
      </c>
      <c r="F8" s="19">
        <v>272484</v>
      </c>
      <c r="G8" s="19">
        <v>286202</v>
      </c>
      <c r="H8" s="19">
        <v>303907</v>
      </c>
      <c r="I8" s="19">
        <v>322176</v>
      </c>
      <c r="J8" s="19">
        <v>266737</v>
      </c>
      <c r="K8" s="19">
        <v>257594</v>
      </c>
      <c r="L8" s="19">
        <v>284659</v>
      </c>
      <c r="M8" s="19">
        <v>269551</v>
      </c>
      <c r="N8" s="19">
        <v>264350</v>
      </c>
      <c r="O8" s="19">
        <v>270121</v>
      </c>
      <c r="P8" s="19">
        <v>275545</v>
      </c>
      <c r="Q8" s="19">
        <v>242958</v>
      </c>
      <c r="R8" s="19">
        <v>229557</v>
      </c>
      <c r="S8" s="19">
        <v>206934</v>
      </c>
      <c r="T8" s="19">
        <v>214039</v>
      </c>
      <c r="U8" s="19">
        <v>198395</v>
      </c>
      <c r="V8" s="19">
        <v>171568</v>
      </c>
      <c r="W8" s="19">
        <v>232215</v>
      </c>
      <c r="X8" s="19">
        <v>186021</v>
      </c>
      <c r="Y8" s="19">
        <v>228504</v>
      </c>
      <c r="Z8" s="19">
        <v>200084</v>
      </c>
      <c r="AA8" s="19">
        <v>154240</v>
      </c>
      <c r="AB8" s="19">
        <v>111668</v>
      </c>
      <c r="AC8" s="19">
        <v>127366</v>
      </c>
    </row>
    <row r="9" spans="1:29" s="18" customFormat="1" x14ac:dyDescent="0.25">
      <c r="A9" s="18" t="s">
        <v>136</v>
      </c>
      <c r="B9" s="19">
        <v>18637</v>
      </c>
      <c r="C9" s="19">
        <v>19004</v>
      </c>
      <c r="D9" s="19">
        <v>13381</v>
      </c>
      <c r="E9" s="19">
        <v>25750</v>
      </c>
      <c r="F9" s="19">
        <v>17234</v>
      </c>
      <c r="G9" s="19">
        <v>16026</v>
      </c>
      <c r="H9" s="19">
        <v>19777</v>
      </c>
      <c r="I9" s="19">
        <v>23347</v>
      </c>
      <c r="J9" s="19">
        <v>13084</v>
      </c>
      <c r="K9" s="19">
        <v>9983</v>
      </c>
      <c r="L9" s="19">
        <v>9046</v>
      </c>
      <c r="M9" s="19">
        <v>11706</v>
      </c>
      <c r="N9" s="19">
        <v>9850</v>
      </c>
      <c r="O9" s="19">
        <v>11284</v>
      </c>
      <c r="P9" s="19">
        <v>9075</v>
      </c>
      <c r="Q9" s="19">
        <v>10659</v>
      </c>
      <c r="R9" s="19">
        <v>9202</v>
      </c>
      <c r="S9" s="19">
        <v>6348</v>
      </c>
      <c r="T9" s="19">
        <v>7261</v>
      </c>
      <c r="U9" s="19">
        <v>6677</v>
      </c>
      <c r="V9" s="19">
        <v>7529</v>
      </c>
      <c r="W9" s="19">
        <v>7016</v>
      </c>
      <c r="X9" s="19">
        <v>8811</v>
      </c>
      <c r="Y9" s="19">
        <v>9441</v>
      </c>
      <c r="Z9" s="19">
        <v>9968</v>
      </c>
      <c r="AA9" s="19">
        <v>9540</v>
      </c>
      <c r="AB9" s="19">
        <v>6925</v>
      </c>
      <c r="AC9" s="19">
        <v>7348</v>
      </c>
    </row>
    <row r="10" spans="1:29" s="18" customFormat="1" x14ac:dyDescent="0.25">
      <c r="A10" s="18" t="s">
        <v>137</v>
      </c>
      <c r="B10" s="19">
        <v>178294</v>
      </c>
      <c r="C10" s="19">
        <v>213874</v>
      </c>
      <c r="D10" s="19">
        <v>211995</v>
      </c>
      <c r="E10" s="19">
        <v>235765</v>
      </c>
      <c r="F10" s="19">
        <v>212029</v>
      </c>
      <c r="G10" s="19">
        <v>222616</v>
      </c>
      <c r="H10" s="19">
        <v>252968</v>
      </c>
      <c r="I10" s="19">
        <v>296266</v>
      </c>
      <c r="J10" s="19">
        <v>228682</v>
      </c>
      <c r="K10" s="19">
        <v>255759</v>
      </c>
      <c r="L10" s="19">
        <v>304655</v>
      </c>
      <c r="M10" s="19">
        <v>313323</v>
      </c>
      <c r="N10" s="19">
        <v>277334</v>
      </c>
      <c r="O10" s="19">
        <v>260046</v>
      </c>
      <c r="P10" s="19">
        <v>242160</v>
      </c>
      <c r="Q10" s="19">
        <v>302350</v>
      </c>
      <c r="R10" s="19">
        <v>313341</v>
      </c>
      <c r="S10" s="19">
        <v>348113</v>
      </c>
      <c r="T10" s="19">
        <v>396971</v>
      </c>
      <c r="U10" s="19">
        <v>411945</v>
      </c>
      <c r="V10" s="19">
        <v>332115</v>
      </c>
      <c r="W10" s="19">
        <v>412953</v>
      </c>
      <c r="X10" s="19">
        <v>411513</v>
      </c>
      <c r="Y10" s="19">
        <v>399659</v>
      </c>
      <c r="Z10" s="19">
        <v>419543</v>
      </c>
      <c r="AA10" s="19">
        <v>387283</v>
      </c>
      <c r="AB10" s="19">
        <v>440588</v>
      </c>
      <c r="AC10" s="19">
        <v>492338</v>
      </c>
    </row>
    <row r="11" spans="1:29" s="18" customFormat="1" ht="14.25" thickBot="1" x14ac:dyDescent="0.3">
      <c r="A11" s="20" t="s">
        <v>138</v>
      </c>
      <c r="B11" s="21">
        <v>1680590</v>
      </c>
      <c r="C11" s="21">
        <v>2063784</v>
      </c>
      <c r="D11" s="21">
        <v>1844488</v>
      </c>
      <c r="E11" s="21">
        <v>1972858</v>
      </c>
      <c r="F11" s="21">
        <v>1884814</v>
      </c>
      <c r="G11" s="21">
        <v>2071801</v>
      </c>
      <c r="H11" s="21">
        <v>2103937</v>
      </c>
      <c r="I11" s="21">
        <v>2281182</v>
      </c>
      <c r="J11" s="21">
        <v>2242644</v>
      </c>
      <c r="K11" s="21">
        <v>2303453</v>
      </c>
      <c r="L11" s="21">
        <v>2528856</v>
      </c>
      <c r="M11" s="21">
        <v>2578730</v>
      </c>
      <c r="N11" s="21">
        <v>2630472</v>
      </c>
      <c r="O11" s="21">
        <v>2527173</v>
      </c>
      <c r="P11" s="21">
        <v>2363430</v>
      </c>
      <c r="Q11" s="21">
        <v>2678137</v>
      </c>
      <c r="R11" s="21">
        <v>2727599</v>
      </c>
      <c r="S11" s="21">
        <v>2903898</v>
      </c>
      <c r="T11" s="21">
        <v>2660073</v>
      </c>
      <c r="U11" s="21">
        <v>2717097</v>
      </c>
      <c r="V11" s="21">
        <v>2588837</v>
      </c>
      <c r="W11" s="21">
        <v>2816989</v>
      </c>
      <c r="X11" s="21">
        <v>2973803</v>
      </c>
      <c r="Y11" s="21">
        <v>2729210</v>
      </c>
      <c r="Z11" s="21">
        <v>2669164</v>
      </c>
      <c r="AA11" s="21">
        <v>2659230</v>
      </c>
      <c r="AB11" s="21">
        <v>2623289</v>
      </c>
      <c r="AC11" s="21">
        <v>2998699</v>
      </c>
    </row>
    <row r="12" spans="1:29" x14ac:dyDescent="0.25">
      <c r="A12" s="10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 spans="1:29" ht="14.25" thickBot="1" x14ac:dyDescent="0.3">
      <c r="A13" s="13" t="s">
        <v>139</v>
      </c>
      <c r="E13" s="22"/>
      <c r="F13" s="22"/>
      <c r="P13" s="22"/>
      <c r="Q13" s="22"/>
      <c r="R13" s="22"/>
      <c r="S13" s="22"/>
      <c r="T13" s="22"/>
      <c r="V13" s="22"/>
      <c r="W13" s="22"/>
      <c r="X13" s="22"/>
      <c r="Y13" s="22"/>
      <c r="Z13" s="22"/>
      <c r="AA13" s="22"/>
      <c r="AB13" s="22"/>
      <c r="AC13" s="22"/>
    </row>
    <row r="14" spans="1:29" s="17" customFormat="1" x14ac:dyDescent="0.25">
      <c r="A14" s="15"/>
      <c r="B14" s="16">
        <v>1997</v>
      </c>
      <c r="C14" s="16">
        <v>1998</v>
      </c>
      <c r="D14" s="16">
        <v>1999</v>
      </c>
      <c r="E14" s="16">
        <v>2000</v>
      </c>
      <c r="F14" s="16">
        <v>2001</v>
      </c>
      <c r="G14" s="16">
        <v>2002</v>
      </c>
      <c r="H14" s="16">
        <v>2003</v>
      </c>
      <c r="I14" s="16">
        <v>2004</v>
      </c>
      <c r="J14" s="16">
        <v>2005</v>
      </c>
      <c r="K14" s="16">
        <v>2006</v>
      </c>
      <c r="L14" s="16">
        <v>2007</v>
      </c>
      <c r="M14" s="16">
        <v>2008</v>
      </c>
      <c r="N14" s="16">
        <v>2009</v>
      </c>
      <c r="O14" s="16">
        <v>2010</v>
      </c>
      <c r="P14" s="16">
        <v>2011</v>
      </c>
      <c r="Q14" s="16">
        <v>2012</v>
      </c>
      <c r="R14" s="16">
        <v>2013</v>
      </c>
      <c r="S14" s="16">
        <v>2014</v>
      </c>
      <c r="T14" s="16">
        <v>2015</v>
      </c>
      <c r="U14" s="16">
        <v>2016</v>
      </c>
      <c r="V14" s="16">
        <v>2017</v>
      </c>
      <c r="W14" s="16">
        <v>2018</v>
      </c>
      <c r="X14" s="16">
        <v>2019</v>
      </c>
      <c r="Y14" s="16">
        <v>2020</v>
      </c>
      <c r="Z14" s="16">
        <v>2021</v>
      </c>
      <c r="AA14" s="16">
        <v>2022</v>
      </c>
      <c r="AB14" s="16">
        <v>2023</v>
      </c>
      <c r="AC14" s="16">
        <v>2024</v>
      </c>
    </row>
    <row r="15" spans="1:29" s="18" customFormat="1" x14ac:dyDescent="0.25">
      <c r="A15" s="18" t="s">
        <v>140</v>
      </c>
      <c r="B15" s="19">
        <v>107097</v>
      </c>
      <c r="C15" s="19">
        <v>106691</v>
      </c>
      <c r="D15" s="19">
        <v>119703</v>
      </c>
      <c r="E15" s="19">
        <v>99960</v>
      </c>
      <c r="F15" s="19">
        <v>119142</v>
      </c>
      <c r="G15" s="19">
        <v>144535</v>
      </c>
      <c r="H15" s="19">
        <v>122110</v>
      </c>
      <c r="I15" s="19">
        <v>121420</v>
      </c>
      <c r="J15" s="19">
        <v>103274</v>
      </c>
      <c r="K15" s="19">
        <v>102653</v>
      </c>
      <c r="L15" s="19">
        <v>118813</v>
      </c>
      <c r="M15" s="19">
        <v>102950</v>
      </c>
      <c r="N15" s="19">
        <v>132064</v>
      </c>
      <c r="O15" s="19">
        <v>128091</v>
      </c>
      <c r="P15" s="19">
        <v>113761</v>
      </c>
      <c r="Q15" s="19">
        <v>138846</v>
      </c>
      <c r="R15" s="19">
        <v>135325</v>
      </c>
      <c r="S15" s="19">
        <v>118743</v>
      </c>
      <c r="T15" s="19">
        <v>114239</v>
      </c>
      <c r="U15" s="19">
        <v>96305</v>
      </c>
      <c r="V15" s="19">
        <v>122561</v>
      </c>
      <c r="W15" s="19">
        <v>106765</v>
      </c>
      <c r="X15" s="19">
        <v>102433</v>
      </c>
      <c r="Y15" s="19">
        <v>120645</v>
      </c>
      <c r="Z15" s="19">
        <v>89748</v>
      </c>
      <c r="AA15" s="19">
        <v>94013</v>
      </c>
      <c r="AB15" s="19">
        <v>95673</v>
      </c>
      <c r="AC15" s="19">
        <v>111036</v>
      </c>
    </row>
    <row r="16" spans="1:29" s="18" customFormat="1" x14ac:dyDescent="0.25">
      <c r="A16" s="18" t="s">
        <v>141</v>
      </c>
      <c r="B16" s="19">
        <v>147850</v>
      </c>
      <c r="C16" s="19">
        <v>165731</v>
      </c>
      <c r="D16" s="19">
        <v>176040</v>
      </c>
      <c r="E16" s="19">
        <v>164876</v>
      </c>
      <c r="F16" s="19">
        <v>150793</v>
      </c>
      <c r="G16" s="19">
        <v>172611</v>
      </c>
      <c r="H16" s="19">
        <v>159153</v>
      </c>
      <c r="I16" s="19">
        <v>198179</v>
      </c>
      <c r="J16" s="19">
        <v>164764</v>
      </c>
      <c r="K16" s="19">
        <v>171732</v>
      </c>
      <c r="L16" s="19">
        <v>167657</v>
      </c>
      <c r="M16" s="19">
        <v>168570</v>
      </c>
      <c r="N16" s="19">
        <v>160099</v>
      </c>
      <c r="O16" s="19">
        <v>142622</v>
      </c>
      <c r="P16" s="19">
        <v>167732</v>
      </c>
      <c r="Q16" s="19">
        <v>169998</v>
      </c>
      <c r="R16" s="19">
        <v>159864</v>
      </c>
      <c r="S16" s="19">
        <v>169622</v>
      </c>
      <c r="T16" s="19">
        <v>149108</v>
      </c>
      <c r="U16" s="19">
        <v>154073</v>
      </c>
      <c r="V16" s="19">
        <v>133104</v>
      </c>
      <c r="W16" s="19">
        <v>152796</v>
      </c>
      <c r="X16" s="19">
        <v>132212</v>
      </c>
      <c r="Y16" s="19">
        <v>146429</v>
      </c>
      <c r="Z16" s="19">
        <v>139424</v>
      </c>
      <c r="AA16" s="19">
        <v>146950</v>
      </c>
      <c r="AB16" s="19">
        <v>142901</v>
      </c>
      <c r="AC16" s="19">
        <v>116754</v>
      </c>
    </row>
    <row r="17" spans="1:29" s="18" customFormat="1" x14ac:dyDescent="0.25">
      <c r="A17" s="18" t="s">
        <v>142</v>
      </c>
      <c r="B17" s="19">
        <v>931033</v>
      </c>
      <c r="C17" s="19">
        <v>1230277</v>
      </c>
      <c r="D17" s="19">
        <v>1064271</v>
      </c>
      <c r="E17" s="19">
        <v>1184447</v>
      </c>
      <c r="F17" s="19">
        <v>1089888</v>
      </c>
      <c r="G17" s="19">
        <v>1239363</v>
      </c>
      <c r="H17" s="19">
        <v>1232889</v>
      </c>
      <c r="I17" s="19">
        <v>1353349</v>
      </c>
      <c r="J17" s="19">
        <v>1412235</v>
      </c>
      <c r="K17" s="19">
        <v>1482251</v>
      </c>
      <c r="L17" s="19">
        <v>1671272</v>
      </c>
      <c r="M17" s="19">
        <v>1674742</v>
      </c>
      <c r="N17" s="19">
        <v>1787098</v>
      </c>
      <c r="O17" s="19">
        <v>1684674</v>
      </c>
      <c r="P17" s="19">
        <v>1544004</v>
      </c>
      <c r="Q17" s="19">
        <v>1740330</v>
      </c>
      <c r="R17" s="19">
        <v>1848938</v>
      </c>
      <c r="S17" s="19">
        <v>1990054</v>
      </c>
      <c r="T17" s="19">
        <v>1793700</v>
      </c>
      <c r="U17" s="19">
        <v>1795696</v>
      </c>
      <c r="V17" s="19">
        <v>1617568</v>
      </c>
      <c r="W17" s="19">
        <v>1852003</v>
      </c>
      <c r="X17" s="19">
        <v>2041732</v>
      </c>
      <c r="Y17" s="19">
        <v>1725421</v>
      </c>
      <c r="Z17" s="19">
        <v>1681042</v>
      </c>
      <c r="AA17" s="19">
        <v>1723096</v>
      </c>
      <c r="AB17" s="19">
        <v>1635211</v>
      </c>
      <c r="AC17" s="19">
        <v>2096232</v>
      </c>
    </row>
    <row r="18" spans="1:29" s="18" customFormat="1" x14ac:dyDescent="0.25">
      <c r="A18" s="18" t="s">
        <v>143</v>
      </c>
      <c r="B18" s="19">
        <v>494610</v>
      </c>
      <c r="C18" s="19">
        <v>561085</v>
      </c>
      <c r="D18" s="19">
        <v>484474</v>
      </c>
      <c r="E18" s="19">
        <v>523575</v>
      </c>
      <c r="F18" s="19">
        <v>524991</v>
      </c>
      <c r="G18" s="19">
        <v>515292</v>
      </c>
      <c r="H18" s="19">
        <v>589785</v>
      </c>
      <c r="I18" s="19">
        <v>608234</v>
      </c>
      <c r="J18" s="19">
        <v>562371</v>
      </c>
      <c r="K18" s="19">
        <v>546817</v>
      </c>
      <c r="L18" s="19">
        <v>571114</v>
      </c>
      <c r="M18" s="19">
        <v>632468</v>
      </c>
      <c r="N18" s="19">
        <v>551211</v>
      </c>
      <c r="O18" s="19">
        <v>571786</v>
      </c>
      <c r="P18" s="19">
        <v>537933</v>
      </c>
      <c r="Q18" s="19">
        <v>628963</v>
      </c>
      <c r="R18" s="19">
        <v>583472</v>
      </c>
      <c r="S18" s="19">
        <v>625479</v>
      </c>
      <c r="T18" s="19">
        <v>603026</v>
      </c>
      <c r="U18" s="19">
        <v>671023</v>
      </c>
      <c r="V18" s="19">
        <v>715604</v>
      </c>
      <c r="W18" s="19">
        <v>705425</v>
      </c>
      <c r="X18" s="19">
        <v>697426</v>
      </c>
      <c r="Y18" s="19">
        <v>736715</v>
      </c>
      <c r="Z18" s="19">
        <v>758950</v>
      </c>
      <c r="AA18" s="19">
        <v>695171</v>
      </c>
      <c r="AB18" s="19">
        <v>749504</v>
      </c>
      <c r="AC18" s="19">
        <v>674677</v>
      </c>
    </row>
    <row r="19" spans="1:29" s="18" customFormat="1" ht="14.25" thickBot="1" x14ac:dyDescent="0.3">
      <c r="A19" s="20" t="s">
        <v>138</v>
      </c>
      <c r="B19" s="21">
        <v>1680590</v>
      </c>
      <c r="C19" s="21">
        <v>2063784</v>
      </c>
      <c r="D19" s="21">
        <v>1844488</v>
      </c>
      <c r="E19" s="21">
        <v>1972858</v>
      </c>
      <c r="F19" s="21">
        <v>1884814</v>
      </c>
      <c r="G19" s="21">
        <v>2071801</v>
      </c>
      <c r="H19" s="21">
        <v>2103937</v>
      </c>
      <c r="I19" s="21">
        <v>2281182</v>
      </c>
      <c r="J19" s="21">
        <v>2242644</v>
      </c>
      <c r="K19" s="21">
        <v>2303453</v>
      </c>
      <c r="L19" s="21">
        <v>2528856</v>
      </c>
      <c r="M19" s="21">
        <v>2578730</v>
      </c>
      <c r="N19" s="21">
        <v>2630472</v>
      </c>
      <c r="O19" s="21">
        <v>2527173</v>
      </c>
      <c r="P19" s="21">
        <v>2363430</v>
      </c>
      <c r="Q19" s="21">
        <v>2678137</v>
      </c>
      <c r="R19" s="21">
        <v>2727599</v>
      </c>
      <c r="S19" s="21">
        <v>2903898</v>
      </c>
      <c r="T19" s="21">
        <v>2660073</v>
      </c>
      <c r="U19" s="21">
        <v>2717097</v>
      </c>
      <c r="V19" s="21">
        <v>2588837</v>
      </c>
      <c r="W19" s="21">
        <v>2816989</v>
      </c>
      <c r="X19" s="21">
        <v>2973803</v>
      </c>
      <c r="Y19" s="21">
        <v>2729210</v>
      </c>
      <c r="Z19" s="21">
        <v>2669164</v>
      </c>
      <c r="AA19" s="21">
        <v>2659230</v>
      </c>
      <c r="AB19" s="21">
        <v>2623289</v>
      </c>
      <c r="AC19" s="21">
        <v>2998699</v>
      </c>
    </row>
    <row r="20" spans="1:29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29" ht="14.25" thickBot="1" x14ac:dyDescent="0.3">
      <c r="A21" s="13" t="s">
        <v>144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</row>
    <row r="22" spans="1:29" s="17" customFormat="1" x14ac:dyDescent="0.25">
      <c r="A22" s="15"/>
      <c r="B22" s="16">
        <v>1997</v>
      </c>
      <c r="C22" s="16">
        <v>1998</v>
      </c>
      <c r="D22" s="16">
        <v>1999</v>
      </c>
      <c r="E22" s="16">
        <v>2000</v>
      </c>
      <c r="F22" s="16">
        <v>2001</v>
      </c>
      <c r="G22" s="16">
        <v>2002</v>
      </c>
      <c r="H22" s="16">
        <v>2003</v>
      </c>
      <c r="I22" s="16">
        <v>2004</v>
      </c>
      <c r="J22" s="16">
        <v>2005</v>
      </c>
      <c r="K22" s="16">
        <v>2006</v>
      </c>
      <c r="L22" s="16">
        <v>2007</v>
      </c>
      <c r="M22" s="16">
        <v>2008</v>
      </c>
      <c r="N22" s="16">
        <v>2009</v>
      </c>
      <c r="O22" s="16">
        <v>2010</v>
      </c>
      <c r="P22" s="16">
        <v>2011</v>
      </c>
      <c r="Q22" s="16">
        <v>2012</v>
      </c>
      <c r="R22" s="16">
        <v>2013</v>
      </c>
      <c r="S22" s="16">
        <v>2014</v>
      </c>
      <c r="T22" s="16">
        <v>2015</v>
      </c>
      <c r="U22" s="16">
        <v>2016</v>
      </c>
      <c r="V22" s="16">
        <v>2017</v>
      </c>
      <c r="W22" s="16">
        <v>2018</v>
      </c>
      <c r="X22" s="16">
        <v>2019</v>
      </c>
      <c r="Y22" s="16">
        <v>2020</v>
      </c>
      <c r="Z22" s="16">
        <v>2021</v>
      </c>
      <c r="AA22" s="16">
        <v>2022</v>
      </c>
      <c r="AB22" s="16">
        <v>2023</v>
      </c>
      <c r="AC22" s="16">
        <v>2024</v>
      </c>
    </row>
    <row r="23" spans="1:29" s="18" customFormat="1" x14ac:dyDescent="0.25">
      <c r="A23" s="24" t="s">
        <v>145</v>
      </c>
      <c r="B23" s="25"/>
      <c r="C23" s="25"/>
      <c r="D23" s="25"/>
      <c r="E23" s="25"/>
      <c r="F23" s="25"/>
      <c r="G23" s="25"/>
      <c r="H23" s="25"/>
      <c r="I23" s="25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spans="1:29" s="18" customFormat="1" x14ac:dyDescent="0.25">
      <c r="A24" s="18" t="s">
        <v>146</v>
      </c>
      <c r="B24" s="19">
        <v>11224</v>
      </c>
      <c r="C24" s="19">
        <v>5053</v>
      </c>
      <c r="D24" s="19">
        <v>7521</v>
      </c>
      <c r="E24" s="19">
        <v>6971</v>
      </c>
      <c r="F24" s="19">
        <v>5236</v>
      </c>
      <c r="G24" s="19">
        <v>5188</v>
      </c>
      <c r="H24" s="19">
        <v>5686</v>
      </c>
      <c r="I24" s="19">
        <v>4107</v>
      </c>
      <c r="J24" s="19">
        <v>3018</v>
      </c>
      <c r="K24" s="19">
        <v>4962</v>
      </c>
      <c r="L24" s="19">
        <v>4377</v>
      </c>
      <c r="M24" s="19">
        <v>3956</v>
      </c>
      <c r="N24" s="19">
        <v>3658</v>
      </c>
      <c r="O24" s="19">
        <v>2559</v>
      </c>
      <c r="P24" s="19">
        <v>2916</v>
      </c>
      <c r="Q24" s="19">
        <v>2519</v>
      </c>
      <c r="R24" s="19">
        <v>2584</v>
      </c>
      <c r="S24" s="19">
        <v>2911</v>
      </c>
      <c r="T24" s="19">
        <v>3907</v>
      </c>
      <c r="U24" s="19">
        <v>3458</v>
      </c>
      <c r="V24" s="19">
        <v>2918</v>
      </c>
      <c r="W24" s="19">
        <v>2390</v>
      </c>
      <c r="X24" s="19">
        <v>3009</v>
      </c>
      <c r="Y24" s="19">
        <v>3193</v>
      </c>
      <c r="Z24" s="19">
        <v>2888</v>
      </c>
      <c r="AA24" s="19">
        <v>2888</v>
      </c>
      <c r="AB24" s="19">
        <v>2529</v>
      </c>
      <c r="AC24" s="19">
        <v>3813</v>
      </c>
    </row>
    <row r="25" spans="1:29" s="18" customFormat="1" x14ac:dyDescent="0.25">
      <c r="A25" s="18" t="s">
        <v>147</v>
      </c>
      <c r="B25" s="19">
        <v>236</v>
      </c>
      <c r="C25" s="19">
        <v>744</v>
      </c>
      <c r="D25" s="19">
        <v>283</v>
      </c>
      <c r="E25" s="19">
        <v>318</v>
      </c>
      <c r="F25" s="19">
        <v>1495</v>
      </c>
      <c r="G25" s="19">
        <v>5192</v>
      </c>
      <c r="H25" s="19">
        <v>2367</v>
      </c>
      <c r="I25" s="19">
        <v>3285</v>
      </c>
      <c r="J25" s="19">
        <v>2927</v>
      </c>
      <c r="K25" s="19">
        <v>2432</v>
      </c>
      <c r="L25" s="19">
        <v>3510</v>
      </c>
      <c r="M25" s="19">
        <v>3858</v>
      </c>
      <c r="N25" s="19">
        <v>6483</v>
      </c>
      <c r="O25" s="19">
        <v>6617</v>
      </c>
      <c r="P25" s="19">
        <v>11164</v>
      </c>
      <c r="Q25" s="19">
        <v>30757</v>
      </c>
      <c r="R25" s="19">
        <v>16650</v>
      </c>
      <c r="S25" s="19">
        <v>20429</v>
      </c>
      <c r="T25" s="19">
        <v>24577</v>
      </c>
      <c r="U25" s="19">
        <v>13875</v>
      </c>
      <c r="V25" s="19">
        <v>24062</v>
      </c>
      <c r="W25" s="19">
        <v>40070</v>
      </c>
      <c r="X25" s="19">
        <v>39838</v>
      </c>
      <c r="Y25" s="19">
        <v>20112</v>
      </c>
      <c r="Z25" s="19">
        <v>7816</v>
      </c>
      <c r="AA25" s="19">
        <v>12503</v>
      </c>
      <c r="AB25" s="19">
        <v>20485</v>
      </c>
      <c r="AC25" s="19">
        <v>14110</v>
      </c>
    </row>
    <row r="26" spans="1:29" s="18" customFormat="1" x14ac:dyDescent="0.25">
      <c r="A26" s="18" t="s">
        <v>20</v>
      </c>
      <c r="B26" s="19">
        <v>4917</v>
      </c>
      <c r="C26" s="19">
        <v>4660</v>
      </c>
      <c r="D26" s="19">
        <v>4706</v>
      </c>
      <c r="E26" s="19">
        <v>9052</v>
      </c>
      <c r="F26" s="19">
        <v>11364</v>
      </c>
      <c r="G26" s="19">
        <v>10125</v>
      </c>
      <c r="H26" s="19">
        <v>7734</v>
      </c>
      <c r="I26" s="19">
        <v>10639</v>
      </c>
      <c r="J26" s="19">
        <v>8726</v>
      </c>
      <c r="K26" s="19">
        <v>8056</v>
      </c>
      <c r="L26" s="19">
        <v>6251</v>
      </c>
      <c r="M26" s="19">
        <v>7550</v>
      </c>
      <c r="N26" s="19">
        <v>8353</v>
      </c>
      <c r="O26" s="19">
        <v>9909</v>
      </c>
      <c r="P26" s="19">
        <v>7348</v>
      </c>
      <c r="Q26" s="19">
        <v>6854</v>
      </c>
      <c r="R26" s="19">
        <v>5471</v>
      </c>
      <c r="S26" s="19">
        <v>7011</v>
      </c>
      <c r="T26" s="19">
        <v>11662</v>
      </c>
      <c r="U26" s="19">
        <v>10408</v>
      </c>
      <c r="V26" s="19">
        <v>12136</v>
      </c>
      <c r="W26" s="19">
        <v>8876</v>
      </c>
      <c r="X26" s="19">
        <v>8940</v>
      </c>
      <c r="Y26" s="19">
        <v>8116</v>
      </c>
      <c r="Z26" s="19">
        <v>6920</v>
      </c>
      <c r="AA26" s="19">
        <v>8175</v>
      </c>
      <c r="AB26" s="19">
        <v>6055</v>
      </c>
      <c r="AC26" s="19">
        <v>10423</v>
      </c>
    </row>
    <row r="27" spans="1:29" s="18" customFormat="1" x14ac:dyDescent="0.25">
      <c r="A27" s="18" t="s">
        <v>148</v>
      </c>
      <c r="B27" s="19">
        <v>91427</v>
      </c>
      <c r="C27" s="19">
        <v>88675</v>
      </c>
      <c r="D27" s="19">
        <v>189212</v>
      </c>
      <c r="E27" s="19">
        <v>145890</v>
      </c>
      <c r="F27" s="19">
        <v>104694</v>
      </c>
      <c r="G27" s="19">
        <v>87010</v>
      </c>
      <c r="H27" s="19">
        <v>235615</v>
      </c>
      <c r="I27" s="19">
        <v>162179</v>
      </c>
      <c r="J27" s="19">
        <v>239058</v>
      </c>
      <c r="K27" s="19">
        <v>212449</v>
      </c>
      <c r="L27" s="19">
        <v>166695</v>
      </c>
      <c r="M27" s="19">
        <v>143371</v>
      </c>
      <c r="N27" s="19">
        <v>133956</v>
      </c>
      <c r="O27" s="19">
        <v>160368</v>
      </c>
      <c r="P27" s="19">
        <v>162661</v>
      </c>
      <c r="Q27" s="19">
        <v>188518</v>
      </c>
      <c r="R27" s="19">
        <v>220519</v>
      </c>
      <c r="S27" s="19">
        <v>143950</v>
      </c>
      <c r="T27" s="19">
        <v>172308</v>
      </c>
      <c r="U27" s="19">
        <v>200959</v>
      </c>
      <c r="V27" s="19">
        <v>194948</v>
      </c>
      <c r="W27" s="19">
        <v>299482</v>
      </c>
      <c r="X27" s="19">
        <v>173660</v>
      </c>
      <c r="Y27" s="19">
        <v>202661</v>
      </c>
      <c r="Z27" s="19">
        <v>119972</v>
      </c>
      <c r="AA27" s="19">
        <v>241698</v>
      </c>
      <c r="AB27" s="19">
        <v>84619</v>
      </c>
      <c r="AC27" s="19">
        <v>307626</v>
      </c>
    </row>
    <row r="28" spans="1:29" s="18" customFormat="1" x14ac:dyDescent="0.25">
      <c r="A28" s="18" t="s">
        <v>73</v>
      </c>
      <c r="B28" s="19">
        <v>204595</v>
      </c>
      <c r="C28" s="19">
        <v>158135</v>
      </c>
      <c r="D28" s="19">
        <v>153419</v>
      </c>
      <c r="E28" s="19">
        <v>152302</v>
      </c>
      <c r="F28" s="19">
        <v>282119</v>
      </c>
      <c r="G28" s="19">
        <v>365383</v>
      </c>
      <c r="H28" s="19">
        <v>90860</v>
      </c>
      <c r="I28" s="19">
        <v>107342</v>
      </c>
      <c r="J28" s="19">
        <v>212457</v>
      </c>
      <c r="K28" s="19">
        <v>176408</v>
      </c>
      <c r="L28" s="19">
        <v>201230</v>
      </c>
      <c r="M28" s="19">
        <v>248274</v>
      </c>
      <c r="N28" s="19">
        <v>333879</v>
      </c>
      <c r="O28" s="19">
        <v>208047</v>
      </c>
      <c r="P28" s="19">
        <v>223586</v>
      </c>
      <c r="Q28" s="19">
        <v>559842</v>
      </c>
      <c r="R28" s="19">
        <v>299526</v>
      </c>
      <c r="S28" s="19">
        <v>743455</v>
      </c>
      <c r="T28" s="19">
        <v>648468</v>
      </c>
      <c r="U28" s="19">
        <v>413595</v>
      </c>
      <c r="V28" s="19">
        <v>386439</v>
      </c>
      <c r="W28" s="19">
        <v>401677</v>
      </c>
      <c r="X28" s="19">
        <v>689669</v>
      </c>
      <c r="Y28" s="19">
        <v>353921</v>
      </c>
      <c r="Z28" s="19">
        <v>355703</v>
      </c>
      <c r="AA28" s="19">
        <v>238314</v>
      </c>
      <c r="AB28" s="19">
        <v>589705</v>
      </c>
      <c r="AC28" s="19">
        <v>260013</v>
      </c>
    </row>
    <row r="29" spans="1:29" s="18" customFormat="1" x14ac:dyDescent="0.25">
      <c r="A29" s="18" t="s">
        <v>149</v>
      </c>
      <c r="B29" s="19">
        <v>5083</v>
      </c>
      <c r="C29" s="19">
        <v>92023</v>
      </c>
      <c r="D29" s="19">
        <v>32851</v>
      </c>
      <c r="E29" s="19">
        <v>34186</v>
      </c>
      <c r="F29" s="19">
        <v>61826</v>
      </c>
      <c r="G29" s="19">
        <v>41436</v>
      </c>
      <c r="H29" s="19">
        <v>7496</v>
      </c>
      <c r="I29" s="19">
        <v>19104</v>
      </c>
      <c r="J29" s="19">
        <v>22026</v>
      </c>
      <c r="K29" s="19">
        <v>19233</v>
      </c>
      <c r="L29" s="19">
        <v>21935</v>
      </c>
      <c r="M29" s="19">
        <v>29964</v>
      </c>
      <c r="N29" s="19">
        <v>16985</v>
      </c>
      <c r="O29" s="19">
        <v>26286</v>
      </c>
      <c r="P29" s="19">
        <v>25936</v>
      </c>
      <c r="Q29" s="19">
        <v>33953</v>
      </c>
      <c r="R29" s="19">
        <v>46342</v>
      </c>
      <c r="S29" s="19">
        <v>88656</v>
      </c>
      <c r="T29" s="19">
        <v>37844</v>
      </c>
      <c r="U29" s="19">
        <v>90892</v>
      </c>
      <c r="V29" s="19">
        <v>33142</v>
      </c>
      <c r="W29" s="19">
        <v>37672</v>
      </c>
      <c r="X29" s="19">
        <v>15565</v>
      </c>
      <c r="Y29" s="19">
        <v>49413</v>
      </c>
      <c r="Z29" s="19">
        <v>67113</v>
      </c>
      <c r="AA29" s="19">
        <v>45303</v>
      </c>
      <c r="AB29" s="19">
        <v>52403</v>
      </c>
      <c r="AC29" s="19">
        <v>40049</v>
      </c>
    </row>
    <row r="30" spans="1:29" s="18" customFormat="1" x14ac:dyDescent="0.25">
      <c r="A30" s="18" t="s">
        <v>150</v>
      </c>
      <c r="B30" s="19">
        <v>26292</v>
      </c>
      <c r="C30" s="19">
        <v>43074</v>
      </c>
      <c r="D30" s="19">
        <v>50688</v>
      </c>
      <c r="E30" s="19">
        <v>68929</v>
      </c>
      <c r="F30" s="19">
        <v>66649</v>
      </c>
      <c r="G30" s="19">
        <v>126841</v>
      </c>
      <c r="H30" s="19">
        <v>21603</v>
      </c>
      <c r="I30" s="19">
        <v>64728</v>
      </c>
      <c r="J30" s="19">
        <v>50691</v>
      </c>
      <c r="K30" s="19">
        <v>56978</v>
      </c>
      <c r="L30" s="19">
        <v>68449</v>
      </c>
      <c r="M30" s="19">
        <v>64413</v>
      </c>
      <c r="N30" s="19">
        <v>61976</v>
      </c>
      <c r="O30" s="19">
        <v>109225</v>
      </c>
      <c r="P30" s="19">
        <v>104050</v>
      </c>
      <c r="Q30" s="19">
        <v>50786</v>
      </c>
      <c r="R30" s="19">
        <v>165365</v>
      </c>
      <c r="S30" s="19">
        <v>184785</v>
      </c>
      <c r="T30" s="19">
        <v>68933</v>
      </c>
      <c r="U30" s="19">
        <v>119535</v>
      </c>
      <c r="V30" s="19">
        <v>83133</v>
      </c>
      <c r="W30" s="19">
        <v>172918</v>
      </c>
      <c r="X30" s="19">
        <v>105696</v>
      </c>
      <c r="Y30" s="19">
        <v>135623</v>
      </c>
      <c r="Z30" s="19">
        <v>149537</v>
      </c>
      <c r="AA30" s="19">
        <v>80446</v>
      </c>
      <c r="AB30" s="19">
        <v>63913</v>
      </c>
      <c r="AC30" s="19">
        <v>68856</v>
      </c>
    </row>
    <row r="31" spans="1:29" s="18" customFormat="1" x14ac:dyDescent="0.25">
      <c r="A31" s="18" t="s">
        <v>67</v>
      </c>
      <c r="B31" s="19">
        <v>10451</v>
      </c>
      <c r="C31" s="19">
        <v>15422</v>
      </c>
      <c r="D31" s="19">
        <v>10697</v>
      </c>
      <c r="E31" s="19">
        <v>16939</v>
      </c>
      <c r="F31" s="19">
        <v>10075</v>
      </c>
      <c r="G31" s="19">
        <v>10564</v>
      </c>
      <c r="H31" s="19">
        <v>10182</v>
      </c>
      <c r="I31" s="19">
        <v>15750</v>
      </c>
      <c r="J31" s="19">
        <v>14229</v>
      </c>
      <c r="K31" s="19">
        <v>8317</v>
      </c>
      <c r="L31" s="19">
        <v>11568</v>
      </c>
      <c r="M31" s="19">
        <v>11619</v>
      </c>
      <c r="N31" s="19">
        <v>6348</v>
      </c>
      <c r="O31" s="19">
        <v>9388</v>
      </c>
      <c r="P31" s="19">
        <v>12807</v>
      </c>
      <c r="Q31" s="19">
        <v>12366</v>
      </c>
      <c r="R31" s="19">
        <v>15590</v>
      </c>
      <c r="S31" s="19">
        <v>11928</v>
      </c>
      <c r="T31" s="19">
        <v>13452</v>
      </c>
      <c r="U31" s="19">
        <v>7840</v>
      </c>
      <c r="V31" s="19">
        <v>6372</v>
      </c>
      <c r="W31" s="19">
        <v>6363</v>
      </c>
      <c r="X31" s="19">
        <v>8276</v>
      </c>
      <c r="Y31" s="19">
        <v>8661</v>
      </c>
      <c r="Z31" s="19">
        <v>8507</v>
      </c>
      <c r="AA31" s="19">
        <v>3449</v>
      </c>
      <c r="AB31" s="19">
        <v>1208</v>
      </c>
      <c r="AC31" s="19">
        <v>1327</v>
      </c>
    </row>
    <row r="32" spans="1:29" s="18" customFormat="1" x14ac:dyDescent="0.25">
      <c r="A32" s="18" t="s">
        <v>151</v>
      </c>
      <c r="B32" s="19">
        <v>94</v>
      </c>
      <c r="C32" s="19">
        <v>3</v>
      </c>
      <c r="D32" s="19">
        <v>0</v>
      </c>
      <c r="E32" s="19">
        <v>0</v>
      </c>
      <c r="F32" s="19">
        <v>0</v>
      </c>
      <c r="G32" s="19">
        <v>37</v>
      </c>
      <c r="H32" s="19">
        <v>0</v>
      </c>
      <c r="I32" s="19">
        <v>6</v>
      </c>
      <c r="J32" s="19">
        <v>105</v>
      </c>
      <c r="K32" s="19">
        <v>345</v>
      </c>
      <c r="L32" s="19">
        <v>306</v>
      </c>
      <c r="M32" s="19">
        <v>435</v>
      </c>
      <c r="N32" s="19">
        <v>294</v>
      </c>
      <c r="O32" s="19">
        <v>222</v>
      </c>
      <c r="P32" s="19">
        <v>0</v>
      </c>
      <c r="Q32" s="19">
        <v>0</v>
      </c>
      <c r="R32" s="19">
        <v>421</v>
      </c>
      <c r="S32" s="19">
        <v>274</v>
      </c>
      <c r="T32" s="19">
        <v>263</v>
      </c>
      <c r="U32" s="19">
        <v>103</v>
      </c>
      <c r="V32" s="19">
        <v>17</v>
      </c>
      <c r="W32" s="19">
        <v>423</v>
      </c>
      <c r="X32" s="19">
        <v>468</v>
      </c>
      <c r="Y32" s="19">
        <v>226</v>
      </c>
      <c r="Z32" s="19">
        <v>25</v>
      </c>
      <c r="AA32" s="19">
        <v>3</v>
      </c>
      <c r="AB32" s="19">
        <v>5</v>
      </c>
      <c r="AC32" s="19">
        <v>15</v>
      </c>
    </row>
    <row r="33" spans="1:29" s="18" customFormat="1" x14ac:dyDescent="0.25">
      <c r="A33" s="18" t="s">
        <v>152</v>
      </c>
      <c r="B33" s="19">
        <v>173423</v>
      </c>
      <c r="C33" s="19">
        <v>157502</v>
      </c>
      <c r="D33" s="19">
        <v>110850</v>
      </c>
      <c r="E33" s="19">
        <v>277079</v>
      </c>
      <c r="F33" s="19">
        <v>161608</v>
      </c>
      <c r="G33" s="19">
        <v>175329</v>
      </c>
      <c r="H33" s="19">
        <v>414491</v>
      </c>
      <c r="I33" s="19">
        <v>351707</v>
      </c>
      <c r="J33" s="19">
        <v>325755</v>
      </c>
      <c r="K33" s="19">
        <v>455597</v>
      </c>
      <c r="L33" s="19">
        <v>506890</v>
      </c>
      <c r="M33" s="19">
        <v>516090</v>
      </c>
      <c r="N33" s="19">
        <v>492111</v>
      </c>
      <c r="O33" s="19">
        <v>735683</v>
      </c>
      <c r="P33" s="19">
        <v>639327</v>
      </c>
      <c r="Q33" s="19">
        <v>590430</v>
      </c>
      <c r="R33" s="19">
        <v>619145</v>
      </c>
      <c r="S33" s="19">
        <v>345433</v>
      </c>
      <c r="T33" s="19">
        <v>190765</v>
      </c>
      <c r="U33" s="19">
        <v>351638</v>
      </c>
      <c r="V33" s="19">
        <v>392159</v>
      </c>
      <c r="W33" s="19">
        <v>375348</v>
      </c>
      <c r="X33" s="19">
        <v>380941</v>
      </c>
      <c r="Y33" s="19">
        <v>483315</v>
      </c>
      <c r="Z33" s="19">
        <v>481590</v>
      </c>
      <c r="AA33" s="19">
        <v>710997</v>
      </c>
      <c r="AB33" s="19">
        <v>438112</v>
      </c>
      <c r="AC33" s="19">
        <v>807693</v>
      </c>
    </row>
    <row r="34" spans="1:29" s="18" customFormat="1" x14ac:dyDescent="0.25">
      <c r="A34" s="18" t="s">
        <v>153</v>
      </c>
      <c r="B34" s="19">
        <v>2843</v>
      </c>
      <c r="C34" s="19">
        <v>822</v>
      </c>
      <c r="D34" s="19">
        <v>2062</v>
      </c>
      <c r="E34" s="19">
        <v>2210</v>
      </c>
      <c r="F34" s="19">
        <v>1745</v>
      </c>
      <c r="G34" s="19">
        <v>824</v>
      </c>
      <c r="H34" s="19">
        <v>5132</v>
      </c>
      <c r="I34" s="19">
        <v>7056</v>
      </c>
      <c r="J34" s="19">
        <v>4740</v>
      </c>
      <c r="K34" s="19">
        <v>8664</v>
      </c>
      <c r="L34" s="19">
        <v>3794</v>
      </c>
      <c r="M34" s="19">
        <v>7747</v>
      </c>
      <c r="N34" s="19">
        <v>2180</v>
      </c>
      <c r="O34" s="19">
        <v>2945</v>
      </c>
      <c r="P34" s="19">
        <v>2910</v>
      </c>
      <c r="Q34" s="19">
        <v>3923</v>
      </c>
      <c r="R34" s="19">
        <v>3209</v>
      </c>
      <c r="S34" s="19">
        <v>4995</v>
      </c>
      <c r="T34" s="19">
        <v>1575</v>
      </c>
      <c r="U34" s="19">
        <v>6135</v>
      </c>
      <c r="V34" s="19">
        <v>18108</v>
      </c>
      <c r="W34" s="19">
        <v>9788</v>
      </c>
      <c r="X34" s="19">
        <v>6655</v>
      </c>
      <c r="Y34" s="19">
        <v>896</v>
      </c>
      <c r="Z34" s="19">
        <v>1310</v>
      </c>
      <c r="AA34" s="19">
        <v>753</v>
      </c>
      <c r="AB34" s="19">
        <v>582</v>
      </c>
      <c r="AC34" s="19">
        <v>1721</v>
      </c>
    </row>
    <row r="35" spans="1:29" s="18" customFormat="1" x14ac:dyDescent="0.25">
      <c r="A35" s="18" t="s">
        <v>63</v>
      </c>
      <c r="B35" s="19">
        <v>5498</v>
      </c>
      <c r="C35" s="19">
        <v>6820</v>
      </c>
      <c r="D35" s="19">
        <v>6067</v>
      </c>
      <c r="E35" s="19">
        <v>5589</v>
      </c>
      <c r="F35" s="19">
        <v>5894</v>
      </c>
      <c r="G35" s="19">
        <v>4998</v>
      </c>
      <c r="H35" s="19">
        <v>2944</v>
      </c>
      <c r="I35" s="19">
        <v>1967</v>
      </c>
      <c r="J35" s="19">
        <v>1626</v>
      </c>
      <c r="K35" s="19">
        <v>2564</v>
      </c>
      <c r="L35" s="19">
        <v>3563</v>
      </c>
      <c r="M35" s="19">
        <v>2923</v>
      </c>
      <c r="N35" s="19">
        <v>3572</v>
      </c>
      <c r="O35" s="19">
        <v>3347</v>
      </c>
      <c r="P35" s="19">
        <v>2752</v>
      </c>
      <c r="Q35" s="19">
        <v>3257</v>
      </c>
      <c r="R35" s="19">
        <v>2052</v>
      </c>
      <c r="S35" s="19">
        <v>1386</v>
      </c>
      <c r="T35" s="19">
        <v>2239</v>
      </c>
      <c r="U35" s="19">
        <v>3540</v>
      </c>
      <c r="V35" s="19">
        <v>2450</v>
      </c>
      <c r="W35" s="19">
        <v>1844</v>
      </c>
      <c r="X35" s="19">
        <v>1883</v>
      </c>
      <c r="Y35" s="19">
        <v>1869</v>
      </c>
      <c r="Z35" s="19">
        <v>1308</v>
      </c>
      <c r="AA35" s="19">
        <v>1020</v>
      </c>
      <c r="AB35" s="19">
        <v>1463</v>
      </c>
      <c r="AC35" s="19">
        <v>454</v>
      </c>
    </row>
    <row r="36" spans="1:29" s="18" customFormat="1" x14ac:dyDescent="0.25">
      <c r="A36" s="18" t="s">
        <v>154</v>
      </c>
      <c r="B36" s="19">
        <v>65177</v>
      </c>
      <c r="C36" s="19">
        <v>167724</v>
      </c>
      <c r="D36" s="19">
        <v>48499</v>
      </c>
      <c r="E36" s="19">
        <v>9672</v>
      </c>
      <c r="F36" s="19">
        <v>36773</v>
      </c>
      <c r="G36" s="19">
        <v>25606</v>
      </c>
      <c r="H36" s="19">
        <v>68742</v>
      </c>
      <c r="I36" s="19">
        <v>120600</v>
      </c>
      <c r="J36" s="19">
        <v>99329</v>
      </c>
      <c r="K36" s="19">
        <v>133163</v>
      </c>
      <c r="L36" s="19">
        <v>121810</v>
      </c>
      <c r="M36" s="19">
        <v>144209</v>
      </c>
      <c r="N36" s="19">
        <v>141851</v>
      </c>
      <c r="O36" s="19">
        <v>180989</v>
      </c>
      <c r="P36" s="19">
        <v>177888</v>
      </c>
      <c r="Q36" s="19">
        <v>97888</v>
      </c>
      <c r="R36" s="19">
        <v>131738</v>
      </c>
      <c r="S36" s="19">
        <v>89226</v>
      </c>
      <c r="T36" s="19">
        <v>126341</v>
      </c>
      <c r="U36" s="19">
        <v>165215</v>
      </c>
      <c r="V36" s="19">
        <v>172012</v>
      </c>
      <c r="W36" s="19">
        <v>89885</v>
      </c>
      <c r="X36" s="19">
        <v>74035</v>
      </c>
      <c r="Y36" s="19">
        <v>108096</v>
      </c>
      <c r="Z36" s="19">
        <v>121666</v>
      </c>
      <c r="AA36" s="19">
        <v>155380</v>
      </c>
      <c r="AB36" s="19">
        <v>58990</v>
      </c>
      <c r="AC36" s="19">
        <v>165760</v>
      </c>
    </row>
    <row r="37" spans="1:29" s="18" customFormat="1" x14ac:dyDescent="0.25">
      <c r="A37" s="18" t="s">
        <v>155</v>
      </c>
      <c r="B37" s="19">
        <v>100</v>
      </c>
      <c r="C37" s="19">
        <v>2046</v>
      </c>
      <c r="D37" s="19">
        <v>2050</v>
      </c>
      <c r="E37" s="19">
        <v>5652</v>
      </c>
      <c r="F37" s="19">
        <v>1314</v>
      </c>
      <c r="G37" s="19">
        <v>6778</v>
      </c>
      <c r="H37" s="19">
        <v>85</v>
      </c>
      <c r="I37" s="19">
        <v>997</v>
      </c>
      <c r="J37" s="19">
        <v>4855</v>
      </c>
      <c r="K37" s="19">
        <v>1088</v>
      </c>
      <c r="L37" s="19">
        <v>901</v>
      </c>
      <c r="M37" s="19">
        <v>3944</v>
      </c>
      <c r="N37" s="19">
        <v>7267</v>
      </c>
      <c r="O37" s="19">
        <v>3992</v>
      </c>
      <c r="P37" s="19">
        <v>20260</v>
      </c>
      <c r="Q37" s="19">
        <v>21234</v>
      </c>
      <c r="R37" s="19">
        <v>15848</v>
      </c>
      <c r="S37" s="19">
        <v>26982</v>
      </c>
      <c r="T37" s="19">
        <v>47619</v>
      </c>
      <c r="U37" s="19">
        <v>8781</v>
      </c>
      <c r="V37" s="19">
        <v>36287</v>
      </c>
      <c r="W37" s="19">
        <v>39607</v>
      </c>
      <c r="X37" s="19">
        <v>9064</v>
      </c>
      <c r="Y37" s="19">
        <v>18462</v>
      </c>
      <c r="Z37" s="19">
        <v>6949</v>
      </c>
      <c r="AA37" s="19">
        <v>5455</v>
      </c>
      <c r="AB37" s="19">
        <v>5267</v>
      </c>
      <c r="AC37" s="19">
        <v>12504</v>
      </c>
    </row>
    <row r="38" spans="1:29" s="18" customFormat="1" x14ac:dyDescent="0.25">
      <c r="A38" s="18" t="s">
        <v>156</v>
      </c>
      <c r="B38" s="19">
        <v>663</v>
      </c>
      <c r="C38" s="19">
        <v>825</v>
      </c>
      <c r="D38" s="19">
        <v>1075</v>
      </c>
      <c r="E38" s="19">
        <v>1158</v>
      </c>
      <c r="F38" s="19">
        <v>1552</v>
      </c>
      <c r="G38" s="19">
        <v>1253</v>
      </c>
      <c r="H38" s="19">
        <v>654</v>
      </c>
      <c r="I38" s="19">
        <v>427</v>
      </c>
      <c r="J38" s="19">
        <v>598</v>
      </c>
      <c r="K38" s="19">
        <v>753</v>
      </c>
      <c r="L38" s="19">
        <v>822</v>
      </c>
      <c r="M38" s="19">
        <v>592</v>
      </c>
      <c r="N38" s="19">
        <v>271</v>
      </c>
      <c r="O38" s="19">
        <v>128</v>
      </c>
      <c r="P38" s="19">
        <v>244</v>
      </c>
      <c r="Q38" s="19">
        <v>1346</v>
      </c>
      <c r="R38" s="19">
        <v>2347</v>
      </c>
      <c r="S38" s="19">
        <v>743</v>
      </c>
      <c r="T38" s="19">
        <v>1735</v>
      </c>
      <c r="U38" s="19">
        <v>2836</v>
      </c>
      <c r="V38" s="19">
        <v>2278</v>
      </c>
      <c r="W38" s="19">
        <v>1427</v>
      </c>
      <c r="X38" s="19">
        <v>2387</v>
      </c>
      <c r="Y38" s="19">
        <v>1969</v>
      </c>
      <c r="Z38" s="19">
        <v>2037</v>
      </c>
      <c r="AA38" s="19">
        <v>1894</v>
      </c>
      <c r="AB38" s="19">
        <v>2692</v>
      </c>
      <c r="AC38" s="19">
        <v>1377</v>
      </c>
    </row>
    <row r="39" spans="1:29" s="18" customFormat="1" x14ac:dyDescent="0.25">
      <c r="A39" s="18" t="s">
        <v>157</v>
      </c>
      <c r="B39" s="19">
        <v>7288</v>
      </c>
      <c r="C39" s="19">
        <v>44070</v>
      </c>
      <c r="D39" s="19">
        <v>37182</v>
      </c>
      <c r="E39" s="19">
        <v>42399</v>
      </c>
      <c r="F39" s="19">
        <v>22377</v>
      </c>
      <c r="G39" s="19">
        <v>29779</v>
      </c>
      <c r="H39" s="19">
        <v>4026</v>
      </c>
      <c r="I39" s="19">
        <v>20973</v>
      </c>
      <c r="J39" s="19">
        <v>15309</v>
      </c>
      <c r="K39" s="19">
        <v>16090</v>
      </c>
      <c r="L39" s="19">
        <v>46208</v>
      </c>
      <c r="M39" s="19">
        <v>42831</v>
      </c>
      <c r="N39" s="19">
        <v>66564</v>
      </c>
      <c r="O39" s="19">
        <v>67763</v>
      </c>
      <c r="P39" s="19">
        <v>63326</v>
      </c>
      <c r="Q39" s="19">
        <v>71876</v>
      </c>
      <c r="R39" s="19">
        <v>57016</v>
      </c>
      <c r="S39" s="19">
        <v>99139</v>
      </c>
      <c r="T39" s="19">
        <v>76929</v>
      </c>
      <c r="U39" s="19">
        <v>124169</v>
      </c>
      <c r="V39" s="19">
        <v>57597</v>
      </c>
      <c r="W39" s="19">
        <v>90207</v>
      </c>
      <c r="X39" s="19">
        <v>121642</v>
      </c>
      <c r="Y39" s="19">
        <v>90268</v>
      </c>
      <c r="Z39" s="19">
        <v>79244</v>
      </c>
      <c r="AA39" s="19">
        <v>61459</v>
      </c>
      <c r="AB39" s="19">
        <v>49682</v>
      </c>
      <c r="AC39" s="19">
        <v>71113</v>
      </c>
    </row>
    <row r="40" spans="1:29" s="18" customFormat="1" x14ac:dyDescent="0.25">
      <c r="A40" s="18" t="s">
        <v>158</v>
      </c>
      <c r="B40" s="19">
        <v>744</v>
      </c>
      <c r="C40" s="19">
        <v>700</v>
      </c>
      <c r="D40" s="19">
        <v>942</v>
      </c>
      <c r="E40" s="19">
        <v>3981</v>
      </c>
      <c r="F40" s="19">
        <v>2087</v>
      </c>
      <c r="G40" s="19">
        <v>3862</v>
      </c>
      <c r="H40" s="19">
        <v>4746</v>
      </c>
      <c r="I40" s="19">
        <v>5504</v>
      </c>
      <c r="J40" s="19">
        <v>8544</v>
      </c>
      <c r="K40" s="19">
        <v>10591</v>
      </c>
      <c r="L40" s="19">
        <v>6678</v>
      </c>
      <c r="M40" s="19">
        <v>7840</v>
      </c>
      <c r="N40" s="19">
        <v>7534</v>
      </c>
      <c r="O40" s="19">
        <v>6544</v>
      </c>
      <c r="P40" s="19">
        <v>8713</v>
      </c>
      <c r="Q40" s="19">
        <v>6137</v>
      </c>
      <c r="R40" s="19">
        <v>8434</v>
      </c>
      <c r="S40" s="19">
        <v>8007</v>
      </c>
      <c r="T40" s="19">
        <v>7693</v>
      </c>
      <c r="U40" s="19">
        <v>9747</v>
      </c>
      <c r="V40" s="19">
        <v>11322</v>
      </c>
      <c r="W40" s="19">
        <v>7120</v>
      </c>
      <c r="X40" s="19">
        <v>8136</v>
      </c>
      <c r="Y40" s="19">
        <v>6090</v>
      </c>
      <c r="Z40" s="19">
        <v>2232</v>
      </c>
      <c r="AA40" s="19">
        <v>6664</v>
      </c>
      <c r="AB40" s="19">
        <v>3977</v>
      </c>
      <c r="AC40" s="19">
        <v>7405</v>
      </c>
    </row>
    <row r="41" spans="1:29" s="18" customFormat="1" x14ac:dyDescent="0.25">
      <c r="A41" s="26" t="s">
        <v>159</v>
      </c>
      <c r="B41" s="27">
        <v>610055</v>
      </c>
      <c r="C41" s="27">
        <v>788298</v>
      </c>
      <c r="D41" s="27">
        <v>658104</v>
      </c>
      <c r="E41" s="27">
        <v>782327</v>
      </c>
      <c r="F41" s="27">
        <v>776808</v>
      </c>
      <c r="G41" s="27">
        <v>900205</v>
      </c>
      <c r="H41" s="27">
        <v>882363</v>
      </c>
      <c r="I41" s="27">
        <v>896371</v>
      </c>
      <c r="J41" s="27">
        <v>1013993</v>
      </c>
      <c r="K41" s="27">
        <v>1117690</v>
      </c>
      <c r="L41" s="27">
        <v>1174987</v>
      </c>
      <c r="M41" s="27">
        <v>1239616</v>
      </c>
      <c r="N41" s="27">
        <v>1293282</v>
      </c>
      <c r="O41" s="27">
        <v>1534012</v>
      </c>
      <c r="P41" s="27">
        <v>1465888</v>
      </c>
      <c r="Q41" s="27">
        <v>1681686</v>
      </c>
      <c r="R41" s="27">
        <v>1612257</v>
      </c>
      <c r="S41" s="27">
        <v>1779310</v>
      </c>
      <c r="T41" s="27">
        <v>1436310</v>
      </c>
      <c r="U41" s="27">
        <v>1532726</v>
      </c>
      <c r="V41" s="27">
        <v>1435380</v>
      </c>
      <c r="W41" s="27">
        <v>1585097</v>
      </c>
      <c r="X41" s="27">
        <v>1649864</v>
      </c>
      <c r="Y41" s="27">
        <v>1492891</v>
      </c>
      <c r="Z41" s="27">
        <v>1414817</v>
      </c>
      <c r="AA41" s="27">
        <v>1576401</v>
      </c>
      <c r="AB41" s="27">
        <v>1381687</v>
      </c>
      <c r="AC41" s="27">
        <v>1774259</v>
      </c>
    </row>
    <row r="42" spans="1:29" x14ac:dyDescent="0.25">
      <c r="A42" s="28" t="s">
        <v>160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 spans="1:29" s="18" customFormat="1" x14ac:dyDescent="0.25">
      <c r="A43" s="18" t="s">
        <v>161</v>
      </c>
      <c r="B43" s="19">
        <v>361</v>
      </c>
      <c r="C43" s="19">
        <v>377</v>
      </c>
      <c r="D43" s="19">
        <v>480</v>
      </c>
      <c r="E43" s="19">
        <v>872</v>
      </c>
      <c r="F43" s="19">
        <v>3682</v>
      </c>
      <c r="G43" s="19">
        <v>6257</v>
      </c>
      <c r="H43" s="19">
        <v>3976</v>
      </c>
      <c r="I43" s="19">
        <v>3061</v>
      </c>
      <c r="J43" s="19">
        <v>3748</v>
      </c>
      <c r="K43" s="19">
        <v>4989</v>
      </c>
      <c r="L43" s="19">
        <v>5467</v>
      </c>
      <c r="M43" s="19">
        <v>3551</v>
      </c>
      <c r="N43" s="19">
        <v>4063</v>
      </c>
      <c r="O43" s="19">
        <v>3647</v>
      </c>
      <c r="P43" s="30">
        <v>3378</v>
      </c>
      <c r="Q43" s="30">
        <v>5398</v>
      </c>
      <c r="R43" s="30">
        <v>3018</v>
      </c>
      <c r="S43" s="30">
        <v>5254</v>
      </c>
      <c r="T43" s="30">
        <v>2559</v>
      </c>
      <c r="U43" s="30">
        <v>2611</v>
      </c>
      <c r="V43" s="19">
        <v>2664</v>
      </c>
      <c r="W43" s="19">
        <v>2499</v>
      </c>
      <c r="X43" s="19">
        <v>1619</v>
      </c>
      <c r="Y43" s="19">
        <v>1540</v>
      </c>
      <c r="Z43" s="19">
        <v>1372</v>
      </c>
      <c r="AA43" s="19">
        <v>1957</v>
      </c>
      <c r="AB43" s="19">
        <v>1514</v>
      </c>
      <c r="AC43" s="19">
        <v>1900</v>
      </c>
    </row>
    <row r="44" spans="1:29" s="18" customFormat="1" x14ac:dyDescent="0.25">
      <c r="A44" s="18" t="s">
        <v>12</v>
      </c>
      <c r="B44" s="19">
        <v>25</v>
      </c>
      <c r="C44" s="19">
        <v>5</v>
      </c>
      <c r="D44" s="19">
        <v>0</v>
      </c>
      <c r="E44" s="19">
        <v>9</v>
      </c>
      <c r="F44" s="19">
        <v>9</v>
      </c>
      <c r="G44" s="19">
        <v>8</v>
      </c>
      <c r="H44" s="19">
        <v>1</v>
      </c>
      <c r="I44" s="19">
        <v>20</v>
      </c>
      <c r="J44" s="19">
        <v>5</v>
      </c>
      <c r="K44" s="19">
        <v>8</v>
      </c>
      <c r="L44" s="19">
        <v>12</v>
      </c>
      <c r="M44" s="19">
        <v>0</v>
      </c>
      <c r="N44" s="19">
        <v>1</v>
      </c>
      <c r="O44" s="19">
        <v>0</v>
      </c>
      <c r="P44" s="30">
        <v>1</v>
      </c>
      <c r="Q44" s="30">
        <v>0</v>
      </c>
      <c r="R44" s="30">
        <v>1</v>
      </c>
      <c r="S44" s="30">
        <v>0</v>
      </c>
      <c r="T44" s="30">
        <v>5</v>
      </c>
      <c r="U44" s="30">
        <v>3</v>
      </c>
      <c r="V44" s="19">
        <v>4</v>
      </c>
      <c r="W44" s="19">
        <v>2</v>
      </c>
      <c r="X44" s="19">
        <v>0</v>
      </c>
      <c r="Y44" s="19">
        <v>0</v>
      </c>
      <c r="Z44" s="19">
        <v>0</v>
      </c>
      <c r="AA44" s="19">
        <v>0</v>
      </c>
      <c r="AB44" s="19">
        <v>4</v>
      </c>
      <c r="AC44" s="19">
        <v>0</v>
      </c>
    </row>
    <row r="45" spans="1:29" s="18" customFormat="1" x14ac:dyDescent="0.25">
      <c r="A45" s="18" t="s">
        <v>76</v>
      </c>
      <c r="B45" s="19">
        <v>5299</v>
      </c>
      <c r="C45" s="19">
        <v>6717</v>
      </c>
      <c r="D45" s="19">
        <v>6660</v>
      </c>
      <c r="E45" s="19">
        <v>8063</v>
      </c>
      <c r="F45" s="19">
        <v>7735</v>
      </c>
      <c r="G45" s="19">
        <v>7559</v>
      </c>
      <c r="H45" s="19">
        <v>6264</v>
      </c>
      <c r="I45" s="19">
        <v>5484</v>
      </c>
      <c r="J45" s="19">
        <v>4818</v>
      </c>
      <c r="K45" s="19">
        <v>5822</v>
      </c>
      <c r="L45" s="19">
        <v>6365</v>
      </c>
      <c r="M45" s="19">
        <v>5657</v>
      </c>
      <c r="N45" s="19">
        <v>6873</v>
      </c>
      <c r="O45" s="19">
        <v>6249</v>
      </c>
      <c r="P45" s="30">
        <v>6027</v>
      </c>
      <c r="Q45" s="30">
        <v>7266</v>
      </c>
      <c r="R45" s="30">
        <v>6671</v>
      </c>
      <c r="S45" s="30">
        <v>7173</v>
      </c>
      <c r="T45" s="30">
        <v>7402</v>
      </c>
      <c r="U45" s="30">
        <v>6663</v>
      </c>
      <c r="V45" s="19">
        <v>6349</v>
      </c>
      <c r="W45" s="19">
        <v>7071</v>
      </c>
      <c r="X45" s="19">
        <v>7371</v>
      </c>
      <c r="Y45" s="19">
        <v>6313</v>
      </c>
      <c r="Z45" s="19">
        <v>7744</v>
      </c>
      <c r="AA45" s="19">
        <v>8539</v>
      </c>
      <c r="AB45" s="19">
        <v>9647</v>
      </c>
      <c r="AC45" s="19">
        <v>11829</v>
      </c>
    </row>
    <row r="46" spans="1:29" s="18" customFormat="1" x14ac:dyDescent="0.25">
      <c r="A46" s="18" t="s">
        <v>28</v>
      </c>
      <c r="B46" s="19">
        <v>257882</v>
      </c>
      <c r="C46" s="19">
        <v>339528</v>
      </c>
      <c r="D46" s="19">
        <v>321799</v>
      </c>
      <c r="E46" s="19">
        <v>342687</v>
      </c>
      <c r="F46" s="19">
        <v>314947</v>
      </c>
      <c r="G46" s="19">
        <v>302821</v>
      </c>
      <c r="H46" s="19">
        <v>312543</v>
      </c>
      <c r="I46" s="19">
        <v>413363</v>
      </c>
      <c r="J46" s="19">
        <v>248450</v>
      </c>
      <c r="K46" s="19">
        <v>286346</v>
      </c>
      <c r="L46" s="19">
        <v>322842</v>
      </c>
      <c r="M46" s="19">
        <v>335818</v>
      </c>
      <c r="N46" s="19">
        <v>389466</v>
      </c>
      <c r="O46" s="19">
        <v>358455</v>
      </c>
      <c r="P46" s="30">
        <v>398075</v>
      </c>
      <c r="Q46" s="30">
        <v>443652</v>
      </c>
      <c r="R46" s="30">
        <v>526370</v>
      </c>
      <c r="S46" s="30">
        <v>483018</v>
      </c>
      <c r="T46" s="30">
        <v>432081</v>
      </c>
      <c r="U46" s="30">
        <v>525638</v>
      </c>
      <c r="V46" s="19">
        <v>470966</v>
      </c>
      <c r="W46" s="19">
        <v>526477</v>
      </c>
      <c r="X46" s="19">
        <v>536287</v>
      </c>
      <c r="Y46" s="19">
        <v>514558</v>
      </c>
      <c r="Z46" s="19">
        <v>546989</v>
      </c>
      <c r="AA46" s="19">
        <v>513429</v>
      </c>
      <c r="AB46" s="19">
        <v>511995</v>
      </c>
      <c r="AC46" s="19">
        <v>512341</v>
      </c>
    </row>
    <row r="47" spans="1:29" s="18" customFormat="1" x14ac:dyDescent="0.25">
      <c r="A47" s="18" t="s">
        <v>74</v>
      </c>
      <c r="B47" s="19">
        <v>146158</v>
      </c>
      <c r="C47" s="19">
        <v>146410</v>
      </c>
      <c r="D47" s="19">
        <v>141765</v>
      </c>
      <c r="E47" s="19">
        <v>148627</v>
      </c>
      <c r="F47" s="19">
        <v>82219</v>
      </c>
      <c r="G47" s="19">
        <v>75636</v>
      </c>
      <c r="H47" s="19">
        <v>90356</v>
      </c>
      <c r="I47" s="19">
        <v>104502</v>
      </c>
      <c r="J47" s="19">
        <v>109913</v>
      </c>
      <c r="K47" s="19">
        <v>101396</v>
      </c>
      <c r="L47" s="19">
        <v>121352</v>
      </c>
      <c r="M47" s="19">
        <v>102221</v>
      </c>
      <c r="N47" s="19">
        <v>101990</v>
      </c>
      <c r="O47" s="19">
        <v>87773</v>
      </c>
      <c r="P47" s="30">
        <v>77423</v>
      </c>
      <c r="Q47" s="30">
        <v>71141</v>
      </c>
      <c r="R47" s="30">
        <v>94076</v>
      </c>
      <c r="S47" s="30">
        <v>74284</v>
      </c>
      <c r="T47" s="30">
        <v>89571</v>
      </c>
      <c r="U47" s="30">
        <v>71709</v>
      </c>
      <c r="V47" s="19">
        <v>76829</v>
      </c>
      <c r="W47" s="19">
        <v>86713</v>
      </c>
      <c r="X47" s="19">
        <v>65942</v>
      </c>
      <c r="Y47" s="19">
        <v>68617</v>
      </c>
      <c r="Z47" s="19">
        <v>79243</v>
      </c>
      <c r="AA47" s="19">
        <v>68249</v>
      </c>
      <c r="AB47" s="19">
        <v>84557</v>
      </c>
      <c r="AC47" s="19">
        <v>75063</v>
      </c>
    </row>
    <row r="48" spans="1:29" s="18" customFormat="1" x14ac:dyDescent="0.25">
      <c r="A48" s="18" t="s">
        <v>162</v>
      </c>
      <c r="B48" s="19">
        <v>0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376</v>
      </c>
      <c r="N48" s="19">
        <v>62</v>
      </c>
      <c r="O48" s="19">
        <v>325</v>
      </c>
      <c r="P48" s="30">
        <v>71</v>
      </c>
      <c r="Q48" s="30">
        <v>299</v>
      </c>
      <c r="R48" s="30">
        <v>234</v>
      </c>
      <c r="S48" s="30">
        <v>44</v>
      </c>
      <c r="T48" s="30">
        <v>33</v>
      </c>
      <c r="U48" s="30">
        <v>2</v>
      </c>
      <c r="V48" s="19">
        <v>24</v>
      </c>
      <c r="W48" s="19">
        <v>109</v>
      </c>
      <c r="X48" s="19">
        <v>4</v>
      </c>
      <c r="Y48" s="19">
        <v>12</v>
      </c>
      <c r="Z48" s="19">
        <v>0</v>
      </c>
      <c r="AA48" s="19">
        <v>0</v>
      </c>
      <c r="AB48" s="19">
        <v>0</v>
      </c>
      <c r="AC48" s="19">
        <v>70</v>
      </c>
    </row>
    <row r="49" spans="1:29" s="18" customFormat="1" x14ac:dyDescent="0.25">
      <c r="A49" s="18" t="s">
        <v>163</v>
      </c>
      <c r="B49" s="19">
        <v>10</v>
      </c>
      <c r="C49" s="19">
        <v>51</v>
      </c>
      <c r="D49" s="19">
        <v>11</v>
      </c>
      <c r="E49" s="19">
        <v>9</v>
      </c>
      <c r="F49" s="19">
        <v>5</v>
      </c>
      <c r="G49" s="19">
        <v>1</v>
      </c>
      <c r="H49" s="19">
        <v>20</v>
      </c>
      <c r="I49" s="19">
        <v>11</v>
      </c>
      <c r="J49" s="19">
        <v>12</v>
      </c>
      <c r="K49" s="19">
        <v>7</v>
      </c>
      <c r="L49" s="19">
        <v>9</v>
      </c>
      <c r="M49" s="19">
        <v>4</v>
      </c>
      <c r="N49" s="19">
        <v>21</v>
      </c>
      <c r="O49" s="19">
        <v>19</v>
      </c>
      <c r="P49" s="30">
        <v>7</v>
      </c>
      <c r="Q49" s="30">
        <v>12</v>
      </c>
      <c r="R49" s="30">
        <v>0</v>
      </c>
      <c r="S49" s="30">
        <v>0</v>
      </c>
      <c r="T49" s="30">
        <v>5</v>
      </c>
      <c r="U49" s="30">
        <v>1</v>
      </c>
      <c r="V49" s="19">
        <v>5</v>
      </c>
      <c r="W49" s="19">
        <v>1</v>
      </c>
      <c r="X49" s="19">
        <v>3</v>
      </c>
      <c r="Y49" s="19">
        <v>1</v>
      </c>
      <c r="Z49" s="19">
        <v>35</v>
      </c>
      <c r="AA49" s="19">
        <v>29</v>
      </c>
      <c r="AB49" s="19">
        <v>6</v>
      </c>
      <c r="AC49" s="19">
        <v>6</v>
      </c>
    </row>
    <row r="50" spans="1:29" s="18" customFormat="1" x14ac:dyDescent="0.25">
      <c r="A50" s="18" t="s">
        <v>164</v>
      </c>
      <c r="B50" s="19">
        <v>926</v>
      </c>
      <c r="C50" s="19">
        <v>1497</v>
      </c>
      <c r="D50" s="19">
        <v>1567</v>
      </c>
      <c r="E50" s="19">
        <v>1653</v>
      </c>
      <c r="F50" s="19">
        <v>1713</v>
      </c>
      <c r="G50" s="19">
        <v>1925</v>
      </c>
      <c r="H50" s="19">
        <v>2000</v>
      </c>
      <c r="I50" s="19">
        <v>2161</v>
      </c>
      <c r="J50" s="19">
        <v>2109</v>
      </c>
      <c r="K50" s="19">
        <v>1802</v>
      </c>
      <c r="L50" s="19">
        <v>1764</v>
      </c>
      <c r="M50" s="19">
        <v>1982</v>
      </c>
      <c r="N50" s="19">
        <v>2178</v>
      </c>
      <c r="O50" s="19">
        <v>2481</v>
      </c>
      <c r="P50" s="30">
        <v>2360</v>
      </c>
      <c r="Q50" s="30">
        <v>2332</v>
      </c>
      <c r="R50" s="30">
        <v>2290</v>
      </c>
      <c r="S50" s="30">
        <v>2426</v>
      </c>
      <c r="T50" s="30">
        <v>2497</v>
      </c>
      <c r="U50" s="30">
        <v>2359</v>
      </c>
      <c r="V50" s="19">
        <v>2363</v>
      </c>
      <c r="W50" s="19">
        <v>2270</v>
      </c>
      <c r="X50" s="19">
        <v>2747</v>
      </c>
      <c r="Y50" s="19">
        <v>2467</v>
      </c>
      <c r="Z50" s="19">
        <v>2434</v>
      </c>
      <c r="AA50" s="19">
        <v>2879</v>
      </c>
      <c r="AB50" s="19">
        <v>2515</v>
      </c>
      <c r="AC50" s="19">
        <v>2803</v>
      </c>
    </row>
    <row r="51" spans="1:29" s="18" customFormat="1" x14ac:dyDescent="0.25">
      <c r="A51" s="18" t="s">
        <v>165</v>
      </c>
      <c r="B51" s="19">
        <v>89</v>
      </c>
      <c r="C51" s="19">
        <v>85</v>
      </c>
      <c r="D51" s="19">
        <v>59</v>
      </c>
      <c r="E51" s="19">
        <v>207</v>
      </c>
      <c r="F51" s="19">
        <v>277</v>
      </c>
      <c r="G51" s="19">
        <v>184</v>
      </c>
      <c r="H51" s="19">
        <v>89</v>
      </c>
      <c r="I51" s="19">
        <v>78</v>
      </c>
      <c r="J51" s="19">
        <v>130</v>
      </c>
      <c r="K51" s="19">
        <v>144</v>
      </c>
      <c r="L51" s="19">
        <v>124</v>
      </c>
      <c r="M51" s="19">
        <v>85</v>
      </c>
      <c r="N51" s="19">
        <v>120</v>
      </c>
      <c r="O51" s="19">
        <v>162</v>
      </c>
      <c r="P51" s="30">
        <v>120</v>
      </c>
      <c r="Q51" s="30">
        <v>163</v>
      </c>
      <c r="R51" s="30">
        <v>175</v>
      </c>
      <c r="S51" s="30">
        <v>117</v>
      </c>
      <c r="T51" s="30">
        <v>42</v>
      </c>
      <c r="U51" s="30">
        <v>96</v>
      </c>
      <c r="V51" s="19">
        <v>115</v>
      </c>
      <c r="W51" s="19">
        <v>175</v>
      </c>
      <c r="X51" s="19">
        <v>174</v>
      </c>
      <c r="Y51" s="19">
        <v>119</v>
      </c>
      <c r="Z51" s="19">
        <v>148</v>
      </c>
      <c r="AA51" s="19">
        <v>66</v>
      </c>
      <c r="AB51" s="19">
        <v>44</v>
      </c>
      <c r="AC51" s="19">
        <v>0</v>
      </c>
    </row>
    <row r="52" spans="1:29" s="18" customFormat="1" x14ac:dyDescent="0.25">
      <c r="A52" s="18" t="s">
        <v>43</v>
      </c>
      <c r="B52" s="19">
        <v>173753</v>
      </c>
      <c r="C52" s="19">
        <v>191743</v>
      </c>
      <c r="D52" s="19">
        <v>194899</v>
      </c>
      <c r="E52" s="19">
        <v>199003</v>
      </c>
      <c r="F52" s="19">
        <v>185060</v>
      </c>
      <c r="G52" s="19">
        <v>205311</v>
      </c>
      <c r="H52" s="19">
        <v>259729</v>
      </c>
      <c r="I52" s="19">
        <v>266705</v>
      </c>
      <c r="J52" s="19">
        <v>273277</v>
      </c>
      <c r="K52" s="19">
        <v>300395</v>
      </c>
      <c r="L52" s="19">
        <v>346832</v>
      </c>
      <c r="M52" s="19">
        <v>370658</v>
      </c>
      <c r="N52" s="19">
        <v>266721</v>
      </c>
      <c r="O52" s="19">
        <v>212163</v>
      </c>
      <c r="P52" s="30">
        <v>113102</v>
      </c>
      <c r="Q52" s="30">
        <v>121095</v>
      </c>
      <c r="R52" s="30">
        <v>132279</v>
      </c>
      <c r="S52" s="30">
        <v>154820</v>
      </c>
      <c r="T52" s="30">
        <v>148196</v>
      </c>
      <c r="U52" s="30">
        <v>120892</v>
      </c>
      <c r="V52" s="19">
        <v>145895</v>
      </c>
      <c r="W52" s="19">
        <v>123404</v>
      </c>
      <c r="X52" s="19">
        <v>131428</v>
      </c>
      <c r="Y52" s="19">
        <v>155285</v>
      </c>
      <c r="Z52" s="19">
        <v>156196</v>
      </c>
      <c r="AA52" s="19">
        <v>126451</v>
      </c>
      <c r="AB52" s="19">
        <v>138311</v>
      </c>
      <c r="AC52" s="19">
        <v>169021</v>
      </c>
    </row>
    <row r="53" spans="1:29" s="18" customFormat="1" x14ac:dyDescent="0.25">
      <c r="A53" s="18" t="s">
        <v>166</v>
      </c>
      <c r="B53" s="19">
        <v>1495</v>
      </c>
      <c r="C53" s="19">
        <v>0</v>
      </c>
      <c r="D53" s="19">
        <v>0</v>
      </c>
      <c r="E53" s="19">
        <v>0</v>
      </c>
      <c r="F53" s="19">
        <v>848</v>
      </c>
      <c r="G53" s="19">
        <v>987</v>
      </c>
      <c r="H53" s="19">
        <v>1980</v>
      </c>
      <c r="I53" s="19">
        <v>2473</v>
      </c>
      <c r="J53" s="19">
        <v>607</v>
      </c>
      <c r="K53" s="19">
        <v>1231</v>
      </c>
      <c r="L53" s="19">
        <v>1994</v>
      </c>
      <c r="M53" s="19">
        <v>2528</v>
      </c>
      <c r="N53" s="19">
        <v>2790</v>
      </c>
      <c r="O53" s="19">
        <v>2939</v>
      </c>
      <c r="P53" s="30">
        <v>3961</v>
      </c>
      <c r="Q53" s="30">
        <v>4054</v>
      </c>
      <c r="R53" s="30">
        <v>4510</v>
      </c>
      <c r="S53" s="30">
        <v>4510</v>
      </c>
      <c r="T53" s="30">
        <v>4510</v>
      </c>
      <c r="U53" s="30">
        <v>4510</v>
      </c>
      <c r="V53" s="19">
        <v>4566</v>
      </c>
      <c r="W53" s="19">
        <v>4532</v>
      </c>
      <c r="X53" s="19">
        <v>4522</v>
      </c>
      <c r="Y53" s="19">
        <v>4527</v>
      </c>
      <c r="Z53" s="19">
        <v>4530</v>
      </c>
      <c r="AA53" s="19">
        <v>4516</v>
      </c>
      <c r="AB53" s="19">
        <v>4517</v>
      </c>
      <c r="AC53" s="19">
        <v>4510</v>
      </c>
    </row>
    <row r="54" spans="1:29" s="18" customFormat="1" x14ac:dyDescent="0.25">
      <c r="A54" s="18" t="s">
        <v>167</v>
      </c>
      <c r="B54" s="19">
        <v>42399</v>
      </c>
      <c r="C54" s="19">
        <v>26455</v>
      </c>
      <c r="D54" s="19">
        <v>16426</v>
      </c>
      <c r="E54" s="19">
        <v>6797</v>
      </c>
      <c r="F54" s="19">
        <v>10864</v>
      </c>
      <c r="G54" s="19">
        <v>12819</v>
      </c>
      <c r="H54" s="19">
        <v>8358</v>
      </c>
      <c r="I54" s="19">
        <v>9120</v>
      </c>
      <c r="J54" s="19">
        <v>7708</v>
      </c>
      <c r="K54" s="19">
        <v>11248</v>
      </c>
      <c r="L54" s="19">
        <v>5985</v>
      </c>
      <c r="M54" s="19">
        <v>4420</v>
      </c>
      <c r="N54" s="19">
        <v>5834</v>
      </c>
      <c r="O54" s="19">
        <v>3225</v>
      </c>
      <c r="P54" s="30">
        <v>3756</v>
      </c>
      <c r="Q54" s="30">
        <v>7990</v>
      </c>
      <c r="R54" s="30">
        <v>8420</v>
      </c>
      <c r="S54" s="30">
        <v>8917</v>
      </c>
      <c r="T54" s="30">
        <v>7967</v>
      </c>
      <c r="U54" s="30">
        <v>9022</v>
      </c>
      <c r="V54" s="19">
        <v>10605</v>
      </c>
      <c r="W54" s="19">
        <v>7827</v>
      </c>
      <c r="X54" s="19">
        <v>8394</v>
      </c>
      <c r="Y54" s="19">
        <v>11503</v>
      </c>
      <c r="Z54" s="19">
        <v>11582</v>
      </c>
      <c r="AA54" s="19">
        <v>12138</v>
      </c>
      <c r="AB54" s="19">
        <v>6837</v>
      </c>
      <c r="AC54" s="19">
        <v>10054</v>
      </c>
    </row>
    <row r="55" spans="1:29" s="18" customFormat="1" x14ac:dyDescent="0.25">
      <c r="A55" s="18" t="s">
        <v>168</v>
      </c>
      <c r="B55" s="19">
        <v>0</v>
      </c>
      <c r="C55" s="19">
        <v>0</v>
      </c>
      <c r="D55" s="19">
        <v>0</v>
      </c>
      <c r="E55" s="19">
        <v>33632</v>
      </c>
      <c r="F55" s="19">
        <v>35400</v>
      </c>
      <c r="G55" s="19">
        <v>37683</v>
      </c>
      <c r="H55" s="19">
        <v>37458</v>
      </c>
      <c r="I55" s="19">
        <v>50521</v>
      </c>
      <c r="J55" s="19">
        <v>52409</v>
      </c>
      <c r="K55" s="19">
        <v>52573</v>
      </c>
      <c r="L55" s="19">
        <v>54210</v>
      </c>
      <c r="M55" s="19">
        <v>49903</v>
      </c>
      <c r="N55" s="19">
        <v>44241</v>
      </c>
      <c r="O55" s="19">
        <v>41665</v>
      </c>
      <c r="P55" s="30">
        <v>49584</v>
      </c>
      <c r="Q55" s="30">
        <v>65556</v>
      </c>
      <c r="R55" s="30">
        <v>78631</v>
      </c>
      <c r="S55" s="30">
        <v>80842</v>
      </c>
      <c r="T55" s="30">
        <v>89063</v>
      </c>
      <c r="U55" s="30">
        <v>123076</v>
      </c>
      <c r="V55" s="19">
        <v>112626</v>
      </c>
      <c r="W55" s="19">
        <v>120535</v>
      </c>
      <c r="X55" s="19">
        <v>109315</v>
      </c>
      <c r="Y55" s="19">
        <v>95540</v>
      </c>
      <c r="Z55" s="19">
        <v>89589</v>
      </c>
      <c r="AA55" s="19">
        <v>97615</v>
      </c>
      <c r="AB55" s="19">
        <v>97145</v>
      </c>
      <c r="AC55" s="19">
        <v>97613</v>
      </c>
    </row>
    <row r="56" spans="1:29" s="18" customFormat="1" x14ac:dyDescent="0.25">
      <c r="A56" s="18" t="s">
        <v>169</v>
      </c>
      <c r="B56" s="19">
        <v>58</v>
      </c>
      <c r="C56" s="19">
        <v>43</v>
      </c>
      <c r="D56" s="19">
        <v>38</v>
      </c>
      <c r="E56" s="19">
        <v>0</v>
      </c>
      <c r="F56" s="19">
        <v>12</v>
      </c>
      <c r="G56" s="19">
        <v>60</v>
      </c>
      <c r="H56" s="19">
        <v>18</v>
      </c>
      <c r="I56" s="19">
        <v>0</v>
      </c>
      <c r="J56" s="19">
        <v>65</v>
      </c>
      <c r="K56" s="19">
        <v>16</v>
      </c>
      <c r="L56" s="19">
        <v>0</v>
      </c>
      <c r="M56" s="19">
        <v>29</v>
      </c>
      <c r="N56" s="19">
        <v>138</v>
      </c>
      <c r="O56" s="19">
        <v>43</v>
      </c>
      <c r="P56" s="30">
        <v>24</v>
      </c>
      <c r="Q56" s="30">
        <v>7</v>
      </c>
      <c r="R56" s="30">
        <v>9</v>
      </c>
      <c r="S56" s="30">
        <v>7</v>
      </c>
      <c r="T56" s="30">
        <v>6</v>
      </c>
      <c r="U56" s="30">
        <v>7</v>
      </c>
      <c r="V56" s="19">
        <v>5</v>
      </c>
      <c r="W56" s="19">
        <v>11</v>
      </c>
      <c r="X56" s="19">
        <v>19</v>
      </c>
      <c r="Y56" s="19">
        <v>13</v>
      </c>
      <c r="Z56" s="19">
        <v>13</v>
      </c>
      <c r="AA56" s="19">
        <v>4</v>
      </c>
      <c r="AB56" s="19">
        <v>4</v>
      </c>
      <c r="AC56" s="19">
        <v>0</v>
      </c>
    </row>
    <row r="57" spans="1:29" s="18" customFormat="1" x14ac:dyDescent="0.25">
      <c r="A57" s="26" t="s">
        <v>159</v>
      </c>
      <c r="B57" s="27">
        <v>628455</v>
      </c>
      <c r="C57" s="27">
        <v>712911</v>
      </c>
      <c r="D57" s="27">
        <v>683704</v>
      </c>
      <c r="E57" s="27">
        <v>741559</v>
      </c>
      <c r="F57" s="27">
        <v>642771</v>
      </c>
      <c r="G57" s="27">
        <v>651251</v>
      </c>
      <c r="H57" s="27">
        <v>722792</v>
      </c>
      <c r="I57" s="27">
        <v>857499</v>
      </c>
      <c r="J57" s="27">
        <v>703251</v>
      </c>
      <c r="K57" s="27">
        <v>765977</v>
      </c>
      <c r="L57" s="27">
        <v>866956</v>
      </c>
      <c r="M57" s="27">
        <v>877232</v>
      </c>
      <c r="N57" s="27">
        <v>824498</v>
      </c>
      <c r="O57" s="27">
        <v>719146</v>
      </c>
      <c r="P57" s="27">
        <v>657889</v>
      </c>
      <c r="Q57" s="27">
        <v>728965</v>
      </c>
      <c r="R57" s="27">
        <v>856684</v>
      </c>
      <c r="S57" s="27">
        <v>821412</v>
      </c>
      <c r="T57" s="27">
        <v>783937</v>
      </c>
      <c r="U57" s="27">
        <v>866589</v>
      </c>
      <c r="V57" s="27">
        <v>833016</v>
      </c>
      <c r="W57" s="27">
        <v>881626</v>
      </c>
      <c r="X57" s="27">
        <v>867825</v>
      </c>
      <c r="Y57" s="27">
        <v>860495</v>
      </c>
      <c r="Z57" s="27">
        <v>899875</v>
      </c>
      <c r="AA57" s="27">
        <v>835872</v>
      </c>
      <c r="AB57" s="27">
        <v>857096</v>
      </c>
      <c r="AC57" s="27">
        <v>885210</v>
      </c>
    </row>
    <row r="58" spans="1:29" s="18" customFormat="1" ht="15.75" x14ac:dyDescent="0.4">
      <c r="A58" s="31" t="s">
        <v>170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19"/>
      <c r="W58" s="19"/>
    </row>
    <row r="59" spans="1:29" s="18" customFormat="1" x14ac:dyDescent="0.25">
      <c r="A59" s="33" t="s">
        <v>171</v>
      </c>
      <c r="B59" s="30">
        <v>4403</v>
      </c>
      <c r="C59" s="30">
        <v>19594</v>
      </c>
      <c r="D59" s="30">
        <v>16363</v>
      </c>
      <c r="E59" s="30">
        <v>9606</v>
      </c>
      <c r="F59" s="30">
        <v>15176</v>
      </c>
      <c r="G59" s="30">
        <v>8704</v>
      </c>
      <c r="H59" s="30">
        <v>8029</v>
      </c>
      <c r="I59" s="30">
        <v>4513</v>
      </c>
      <c r="J59" s="30">
        <v>3471</v>
      </c>
      <c r="K59" s="30">
        <v>14300</v>
      </c>
      <c r="L59" s="30">
        <v>7880</v>
      </c>
      <c r="M59" s="30">
        <v>5898</v>
      </c>
      <c r="N59" s="30">
        <v>41880</v>
      </c>
      <c r="O59" s="30">
        <v>11680</v>
      </c>
      <c r="P59" s="30">
        <v>6765</v>
      </c>
      <c r="Q59" s="30">
        <v>10902</v>
      </c>
      <c r="R59" s="30">
        <v>7082</v>
      </c>
      <c r="S59" s="30">
        <v>23028</v>
      </c>
      <c r="T59" s="30">
        <v>21837</v>
      </c>
      <c r="U59" s="30">
        <v>41447</v>
      </c>
      <c r="V59" s="19">
        <v>43612</v>
      </c>
      <c r="W59" s="19">
        <v>20093</v>
      </c>
      <c r="X59" s="19">
        <v>22774</v>
      </c>
      <c r="Y59" s="19">
        <v>49582</v>
      </c>
      <c r="Z59" s="19">
        <v>26843</v>
      </c>
      <c r="AA59" s="19">
        <v>20735</v>
      </c>
      <c r="AB59" s="19">
        <v>20114</v>
      </c>
      <c r="AC59" s="19">
        <v>21460</v>
      </c>
    </row>
    <row r="60" spans="1:29" s="18" customFormat="1" x14ac:dyDescent="0.25">
      <c r="A60" s="33" t="s">
        <v>172</v>
      </c>
      <c r="B60" s="30">
        <v>9328</v>
      </c>
      <c r="C60" s="30">
        <v>1192</v>
      </c>
      <c r="D60" s="30">
        <v>7192</v>
      </c>
      <c r="E60" s="30">
        <v>11470</v>
      </c>
      <c r="F60" s="30">
        <v>2338</v>
      </c>
      <c r="G60" s="30">
        <v>26571</v>
      </c>
      <c r="H60" s="30">
        <v>1410</v>
      </c>
      <c r="I60" s="30">
        <v>5086</v>
      </c>
      <c r="J60" s="30">
        <v>20633</v>
      </c>
      <c r="K60" s="30">
        <v>2003</v>
      </c>
      <c r="L60" s="30">
        <v>10422</v>
      </c>
      <c r="M60" s="30">
        <v>9035</v>
      </c>
      <c r="N60" s="30">
        <v>21926</v>
      </c>
      <c r="O60" s="30">
        <v>15158</v>
      </c>
      <c r="P60" s="30">
        <v>13492</v>
      </c>
      <c r="Q60" s="30">
        <v>32707</v>
      </c>
      <c r="R60" s="30">
        <v>17058</v>
      </c>
      <c r="S60" s="30">
        <v>64828</v>
      </c>
      <c r="T60" s="30">
        <v>174325</v>
      </c>
      <c r="U60" s="30">
        <v>19595</v>
      </c>
      <c r="V60" s="19">
        <v>40875</v>
      </c>
      <c r="W60" s="19">
        <v>97888</v>
      </c>
      <c r="X60" s="19">
        <v>122996</v>
      </c>
      <c r="Y60" s="19">
        <v>57624</v>
      </c>
      <c r="Z60" s="19">
        <v>28387</v>
      </c>
      <c r="AA60" s="19">
        <v>31187</v>
      </c>
      <c r="AB60" s="19">
        <v>86480</v>
      </c>
      <c r="AC60" s="19">
        <v>21892</v>
      </c>
    </row>
    <row r="61" spans="1:29" s="18" customFormat="1" x14ac:dyDescent="0.25">
      <c r="A61" s="33" t="s">
        <v>173</v>
      </c>
      <c r="B61" s="30">
        <v>55033</v>
      </c>
      <c r="C61" s="30">
        <v>30881</v>
      </c>
      <c r="D61" s="30">
        <v>63857</v>
      </c>
      <c r="E61" s="30">
        <v>58585</v>
      </c>
      <c r="F61" s="30">
        <v>30341</v>
      </c>
      <c r="G61" s="30">
        <v>25763</v>
      </c>
      <c r="H61" s="30">
        <v>103712</v>
      </c>
      <c r="I61" s="30">
        <v>44961</v>
      </c>
      <c r="J61" s="30">
        <v>57782</v>
      </c>
      <c r="K61" s="30">
        <v>54404</v>
      </c>
      <c r="L61" s="30">
        <v>43648</v>
      </c>
      <c r="M61" s="30">
        <v>37959</v>
      </c>
      <c r="N61" s="30">
        <v>34326</v>
      </c>
      <c r="O61" s="30">
        <v>15258</v>
      </c>
      <c r="P61" s="30">
        <v>13492</v>
      </c>
      <c r="Q61" s="30">
        <v>12218</v>
      </c>
      <c r="R61" s="30">
        <v>22853</v>
      </c>
      <c r="S61" s="30">
        <v>33336</v>
      </c>
      <c r="T61" s="30">
        <v>34498</v>
      </c>
      <c r="U61" s="30">
        <v>32187</v>
      </c>
      <c r="V61" s="19">
        <v>29595</v>
      </c>
      <c r="W61" s="19">
        <v>25731</v>
      </c>
      <c r="X61" s="19">
        <v>27035</v>
      </c>
      <c r="Y61" s="19">
        <v>33487</v>
      </c>
      <c r="Z61" s="19">
        <v>24828</v>
      </c>
      <c r="AA61" s="19">
        <v>26545</v>
      </c>
      <c r="AB61" s="19">
        <v>23863</v>
      </c>
      <c r="AC61" s="19">
        <v>33618</v>
      </c>
    </row>
    <row r="62" spans="1:29" s="18" customFormat="1" x14ac:dyDescent="0.25">
      <c r="A62" s="33" t="s">
        <v>174</v>
      </c>
      <c r="B62" s="30">
        <v>75656</v>
      </c>
      <c r="C62" s="30">
        <v>144123</v>
      </c>
      <c r="D62" s="30">
        <v>183809</v>
      </c>
      <c r="E62" s="30">
        <v>140827</v>
      </c>
      <c r="F62" s="30">
        <v>122804</v>
      </c>
      <c r="G62" s="30">
        <v>140411</v>
      </c>
      <c r="H62" s="30">
        <v>87488</v>
      </c>
      <c r="I62" s="30">
        <v>179693</v>
      </c>
      <c r="J62" s="30">
        <v>147536</v>
      </c>
      <c r="K62" s="30">
        <v>105335</v>
      </c>
      <c r="L62" s="30">
        <v>212553</v>
      </c>
      <c r="M62" s="30">
        <v>183038</v>
      </c>
      <c r="N62" s="30">
        <v>211735</v>
      </c>
      <c r="O62" s="30">
        <v>17835</v>
      </c>
      <c r="P62" s="30">
        <v>17763</v>
      </c>
      <c r="Q62" s="30">
        <v>7618</v>
      </c>
      <c r="R62" s="30">
        <v>26353</v>
      </c>
      <c r="S62" s="30">
        <v>12517</v>
      </c>
      <c r="T62" s="30">
        <v>15815</v>
      </c>
      <c r="U62" s="30">
        <v>9862</v>
      </c>
      <c r="V62" s="19">
        <v>9485</v>
      </c>
      <c r="W62" s="19">
        <v>8141</v>
      </c>
      <c r="X62" s="19">
        <v>12134</v>
      </c>
      <c r="Y62" s="19">
        <v>6300</v>
      </c>
      <c r="Z62" s="19">
        <v>5682</v>
      </c>
      <c r="AA62" s="19">
        <v>10637</v>
      </c>
      <c r="AB62" s="19">
        <v>7532</v>
      </c>
      <c r="AC62" s="19">
        <v>14487</v>
      </c>
    </row>
    <row r="63" spans="1:29" s="18" customFormat="1" x14ac:dyDescent="0.25">
      <c r="A63" s="33" t="s">
        <v>175</v>
      </c>
      <c r="B63" s="30">
        <v>14234</v>
      </c>
      <c r="C63" s="30">
        <v>28292</v>
      </c>
      <c r="D63" s="30">
        <v>15551</v>
      </c>
      <c r="E63" s="30">
        <v>26580</v>
      </c>
      <c r="F63" s="30">
        <v>28492</v>
      </c>
      <c r="G63" s="30">
        <v>27375</v>
      </c>
      <c r="H63" s="30">
        <v>14832</v>
      </c>
      <c r="I63" s="30">
        <v>26205</v>
      </c>
      <c r="J63" s="30">
        <v>14387</v>
      </c>
      <c r="K63" s="30">
        <v>17278</v>
      </c>
      <c r="L63" s="30">
        <v>22002</v>
      </c>
      <c r="M63" s="30">
        <v>12616</v>
      </c>
      <c r="N63" s="30">
        <v>16378</v>
      </c>
      <c r="O63" s="30">
        <v>12555</v>
      </c>
      <c r="P63" s="30">
        <v>13324</v>
      </c>
      <c r="Q63" s="30">
        <v>15715</v>
      </c>
      <c r="R63" s="30">
        <v>10053</v>
      </c>
      <c r="S63" s="30">
        <v>15196</v>
      </c>
      <c r="T63" s="30">
        <v>14983</v>
      </c>
      <c r="U63" s="30">
        <v>16132</v>
      </c>
      <c r="V63" s="19">
        <v>13062</v>
      </c>
      <c r="W63" s="19">
        <v>18976</v>
      </c>
      <c r="X63" s="19">
        <v>19347</v>
      </c>
      <c r="Y63" s="19">
        <v>8726</v>
      </c>
      <c r="Z63" s="19">
        <v>8953</v>
      </c>
      <c r="AA63" s="19">
        <v>8982</v>
      </c>
      <c r="AB63" s="19">
        <v>13105</v>
      </c>
      <c r="AC63" s="19">
        <v>9398</v>
      </c>
    </row>
    <row r="64" spans="1:29" s="18" customFormat="1" x14ac:dyDescent="0.25">
      <c r="A64" s="33" t="s">
        <v>176</v>
      </c>
      <c r="B64" s="30">
        <v>83376</v>
      </c>
      <c r="C64" s="30">
        <v>136252</v>
      </c>
      <c r="D64" s="30">
        <v>40855</v>
      </c>
      <c r="E64" s="30">
        <v>36692</v>
      </c>
      <c r="F64" s="30">
        <v>84197</v>
      </c>
      <c r="G64" s="30">
        <v>62017</v>
      </c>
      <c r="H64" s="30">
        <v>46984</v>
      </c>
      <c r="I64" s="30">
        <v>59519</v>
      </c>
      <c r="J64" s="30">
        <v>54289</v>
      </c>
      <c r="K64" s="30">
        <v>42261</v>
      </c>
      <c r="L64" s="30">
        <v>25284</v>
      </c>
      <c r="M64" s="30">
        <v>34562</v>
      </c>
      <c r="N64" s="30">
        <v>52101</v>
      </c>
      <c r="O64" s="30">
        <v>31354</v>
      </c>
      <c r="P64" s="30">
        <v>36460</v>
      </c>
      <c r="Q64" s="30">
        <v>33745</v>
      </c>
      <c r="R64" s="30">
        <v>31141</v>
      </c>
      <c r="S64" s="30">
        <v>21737</v>
      </c>
      <c r="T64" s="30">
        <v>32501</v>
      </c>
      <c r="U64" s="30">
        <v>71191</v>
      </c>
      <c r="V64" s="19">
        <v>43373</v>
      </c>
      <c r="W64" s="19">
        <v>35644</v>
      </c>
      <c r="X64" s="19">
        <v>87152</v>
      </c>
      <c r="Y64" s="19">
        <v>64572</v>
      </c>
      <c r="Z64" s="19">
        <v>75009</v>
      </c>
      <c r="AA64" s="19">
        <v>45020</v>
      </c>
      <c r="AB64" s="19">
        <v>60792</v>
      </c>
      <c r="AC64" s="19">
        <v>56439</v>
      </c>
    </row>
    <row r="65" spans="1:58" s="18" customFormat="1" x14ac:dyDescent="0.25">
      <c r="A65" s="33" t="s">
        <v>177</v>
      </c>
      <c r="B65" s="30">
        <v>35860</v>
      </c>
      <c r="C65" s="30">
        <v>41064</v>
      </c>
      <c r="D65" s="30">
        <v>29255</v>
      </c>
      <c r="E65" s="30">
        <v>42811</v>
      </c>
      <c r="F65" s="30">
        <v>38715</v>
      </c>
      <c r="G65" s="30">
        <v>63608</v>
      </c>
      <c r="H65" s="30">
        <v>41634</v>
      </c>
      <c r="I65" s="30">
        <v>54769</v>
      </c>
      <c r="J65" s="30">
        <v>50593</v>
      </c>
      <c r="K65" s="30">
        <v>51455</v>
      </c>
      <c r="L65" s="30">
        <v>36611</v>
      </c>
      <c r="M65" s="30">
        <v>43131</v>
      </c>
      <c r="N65" s="30">
        <v>43609</v>
      </c>
      <c r="O65" s="30">
        <v>37107</v>
      </c>
      <c r="P65" s="30">
        <v>29887</v>
      </c>
      <c r="Q65" s="30">
        <v>31452</v>
      </c>
      <c r="R65" s="30">
        <v>34558</v>
      </c>
      <c r="S65" s="30">
        <v>28049</v>
      </c>
      <c r="T65" s="30">
        <v>52241</v>
      </c>
      <c r="U65" s="30">
        <v>56963</v>
      </c>
      <c r="V65" s="19">
        <v>30513</v>
      </c>
      <c r="W65" s="19">
        <v>60537</v>
      </c>
      <c r="X65" s="19">
        <v>86301</v>
      </c>
      <c r="Y65" s="19">
        <v>64567</v>
      </c>
      <c r="Z65" s="19">
        <v>59243</v>
      </c>
      <c r="AA65" s="19">
        <v>51988</v>
      </c>
      <c r="AB65" s="19">
        <v>121973</v>
      </c>
      <c r="AC65" s="19">
        <v>105291</v>
      </c>
    </row>
    <row r="66" spans="1:58" s="18" customFormat="1" x14ac:dyDescent="0.25">
      <c r="A66" s="33" t="s">
        <v>178</v>
      </c>
      <c r="B66" s="30">
        <v>146549</v>
      </c>
      <c r="C66" s="30">
        <v>142677</v>
      </c>
      <c r="D66" s="30">
        <v>128640</v>
      </c>
      <c r="E66" s="30">
        <v>105833</v>
      </c>
      <c r="F66" s="30">
        <v>120724</v>
      </c>
      <c r="G66" s="30">
        <v>137310</v>
      </c>
      <c r="H66" s="30">
        <v>167109</v>
      </c>
      <c r="I66" s="30">
        <v>125536</v>
      </c>
      <c r="J66" s="30">
        <v>153013</v>
      </c>
      <c r="K66" s="30">
        <v>113597</v>
      </c>
      <c r="L66" s="30">
        <v>114297</v>
      </c>
      <c r="M66" s="30">
        <v>114028</v>
      </c>
      <c r="N66" s="30">
        <v>63303</v>
      </c>
      <c r="O66" s="30">
        <v>104834</v>
      </c>
      <c r="P66" s="30">
        <v>89917</v>
      </c>
      <c r="Q66" s="30">
        <v>97375</v>
      </c>
      <c r="R66" s="30">
        <v>85357</v>
      </c>
      <c r="S66" s="30">
        <v>87905</v>
      </c>
      <c r="T66" s="30">
        <v>74489</v>
      </c>
      <c r="U66" s="30">
        <v>57864</v>
      </c>
      <c r="V66" s="19">
        <v>71311</v>
      </c>
      <c r="W66" s="19">
        <v>53507</v>
      </c>
      <c r="X66" s="19">
        <v>54514</v>
      </c>
      <c r="Y66" s="19">
        <v>58851</v>
      </c>
      <c r="Z66" s="19">
        <v>102106</v>
      </c>
      <c r="AA66" s="19">
        <v>28732</v>
      </c>
      <c r="AB66" s="19">
        <v>21413</v>
      </c>
      <c r="AC66" s="19">
        <v>46645</v>
      </c>
    </row>
    <row r="67" spans="1:58" s="18" customFormat="1" x14ac:dyDescent="0.25">
      <c r="A67" s="33" t="s">
        <v>179</v>
      </c>
      <c r="B67" s="30">
        <v>17301</v>
      </c>
      <c r="C67" s="30">
        <v>18291</v>
      </c>
      <c r="D67" s="30">
        <v>16841</v>
      </c>
      <c r="E67" s="30">
        <v>15719</v>
      </c>
      <c r="F67" s="30">
        <v>22251</v>
      </c>
      <c r="G67" s="30">
        <v>26938</v>
      </c>
      <c r="H67" s="30">
        <v>26053</v>
      </c>
      <c r="I67" s="30">
        <v>24916</v>
      </c>
      <c r="J67" s="30">
        <v>21929</v>
      </c>
      <c r="K67" s="30">
        <v>17058</v>
      </c>
      <c r="L67" s="30">
        <v>12040</v>
      </c>
      <c r="M67" s="30">
        <v>19942</v>
      </c>
      <c r="N67" s="30">
        <v>25741</v>
      </c>
      <c r="O67" s="30">
        <v>26431</v>
      </c>
      <c r="P67" s="30">
        <v>16068</v>
      </c>
      <c r="Q67" s="30">
        <v>22870</v>
      </c>
      <c r="R67" s="30">
        <v>21799</v>
      </c>
      <c r="S67" s="30">
        <v>14922</v>
      </c>
      <c r="T67" s="30">
        <v>17395</v>
      </c>
      <c r="U67" s="30">
        <v>10603</v>
      </c>
      <c r="V67" s="19">
        <v>33417</v>
      </c>
      <c r="W67" s="19">
        <v>25661</v>
      </c>
      <c r="X67" s="19">
        <v>18922</v>
      </c>
      <c r="Y67" s="19">
        <v>28354</v>
      </c>
      <c r="Z67" s="19">
        <v>21355</v>
      </c>
      <c r="AA67" s="19">
        <v>20992</v>
      </c>
      <c r="AB67" s="19">
        <v>25313</v>
      </c>
      <c r="AC67" s="19">
        <v>25992</v>
      </c>
    </row>
    <row r="68" spans="1:58" s="18" customFormat="1" x14ac:dyDescent="0.25">
      <c r="A68" s="33" t="s">
        <v>180</v>
      </c>
      <c r="B68" s="30">
        <v>262</v>
      </c>
      <c r="C68" s="30">
        <v>143</v>
      </c>
      <c r="D68" s="30">
        <v>148</v>
      </c>
      <c r="E68" s="30">
        <v>819</v>
      </c>
      <c r="F68" s="30">
        <v>73</v>
      </c>
      <c r="G68" s="30">
        <v>772</v>
      </c>
      <c r="H68" s="30">
        <v>1155</v>
      </c>
      <c r="I68" s="30">
        <v>1982</v>
      </c>
      <c r="J68" s="30">
        <v>1609</v>
      </c>
      <c r="K68" s="30">
        <v>1645</v>
      </c>
      <c r="L68" s="30">
        <v>973</v>
      </c>
      <c r="M68" s="30">
        <v>1521</v>
      </c>
      <c r="N68" s="30">
        <v>987</v>
      </c>
      <c r="O68" s="30">
        <v>1322</v>
      </c>
      <c r="P68" s="30">
        <v>1548</v>
      </c>
      <c r="Q68" s="30">
        <v>756</v>
      </c>
      <c r="R68" s="30">
        <v>1187</v>
      </c>
      <c r="S68" s="30">
        <v>1365</v>
      </c>
      <c r="T68" s="30">
        <v>1601</v>
      </c>
      <c r="U68" s="30">
        <v>1834</v>
      </c>
      <c r="V68" s="19">
        <v>2588</v>
      </c>
      <c r="W68" s="19">
        <v>2321</v>
      </c>
      <c r="X68" s="19">
        <v>1990</v>
      </c>
      <c r="Y68" s="19">
        <v>1063</v>
      </c>
      <c r="Z68" s="19">
        <v>1276</v>
      </c>
      <c r="AA68" s="19">
        <v>1332</v>
      </c>
      <c r="AB68" s="19">
        <v>344</v>
      </c>
      <c r="AC68" s="19">
        <v>1113</v>
      </c>
    </row>
    <row r="69" spans="1:58" s="18" customFormat="1" x14ac:dyDescent="0.25">
      <c r="A69" s="33" t="s">
        <v>181</v>
      </c>
      <c r="B69" s="30">
        <v>78</v>
      </c>
      <c r="C69" s="30">
        <v>65</v>
      </c>
      <c r="D69" s="30">
        <v>169</v>
      </c>
      <c r="E69" s="30">
        <v>30</v>
      </c>
      <c r="F69" s="30">
        <v>124</v>
      </c>
      <c r="G69" s="30">
        <v>876</v>
      </c>
      <c r="H69" s="30">
        <v>376</v>
      </c>
      <c r="I69" s="30">
        <v>132</v>
      </c>
      <c r="J69" s="30">
        <v>158</v>
      </c>
      <c r="K69" s="30">
        <v>450</v>
      </c>
      <c r="L69" s="30">
        <v>1203</v>
      </c>
      <c r="M69" s="30">
        <v>152</v>
      </c>
      <c r="N69" s="30">
        <v>706</v>
      </c>
      <c r="O69" s="30">
        <v>481</v>
      </c>
      <c r="P69" s="30">
        <v>937</v>
      </c>
      <c r="Q69" s="30">
        <v>2128</v>
      </c>
      <c r="R69" s="30">
        <v>1217</v>
      </c>
      <c r="S69" s="30">
        <v>293</v>
      </c>
      <c r="T69" s="30">
        <v>141</v>
      </c>
      <c r="U69" s="30">
        <v>104</v>
      </c>
      <c r="V69" s="19">
        <v>2610</v>
      </c>
      <c r="W69" s="19">
        <v>1767</v>
      </c>
      <c r="X69" s="19">
        <v>2949</v>
      </c>
      <c r="Y69" s="19">
        <v>2698</v>
      </c>
      <c r="Z69" s="19">
        <v>790</v>
      </c>
      <c r="AA69" s="19">
        <v>807</v>
      </c>
      <c r="AB69" s="19">
        <v>3576</v>
      </c>
      <c r="AC69" s="19">
        <v>451</v>
      </c>
    </row>
    <row r="70" spans="1:58" s="18" customFormat="1" x14ac:dyDescent="0.25">
      <c r="A70" s="34" t="s">
        <v>182</v>
      </c>
      <c r="B70" s="30">
        <v>0</v>
      </c>
      <c r="C70" s="30">
        <v>1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1</v>
      </c>
      <c r="AC70" s="19">
        <v>2444</v>
      </c>
    </row>
    <row r="71" spans="1:58" s="36" customFormat="1" x14ac:dyDescent="0.25">
      <c r="A71" s="35" t="s">
        <v>159</v>
      </c>
      <c r="B71" s="27">
        <v>442080</v>
      </c>
      <c r="C71" s="27">
        <v>562575</v>
      </c>
      <c r="D71" s="27">
        <v>502680</v>
      </c>
      <c r="E71" s="27">
        <v>448972</v>
      </c>
      <c r="F71" s="27">
        <v>465235</v>
      </c>
      <c r="G71" s="27">
        <v>520345</v>
      </c>
      <c r="H71" s="27">
        <v>498782</v>
      </c>
      <c r="I71" s="27">
        <v>527312</v>
      </c>
      <c r="J71" s="27">
        <v>525400</v>
      </c>
      <c r="K71" s="27">
        <v>419786</v>
      </c>
      <c r="L71" s="27">
        <v>486913</v>
      </c>
      <c r="M71" s="27">
        <v>461882</v>
      </c>
      <c r="N71" s="27">
        <v>512692</v>
      </c>
      <c r="O71" s="27">
        <v>274015</v>
      </c>
      <c r="P71" s="27">
        <v>239653</v>
      </c>
      <c r="Q71" s="27">
        <v>267486</v>
      </c>
      <c r="R71" s="27">
        <v>258658</v>
      </c>
      <c r="S71" s="27">
        <v>303176</v>
      </c>
      <c r="T71" s="27">
        <v>439826</v>
      </c>
      <c r="U71" s="27">
        <v>317782</v>
      </c>
      <c r="V71" s="27">
        <v>320441</v>
      </c>
      <c r="W71" s="27">
        <v>350266</v>
      </c>
      <c r="X71" s="27">
        <v>456114</v>
      </c>
      <c r="Y71" s="27">
        <v>375824</v>
      </c>
      <c r="Z71" s="27">
        <v>354472</v>
      </c>
      <c r="AA71" s="27">
        <v>246957</v>
      </c>
      <c r="AB71" s="27">
        <v>384506</v>
      </c>
      <c r="AC71" s="27">
        <v>339230</v>
      </c>
    </row>
    <row r="72" spans="1:58" s="18" customFormat="1" ht="14.25" thickBot="1" x14ac:dyDescent="0.3">
      <c r="A72" s="20" t="s">
        <v>138</v>
      </c>
      <c r="B72" s="37">
        <v>1680590</v>
      </c>
      <c r="C72" s="37">
        <v>2063784</v>
      </c>
      <c r="D72" s="37">
        <v>1844488</v>
      </c>
      <c r="E72" s="37">
        <v>1972858</v>
      </c>
      <c r="F72" s="37">
        <v>1884814</v>
      </c>
      <c r="G72" s="37">
        <v>2071801</v>
      </c>
      <c r="H72" s="37">
        <v>2103937</v>
      </c>
      <c r="I72" s="37">
        <v>2281182</v>
      </c>
      <c r="J72" s="37">
        <v>2242644</v>
      </c>
      <c r="K72" s="37">
        <v>2303453</v>
      </c>
      <c r="L72" s="37">
        <v>2528856</v>
      </c>
      <c r="M72" s="37">
        <v>2578730</v>
      </c>
      <c r="N72" s="37">
        <v>2630472</v>
      </c>
      <c r="O72" s="37">
        <v>2527173</v>
      </c>
      <c r="P72" s="37">
        <v>2363430</v>
      </c>
      <c r="Q72" s="37">
        <v>2678137</v>
      </c>
      <c r="R72" s="37">
        <v>2727599</v>
      </c>
      <c r="S72" s="37">
        <v>2903898</v>
      </c>
      <c r="T72" s="37">
        <v>2660073</v>
      </c>
      <c r="U72" s="37">
        <v>2717097</v>
      </c>
      <c r="V72" s="37">
        <v>2588837</v>
      </c>
      <c r="W72" s="37">
        <v>2816989</v>
      </c>
      <c r="X72" s="37">
        <v>2973803</v>
      </c>
      <c r="Y72" s="37">
        <v>2729210</v>
      </c>
      <c r="Z72" s="37">
        <v>2669164</v>
      </c>
      <c r="AA72" s="37">
        <v>2659230</v>
      </c>
      <c r="AB72" s="37">
        <v>2623289</v>
      </c>
      <c r="AC72" s="37">
        <v>2998699</v>
      </c>
    </row>
    <row r="73" spans="1:58" x14ac:dyDescent="0.25"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:58" ht="14.25" thickBot="1" x14ac:dyDescent="0.3">
      <c r="A74" s="13" t="s">
        <v>183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</row>
    <row r="75" spans="1:58" s="17" customFormat="1" x14ac:dyDescent="0.25">
      <c r="A75" s="15"/>
      <c r="B75" s="16">
        <v>1997</v>
      </c>
      <c r="C75" s="16">
        <v>1998</v>
      </c>
      <c r="D75" s="16">
        <v>1999</v>
      </c>
      <c r="E75" s="16">
        <v>2000</v>
      </c>
      <c r="F75" s="16">
        <v>2001</v>
      </c>
      <c r="G75" s="16">
        <v>2002</v>
      </c>
      <c r="H75" s="16">
        <v>2003</v>
      </c>
      <c r="I75" s="16">
        <v>2004</v>
      </c>
      <c r="J75" s="16">
        <v>2005</v>
      </c>
      <c r="K75" s="16">
        <v>2006</v>
      </c>
      <c r="L75" s="16">
        <v>2007</v>
      </c>
      <c r="M75" s="16">
        <v>2008</v>
      </c>
      <c r="N75" s="16">
        <v>2009</v>
      </c>
      <c r="O75" s="16">
        <v>2010</v>
      </c>
      <c r="P75" s="16">
        <v>2011</v>
      </c>
      <c r="Q75" s="16">
        <v>2012</v>
      </c>
      <c r="R75" s="16">
        <v>2013</v>
      </c>
      <c r="S75" s="16">
        <v>2014</v>
      </c>
      <c r="T75" s="16">
        <v>2015</v>
      </c>
      <c r="U75" s="16">
        <v>2016</v>
      </c>
      <c r="V75" s="16">
        <v>2017</v>
      </c>
      <c r="W75" s="16">
        <v>2018</v>
      </c>
      <c r="X75" s="16">
        <v>2019</v>
      </c>
      <c r="Y75" s="16">
        <v>2020</v>
      </c>
      <c r="Z75" s="16">
        <v>2021</v>
      </c>
      <c r="AA75" s="16">
        <v>2022</v>
      </c>
      <c r="AB75" s="16">
        <v>2023</v>
      </c>
      <c r="AC75" s="16">
        <v>2024</v>
      </c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</row>
    <row r="76" spans="1:58" x14ac:dyDescent="0.25">
      <c r="A76" s="41" t="s">
        <v>145</v>
      </c>
      <c r="W76" s="11"/>
    </row>
    <row r="77" spans="1:58" s="18" customFormat="1" x14ac:dyDescent="0.25">
      <c r="A77" s="42" t="s">
        <v>5</v>
      </c>
      <c r="B77" s="19">
        <v>7550</v>
      </c>
      <c r="C77" s="19">
        <v>5152</v>
      </c>
      <c r="D77" s="19">
        <v>7550</v>
      </c>
      <c r="E77" s="19">
        <v>6997</v>
      </c>
      <c r="F77" s="19">
        <v>5279</v>
      </c>
      <c r="G77" s="19">
        <v>5234</v>
      </c>
      <c r="H77" s="19">
        <v>5809</v>
      </c>
      <c r="I77" s="19">
        <v>4200</v>
      </c>
      <c r="J77" s="19">
        <v>3091</v>
      </c>
      <c r="K77" s="19">
        <v>5031</v>
      </c>
      <c r="L77" s="19">
        <v>4404</v>
      </c>
      <c r="M77" s="19">
        <v>3969</v>
      </c>
      <c r="N77" s="19">
        <v>3646</v>
      </c>
      <c r="O77" s="19">
        <v>2565</v>
      </c>
      <c r="P77" s="19">
        <v>2924</v>
      </c>
      <c r="Q77" s="19">
        <v>2538</v>
      </c>
      <c r="R77" s="19">
        <v>2613</v>
      </c>
      <c r="S77" s="19">
        <v>2936</v>
      </c>
      <c r="T77" s="19">
        <v>3916</v>
      </c>
      <c r="U77" s="19">
        <v>3480</v>
      </c>
      <c r="V77" s="19">
        <v>2928</v>
      </c>
      <c r="W77" s="19">
        <v>2395</v>
      </c>
      <c r="X77" s="19">
        <v>3014</v>
      </c>
      <c r="Y77" s="19">
        <v>3207</v>
      </c>
      <c r="Z77" s="19">
        <v>2889</v>
      </c>
      <c r="AA77" s="19">
        <v>2888</v>
      </c>
      <c r="AB77" s="19">
        <v>2549</v>
      </c>
      <c r="AC77" s="19">
        <v>3718</v>
      </c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</row>
    <row r="78" spans="1:58" s="18" customFormat="1" x14ac:dyDescent="0.25">
      <c r="A78" s="42" t="s">
        <v>147</v>
      </c>
      <c r="B78" s="19">
        <v>0</v>
      </c>
      <c r="C78" s="19">
        <v>22</v>
      </c>
      <c r="D78" s="19">
        <v>56</v>
      </c>
      <c r="E78" s="19">
        <v>335</v>
      </c>
      <c r="F78" s="19">
        <v>206</v>
      </c>
      <c r="G78" s="19">
        <v>770</v>
      </c>
      <c r="H78" s="19">
        <v>2460</v>
      </c>
      <c r="I78" s="19">
        <v>3206</v>
      </c>
      <c r="J78" s="19">
        <v>3123</v>
      </c>
      <c r="K78" s="19">
        <v>2839</v>
      </c>
      <c r="L78" s="19">
        <v>3268</v>
      </c>
      <c r="M78" s="19">
        <v>2819</v>
      </c>
      <c r="N78" s="19">
        <v>2051</v>
      </c>
      <c r="O78" s="19">
        <v>3056</v>
      </c>
      <c r="P78" s="19">
        <v>3636</v>
      </c>
      <c r="Q78" s="19">
        <v>5381</v>
      </c>
      <c r="R78" s="19">
        <v>1950</v>
      </c>
      <c r="S78" s="19">
        <v>2032</v>
      </c>
      <c r="T78" s="19">
        <v>1762</v>
      </c>
      <c r="U78" s="19">
        <v>1908</v>
      </c>
      <c r="V78" s="19">
        <v>3636</v>
      </c>
      <c r="W78" s="19">
        <v>3986</v>
      </c>
      <c r="X78" s="19">
        <v>5312</v>
      </c>
      <c r="Y78" s="19">
        <v>2254</v>
      </c>
      <c r="Z78" s="19">
        <v>5120</v>
      </c>
      <c r="AA78" s="19">
        <v>6104</v>
      </c>
      <c r="AB78" s="19">
        <v>3616</v>
      </c>
      <c r="AC78" s="19">
        <v>6225</v>
      </c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</row>
    <row r="79" spans="1:58" s="18" customFormat="1" x14ac:dyDescent="0.25">
      <c r="A79" s="42" t="s">
        <v>20</v>
      </c>
      <c r="B79" s="19">
        <v>4353</v>
      </c>
      <c r="C79" s="19">
        <v>4013</v>
      </c>
      <c r="D79" s="19">
        <v>4074</v>
      </c>
      <c r="E79" s="19">
        <v>9660</v>
      </c>
      <c r="F79" s="19">
        <v>11311</v>
      </c>
      <c r="G79" s="19">
        <v>11552</v>
      </c>
      <c r="H79" s="19">
        <v>10853</v>
      </c>
      <c r="I79" s="19">
        <v>17310</v>
      </c>
      <c r="J79" s="19">
        <v>15476</v>
      </c>
      <c r="K79" s="19">
        <v>15472</v>
      </c>
      <c r="L79" s="19">
        <v>10042</v>
      </c>
      <c r="M79" s="19">
        <v>13627</v>
      </c>
      <c r="N79" s="19">
        <v>16826</v>
      </c>
      <c r="O79" s="19">
        <v>12545</v>
      </c>
      <c r="P79" s="19">
        <v>16305</v>
      </c>
      <c r="Q79" s="19">
        <v>14978</v>
      </c>
      <c r="R79" s="19">
        <v>12780</v>
      </c>
      <c r="S79" s="19">
        <v>13659</v>
      </c>
      <c r="T79" s="19">
        <v>13083</v>
      </c>
      <c r="U79" s="19">
        <v>14256</v>
      </c>
      <c r="V79" s="19">
        <v>17144</v>
      </c>
      <c r="W79" s="19">
        <v>13692</v>
      </c>
      <c r="X79" s="19">
        <v>14425</v>
      </c>
      <c r="Y79" s="19">
        <v>12439</v>
      </c>
      <c r="Z79" s="19">
        <v>9885</v>
      </c>
      <c r="AA79" s="19">
        <v>10431</v>
      </c>
      <c r="AB79" s="19">
        <v>9360</v>
      </c>
      <c r="AC79" s="19">
        <v>13866</v>
      </c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</row>
    <row r="80" spans="1:58" s="18" customFormat="1" x14ac:dyDescent="0.25">
      <c r="A80" s="42" t="s">
        <v>148</v>
      </c>
      <c r="B80" s="19">
        <v>8254</v>
      </c>
      <c r="C80" s="19">
        <v>14177</v>
      </c>
      <c r="D80" s="19">
        <v>10883</v>
      </c>
      <c r="E80" s="19">
        <v>21650</v>
      </c>
      <c r="F80" s="19">
        <v>17647</v>
      </c>
      <c r="G80" s="19">
        <v>20608</v>
      </c>
      <c r="H80" s="19">
        <v>30828</v>
      </c>
      <c r="I80" s="19">
        <v>28466</v>
      </c>
      <c r="J80" s="19">
        <v>28303</v>
      </c>
      <c r="K80" s="19">
        <v>10771</v>
      </c>
      <c r="L80" s="19">
        <v>15442</v>
      </c>
      <c r="M80" s="19">
        <v>19425</v>
      </c>
      <c r="N80" s="19">
        <v>26442</v>
      </c>
      <c r="O80" s="19">
        <v>26408</v>
      </c>
      <c r="P80" s="19">
        <v>28784</v>
      </c>
      <c r="Q80" s="19">
        <v>38986</v>
      </c>
      <c r="R80" s="19">
        <v>30756</v>
      </c>
      <c r="S80" s="19">
        <v>42707</v>
      </c>
      <c r="T80" s="19">
        <v>61206</v>
      </c>
      <c r="U80" s="19">
        <v>77418</v>
      </c>
      <c r="V80" s="19">
        <v>89845</v>
      </c>
      <c r="W80" s="19">
        <v>126698</v>
      </c>
      <c r="X80" s="19">
        <v>170072</v>
      </c>
      <c r="Y80" s="19">
        <v>182607</v>
      </c>
      <c r="Z80" s="19">
        <v>154638</v>
      </c>
      <c r="AA80" s="19">
        <v>167222</v>
      </c>
      <c r="AB80" s="19">
        <v>151300</v>
      </c>
      <c r="AC80" s="19">
        <v>196640</v>
      </c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</row>
    <row r="81" spans="1:58" s="18" customFormat="1" x14ac:dyDescent="0.25">
      <c r="A81" s="42" t="s">
        <v>73</v>
      </c>
      <c r="B81" s="19">
        <v>6798</v>
      </c>
      <c r="C81" s="19">
        <v>9390</v>
      </c>
      <c r="D81" s="19">
        <v>9794</v>
      </c>
      <c r="E81" s="19">
        <v>14727</v>
      </c>
      <c r="F81" s="19">
        <v>5401</v>
      </c>
      <c r="G81" s="19">
        <v>9829</v>
      </c>
      <c r="H81" s="19">
        <v>6896</v>
      </c>
      <c r="I81" s="19">
        <v>6663</v>
      </c>
      <c r="J81" s="19">
        <v>9165</v>
      </c>
      <c r="K81" s="19">
        <v>6724</v>
      </c>
      <c r="L81" s="19">
        <v>18019</v>
      </c>
      <c r="M81" s="19">
        <v>19408</v>
      </c>
      <c r="N81" s="19">
        <v>34007</v>
      </c>
      <c r="O81" s="19">
        <v>38949</v>
      </c>
      <c r="P81" s="19">
        <v>59611</v>
      </c>
      <c r="Q81" s="19">
        <v>74107</v>
      </c>
      <c r="R81" s="19">
        <v>77780</v>
      </c>
      <c r="S81" s="19">
        <v>114153</v>
      </c>
      <c r="T81" s="19">
        <v>142624</v>
      </c>
      <c r="U81" s="19">
        <v>171086</v>
      </c>
      <c r="V81" s="19">
        <v>159390</v>
      </c>
      <c r="W81" s="19">
        <v>194790</v>
      </c>
      <c r="X81" s="19">
        <v>235572</v>
      </c>
      <c r="Y81" s="19">
        <v>209502</v>
      </c>
      <c r="Z81" s="19">
        <v>188072</v>
      </c>
      <c r="AA81" s="19">
        <v>199548</v>
      </c>
      <c r="AB81" s="19">
        <v>235382</v>
      </c>
      <c r="AC81" s="19">
        <v>263264</v>
      </c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</row>
    <row r="82" spans="1:58" s="18" customFormat="1" x14ac:dyDescent="0.25">
      <c r="A82" s="42" t="s">
        <v>149</v>
      </c>
      <c r="B82" s="19">
        <v>0</v>
      </c>
      <c r="C82" s="19">
        <v>0</v>
      </c>
      <c r="D82" s="19">
        <v>0</v>
      </c>
      <c r="E82" s="19">
        <v>7560</v>
      </c>
      <c r="F82" s="19">
        <v>35772</v>
      </c>
      <c r="G82" s="19">
        <v>38952</v>
      </c>
      <c r="H82" s="19">
        <v>37876</v>
      </c>
      <c r="I82" s="19">
        <v>46677</v>
      </c>
      <c r="J82" s="19">
        <v>56167</v>
      </c>
      <c r="K82" s="19">
        <v>42346</v>
      </c>
      <c r="L82" s="19">
        <v>59364</v>
      </c>
      <c r="M82" s="19">
        <v>33015</v>
      </c>
      <c r="N82" s="19">
        <v>43976</v>
      </c>
      <c r="O82" s="19">
        <v>57229</v>
      </c>
      <c r="P82" s="19">
        <v>90543</v>
      </c>
      <c r="Q82" s="19">
        <v>74061</v>
      </c>
      <c r="R82" s="19">
        <v>77766</v>
      </c>
      <c r="S82" s="19">
        <v>75895</v>
      </c>
      <c r="T82" s="19">
        <v>86872</v>
      </c>
      <c r="U82" s="19">
        <v>62208</v>
      </c>
      <c r="V82" s="19">
        <v>67009</v>
      </c>
      <c r="W82" s="19">
        <v>75290</v>
      </c>
      <c r="X82" s="19">
        <v>98339</v>
      </c>
      <c r="Y82" s="19">
        <v>85213</v>
      </c>
      <c r="Z82" s="19">
        <v>92644</v>
      </c>
      <c r="AA82" s="19">
        <v>88294</v>
      </c>
      <c r="AB82" s="19">
        <v>70181</v>
      </c>
      <c r="AC82" s="19">
        <v>95083</v>
      </c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</row>
    <row r="83" spans="1:58" s="18" customFormat="1" x14ac:dyDescent="0.25">
      <c r="A83" s="42" t="s">
        <v>150</v>
      </c>
      <c r="B83" s="19">
        <v>0</v>
      </c>
      <c r="C83" s="19">
        <v>0</v>
      </c>
      <c r="D83" s="19">
        <v>0</v>
      </c>
      <c r="E83" s="19">
        <v>11</v>
      </c>
      <c r="F83" s="19">
        <v>13</v>
      </c>
      <c r="G83" s="19">
        <v>7</v>
      </c>
      <c r="H83" s="19">
        <v>20</v>
      </c>
      <c r="I83" s="19">
        <v>3</v>
      </c>
      <c r="J83" s="19">
        <v>0</v>
      </c>
      <c r="K83" s="19">
        <v>0</v>
      </c>
      <c r="L83" s="19">
        <v>0</v>
      </c>
      <c r="M83" s="19">
        <v>3</v>
      </c>
      <c r="N83" s="19">
        <v>8</v>
      </c>
      <c r="O83" s="19">
        <v>4</v>
      </c>
      <c r="P83" s="19">
        <v>11</v>
      </c>
      <c r="Q83" s="19">
        <v>11</v>
      </c>
      <c r="R83" s="19">
        <v>19</v>
      </c>
      <c r="S83" s="19">
        <v>19</v>
      </c>
      <c r="T83" s="19">
        <v>19</v>
      </c>
      <c r="U83" s="19">
        <v>19</v>
      </c>
      <c r="V83" s="19">
        <v>19</v>
      </c>
      <c r="W83" s="19">
        <v>8897</v>
      </c>
      <c r="X83" s="19">
        <v>33259</v>
      </c>
      <c r="Y83" s="19">
        <v>92108</v>
      </c>
      <c r="Z83" s="19">
        <v>120113</v>
      </c>
      <c r="AA83" s="19">
        <v>106477</v>
      </c>
      <c r="AB83" s="19">
        <v>102960</v>
      </c>
      <c r="AC83" s="19">
        <v>87077</v>
      </c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</row>
    <row r="84" spans="1:58" s="18" customFormat="1" x14ac:dyDescent="0.25">
      <c r="A84" s="42" t="s">
        <v>67</v>
      </c>
      <c r="B84" s="19">
        <v>10451</v>
      </c>
      <c r="C84" s="19">
        <v>15154</v>
      </c>
      <c r="D84" s="19">
        <v>10141</v>
      </c>
      <c r="E84" s="19">
        <v>18917</v>
      </c>
      <c r="F84" s="19">
        <v>17533</v>
      </c>
      <c r="G84" s="19">
        <v>38567</v>
      </c>
      <c r="H84" s="19">
        <v>30613</v>
      </c>
      <c r="I84" s="19">
        <v>33886</v>
      </c>
      <c r="J84" s="19">
        <v>27920</v>
      </c>
      <c r="K84" s="19">
        <v>30824</v>
      </c>
      <c r="L84" s="19">
        <v>38970</v>
      </c>
      <c r="M84" s="19">
        <v>33876</v>
      </c>
      <c r="N84" s="19">
        <v>30619</v>
      </c>
      <c r="O84" s="19">
        <v>26951</v>
      </c>
      <c r="P84" s="19">
        <v>25315</v>
      </c>
      <c r="Q84" s="19">
        <v>23528</v>
      </c>
      <c r="R84" s="19">
        <v>27690</v>
      </c>
      <c r="S84" s="19">
        <v>22906</v>
      </c>
      <c r="T84" s="19">
        <v>21332</v>
      </c>
      <c r="U84" s="19">
        <v>13701</v>
      </c>
      <c r="V84" s="19">
        <v>10307</v>
      </c>
      <c r="W84" s="19">
        <v>9482</v>
      </c>
      <c r="X84" s="19">
        <v>12732</v>
      </c>
      <c r="Y84" s="19">
        <v>9757</v>
      </c>
      <c r="Z84" s="19">
        <v>8507</v>
      </c>
      <c r="AA84" s="19">
        <v>3449</v>
      </c>
      <c r="AB84" s="19">
        <v>1208</v>
      </c>
      <c r="AC84" s="19">
        <v>1405</v>
      </c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</row>
    <row r="85" spans="1:58" s="18" customFormat="1" x14ac:dyDescent="0.25">
      <c r="A85" s="42" t="s">
        <v>151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6</v>
      </c>
      <c r="J85" s="19">
        <v>105</v>
      </c>
      <c r="K85" s="19">
        <v>286</v>
      </c>
      <c r="L85" s="19">
        <v>306</v>
      </c>
      <c r="M85" s="19">
        <v>435</v>
      </c>
      <c r="N85" s="19">
        <v>189</v>
      </c>
      <c r="O85" s="19">
        <v>110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3</v>
      </c>
      <c r="AA85" s="19">
        <v>2</v>
      </c>
      <c r="AB85" s="19">
        <v>4</v>
      </c>
      <c r="AC85" s="19">
        <v>15</v>
      </c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</row>
    <row r="86" spans="1:58" s="18" customFormat="1" x14ac:dyDescent="0.25">
      <c r="A86" s="42" t="s">
        <v>152</v>
      </c>
      <c r="B86" s="19">
        <v>19398</v>
      </c>
      <c r="C86" s="19">
        <v>50693</v>
      </c>
      <c r="D86" s="19">
        <v>38983</v>
      </c>
      <c r="E86" s="19">
        <v>68760</v>
      </c>
      <c r="F86" s="19">
        <v>92803</v>
      </c>
      <c r="G86" s="19">
        <v>124670</v>
      </c>
      <c r="H86" s="19">
        <v>167152</v>
      </c>
      <c r="I86" s="19">
        <v>225438</v>
      </c>
      <c r="J86" s="19">
        <v>240989</v>
      </c>
      <c r="K86" s="19">
        <v>242305</v>
      </c>
      <c r="L86" s="19">
        <v>265199</v>
      </c>
      <c r="M86" s="19">
        <v>233350</v>
      </c>
      <c r="N86" s="19">
        <v>215965</v>
      </c>
      <c r="O86" s="19">
        <v>208255</v>
      </c>
      <c r="P86" s="19">
        <v>178991</v>
      </c>
      <c r="Q86" s="19">
        <v>240054</v>
      </c>
      <c r="R86" s="19">
        <v>221890</v>
      </c>
      <c r="S86" s="19">
        <v>236826</v>
      </c>
      <c r="T86" s="19">
        <v>215764</v>
      </c>
      <c r="U86" s="19">
        <v>302691</v>
      </c>
      <c r="V86" s="19">
        <v>308489</v>
      </c>
      <c r="W86" s="19">
        <v>313869</v>
      </c>
      <c r="X86" s="19">
        <v>267351</v>
      </c>
      <c r="Y86" s="19">
        <v>198440</v>
      </c>
      <c r="Z86" s="19">
        <v>169339</v>
      </c>
      <c r="AA86" s="19">
        <v>218267</v>
      </c>
      <c r="AB86" s="19">
        <v>201279</v>
      </c>
      <c r="AC86" s="19">
        <v>318147</v>
      </c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</row>
    <row r="87" spans="1:58" s="18" customFormat="1" x14ac:dyDescent="0.25">
      <c r="A87" s="42" t="s">
        <v>153</v>
      </c>
      <c r="B87" s="19">
        <v>107</v>
      </c>
      <c r="C87" s="19">
        <v>100</v>
      </c>
      <c r="D87" s="19">
        <v>100</v>
      </c>
      <c r="E87" s="19">
        <v>240</v>
      </c>
      <c r="F87" s="19">
        <v>62</v>
      </c>
      <c r="G87" s="19">
        <v>4</v>
      </c>
      <c r="H87" s="19">
        <v>20</v>
      </c>
      <c r="I87" s="19">
        <v>35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2504</v>
      </c>
      <c r="W87" s="19">
        <v>2943</v>
      </c>
      <c r="X87" s="19">
        <v>2509</v>
      </c>
      <c r="Y87" s="19">
        <v>1</v>
      </c>
      <c r="Z87" s="19">
        <v>33</v>
      </c>
      <c r="AA87" s="19">
        <v>24</v>
      </c>
      <c r="AB87" s="19">
        <v>8</v>
      </c>
      <c r="AC87" s="19">
        <v>0</v>
      </c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</row>
    <row r="88" spans="1:58" s="18" customFormat="1" x14ac:dyDescent="0.25">
      <c r="A88" s="42" t="s">
        <v>63</v>
      </c>
      <c r="B88" s="19">
        <v>5498</v>
      </c>
      <c r="C88" s="19">
        <v>6820</v>
      </c>
      <c r="D88" s="19">
        <v>5790</v>
      </c>
      <c r="E88" s="19">
        <v>5389</v>
      </c>
      <c r="F88" s="19">
        <v>5864</v>
      </c>
      <c r="G88" s="19">
        <v>4927</v>
      </c>
      <c r="H88" s="19">
        <v>2944</v>
      </c>
      <c r="I88" s="19">
        <v>1967</v>
      </c>
      <c r="J88" s="19">
        <v>1626</v>
      </c>
      <c r="K88" s="19">
        <v>2564</v>
      </c>
      <c r="L88" s="19">
        <v>3559</v>
      </c>
      <c r="M88" s="19">
        <v>2796</v>
      </c>
      <c r="N88" s="19">
        <v>3422</v>
      </c>
      <c r="O88" s="19">
        <v>3090</v>
      </c>
      <c r="P88" s="19">
        <v>1932</v>
      </c>
      <c r="Q88" s="19">
        <v>2353</v>
      </c>
      <c r="R88" s="19">
        <v>2022</v>
      </c>
      <c r="S88" s="19">
        <v>1102</v>
      </c>
      <c r="T88" s="19">
        <v>1160</v>
      </c>
      <c r="U88" s="19">
        <v>1273</v>
      </c>
      <c r="V88" s="19">
        <v>3231</v>
      </c>
      <c r="W88" s="19">
        <v>2190</v>
      </c>
      <c r="X88" s="19">
        <v>3530</v>
      </c>
      <c r="Y88" s="19">
        <v>2335</v>
      </c>
      <c r="Z88" s="19">
        <v>1563</v>
      </c>
      <c r="AA88" s="19">
        <v>1990</v>
      </c>
      <c r="AB88" s="19">
        <v>2711</v>
      </c>
      <c r="AC88" s="19">
        <v>564</v>
      </c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</row>
    <row r="89" spans="1:58" s="18" customFormat="1" x14ac:dyDescent="0.25">
      <c r="A89" s="42" t="s">
        <v>154</v>
      </c>
      <c r="B89" s="19">
        <v>47442</v>
      </c>
      <c r="C89" s="19">
        <v>48378</v>
      </c>
      <c r="D89" s="19">
        <v>45660</v>
      </c>
      <c r="E89" s="19">
        <v>12930</v>
      </c>
      <c r="F89" s="19">
        <v>17128</v>
      </c>
      <c r="G89" s="19">
        <v>18535</v>
      </c>
      <c r="H89" s="19">
        <v>26365</v>
      </c>
      <c r="I89" s="19">
        <v>24904</v>
      </c>
      <c r="J89" s="19">
        <v>19911</v>
      </c>
      <c r="K89" s="19">
        <v>29462</v>
      </c>
      <c r="L89" s="19">
        <v>21250</v>
      </c>
      <c r="M89" s="19">
        <v>17376</v>
      </c>
      <c r="N89" s="19">
        <v>17883</v>
      </c>
      <c r="O89" s="19">
        <v>26909</v>
      </c>
      <c r="P89" s="19">
        <v>28233</v>
      </c>
      <c r="Q89" s="19">
        <v>28607</v>
      </c>
      <c r="R89" s="19">
        <v>26435</v>
      </c>
      <c r="S89" s="19">
        <v>62033</v>
      </c>
      <c r="T89" s="19">
        <v>61582</v>
      </c>
      <c r="U89" s="19">
        <v>61065</v>
      </c>
      <c r="V89" s="19">
        <v>46768</v>
      </c>
      <c r="W89" s="19">
        <v>61639</v>
      </c>
      <c r="X89" s="19">
        <v>67320</v>
      </c>
      <c r="Y89" s="19">
        <v>39834</v>
      </c>
      <c r="Z89" s="19">
        <v>49416</v>
      </c>
      <c r="AA89" s="19">
        <v>47502</v>
      </c>
      <c r="AB89" s="19">
        <v>39590</v>
      </c>
      <c r="AC89" s="19">
        <v>68835</v>
      </c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</row>
    <row r="90" spans="1:58" s="18" customFormat="1" x14ac:dyDescent="0.25">
      <c r="A90" s="42" t="s">
        <v>155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8</v>
      </c>
      <c r="H90" s="19">
        <v>3</v>
      </c>
      <c r="I90" s="19">
        <v>3</v>
      </c>
      <c r="J90" s="19">
        <v>6</v>
      </c>
      <c r="K90" s="19">
        <v>6</v>
      </c>
      <c r="L90" s="19">
        <v>8</v>
      </c>
      <c r="M90" s="19">
        <v>8</v>
      </c>
      <c r="N90" s="19">
        <v>12</v>
      </c>
      <c r="O90" s="19">
        <v>4</v>
      </c>
      <c r="P90" s="19">
        <v>4</v>
      </c>
      <c r="Q90" s="19">
        <v>229</v>
      </c>
      <c r="R90" s="19">
        <v>177</v>
      </c>
      <c r="S90" s="19">
        <v>86</v>
      </c>
      <c r="T90" s="19">
        <v>179</v>
      </c>
      <c r="U90" s="19">
        <v>179</v>
      </c>
      <c r="V90" s="19">
        <v>67</v>
      </c>
      <c r="W90" s="19">
        <v>55</v>
      </c>
      <c r="X90" s="19">
        <v>67</v>
      </c>
      <c r="Y90" s="19">
        <v>51</v>
      </c>
      <c r="Z90" s="19">
        <v>51</v>
      </c>
      <c r="AA90" s="19">
        <v>19</v>
      </c>
      <c r="AB90" s="19">
        <v>50</v>
      </c>
      <c r="AC90" s="19">
        <v>77</v>
      </c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</row>
    <row r="91" spans="1:58" s="18" customFormat="1" x14ac:dyDescent="0.25">
      <c r="A91" s="42" t="s">
        <v>156</v>
      </c>
      <c r="B91" s="19">
        <v>663</v>
      </c>
      <c r="C91" s="19">
        <v>833</v>
      </c>
      <c r="D91" s="19">
        <v>1084</v>
      </c>
      <c r="E91" s="19">
        <v>1161</v>
      </c>
      <c r="F91" s="19">
        <v>1733</v>
      </c>
      <c r="G91" s="19">
        <v>1673</v>
      </c>
      <c r="H91" s="19">
        <v>973</v>
      </c>
      <c r="I91" s="19">
        <v>388</v>
      </c>
      <c r="J91" s="19">
        <v>629</v>
      </c>
      <c r="K91" s="19">
        <v>759</v>
      </c>
      <c r="L91" s="19">
        <v>861</v>
      </c>
      <c r="M91" s="19">
        <v>592</v>
      </c>
      <c r="N91" s="19">
        <v>271</v>
      </c>
      <c r="O91" s="19">
        <v>128</v>
      </c>
      <c r="P91" s="19">
        <v>224</v>
      </c>
      <c r="Q91" s="19">
        <v>171</v>
      </c>
      <c r="R91" s="19">
        <v>147</v>
      </c>
      <c r="S91" s="19">
        <v>250</v>
      </c>
      <c r="T91" s="19">
        <v>357</v>
      </c>
      <c r="U91" s="19">
        <v>400</v>
      </c>
      <c r="V91" s="19">
        <v>435</v>
      </c>
      <c r="W91" s="19">
        <v>262</v>
      </c>
      <c r="X91" s="19">
        <v>233</v>
      </c>
      <c r="Y91" s="19">
        <v>182</v>
      </c>
      <c r="Z91" s="19">
        <v>235</v>
      </c>
      <c r="AA91" s="19">
        <v>385</v>
      </c>
      <c r="AB91" s="19">
        <v>239</v>
      </c>
      <c r="AC91" s="19">
        <v>218</v>
      </c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</row>
    <row r="92" spans="1:58" s="18" customFormat="1" x14ac:dyDescent="0.25">
      <c r="A92" s="42" t="s">
        <v>157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19</v>
      </c>
      <c r="K92" s="19">
        <v>12</v>
      </c>
      <c r="L92" s="19">
        <v>26</v>
      </c>
      <c r="M92" s="19">
        <v>22</v>
      </c>
      <c r="N92" s="19">
        <v>4454</v>
      </c>
      <c r="O92" s="19">
        <v>10580</v>
      </c>
      <c r="P92" s="19">
        <v>10774</v>
      </c>
      <c r="Q92" s="19">
        <v>16465</v>
      </c>
      <c r="R92" s="19">
        <v>11898</v>
      </c>
      <c r="S92" s="19">
        <v>6354</v>
      </c>
      <c r="T92" s="19">
        <v>5130</v>
      </c>
      <c r="U92" s="19">
        <v>6609</v>
      </c>
      <c r="V92" s="19">
        <v>6429</v>
      </c>
      <c r="W92" s="19">
        <v>11785</v>
      </c>
      <c r="X92" s="19">
        <v>7347</v>
      </c>
      <c r="Y92" s="19">
        <v>10298</v>
      </c>
      <c r="Z92" s="19">
        <v>30080</v>
      </c>
      <c r="AA92" s="19">
        <v>41770</v>
      </c>
      <c r="AB92" s="19">
        <v>47957</v>
      </c>
      <c r="AC92" s="19">
        <v>44721</v>
      </c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</row>
    <row r="93" spans="1:58" s="43" customFormat="1" x14ac:dyDescent="0.25">
      <c r="A93" s="42" t="s">
        <v>158</v>
      </c>
      <c r="B93" s="19">
        <v>26167</v>
      </c>
      <c r="C93" s="19">
        <v>39424</v>
      </c>
      <c r="D93" s="19">
        <v>46158</v>
      </c>
      <c r="E93" s="19">
        <v>38114</v>
      </c>
      <c r="F93" s="19">
        <v>11967</v>
      </c>
      <c r="G93" s="19">
        <v>28288</v>
      </c>
      <c r="H93" s="19">
        <v>28739</v>
      </c>
      <c r="I93" s="19">
        <v>66856</v>
      </c>
      <c r="J93" s="19">
        <v>88916</v>
      </c>
      <c r="K93" s="19">
        <v>76470</v>
      </c>
      <c r="L93" s="19">
        <v>82756</v>
      </c>
      <c r="M93" s="19">
        <v>48176</v>
      </c>
      <c r="N93" s="19">
        <v>53269</v>
      </c>
      <c r="O93" s="19">
        <v>39892</v>
      </c>
      <c r="P93" s="19">
        <v>35127</v>
      </c>
      <c r="Q93" s="19">
        <v>40566</v>
      </c>
      <c r="R93" s="19">
        <v>41195</v>
      </c>
      <c r="S93" s="19">
        <v>32390</v>
      </c>
      <c r="T93" s="19">
        <v>27779</v>
      </c>
      <c r="U93" s="19">
        <v>15755</v>
      </c>
      <c r="V93" s="19">
        <v>19201</v>
      </c>
      <c r="W93" s="19">
        <v>24326</v>
      </c>
      <c r="X93" s="19">
        <v>45098</v>
      </c>
      <c r="Y93" s="19">
        <v>54882</v>
      </c>
      <c r="Z93" s="19">
        <v>55670</v>
      </c>
      <c r="AA93" s="19">
        <v>75166</v>
      </c>
      <c r="AB93" s="19">
        <v>59860</v>
      </c>
      <c r="AC93" s="19">
        <v>34684</v>
      </c>
    </row>
    <row r="94" spans="1:58" s="18" customFormat="1" x14ac:dyDescent="0.25">
      <c r="A94" s="26" t="s">
        <v>159</v>
      </c>
      <c r="B94" s="27">
        <v>136681</v>
      </c>
      <c r="C94" s="27">
        <v>194156</v>
      </c>
      <c r="D94" s="27">
        <v>180273</v>
      </c>
      <c r="E94" s="27">
        <v>206451</v>
      </c>
      <c r="F94" s="27">
        <v>222719</v>
      </c>
      <c r="G94" s="27">
        <v>303624</v>
      </c>
      <c r="H94" s="27">
        <v>351551</v>
      </c>
      <c r="I94" s="27">
        <v>460008</v>
      </c>
      <c r="J94" s="27">
        <v>495446</v>
      </c>
      <c r="K94" s="27">
        <v>465871</v>
      </c>
      <c r="L94" s="27">
        <v>523474</v>
      </c>
      <c r="M94" s="27">
        <v>428897</v>
      </c>
      <c r="N94" s="27">
        <v>453040</v>
      </c>
      <c r="O94" s="27">
        <v>456675</v>
      </c>
      <c r="P94" s="27">
        <v>482414</v>
      </c>
      <c r="Q94" s="27">
        <v>562035</v>
      </c>
      <c r="R94" s="27">
        <v>535118</v>
      </c>
      <c r="S94" s="27">
        <v>613348</v>
      </c>
      <c r="T94" s="27">
        <v>642765</v>
      </c>
      <c r="U94" s="27">
        <v>732048</v>
      </c>
      <c r="V94" s="27">
        <v>737402</v>
      </c>
      <c r="W94" s="27">
        <v>852299</v>
      </c>
      <c r="X94" s="27">
        <v>966180</v>
      </c>
      <c r="Y94" s="27">
        <v>903110</v>
      </c>
      <c r="Z94" s="27">
        <v>888258</v>
      </c>
      <c r="AA94" s="27">
        <v>969538</v>
      </c>
      <c r="AB94" s="27">
        <v>928254</v>
      </c>
      <c r="AC94" s="27">
        <v>1134539</v>
      </c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</row>
    <row r="95" spans="1:58" x14ac:dyDescent="0.25">
      <c r="A95" s="28" t="s">
        <v>160</v>
      </c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</row>
    <row r="96" spans="1:58" s="18" customFormat="1" x14ac:dyDescent="0.25">
      <c r="A96" s="42" t="s">
        <v>184</v>
      </c>
      <c r="B96" s="19">
        <v>77</v>
      </c>
      <c r="C96" s="19">
        <v>275</v>
      </c>
      <c r="D96" s="19">
        <v>210</v>
      </c>
      <c r="E96" s="19">
        <v>271</v>
      </c>
      <c r="F96" s="19">
        <v>7141</v>
      </c>
      <c r="G96" s="19">
        <v>3384</v>
      </c>
      <c r="H96" s="19">
        <v>2697</v>
      </c>
      <c r="I96" s="19">
        <v>944</v>
      </c>
      <c r="J96" s="19">
        <v>1055</v>
      </c>
      <c r="K96" s="19">
        <v>749</v>
      </c>
      <c r="L96" s="19">
        <v>594</v>
      </c>
      <c r="M96" s="19">
        <v>223</v>
      </c>
      <c r="N96" s="19">
        <v>189</v>
      </c>
      <c r="O96" s="19">
        <v>126</v>
      </c>
      <c r="P96" s="19">
        <v>218</v>
      </c>
      <c r="Q96" s="19">
        <v>194</v>
      </c>
      <c r="R96" s="19">
        <v>252</v>
      </c>
      <c r="S96" s="19">
        <v>0</v>
      </c>
      <c r="T96" s="19">
        <v>0</v>
      </c>
      <c r="U96" s="19">
        <v>0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0</v>
      </c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</row>
    <row r="97" spans="1:58" s="18" customFormat="1" x14ac:dyDescent="0.25">
      <c r="A97" s="42" t="s">
        <v>11</v>
      </c>
      <c r="B97" s="19">
        <v>149</v>
      </c>
      <c r="C97" s="19">
        <v>167</v>
      </c>
      <c r="D97" s="19">
        <v>253</v>
      </c>
      <c r="E97" s="19">
        <v>351</v>
      </c>
      <c r="F97" s="19">
        <v>206</v>
      </c>
      <c r="G97" s="19">
        <v>144</v>
      </c>
      <c r="H97" s="19">
        <v>0</v>
      </c>
      <c r="I97" s="19">
        <v>63</v>
      </c>
      <c r="J97" s="19">
        <v>72</v>
      </c>
      <c r="K97" s="19">
        <v>135</v>
      </c>
      <c r="L97" s="19">
        <v>27</v>
      </c>
      <c r="M97" s="19">
        <v>0</v>
      </c>
      <c r="N97" s="19">
        <v>0</v>
      </c>
      <c r="O97" s="19">
        <v>0</v>
      </c>
      <c r="P97" s="19">
        <v>1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55</v>
      </c>
      <c r="W97" s="19">
        <v>0</v>
      </c>
      <c r="X97" s="19">
        <v>0</v>
      </c>
      <c r="Y97" s="19">
        <v>0</v>
      </c>
      <c r="Z97" s="19">
        <v>31</v>
      </c>
      <c r="AA97" s="19">
        <v>0</v>
      </c>
      <c r="AB97" s="19">
        <v>0</v>
      </c>
      <c r="AC97" s="19">
        <v>0</v>
      </c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</row>
    <row r="98" spans="1:58" s="18" customFormat="1" x14ac:dyDescent="0.25">
      <c r="A98" s="42" t="s">
        <v>12</v>
      </c>
      <c r="B98" s="19">
        <v>3673</v>
      </c>
      <c r="C98" s="19">
        <v>3813</v>
      </c>
      <c r="D98" s="19">
        <v>7516</v>
      </c>
      <c r="E98" s="19">
        <v>6243</v>
      </c>
      <c r="F98" s="19">
        <v>9946</v>
      </c>
      <c r="G98" s="19">
        <v>15629</v>
      </c>
      <c r="H98" s="19">
        <v>42209</v>
      </c>
      <c r="I98" s="19">
        <v>42607</v>
      </c>
      <c r="J98" s="19">
        <v>62731</v>
      </c>
      <c r="K98" s="19">
        <v>77395</v>
      </c>
      <c r="L98" s="19">
        <v>73718</v>
      </c>
      <c r="M98" s="19">
        <v>86483</v>
      </c>
      <c r="N98" s="19">
        <v>119725</v>
      </c>
      <c r="O98" s="19">
        <v>83258</v>
      </c>
      <c r="P98" s="19">
        <v>105455</v>
      </c>
      <c r="Q98" s="19">
        <v>91568</v>
      </c>
      <c r="R98" s="19">
        <v>121528</v>
      </c>
      <c r="S98" s="19">
        <v>105859</v>
      </c>
      <c r="T98" s="19">
        <v>73013</v>
      </c>
      <c r="U98" s="19">
        <v>43564</v>
      </c>
      <c r="V98" s="19">
        <v>60603</v>
      </c>
      <c r="W98" s="19">
        <v>54216</v>
      </c>
      <c r="X98" s="19">
        <v>42196</v>
      </c>
      <c r="Y98" s="19">
        <v>38577</v>
      </c>
      <c r="Z98" s="19">
        <v>31261</v>
      </c>
      <c r="AA98" s="19">
        <v>50908</v>
      </c>
      <c r="AB98" s="19">
        <v>61637</v>
      </c>
      <c r="AC98" s="19">
        <v>52331</v>
      </c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</row>
    <row r="99" spans="1:58" s="18" customFormat="1" x14ac:dyDescent="0.25">
      <c r="A99" s="42" t="s">
        <v>185</v>
      </c>
      <c r="B99" s="19">
        <v>1776</v>
      </c>
      <c r="C99" s="19">
        <v>2934</v>
      </c>
      <c r="D99" s="19">
        <v>1910</v>
      </c>
      <c r="E99" s="19">
        <v>2925</v>
      </c>
      <c r="F99" s="19">
        <v>510</v>
      </c>
      <c r="G99" s="19">
        <v>244</v>
      </c>
      <c r="H99" s="19">
        <v>2600</v>
      </c>
      <c r="I99" s="19">
        <v>2014</v>
      </c>
      <c r="J99" s="19">
        <v>709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</row>
    <row r="100" spans="1:58" s="18" customFormat="1" x14ac:dyDescent="0.25">
      <c r="A100" s="42" t="s">
        <v>17</v>
      </c>
      <c r="B100" s="19">
        <v>0</v>
      </c>
      <c r="C100" s="19">
        <v>0</v>
      </c>
      <c r="D100" s="19">
        <v>0</v>
      </c>
      <c r="E100" s="19">
        <v>3992</v>
      </c>
      <c r="F100" s="19">
        <v>1057</v>
      </c>
      <c r="G100" s="19">
        <v>427</v>
      </c>
      <c r="H100" s="19">
        <v>1562</v>
      </c>
      <c r="I100" s="19">
        <v>3051</v>
      </c>
      <c r="J100" s="19">
        <v>5193</v>
      </c>
      <c r="K100" s="19">
        <v>9523</v>
      </c>
      <c r="L100" s="19">
        <v>9187</v>
      </c>
      <c r="M100" s="19">
        <v>25415</v>
      </c>
      <c r="N100" s="19">
        <v>8496</v>
      </c>
      <c r="O100" s="19">
        <v>11322</v>
      </c>
      <c r="P100" s="19">
        <v>29184</v>
      </c>
      <c r="Q100" s="19">
        <v>23143</v>
      </c>
      <c r="R100" s="19">
        <v>21442</v>
      </c>
      <c r="S100" s="19">
        <v>21770</v>
      </c>
      <c r="T100" s="19">
        <v>11377</v>
      </c>
      <c r="U100" s="19">
        <v>3925</v>
      </c>
      <c r="V100" s="19">
        <v>13571</v>
      </c>
      <c r="W100" s="19">
        <v>22446</v>
      </c>
      <c r="X100" s="19">
        <v>25135</v>
      </c>
      <c r="Y100" s="19">
        <v>14160</v>
      </c>
      <c r="Z100" s="19">
        <v>16231</v>
      </c>
      <c r="AA100" s="19">
        <v>21235</v>
      </c>
      <c r="AB100" s="19">
        <v>14911</v>
      </c>
      <c r="AC100" s="19">
        <v>38878</v>
      </c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</row>
    <row r="101" spans="1:58" s="18" customFormat="1" x14ac:dyDescent="0.25">
      <c r="A101" s="42" t="s">
        <v>18</v>
      </c>
      <c r="B101" s="19">
        <v>0</v>
      </c>
      <c r="C101" s="19">
        <v>0</v>
      </c>
      <c r="D101" s="19">
        <v>0</v>
      </c>
      <c r="E101" s="19">
        <v>0</v>
      </c>
      <c r="F101" s="19">
        <v>599</v>
      </c>
      <c r="G101" s="19">
        <v>1488</v>
      </c>
      <c r="H101" s="19">
        <v>73</v>
      </c>
      <c r="I101" s="19">
        <v>0</v>
      </c>
      <c r="J101" s="19">
        <v>0</v>
      </c>
      <c r="K101" s="19">
        <v>0</v>
      </c>
      <c r="L101" s="19">
        <v>6025</v>
      </c>
      <c r="M101" s="19">
        <v>10962</v>
      </c>
      <c r="N101" s="19">
        <v>8823</v>
      </c>
      <c r="O101" s="19">
        <v>7371</v>
      </c>
      <c r="P101" s="19">
        <v>12226</v>
      </c>
      <c r="Q101" s="19">
        <v>13645</v>
      </c>
      <c r="R101" s="19">
        <v>13271</v>
      </c>
      <c r="S101" s="19">
        <v>17478</v>
      </c>
      <c r="T101" s="19">
        <v>15299</v>
      </c>
      <c r="U101" s="19">
        <v>7303</v>
      </c>
      <c r="V101" s="19">
        <v>4318</v>
      </c>
      <c r="W101" s="19">
        <v>4016</v>
      </c>
      <c r="X101" s="19">
        <v>2939</v>
      </c>
      <c r="Y101" s="19">
        <v>3635</v>
      </c>
      <c r="Z101" s="19">
        <v>5041</v>
      </c>
      <c r="AA101" s="19">
        <v>3869</v>
      </c>
      <c r="AB101" s="19">
        <v>3905</v>
      </c>
      <c r="AC101" s="19">
        <v>0</v>
      </c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</row>
    <row r="102" spans="1:58" s="18" customFormat="1" x14ac:dyDescent="0.25">
      <c r="A102" s="42" t="s">
        <v>76</v>
      </c>
      <c r="B102" s="19">
        <v>4564</v>
      </c>
      <c r="C102" s="19">
        <v>5710</v>
      </c>
      <c r="D102" s="19">
        <v>5200</v>
      </c>
      <c r="E102" s="19">
        <v>6833</v>
      </c>
      <c r="F102" s="19">
        <v>7733</v>
      </c>
      <c r="G102" s="19">
        <v>7347</v>
      </c>
      <c r="H102" s="19">
        <v>6309</v>
      </c>
      <c r="I102" s="19">
        <v>5496</v>
      </c>
      <c r="J102" s="19">
        <v>5089</v>
      </c>
      <c r="K102" s="19">
        <v>5938</v>
      </c>
      <c r="L102" s="19">
        <v>6408</v>
      </c>
      <c r="M102" s="19">
        <v>5673</v>
      </c>
      <c r="N102" s="19">
        <v>6878</v>
      </c>
      <c r="O102" s="19">
        <v>6250</v>
      </c>
      <c r="P102" s="19">
        <v>6028</v>
      </c>
      <c r="Q102" s="19">
        <v>7272</v>
      </c>
      <c r="R102" s="19">
        <v>6691</v>
      </c>
      <c r="S102" s="19">
        <v>7173</v>
      </c>
      <c r="T102" s="19">
        <v>7402</v>
      </c>
      <c r="U102" s="19">
        <v>6665</v>
      </c>
      <c r="V102" s="19">
        <v>6349</v>
      </c>
      <c r="W102" s="19">
        <v>7071</v>
      </c>
      <c r="X102" s="19">
        <v>7371</v>
      </c>
      <c r="Y102" s="19">
        <v>6313</v>
      </c>
      <c r="Z102" s="19">
        <v>7744</v>
      </c>
      <c r="AA102" s="19">
        <v>8539</v>
      </c>
      <c r="AB102" s="19">
        <v>9647</v>
      </c>
      <c r="AC102" s="19">
        <v>11754</v>
      </c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</row>
    <row r="103" spans="1:58" s="18" customFormat="1" x14ac:dyDescent="0.25">
      <c r="A103" s="42" t="s">
        <v>28</v>
      </c>
      <c r="B103" s="19">
        <v>256670</v>
      </c>
      <c r="C103" s="19">
        <v>338881</v>
      </c>
      <c r="D103" s="19">
        <v>321618</v>
      </c>
      <c r="E103" s="19">
        <v>342203</v>
      </c>
      <c r="F103" s="19">
        <v>314888</v>
      </c>
      <c r="G103" s="19">
        <v>302659</v>
      </c>
      <c r="H103" s="19">
        <v>310657</v>
      </c>
      <c r="I103" s="19">
        <v>411985</v>
      </c>
      <c r="J103" s="19">
        <v>247514</v>
      </c>
      <c r="K103" s="19">
        <v>285844</v>
      </c>
      <c r="L103" s="19">
        <v>321890</v>
      </c>
      <c r="M103" s="19">
        <v>334970</v>
      </c>
      <c r="N103" s="19">
        <v>388635</v>
      </c>
      <c r="O103" s="19">
        <v>358254</v>
      </c>
      <c r="P103" s="19">
        <v>397915</v>
      </c>
      <c r="Q103" s="19">
        <v>443316</v>
      </c>
      <c r="R103" s="19">
        <v>526236</v>
      </c>
      <c r="S103" s="19">
        <v>482917</v>
      </c>
      <c r="T103" s="19">
        <v>432078</v>
      </c>
      <c r="U103" s="19">
        <v>525633</v>
      </c>
      <c r="V103" s="19">
        <v>470964</v>
      </c>
      <c r="W103" s="19">
        <v>526475</v>
      </c>
      <c r="X103" s="19">
        <v>536212</v>
      </c>
      <c r="Y103" s="19">
        <v>514558</v>
      </c>
      <c r="Z103" s="19">
        <v>546944</v>
      </c>
      <c r="AA103" s="19">
        <v>513429</v>
      </c>
      <c r="AB103" s="19">
        <v>511995</v>
      </c>
      <c r="AC103" s="19">
        <v>512006</v>
      </c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</row>
    <row r="104" spans="1:58" s="18" customFormat="1" x14ac:dyDescent="0.25">
      <c r="A104" s="42" t="s">
        <v>74</v>
      </c>
      <c r="B104" s="19">
        <v>507611</v>
      </c>
      <c r="C104" s="19">
        <v>541769</v>
      </c>
      <c r="D104" s="19">
        <v>475067</v>
      </c>
      <c r="E104" s="19">
        <v>498935</v>
      </c>
      <c r="F104" s="19">
        <v>439272</v>
      </c>
      <c r="G104" s="19">
        <v>451820</v>
      </c>
      <c r="H104" s="19">
        <v>469703</v>
      </c>
      <c r="I104" s="19">
        <v>441519</v>
      </c>
      <c r="J104" s="19">
        <v>480907</v>
      </c>
      <c r="K104" s="19">
        <v>445567</v>
      </c>
      <c r="L104" s="19">
        <v>466710</v>
      </c>
      <c r="M104" s="19">
        <v>433765</v>
      </c>
      <c r="N104" s="19">
        <v>398688</v>
      </c>
      <c r="O104" s="19">
        <v>430961</v>
      </c>
      <c r="P104" s="19">
        <v>369139</v>
      </c>
      <c r="Q104" s="19">
        <v>393227</v>
      </c>
      <c r="R104" s="19">
        <v>376688</v>
      </c>
      <c r="S104" s="19">
        <v>353669</v>
      </c>
      <c r="T104" s="19">
        <v>332958</v>
      </c>
      <c r="U104" s="19">
        <v>300952</v>
      </c>
      <c r="V104" s="19">
        <v>300717</v>
      </c>
      <c r="W104" s="19">
        <v>320652</v>
      </c>
      <c r="X104" s="19">
        <v>299654</v>
      </c>
      <c r="Y104" s="19">
        <v>282500</v>
      </c>
      <c r="Z104" s="19">
        <v>323387</v>
      </c>
      <c r="AA104" s="19">
        <v>248562</v>
      </c>
      <c r="AB104" s="19">
        <v>246444</v>
      </c>
      <c r="AC104" s="19">
        <v>272238</v>
      </c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</row>
    <row r="105" spans="1:58" s="18" customFormat="1" x14ac:dyDescent="0.25">
      <c r="A105" s="42" t="s">
        <v>162</v>
      </c>
      <c r="B105" s="19">
        <v>188664</v>
      </c>
      <c r="C105" s="19">
        <v>247928</v>
      </c>
      <c r="D105" s="19">
        <v>173495</v>
      </c>
      <c r="E105" s="19">
        <v>207494</v>
      </c>
      <c r="F105" s="19">
        <v>216692</v>
      </c>
      <c r="G105" s="19">
        <v>254590</v>
      </c>
      <c r="H105" s="19">
        <v>221082</v>
      </c>
      <c r="I105" s="19">
        <v>212655</v>
      </c>
      <c r="J105" s="19">
        <v>237355</v>
      </c>
      <c r="K105" s="19">
        <v>274861</v>
      </c>
      <c r="L105" s="19">
        <v>279586</v>
      </c>
      <c r="M105" s="19">
        <v>275131</v>
      </c>
      <c r="N105" s="19">
        <v>310141</v>
      </c>
      <c r="O105" s="19">
        <v>300211</v>
      </c>
      <c r="P105" s="19">
        <v>231569</v>
      </c>
      <c r="Q105" s="19">
        <v>290292</v>
      </c>
      <c r="R105" s="19">
        <v>245374</v>
      </c>
      <c r="S105" s="19">
        <v>292011</v>
      </c>
      <c r="T105" s="19">
        <v>289429</v>
      </c>
      <c r="U105" s="19">
        <v>299176</v>
      </c>
      <c r="V105" s="19">
        <v>265542</v>
      </c>
      <c r="W105" s="19">
        <v>289322</v>
      </c>
      <c r="X105" s="19">
        <v>344665</v>
      </c>
      <c r="Y105" s="19">
        <v>277263</v>
      </c>
      <c r="Z105" s="19">
        <v>255225</v>
      </c>
      <c r="AA105" s="19">
        <v>254019</v>
      </c>
      <c r="AB105" s="19">
        <v>266868</v>
      </c>
      <c r="AC105" s="19">
        <v>290357</v>
      </c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</row>
    <row r="106" spans="1:58" s="18" customFormat="1" x14ac:dyDescent="0.25">
      <c r="A106" s="42" t="s">
        <v>164</v>
      </c>
      <c r="B106" s="19">
        <v>976</v>
      </c>
      <c r="C106" s="19">
        <v>1543</v>
      </c>
      <c r="D106" s="19">
        <v>1615</v>
      </c>
      <c r="E106" s="19">
        <v>1662</v>
      </c>
      <c r="F106" s="19">
        <v>1718</v>
      </c>
      <c r="G106" s="19">
        <v>1926</v>
      </c>
      <c r="H106" s="19">
        <v>2005</v>
      </c>
      <c r="I106" s="19">
        <v>2189</v>
      </c>
      <c r="J106" s="19">
        <v>2114</v>
      </c>
      <c r="K106" s="19">
        <v>1807</v>
      </c>
      <c r="L106" s="19">
        <v>1770</v>
      </c>
      <c r="M106" s="19">
        <v>1993</v>
      </c>
      <c r="N106" s="19">
        <v>2187</v>
      </c>
      <c r="O106" s="19">
        <v>2488</v>
      </c>
      <c r="P106" s="19">
        <v>2362</v>
      </c>
      <c r="Q106" s="19">
        <v>2337</v>
      </c>
      <c r="R106" s="19">
        <v>2313</v>
      </c>
      <c r="S106" s="19">
        <v>2429</v>
      </c>
      <c r="T106" s="19">
        <v>2504</v>
      </c>
      <c r="U106" s="19">
        <v>2361</v>
      </c>
      <c r="V106" s="19">
        <v>2382</v>
      </c>
      <c r="W106" s="19">
        <v>2280</v>
      </c>
      <c r="X106" s="19">
        <v>2750</v>
      </c>
      <c r="Y106" s="19">
        <v>2468</v>
      </c>
      <c r="Z106" s="19">
        <v>2469</v>
      </c>
      <c r="AA106" s="19">
        <v>2905</v>
      </c>
      <c r="AB106" s="19">
        <v>2521</v>
      </c>
      <c r="AC106" s="19">
        <v>2800</v>
      </c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</row>
    <row r="107" spans="1:58" s="18" customFormat="1" x14ac:dyDescent="0.25">
      <c r="A107" s="42" t="s">
        <v>43</v>
      </c>
      <c r="B107" s="19">
        <v>208759</v>
      </c>
      <c r="C107" s="19">
        <v>235585</v>
      </c>
      <c r="D107" s="19">
        <v>226179</v>
      </c>
      <c r="E107" s="19">
        <v>234460</v>
      </c>
      <c r="F107" s="19">
        <v>210754</v>
      </c>
      <c r="G107" s="19">
        <v>234060</v>
      </c>
      <c r="H107" s="19">
        <v>291833</v>
      </c>
      <c r="I107" s="19">
        <v>302114</v>
      </c>
      <c r="J107" s="19">
        <v>306316</v>
      </c>
      <c r="K107" s="19">
        <v>334610</v>
      </c>
      <c r="L107" s="19">
        <v>381050</v>
      </c>
      <c r="M107" s="19">
        <v>420526</v>
      </c>
      <c r="N107" s="19">
        <v>327743</v>
      </c>
      <c r="O107" s="19">
        <v>285566</v>
      </c>
      <c r="P107" s="19">
        <v>193915</v>
      </c>
      <c r="Q107" s="19">
        <v>233387</v>
      </c>
      <c r="R107" s="19">
        <v>229276</v>
      </c>
      <c r="S107" s="19">
        <v>287191</v>
      </c>
      <c r="T107" s="19">
        <v>247959</v>
      </c>
      <c r="U107" s="19">
        <v>214802</v>
      </c>
      <c r="V107" s="19">
        <v>199957</v>
      </c>
      <c r="W107" s="19">
        <v>156277</v>
      </c>
      <c r="X107" s="19">
        <v>160477</v>
      </c>
      <c r="Y107" s="19">
        <v>215361</v>
      </c>
      <c r="Z107" s="19">
        <v>177193</v>
      </c>
      <c r="AA107" s="19">
        <v>147710</v>
      </c>
      <c r="AB107" s="19">
        <v>159448</v>
      </c>
      <c r="AC107" s="19">
        <v>201352</v>
      </c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</row>
    <row r="108" spans="1:58" s="18" customFormat="1" x14ac:dyDescent="0.25">
      <c r="A108" s="42" t="s">
        <v>44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7</v>
      </c>
      <c r="Q108" s="19">
        <v>18</v>
      </c>
      <c r="R108" s="19">
        <v>175</v>
      </c>
      <c r="S108" s="19">
        <v>94</v>
      </c>
      <c r="T108" s="19">
        <v>21</v>
      </c>
      <c r="U108" s="19">
        <v>16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</row>
    <row r="109" spans="1:58" s="18" customFormat="1" x14ac:dyDescent="0.25">
      <c r="A109" s="42" t="s">
        <v>46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6</v>
      </c>
      <c r="K109" s="19">
        <v>15</v>
      </c>
      <c r="L109" s="19">
        <v>6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</row>
    <row r="110" spans="1:58" s="18" customFormat="1" x14ac:dyDescent="0.25">
      <c r="A110" s="42" t="s">
        <v>49</v>
      </c>
      <c r="B110" s="19">
        <v>0</v>
      </c>
      <c r="C110" s="19">
        <v>1624</v>
      </c>
      <c r="D110" s="19">
        <v>8614</v>
      </c>
      <c r="E110" s="19">
        <v>12896</v>
      </c>
      <c r="F110" s="19">
        <v>2402</v>
      </c>
      <c r="G110" s="19">
        <v>2288</v>
      </c>
      <c r="H110" s="19">
        <v>4659</v>
      </c>
      <c r="I110" s="19">
        <v>5584</v>
      </c>
      <c r="J110" s="19">
        <v>3453</v>
      </c>
      <c r="K110" s="19">
        <v>11826</v>
      </c>
      <c r="L110" s="19">
        <v>23750</v>
      </c>
      <c r="M110" s="19">
        <v>36359</v>
      </c>
      <c r="N110" s="19">
        <v>26686</v>
      </c>
      <c r="O110" s="19">
        <v>29500</v>
      </c>
      <c r="P110" s="19">
        <v>39466</v>
      </c>
      <c r="Q110" s="19">
        <v>32198</v>
      </c>
      <c r="R110" s="19">
        <v>45037</v>
      </c>
      <c r="S110" s="19">
        <v>40539</v>
      </c>
      <c r="T110" s="19">
        <v>33275</v>
      </c>
      <c r="U110" s="19">
        <v>8782</v>
      </c>
      <c r="V110" s="19">
        <v>11754</v>
      </c>
      <c r="W110" s="19">
        <v>10481</v>
      </c>
      <c r="X110" s="19">
        <v>9985</v>
      </c>
      <c r="Y110" s="19">
        <v>10832</v>
      </c>
      <c r="Z110" s="19">
        <v>13493</v>
      </c>
      <c r="AA110" s="19">
        <v>17753</v>
      </c>
      <c r="AB110" s="19">
        <v>23340</v>
      </c>
      <c r="AC110" s="19">
        <v>32836</v>
      </c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</row>
    <row r="111" spans="1:58" s="18" customFormat="1" x14ac:dyDescent="0.25">
      <c r="A111" s="42" t="s">
        <v>166</v>
      </c>
      <c r="B111" s="19">
        <v>216993</v>
      </c>
      <c r="C111" s="19">
        <v>305349</v>
      </c>
      <c r="D111" s="19">
        <v>251030</v>
      </c>
      <c r="E111" s="19">
        <v>279192</v>
      </c>
      <c r="F111" s="19">
        <v>285277</v>
      </c>
      <c r="G111" s="19">
        <v>318299</v>
      </c>
      <c r="H111" s="19">
        <v>258533</v>
      </c>
      <c r="I111" s="19">
        <v>261041</v>
      </c>
      <c r="J111" s="19">
        <v>244536</v>
      </c>
      <c r="K111" s="19">
        <v>255605</v>
      </c>
      <c r="L111" s="19">
        <v>276952</v>
      </c>
      <c r="M111" s="19">
        <v>247245</v>
      </c>
      <c r="N111" s="19">
        <v>242299</v>
      </c>
      <c r="O111" s="19">
        <v>256576</v>
      </c>
      <c r="P111" s="19">
        <v>229097</v>
      </c>
      <c r="Q111" s="19">
        <v>247231</v>
      </c>
      <c r="R111" s="19">
        <v>260446</v>
      </c>
      <c r="S111" s="19">
        <v>275358</v>
      </c>
      <c r="T111" s="19">
        <v>233755</v>
      </c>
      <c r="U111" s="19">
        <v>236113</v>
      </c>
      <c r="V111" s="19">
        <v>225365</v>
      </c>
      <c r="W111" s="19">
        <v>241990</v>
      </c>
      <c r="X111" s="19">
        <v>289442</v>
      </c>
      <c r="Y111" s="19">
        <v>216215</v>
      </c>
      <c r="Z111" s="19">
        <v>250602</v>
      </c>
      <c r="AA111" s="19">
        <v>255717</v>
      </c>
      <c r="AB111" s="19">
        <v>212839</v>
      </c>
      <c r="AC111" s="19">
        <v>276615</v>
      </c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</row>
    <row r="112" spans="1:58" s="18" customFormat="1" x14ac:dyDescent="0.25">
      <c r="A112" s="42" t="s">
        <v>186</v>
      </c>
      <c r="B112" s="19">
        <v>153997</v>
      </c>
      <c r="C112" s="19">
        <v>184050</v>
      </c>
      <c r="D112" s="19">
        <v>191508</v>
      </c>
      <c r="E112" s="19">
        <v>135318</v>
      </c>
      <c r="F112" s="19">
        <v>128500</v>
      </c>
      <c r="G112" s="19">
        <v>136189</v>
      </c>
      <c r="H112" s="19">
        <v>101006</v>
      </c>
      <c r="I112" s="19">
        <v>79391</v>
      </c>
      <c r="J112" s="19">
        <v>97739</v>
      </c>
      <c r="K112" s="19">
        <v>81134</v>
      </c>
      <c r="L112" s="19">
        <v>103499</v>
      </c>
      <c r="M112" s="19">
        <v>221185</v>
      </c>
      <c r="N112" s="19">
        <v>292701</v>
      </c>
      <c r="O112" s="19">
        <v>256950</v>
      </c>
      <c r="P112" s="19">
        <v>214837</v>
      </c>
      <c r="Q112" s="19">
        <v>272718</v>
      </c>
      <c r="R112" s="19">
        <v>265112</v>
      </c>
      <c r="S112" s="19">
        <v>323213</v>
      </c>
      <c r="T112" s="19">
        <v>249169</v>
      </c>
      <c r="U112" s="19">
        <v>212674</v>
      </c>
      <c r="V112" s="19">
        <v>177227</v>
      </c>
      <c r="W112" s="19">
        <v>208918</v>
      </c>
      <c r="X112" s="19">
        <v>177463</v>
      </c>
      <c r="Y112" s="19">
        <v>148665</v>
      </c>
      <c r="Z112" s="19">
        <v>61683</v>
      </c>
      <c r="AA112" s="19">
        <v>67427</v>
      </c>
      <c r="AB112" s="19">
        <v>84331</v>
      </c>
      <c r="AC112" s="19">
        <v>75380</v>
      </c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</row>
    <row r="113" spans="1:58" s="18" customFormat="1" x14ac:dyDescent="0.25">
      <c r="A113" s="42" t="s">
        <v>168</v>
      </c>
      <c r="B113" s="19">
        <v>0</v>
      </c>
      <c r="C113" s="19">
        <v>0</v>
      </c>
      <c r="D113" s="19">
        <v>0</v>
      </c>
      <c r="E113" s="19">
        <v>33632</v>
      </c>
      <c r="F113" s="19">
        <v>35400</v>
      </c>
      <c r="G113" s="19">
        <v>37683</v>
      </c>
      <c r="H113" s="19">
        <v>37458</v>
      </c>
      <c r="I113" s="19">
        <v>50521</v>
      </c>
      <c r="J113" s="19">
        <v>52409</v>
      </c>
      <c r="K113" s="19">
        <v>52573</v>
      </c>
      <c r="L113" s="19">
        <v>54210</v>
      </c>
      <c r="M113" s="19">
        <v>49903</v>
      </c>
      <c r="N113" s="19">
        <v>44241</v>
      </c>
      <c r="O113" s="19">
        <v>41665</v>
      </c>
      <c r="P113" s="19">
        <v>49584</v>
      </c>
      <c r="Q113" s="19">
        <v>65556</v>
      </c>
      <c r="R113" s="19">
        <v>78631</v>
      </c>
      <c r="S113" s="19">
        <v>80842</v>
      </c>
      <c r="T113" s="19">
        <v>89063</v>
      </c>
      <c r="U113" s="19">
        <v>123076</v>
      </c>
      <c r="V113" s="19">
        <v>112626</v>
      </c>
      <c r="W113" s="19">
        <v>120535</v>
      </c>
      <c r="X113" s="19">
        <v>109315</v>
      </c>
      <c r="Y113" s="19">
        <v>95540</v>
      </c>
      <c r="Z113" s="19">
        <v>89589</v>
      </c>
      <c r="AA113" s="19">
        <v>97615</v>
      </c>
      <c r="AB113" s="19">
        <v>97145</v>
      </c>
      <c r="AC113" s="19">
        <v>97613</v>
      </c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</row>
    <row r="114" spans="1:58" s="18" customFormat="1" x14ac:dyDescent="0.25">
      <c r="A114" s="42" t="s">
        <v>169</v>
      </c>
      <c r="B114" s="19">
        <v>0</v>
      </c>
      <c r="C114" s="19">
        <v>0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13</v>
      </c>
      <c r="Q114" s="19">
        <v>0</v>
      </c>
      <c r="R114" s="19">
        <v>9</v>
      </c>
      <c r="S114" s="19">
        <v>7</v>
      </c>
      <c r="T114" s="19">
        <v>6</v>
      </c>
      <c r="U114" s="19">
        <v>7</v>
      </c>
      <c r="V114" s="19">
        <v>5</v>
      </c>
      <c r="W114" s="19">
        <v>11</v>
      </c>
      <c r="X114" s="19">
        <v>19</v>
      </c>
      <c r="Y114" s="19">
        <v>13</v>
      </c>
      <c r="Z114" s="19">
        <v>13</v>
      </c>
      <c r="AA114" s="19">
        <v>4</v>
      </c>
      <c r="AB114" s="19">
        <v>4</v>
      </c>
      <c r="AC114" s="19">
        <v>0</v>
      </c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</row>
    <row r="115" spans="1:58" s="18" customFormat="1" x14ac:dyDescent="0.25">
      <c r="A115" s="26" t="s">
        <v>159</v>
      </c>
      <c r="B115" s="27">
        <v>1543909</v>
      </c>
      <c r="C115" s="27">
        <v>1869628</v>
      </c>
      <c r="D115" s="27">
        <v>1664215</v>
      </c>
      <c r="E115" s="27">
        <v>1766407</v>
      </c>
      <c r="F115" s="27">
        <v>1662095</v>
      </c>
      <c r="G115" s="27">
        <v>1768177</v>
      </c>
      <c r="H115" s="27">
        <v>1752386</v>
      </c>
      <c r="I115" s="27">
        <v>1821174</v>
      </c>
      <c r="J115" s="27">
        <v>1747198</v>
      </c>
      <c r="K115" s="27">
        <v>1837582</v>
      </c>
      <c r="L115" s="27">
        <v>2005382</v>
      </c>
      <c r="M115" s="27">
        <v>2149833</v>
      </c>
      <c r="N115" s="27">
        <v>2177432</v>
      </c>
      <c r="O115" s="27">
        <v>2070498</v>
      </c>
      <c r="P115" s="27">
        <v>1881016</v>
      </c>
      <c r="Q115" s="27">
        <v>2116102</v>
      </c>
      <c r="R115" s="27">
        <v>2192481</v>
      </c>
      <c r="S115" s="27">
        <v>2290550</v>
      </c>
      <c r="T115" s="27">
        <v>2017308</v>
      </c>
      <c r="U115" s="27">
        <v>1985049</v>
      </c>
      <c r="V115" s="27">
        <v>1851435</v>
      </c>
      <c r="W115" s="27">
        <v>1964690</v>
      </c>
      <c r="X115" s="27">
        <v>2007623</v>
      </c>
      <c r="Y115" s="27">
        <v>1826100</v>
      </c>
      <c r="Z115" s="27">
        <v>1780906</v>
      </c>
      <c r="AA115" s="27">
        <v>1689692</v>
      </c>
      <c r="AB115" s="27">
        <v>1695035</v>
      </c>
      <c r="AC115" s="27">
        <v>1864160</v>
      </c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</row>
    <row r="116" spans="1:58" s="18" customFormat="1" ht="14.25" thickBot="1" x14ac:dyDescent="0.3">
      <c r="A116" s="20" t="s">
        <v>138</v>
      </c>
      <c r="B116" s="21">
        <v>1680590</v>
      </c>
      <c r="C116" s="21">
        <v>2063784</v>
      </c>
      <c r="D116" s="21">
        <v>1844488</v>
      </c>
      <c r="E116" s="21">
        <v>1972858</v>
      </c>
      <c r="F116" s="21">
        <v>1884814</v>
      </c>
      <c r="G116" s="21">
        <v>2071801</v>
      </c>
      <c r="H116" s="21">
        <v>2103937</v>
      </c>
      <c r="I116" s="21">
        <v>2281182</v>
      </c>
      <c r="J116" s="21">
        <v>2242644</v>
      </c>
      <c r="K116" s="21">
        <v>2303453</v>
      </c>
      <c r="L116" s="21">
        <v>2528856</v>
      </c>
      <c r="M116" s="21">
        <v>2578730</v>
      </c>
      <c r="N116" s="21">
        <v>2630472</v>
      </c>
      <c r="O116" s="21">
        <v>2527173</v>
      </c>
      <c r="P116" s="21">
        <v>2363430</v>
      </c>
      <c r="Q116" s="21">
        <v>2678137</v>
      </c>
      <c r="R116" s="21">
        <v>2727599</v>
      </c>
      <c r="S116" s="21">
        <v>2903898</v>
      </c>
      <c r="T116" s="21">
        <v>2660073</v>
      </c>
      <c r="U116" s="21">
        <v>2717097</v>
      </c>
      <c r="V116" s="21">
        <v>2588837</v>
      </c>
      <c r="W116" s="21">
        <v>2816989</v>
      </c>
      <c r="X116" s="21">
        <v>2973803</v>
      </c>
      <c r="Y116" s="21">
        <v>2729210</v>
      </c>
      <c r="Z116" s="21">
        <v>2669164</v>
      </c>
      <c r="AA116" s="21">
        <v>2659230</v>
      </c>
      <c r="AB116" s="21">
        <v>2623289</v>
      </c>
      <c r="AC116" s="21">
        <v>2998699</v>
      </c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</row>
    <row r="117" spans="1:58" x14ac:dyDescent="0.25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 spans="1:58" ht="14.25" thickBot="1" x14ac:dyDescent="0.3">
      <c r="A118" s="13" t="s">
        <v>187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</row>
    <row r="119" spans="1:58" s="17" customFormat="1" x14ac:dyDescent="0.25">
      <c r="A119" s="15"/>
      <c r="B119" s="16">
        <v>1997</v>
      </c>
      <c r="C119" s="16">
        <v>1998</v>
      </c>
      <c r="D119" s="16">
        <v>1999</v>
      </c>
      <c r="E119" s="16">
        <v>2000</v>
      </c>
      <c r="F119" s="16">
        <v>2001</v>
      </c>
      <c r="G119" s="16">
        <v>2002</v>
      </c>
      <c r="H119" s="16">
        <v>2003</v>
      </c>
      <c r="I119" s="16">
        <v>2004</v>
      </c>
      <c r="J119" s="16">
        <v>2005</v>
      </c>
      <c r="K119" s="16">
        <v>2006</v>
      </c>
      <c r="L119" s="16">
        <v>2007</v>
      </c>
      <c r="M119" s="16">
        <v>2008</v>
      </c>
      <c r="N119" s="16">
        <v>2009</v>
      </c>
      <c r="O119" s="16">
        <v>2010</v>
      </c>
      <c r="P119" s="16">
        <v>2011</v>
      </c>
      <c r="Q119" s="16">
        <v>2012</v>
      </c>
      <c r="R119" s="16">
        <v>2013</v>
      </c>
      <c r="S119" s="16">
        <v>2014</v>
      </c>
      <c r="T119" s="16">
        <v>2015</v>
      </c>
      <c r="U119" s="16">
        <v>2016</v>
      </c>
      <c r="V119" s="16">
        <v>2017</v>
      </c>
      <c r="W119" s="16">
        <v>2018</v>
      </c>
      <c r="X119" s="16">
        <v>2019</v>
      </c>
      <c r="Y119" s="16">
        <v>2020</v>
      </c>
      <c r="Z119" s="16">
        <v>2021</v>
      </c>
      <c r="AA119" s="16">
        <v>2022</v>
      </c>
      <c r="AB119" s="16">
        <v>2023</v>
      </c>
      <c r="AC119" s="16">
        <v>2024</v>
      </c>
    </row>
    <row r="120" spans="1:58" x14ac:dyDescent="0.25">
      <c r="A120" s="41" t="s">
        <v>145</v>
      </c>
      <c r="W120" s="11"/>
    </row>
    <row r="121" spans="1:58" s="18" customFormat="1" x14ac:dyDescent="0.25">
      <c r="A121" s="42" t="s">
        <v>5</v>
      </c>
      <c r="B121" s="19">
        <v>7545</v>
      </c>
      <c r="C121" s="19">
        <v>5053</v>
      </c>
      <c r="D121" s="19">
        <v>7521</v>
      </c>
      <c r="E121" s="19">
        <v>6971</v>
      </c>
      <c r="F121" s="19">
        <v>5236</v>
      </c>
      <c r="G121" s="19">
        <v>5188</v>
      </c>
      <c r="H121" s="19">
        <v>5686</v>
      </c>
      <c r="I121" s="19">
        <v>4107</v>
      </c>
      <c r="J121" s="19">
        <v>3018</v>
      </c>
      <c r="K121" s="19">
        <v>4962</v>
      </c>
      <c r="L121" s="19">
        <v>4377</v>
      </c>
      <c r="M121" s="19">
        <v>3956</v>
      </c>
      <c r="N121" s="19">
        <v>3636</v>
      </c>
      <c r="O121" s="19">
        <v>2559</v>
      </c>
      <c r="P121" s="19">
        <v>2916</v>
      </c>
      <c r="Q121" s="19">
        <v>2519</v>
      </c>
      <c r="R121" s="19">
        <v>2584</v>
      </c>
      <c r="S121" s="19">
        <v>2911</v>
      </c>
      <c r="T121" s="19">
        <v>3907</v>
      </c>
      <c r="U121" s="19">
        <v>3457</v>
      </c>
      <c r="V121" s="19">
        <v>2918</v>
      </c>
      <c r="W121" s="19">
        <v>2390</v>
      </c>
      <c r="X121" s="19">
        <v>3009</v>
      </c>
      <c r="Y121" s="19">
        <v>3193</v>
      </c>
      <c r="Z121" s="19">
        <v>2888</v>
      </c>
      <c r="AA121" s="19">
        <v>2888</v>
      </c>
      <c r="AB121" s="19">
        <v>2529</v>
      </c>
      <c r="AC121" s="19">
        <v>3710</v>
      </c>
    </row>
    <row r="122" spans="1:58" s="18" customFormat="1" x14ac:dyDescent="0.25">
      <c r="A122" s="42" t="s">
        <v>147</v>
      </c>
      <c r="B122" s="19">
        <v>0</v>
      </c>
      <c r="C122" s="19">
        <v>0</v>
      </c>
      <c r="D122" s="19">
        <v>0</v>
      </c>
      <c r="E122" s="19">
        <v>0</v>
      </c>
      <c r="F122" s="19">
        <v>4</v>
      </c>
      <c r="G122" s="19">
        <v>604</v>
      </c>
      <c r="H122" s="19">
        <v>1755</v>
      </c>
      <c r="I122" s="19">
        <v>2825</v>
      </c>
      <c r="J122" s="19">
        <v>3017</v>
      </c>
      <c r="K122" s="19">
        <v>2628</v>
      </c>
      <c r="L122" s="19">
        <v>3002</v>
      </c>
      <c r="M122" s="19">
        <v>2582</v>
      </c>
      <c r="N122" s="19">
        <v>1994</v>
      </c>
      <c r="O122" s="19">
        <v>2992</v>
      </c>
      <c r="P122" s="19">
        <v>3629</v>
      </c>
      <c r="Q122" s="19">
        <v>5329</v>
      </c>
      <c r="R122" s="19">
        <v>1866</v>
      </c>
      <c r="S122" s="19">
        <v>2011</v>
      </c>
      <c r="T122" s="19">
        <v>1740</v>
      </c>
      <c r="U122" s="19">
        <v>1854</v>
      </c>
      <c r="V122" s="19">
        <v>3416</v>
      </c>
      <c r="W122" s="19">
        <v>3576</v>
      </c>
      <c r="X122" s="19">
        <v>2700</v>
      </c>
      <c r="Y122" s="19">
        <v>1353</v>
      </c>
      <c r="Z122" s="19">
        <v>937</v>
      </c>
      <c r="AA122" s="19">
        <v>1167</v>
      </c>
      <c r="AB122" s="19">
        <v>1060</v>
      </c>
      <c r="AC122" s="19">
        <v>629</v>
      </c>
    </row>
    <row r="123" spans="1:58" s="18" customFormat="1" x14ac:dyDescent="0.25">
      <c r="A123" s="42" t="s">
        <v>20</v>
      </c>
      <c r="B123" s="19">
        <v>4308</v>
      </c>
      <c r="C123" s="19">
        <v>3878</v>
      </c>
      <c r="D123" s="19">
        <v>3969</v>
      </c>
      <c r="E123" s="19">
        <v>9204</v>
      </c>
      <c r="F123" s="19">
        <v>11080</v>
      </c>
      <c r="G123" s="19">
        <v>10557</v>
      </c>
      <c r="H123" s="19">
        <v>9219</v>
      </c>
      <c r="I123" s="19">
        <v>13927</v>
      </c>
      <c r="J123" s="19">
        <v>12504</v>
      </c>
      <c r="K123" s="19">
        <v>13128</v>
      </c>
      <c r="L123" s="19">
        <v>8751</v>
      </c>
      <c r="M123" s="19">
        <v>11943</v>
      </c>
      <c r="N123" s="19">
        <v>14275</v>
      </c>
      <c r="O123" s="19">
        <v>11001</v>
      </c>
      <c r="P123" s="19">
        <v>13145</v>
      </c>
      <c r="Q123" s="19">
        <v>11180</v>
      </c>
      <c r="R123" s="19">
        <v>9781</v>
      </c>
      <c r="S123" s="19">
        <v>10304</v>
      </c>
      <c r="T123" s="19">
        <v>10910</v>
      </c>
      <c r="U123" s="19">
        <v>12404</v>
      </c>
      <c r="V123" s="19">
        <v>15056</v>
      </c>
      <c r="W123" s="19">
        <v>11661</v>
      </c>
      <c r="X123" s="19">
        <v>12819</v>
      </c>
      <c r="Y123" s="19">
        <v>10622</v>
      </c>
      <c r="Z123" s="19">
        <v>8748</v>
      </c>
      <c r="AA123" s="19">
        <v>9802</v>
      </c>
      <c r="AB123" s="19">
        <v>7676</v>
      </c>
      <c r="AC123" s="19">
        <v>12229</v>
      </c>
    </row>
    <row r="124" spans="1:58" s="18" customFormat="1" x14ac:dyDescent="0.25">
      <c r="A124" s="42" t="s">
        <v>148</v>
      </c>
      <c r="B124" s="19">
        <v>5389</v>
      </c>
      <c r="C124" s="19">
        <v>12231</v>
      </c>
      <c r="D124" s="19">
        <v>8306</v>
      </c>
      <c r="E124" s="19">
        <v>17132</v>
      </c>
      <c r="F124" s="19">
        <v>13604</v>
      </c>
      <c r="G124" s="19">
        <v>15253</v>
      </c>
      <c r="H124" s="19">
        <v>27471</v>
      </c>
      <c r="I124" s="19">
        <v>21563</v>
      </c>
      <c r="J124" s="19">
        <v>23083</v>
      </c>
      <c r="K124" s="19">
        <v>9738</v>
      </c>
      <c r="L124" s="19">
        <v>12703</v>
      </c>
      <c r="M124" s="19">
        <v>16600</v>
      </c>
      <c r="N124" s="19">
        <v>18447</v>
      </c>
      <c r="O124" s="19">
        <v>26252</v>
      </c>
      <c r="P124" s="19">
        <v>28535</v>
      </c>
      <c r="Q124" s="19">
        <v>38183</v>
      </c>
      <c r="R124" s="19">
        <v>30504</v>
      </c>
      <c r="S124" s="19">
        <v>42007</v>
      </c>
      <c r="T124" s="19">
        <v>45737</v>
      </c>
      <c r="U124" s="19">
        <v>69235</v>
      </c>
      <c r="V124" s="19">
        <v>76169</v>
      </c>
      <c r="W124" s="19">
        <v>107581</v>
      </c>
      <c r="X124" s="19">
        <v>128041</v>
      </c>
      <c r="Y124" s="19">
        <v>162480</v>
      </c>
      <c r="Z124" s="19">
        <v>131680</v>
      </c>
      <c r="AA124" s="19">
        <v>158624</v>
      </c>
      <c r="AB124" s="19">
        <v>125429</v>
      </c>
      <c r="AC124" s="19">
        <v>185829</v>
      </c>
    </row>
    <row r="125" spans="1:58" s="18" customFormat="1" x14ac:dyDescent="0.25">
      <c r="A125" s="42" t="s">
        <v>73</v>
      </c>
      <c r="B125" s="19">
        <v>6232</v>
      </c>
      <c r="C125" s="19">
        <v>7436</v>
      </c>
      <c r="D125" s="19">
        <v>9028</v>
      </c>
      <c r="E125" s="19">
        <v>13881</v>
      </c>
      <c r="F125" s="19">
        <v>4635</v>
      </c>
      <c r="G125" s="19">
        <v>8239</v>
      </c>
      <c r="H125" s="19">
        <v>5356</v>
      </c>
      <c r="I125" s="19">
        <v>6143</v>
      </c>
      <c r="J125" s="19">
        <v>7592</v>
      </c>
      <c r="K125" s="19">
        <v>5409</v>
      </c>
      <c r="L125" s="19">
        <v>17728</v>
      </c>
      <c r="M125" s="19">
        <v>18891</v>
      </c>
      <c r="N125" s="19">
        <v>27364</v>
      </c>
      <c r="O125" s="19">
        <v>33814</v>
      </c>
      <c r="P125" s="19">
        <v>47390</v>
      </c>
      <c r="Q125" s="19">
        <v>67384</v>
      </c>
      <c r="R125" s="19">
        <v>71258</v>
      </c>
      <c r="S125" s="19">
        <v>82862</v>
      </c>
      <c r="T125" s="19">
        <v>108286</v>
      </c>
      <c r="U125" s="19">
        <v>137937</v>
      </c>
      <c r="V125" s="19">
        <v>132507</v>
      </c>
      <c r="W125" s="19">
        <v>158855</v>
      </c>
      <c r="X125" s="19">
        <v>189208</v>
      </c>
      <c r="Y125" s="19">
        <v>181428</v>
      </c>
      <c r="Z125" s="19">
        <v>168921</v>
      </c>
      <c r="AA125" s="19">
        <v>186575</v>
      </c>
      <c r="AB125" s="19">
        <v>190564</v>
      </c>
      <c r="AC125" s="19">
        <v>247631</v>
      </c>
    </row>
    <row r="126" spans="1:58" s="18" customFormat="1" x14ac:dyDescent="0.25">
      <c r="A126" s="42" t="s">
        <v>149</v>
      </c>
      <c r="B126" s="19">
        <v>0</v>
      </c>
      <c r="C126" s="19">
        <v>0</v>
      </c>
      <c r="D126" s="19">
        <v>0</v>
      </c>
      <c r="E126" s="19">
        <v>5950</v>
      </c>
      <c r="F126" s="19">
        <v>30377</v>
      </c>
      <c r="G126" s="19">
        <v>33128</v>
      </c>
      <c r="H126" s="19">
        <v>26809</v>
      </c>
      <c r="I126" s="19">
        <v>33979</v>
      </c>
      <c r="J126" s="19">
        <v>38246</v>
      </c>
      <c r="K126" s="19">
        <v>36395</v>
      </c>
      <c r="L126" s="19">
        <v>49997</v>
      </c>
      <c r="M126" s="19">
        <v>23743</v>
      </c>
      <c r="N126" s="19">
        <v>36567</v>
      </c>
      <c r="O126" s="19">
        <v>54731</v>
      </c>
      <c r="P126" s="19">
        <v>90426</v>
      </c>
      <c r="Q126" s="19">
        <v>73995</v>
      </c>
      <c r="R126" s="19">
        <v>77681</v>
      </c>
      <c r="S126" s="19">
        <v>75877</v>
      </c>
      <c r="T126" s="19">
        <v>55145</v>
      </c>
      <c r="U126" s="19">
        <v>49149</v>
      </c>
      <c r="V126" s="19">
        <v>46023</v>
      </c>
      <c r="W126" s="19">
        <v>64681</v>
      </c>
      <c r="X126" s="19">
        <v>56547</v>
      </c>
      <c r="Y126" s="19">
        <v>60619</v>
      </c>
      <c r="Z126" s="19">
        <v>76199</v>
      </c>
      <c r="AA126" s="19">
        <v>81328</v>
      </c>
      <c r="AB126" s="19">
        <v>52907</v>
      </c>
      <c r="AC126" s="19">
        <v>88605</v>
      </c>
    </row>
    <row r="127" spans="1:58" s="18" customFormat="1" x14ac:dyDescent="0.25">
      <c r="A127" s="42" t="s">
        <v>150</v>
      </c>
      <c r="B127" s="19">
        <v>0</v>
      </c>
      <c r="C127" s="19">
        <v>0</v>
      </c>
      <c r="D127" s="19">
        <v>0</v>
      </c>
      <c r="E127" s="19">
        <v>11</v>
      </c>
      <c r="F127" s="19">
        <v>13</v>
      </c>
      <c r="G127" s="19">
        <v>7</v>
      </c>
      <c r="H127" s="19">
        <v>20</v>
      </c>
      <c r="I127" s="19">
        <v>3</v>
      </c>
      <c r="J127" s="19">
        <v>0</v>
      </c>
      <c r="K127" s="19">
        <v>0</v>
      </c>
      <c r="L127" s="19">
        <v>0</v>
      </c>
      <c r="M127" s="19">
        <v>3</v>
      </c>
      <c r="N127" s="19">
        <v>8</v>
      </c>
      <c r="O127" s="19">
        <v>4</v>
      </c>
      <c r="P127" s="19">
        <v>11</v>
      </c>
      <c r="Q127" s="19">
        <v>11</v>
      </c>
      <c r="R127" s="19">
        <v>19</v>
      </c>
      <c r="S127" s="19">
        <v>19</v>
      </c>
      <c r="T127" s="19">
        <v>19</v>
      </c>
      <c r="U127" s="19">
        <v>19</v>
      </c>
      <c r="V127" s="19">
        <v>19</v>
      </c>
      <c r="W127" s="19">
        <v>2903</v>
      </c>
      <c r="X127" s="19">
        <v>21757</v>
      </c>
      <c r="Y127" s="19">
        <v>76395</v>
      </c>
      <c r="Z127" s="19">
        <v>116403</v>
      </c>
      <c r="AA127" s="19">
        <v>103323</v>
      </c>
      <c r="AB127" s="19">
        <v>81582</v>
      </c>
      <c r="AC127" s="19">
        <v>76954</v>
      </c>
    </row>
    <row r="128" spans="1:58" s="18" customFormat="1" x14ac:dyDescent="0.25">
      <c r="A128" s="42" t="s">
        <v>67</v>
      </c>
      <c r="B128" s="19">
        <v>10451</v>
      </c>
      <c r="C128" s="19">
        <v>15145</v>
      </c>
      <c r="D128" s="19">
        <v>10138</v>
      </c>
      <c r="E128" s="19">
        <v>17439</v>
      </c>
      <c r="F128" s="19">
        <v>17179</v>
      </c>
      <c r="G128" s="19">
        <v>32043</v>
      </c>
      <c r="H128" s="19">
        <v>22711</v>
      </c>
      <c r="I128" s="19">
        <v>30735</v>
      </c>
      <c r="J128" s="19">
        <v>25729</v>
      </c>
      <c r="K128" s="19">
        <v>22781</v>
      </c>
      <c r="L128" s="19">
        <v>31091</v>
      </c>
      <c r="M128" s="19">
        <v>27934</v>
      </c>
      <c r="N128" s="19">
        <v>23020</v>
      </c>
      <c r="O128" s="19">
        <v>25932</v>
      </c>
      <c r="P128" s="19">
        <v>24256</v>
      </c>
      <c r="Q128" s="19">
        <v>21830</v>
      </c>
      <c r="R128" s="19">
        <v>27664</v>
      </c>
      <c r="S128" s="19">
        <v>22265</v>
      </c>
      <c r="T128" s="19">
        <v>15209</v>
      </c>
      <c r="U128" s="19">
        <v>9967</v>
      </c>
      <c r="V128" s="19">
        <v>6372</v>
      </c>
      <c r="W128" s="19">
        <v>6363</v>
      </c>
      <c r="X128" s="19">
        <v>8276</v>
      </c>
      <c r="Y128" s="19">
        <v>8661</v>
      </c>
      <c r="Z128" s="19">
        <v>8507</v>
      </c>
      <c r="AA128" s="19">
        <v>3449</v>
      </c>
      <c r="AB128" s="19">
        <v>1208</v>
      </c>
      <c r="AC128" s="19">
        <v>1404</v>
      </c>
    </row>
    <row r="129" spans="1:29" s="18" customFormat="1" x14ac:dyDescent="0.25">
      <c r="A129" s="42" t="s">
        <v>151</v>
      </c>
      <c r="B129" s="19">
        <v>0</v>
      </c>
      <c r="C129" s="19">
        <v>0</v>
      </c>
      <c r="D129" s="19">
        <v>0</v>
      </c>
      <c r="E129" s="19">
        <v>0</v>
      </c>
      <c r="F129" s="19">
        <v>0</v>
      </c>
      <c r="G129" s="19">
        <v>0</v>
      </c>
      <c r="H129" s="19">
        <v>0</v>
      </c>
      <c r="I129" s="19">
        <v>6</v>
      </c>
      <c r="J129" s="19">
        <v>105</v>
      </c>
      <c r="K129" s="19">
        <v>285</v>
      </c>
      <c r="L129" s="19">
        <v>306</v>
      </c>
      <c r="M129" s="19">
        <v>435</v>
      </c>
      <c r="N129" s="19">
        <v>189</v>
      </c>
      <c r="O129" s="19">
        <v>110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3</v>
      </c>
      <c r="AA129" s="19">
        <v>2</v>
      </c>
      <c r="AB129" s="19">
        <v>4</v>
      </c>
      <c r="AC129" s="19">
        <v>15</v>
      </c>
    </row>
    <row r="130" spans="1:29" s="18" customFormat="1" x14ac:dyDescent="0.25">
      <c r="A130" s="42" t="s">
        <v>152</v>
      </c>
      <c r="B130" s="19">
        <v>17909</v>
      </c>
      <c r="C130" s="19">
        <v>47078</v>
      </c>
      <c r="D130" s="19">
        <v>32968</v>
      </c>
      <c r="E130" s="19">
        <v>60469</v>
      </c>
      <c r="F130" s="19">
        <v>81795</v>
      </c>
      <c r="G130" s="19">
        <v>109281</v>
      </c>
      <c r="H130" s="19">
        <v>149413</v>
      </c>
      <c r="I130" s="19">
        <v>192794</v>
      </c>
      <c r="J130" s="19">
        <v>208185</v>
      </c>
      <c r="K130" s="19">
        <v>230621</v>
      </c>
      <c r="L130" s="19">
        <v>234146</v>
      </c>
      <c r="M130" s="19">
        <v>214414</v>
      </c>
      <c r="N130" s="19">
        <v>193792</v>
      </c>
      <c r="O130" s="19">
        <v>207512</v>
      </c>
      <c r="P130" s="19">
        <v>178760</v>
      </c>
      <c r="Q130" s="19">
        <v>239949</v>
      </c>
      <c r="R130" s="19">
        <v>221890</v>
      </c>
      <c r="S130" s="19">
        <v>235121</v>
      </c>
      <c r="T130" s="19">
        <v>175035</v>
      </c>
      <c r="U130" s="19">
        <v>300652</v>
      </c>
      <c r="V130" s="19">
        <v>308141</v>
      </c>
      <c r="W130" s="19">
        <v>313869</v>
      </c>
      <c r="X130" s="19">
        <v>266876</v>
      </c>
      <c r="Y130" s="19">
        <v>198440</v>
      </c>
      <c r="Z130" s="19">
        <v>169294</v>
      </c>
      <c r="AA130" s="19">
        <v>218267</v>
      </c>
      <c r="AB130" s="19">
        <v>200858</v>
      </c>
      <c r="AC130" s="19">
        <v>317892</v>
      </c>
    </row>
    <row r="131" spans="1:29" s="18" customFormat="1" x14ac:dyDescent="0.25">
      <c r="A131" s="42" t="s">
        <v>153</v>
      </c>
      <c r="B131" s="19">
        <v>107</v>
      </c>
      <c r="C131" s="19">
        <v>100</v>
      </c>
      <c r="D131" s="19">
        <v>100</v>
      </c>
      <c r="E131" s="19">
        <v>216</v>
      </c>
      <c r="F131" s="19">
        <v>62</v>
      </c>
      <c r="G131" s="19">
        <v>4</v>
      </c>
      <c r="H131" s="19">
        <v>20</v>
      </c>
      <c r="I131" s="19">
        <v>35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2294</v>
      </c>
      <c r="W131" s="19">
        <v>2684</v>
      </c>
      <c r="X131" s="19">
        <v>2336</v>
      </c>
      <c r="Y131" s="19">
        <v>1</v>
      </c>
      <c r="Z131" s="19">
        <v>33</v>
      </c>
      <c r="AA131" s="19">
        <v>24</v>
      </c>
      <c r="AB131" s="19">
        <v>8</v>
      </c>
      <c r="AC131" s="19">
        <v>0</v>
      </c>
    </row>
    <row r="132" spans="1:29" s="18" customFormat="1" x14ac:dyDescent="0.25">
      <c r="A132" s="42" t="s">
        <v>63</v>
      </c>
      <c r="B132" s="19">
        <v>5498</v>
      </c>
      <c r="C132" s="19">
        <v>6820</v>
      </c>
      <c r="D132" s="19">
        <v>5790</v>
      </c>
      <c r="E132" s="19">
        <v>5389</v>
      </c>
      <c r="F132" s="19">
        <v>5864</v>
      </c>
      <c r="G132" s="19">
        <v>4927</v>
      </c>
      <c r="H132" s="19">
        <v>2944</v>
      </c>
      <c r="I132" s="19">
        <v>1967</v>
      </c>
      <c r="J132" s="19">
        <v>1626</v>
      </c>
      <c r="K132" s="19">
        <v>2564</v>
      </c>
      <c r="L132" s="19">
        <v>3559</v>
      </c>
      <c r="M132" s="19">
        <v>2796</v>
      </c>
      <c r="N132" s="19">
        <v>3422</v>
      </c>
      <c r="O132" s="19">
        <v>3090</v>
      </c>
      <c r="P132" s="19">
        <v>1932</v>
      </c>
      <c r="Q132" s="19">
        <v>2353</v>
      </c>
      <c r="R132" s="19">
        <v>2022</v>
      </c>
      <c r="S132" s="19">
        <v>1090</v>
      </c>
      <c r="T132" s="19">
        <v>1160</v>
      </c>
      <c r="U132" s="19">
        <v>1254</v>
      </c>
      <c r="V132" s="19">
        <v>3151</v>
      </c>
      <c r="W132" s="19">
        <v>2065</v>
      </c>
      <c r="X132" s="19">
        <v>3505</v>
      </c>
      <c r="Y132" s="19">
        <v>2324</v>
      </c>
      <c r="Z132" s="19">
        <v>1563</v>
      </c>
      <c r="AA132" s="19">
        <v>1987</v>
      </c>
      <c r="AB132" s="19">
        <v>2615</v>
      </c>
      <c r="AC132" s="19">
        <v>485</v>
      </c>
    </row>
    <row r="133" spans="1:29" s="18" customFormat="1" x14ac:dyDescent="0.25">
      <c r="A133" s="42" t="s">
        <v>154</v>
      </c>
      <c r="B133" s="19">
        <v>47377</v>
      </c>
      <c r="C133" s="19">
        <v>48307</v>
      </c>
      <c r="D133" s="19">
        <v>44387</v>
      </c>
      <c r="E133" s="19">
        <v>11526</v>
      </c>
      <c r="F133" s="19">
        <v>16409</v>
      </c>
      <c r="G133" s="19">
        <v>17811</v>
      </c>
      <c r="H133" s="19">
        <v>26365</v>
      </c>
      <c r="I133" s="19">
        <v>24904</v>
      </c>
      <c r="J133" s="19">
        <v>19698</v>
      </c>
      <c r="K133" s="19">
        <v>29377</v>
      </c>
      <c r="L133" s="19">
        <v>21138</v>
      </c>
      <c r="M133" s="19">
        <v>17376</v>
      </c>
      <c r="N133" s="19">
        <v>17883</v>
      </c>
      <c r="O133" s="19">
        <v>24567</v>
      </c>
      <c r="P133" s="19">
        <v>28025</v>
      </c>
      <c r="Q133" s="19">
        <v>28607</v>
      </c>
      <c r="R133" s="19">
        <v>26435</v>
      </c>
      <c r="S133" s="19">
        <v>59585</v>
      </c>
      <c r="T133" s="19">
        <v>57977</v>
      </c>
      <c r="U133" s="19">
        <v>58922</v>
      </c>
      <c r="V133" s="19">
        <v>45064</v>
      </c>
      <c r="W133" s="19">
        <v>59177</v>
      </c>
      <c r="X133" s="19">
        <v>63783</v>
      </c>
      <c r="Y133" s="19">
        <v>38296</v>
      </c>
      <c r="Z133" s="19">
        <v>49352</v>
      </c>
      <c r="AA133" s="19">
        <v>47406</v>
      </c>
      <c r="AB133" s="19">
        <v>38751</v>
      </c>
      <c r="AC133" s="19">
        <v>66916</v>
      </c>
    </row>
    <row r="134" spans="1:29" s="18" customFormat="1" x14ac:dyDescent="0.25">
      <c r="A134" s="42" t="s">
        <v>155</v>
      </c>
      <c r="B134" s="19">
        <v>0</v>
      </c>
      <c r="C134" s="19">
        <v>0</v>
      </c>
      <c r="D134" s="19">
        <v>0</v>
      </c>
      <c r="E134" s="19">
        <v>0</v>
      </c>
      <c r="F134" s="19">
        <v>0</v>
      </c>
      <c r="G134" s="19">
        <v>8</v>
      </c>
      <c r="H134" s="19">
        <v>3</v>
      </c>
      <c r="I134" s="19">
        <v>3</v>
      </c>
      <c r="J134" s="19">
        <v>6</v>
      </c>
      <c r="K134" s="19">
        <v>6</v>
      </c>
      <c r="L134" s="19">
        <v>8</v>
      </c>
      <c r="M134" s="19">
        <v>8</v>
      </c>
      <c r="N134" s="19">
        <v>12</v>
      </c>
      <c r="O134" s="19">
        <v>4</v>
      </c>
      <c r="P134" s="19">
        <v>4</v>
      </c>
      <c r="Q134" s="19">
        <v>229</v>
      </c>
      <c r="R134" s="19">
        <v>177</v>
      </c>
      <c r="S134" s="19">
        <v>86</v>
      </c>
      <c r="T134" s="19">
        <v>179</v>
      </c>
      <c r="U134" s="19">
        <v>179</v>
      </c>
      <c r="V134" s="19">
        <v>67</v>
      </c>
      <c r="W134" s="19">
        <v>55</v>
      </c>
      <c r="X134" s="19">
        <v>67</v>
      </c>
      <c r="Y134" s="19">
        <v>51</v>
      </c>
      <c r="Z134" s="19">
        <v>51</v>
      </c>
      <c r="AA134" s="19">
        <v>19</v>
      </c>
      <c r="AB134" s="19">
        <v>50</v>
      </c>
      <c r="AC134" s="19">
        <v>77</v>
      </c>
    </row>
    <row r="135" spans="1:29" s="18" customFormat="1" x14ac:dyDescent="0.25">
      <c r="A135" s="42" t="s">
        <v>156</v>
      </c>
      <c r="B135" s="19">
        <v>663</v>
      </c>
      <c r="C135" s="19">
        <v>825</v>
      </c>
      <c r="D135" s="19">
        <v>1043</v>
      </c>
      <c r="E135" s="19">
        <v>1158</v>
      </c>
      <c r="F135" s="19">
        <v>1528</v>
      </c>
      <c r="G135" s="19">
        <v>1253</v>
      </c>
      <c r="H135" s="19">
        <v>654</v>
      </c>
      <c r="I135" s="19">
        <v>383</v>
      </c>
      <c r="J135" s="19">
        <v>598</v>
      </c>
      <c r="K135" s="19">
        <v>753</v>
      </c>
      <c r="L135" s="19">
        <v>822</v>
      </c>
      <c r="M135" s="19">
        <v>592</v>
      </c>
      <c r="N135" s="19">
        <v>271</v>
      </c>
      <c r="O135" s="19">
        <v>128</v>
      </c>
      <c r="P135" s="19">
        <v>224</v>
      </c>
      <c r="Q135" s="19">
        <v>171</v>
      </c>
      <c r="R135" s="19">
        <v>147</v>
      </c>
      <c r="S135" s="19">
        <v>244</v>
      </c>
      <c r="T135" s="19">
        <v>357</v>
      </c>
      <c r="U135" s="19">
        <v>400</v>
      </c>
      <c r="V135" s="19">
        <v>432</v>
      </c>
      <c r="W135" s="19">
        <v>259</v>
      </c>
      <c r="X135" s="19">
        <v>233</v>
      </c>
      <c r="Y135" s="19">
        <v>182</v>
      </c>
      <c r="Z135" s="19">
        <v>235</v>
      </c>
      <c r="AA135" s="19">
        <v>385</v>
      </c>
      <c r="AB135" s="19">
        <v>236</v>
      </c>
      <c r="AC135" s="19">
        <v>218</v>
      </c>
    </row>
    <row r="136" spans="1:29" s="18" customFormat="1" x14ac:dyDescent="0.25">
      <c r="A136" s="42" t="s">
        <v>157</v>
      </c>
      <c r="B136" s="19">
        <v>0</v>
      </c>
      <c r="C136" s="19">
        <v>0</v>
      </c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  <c r="J136" s="19">
        <v>19</v>
      </c>
      <c r="K136" s="19">
        <v>12</v>
      </c>
      <c r="L136" s="19">
        <v>26</v>
      </c>
      <c r="M136" s="19">
        <v>22</v>
      </c>
      <c r="N136" s="19">
        <v>2633</v>
      </c>
      <c r="O136" s="19">
        <v>10450</v>
      </c>
      <c r="P136" s="19">
        <v>10690</v>
      </c>
      <c r="Q136" s="19">
        <v>15995</v>
      </c>
      <c r="R136" s="19">
        <v>11853</v>
      </c>
      <c r="S136" s="19">
        <v>6330</v>
      </c>
      <c r="T136" s="19">
        <v>2808</v>
      </c>
      <c r="U136" s="19">
        <v>2601</v>
      </c>
      <c r="V136" s="19">
        <v>3988</v>
      </c>
      <c r="W136" s="19">
        <v>8591</v>
      </c>
      <c r="X136" s="19">
        <v>4359</v>
      </c>
      <c r="Y136" s="19">
        <v>5001</v>
      </c>
      <c r="Z136" s="19">
        <v>20219</v>
      </c>
      <c r="AA136" s="19">
        <v>39970</v>
      </c>
      <c r="AB136" s="19">
        <v>32219</v>
      </c>
      <c r="AC136" s="19">
        <v>42368</v>
      </c>
    </row>
    <row r="137" spans="1:29" s="18" customFormat="1" x14ac:dyDescent="0.25">
      <c r="A137" s="42" t="s">
        <v>158</v>
      </c>
      <c r="B137" s="19">
        <v>19956</v>
      </c>
      <c r="C137" s="19">
        <v>30115</v>
      </c>
      <c r="D137" s="19">
        <v>26637</v>
      </c>
      <c r="E137" s="19">
        <v>19540</v>
      </c>
      <c r="F137" s="19">
        <v>9736</v>
      </c>
      <c r="G137" s="19">
        <v>15075</v>
      </c>
      <c r="H137" s="19">
        <v>18970</v>
      </c>
      <c r="I137" s="19">
        <v>36898</v>
      </c>
      <c r="J137" s="19">
        <v>63961</v>
      </c>
      <c r="K137" s="19">
        <v>50652</v>
      </c>
      <c r="L137" s="19">
        <v>58722</v>
      </c>
      <c r="M137" s="19">
        <v>31690</v>
      </c>
      <c r="N137" s="19">
        <v>40905</v>
      </c>
      <c r="O137" s="19">
        <v>25498</v>
      </c>
      <c r="P137" s="19">
        <v>28424</v>
      </c>
      <c r="Q137" s="19">
        <v>34801</v>
      </c>
      <c r="R137" s="19">
        <v>32254</v>
      </c>
      <c r="S137" s="19">
        <v>24136</v>
      </c>
      <c r="T137" s="19">
        <v>14056</v>
      </c>
      <c r="U137" s="19">
        <v>4159</v>
      </c>
      <c r="V137" s="19">
        <v>3102</v>
      </c>
      <c r="W137" s="19">
        <v>9293</v>
      </c>
      <c r="X137" s="19">
        <v>26248</v>
      </c>
      <c r="Y137" s="19">
        <v>41480</v>
      </c>
      <c r="Z137" s="19">
        <v>39544</v>
      </c>
      <c r="AA137" s="19">
        <v>62711</v>
      </c>
      <c r="AB137" s="19">
        <v>36149</v>
      </c>
      <c r="AC137" s="19">
        <v>25211</v>
      </c>
    </row>
    <row r="138" spans="1:29" s="18" customFormat="1" x14ac:dyDescent="0.25">
      <c r="A138" s="26" t="s">
        <v>159</v>
      </c>
      <c r="B138" s="27">
        <v>125435</v>
      </c>
      <c r="C138" s="27">
        <v>176988</v>
      </c>
      <c r="D138" s="27">
        <v>149887</v>
      </c>
      <c r="E138" s="27">
        <v>168886</v>
      </c>
      <c r="F138" s="27">
        <v>197522</v>
      </c>
      <c r="G138" s="27">
        <v>253378</v>
      </c>
      <c r="H138" s="27">
        <v>297396</v>
      </c>
      <c r="I138" s="27">
        <v>370272</v>
      </c>
      <c r="J138" s="27">
        <v>407387</v>
      </c>
      <c r="K138" s="27">
        <v>409311</v>
      </c>
      <c r="L138" s="27">
        <v>446376</v>
      </c>
      <c r="M138" s="27">
        <v>372985</v>
      </c>
      <c r="N138" s="27">
        <v>384418</v>
      </c>
      <c r="O138" s="27">
        <v>428644</v>
      </c>
      <c r="P138" s="27">
        <v>458367</v>
      </c>
      <c r="Q138" s="27">
        <v>542536</v>
      </c>
      <c r="R138" s="27">
        <v>516135</v>
      </c>
      <c r="S138" s="27">
        <v>564848</v>
      </c>
      <c r="T138" s="27">
        <v>492525</v>
      </c>
      <c r="U138" s="27">
        <v>652189</v>
      </c>
      <c r="V138" s="27">
        <v>648719</v>
      </c>
      <c r="W138" s="27">
        <v>754003</v>
      </c>
      <c r="X138" s="27">
        <v>789764</v>
      </c>
      <c r="Y138" s="27">
        <v>790526</v>
      </c>
      <c r="Z138" s="27">
        <v>794577</v>
      </c>
      <c r="AA138" s="27">
        <v>917927</v>
      </c>
      <c r="AB138" s="27">
        <v>773845</v>
      </c>
      <c r="AC138" s="27">
        <v>1070173</v>
      </c>
    </row>
    <row r="139" spans="1:29" s="43" customFormat="1" x14ac:dyDescent="0.25">
      <c r="A139" s="28" t="s">
        <v>160</v>
      </c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</row>
    <row r="140" spans="1:29" s="43" customFormat="1" x14ac:dyDescent="0.25">
      <c r="A140" s="42" t="s">
        <v>184</v>
      </c>
      <c r="B140" s="19">
        <v>68</v>
      </c>
      <c r="C140" s="19">
        <v>100</v>
      </c>
      <c r="D140" s="19">
        <v>79</v>
      </c>
      <c r="E140" s="19">
        <v>170</v>
      </c>
      <c r="F140" s="19">
        <v>167</v>
      </c>
      <c r="G140" s="19">
        <v>49</v>
      </c>
      <c r="H140" s="19">
        <v>49</v>
      </c>
      <c r="I140" s="19">
        <v>262</v>
      </c>
      <c r="J140" s="19">
        <v>425</v>
      </c>
      <c r="K140" s="19">
        <v>332</v>
      </c>
      <c r="L140" s="19">
        <v>97</v>
      </c>
      <c r="M140" s="19">
        <v>70</v>
      </c>
      <c r="N140" s="19">
        <v>69</v>
      </c>
      <c r="O140" s="19">
        <v>0</v>
      </c>
      <c r="P140" s="19">
        <v>0</v>
      </c>
      <c r="Q140" s="19">
        <v>60</v>
      </c>
      <c r="R140" s="19">
        <v>6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</v>
      </c>
      <c r="AA140" s="19">
        <v>0</v>
      </c>
      <c r="AB140" s="19">
        <v>0</v>
      </c>
      <c r="AC140" s="19">
        <v>0</v>
      </c>
    </row>
    <row r="141" spans="1:29" s="43" customFormat="1" x14ac:dyDescent="0.25">
      <c r="A141" s="42" t="s">
        <v>11</v>
      </c>
      <c r="B141" s="19">
        <v>0</v>
      </c>
      <c r="C141" s="19">
        <v>0</v>
      </c>
      <c r="D141" s="19">
        <v>0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9">
        <v>0</v>
      </c>
      <c r="V141" s="19">
        <v>0</v>
      </c>
      <c r="W141" s="19">
        <v>0</v>
      </c>
      <c r="X141" s="19">
        <v>0</v>
      </c>
      <c r="Y141" s="19">
        <v>0</v>
      </c>
      <c r="Z141" s="19">
        <v>0</v>
      </c>
      <c r="AA141" s="19">
        <v>0</v>
      </c>
      <c r="AB141" s="19">
        <v>0</v>
      </c>
      <c r="AC141" s="19">
        <v>0</v>
      </c>
    </row>
    <row r="142" spans="1:29" s="43" customFormat="1" x14ac:dyDescent="0.25">
      <c r="A142" s="42" t="s">
        <v>12</v>
      </c>
      <c r="B142" s="19">
        <v>2662</v>
      </c>
      <c r="C142" s="19">
        <v>1798</v>
      </c>
      <c r="D142" s="19">
        <v>1892</v>
      </c>
      <c r="E142" s="19">
        <v>2176</v>
      </c>
      <c r="F142" s="19">
        <v>3452</v>
      </c>
      <c r="G142" s="19">
        <v>8435</v>
      </c>
      <c r="H142" s="19">
        <v>23158</v>
      </c>
      <c r="I142" s="19">
        <v>16189</v>
      </c>
      <c r="J142" s="19">
        <v>39585</v>
      </c>
      <c r="K142" s="19">
        <v>54967</v>
      </c>
      <c r="L142" s="19">
        <v>55776</v>
      </c>
      <c r="M142" s="19">
        <v>58632</v>
      </c>
      <c r="N142" s="19">
        <v>63026</v>
      </c>
      <c r="O142" s="19">
        <v>61066</v>
      </c>
      <c r="P142" s="19">
        <v>89227</v>
      </c>
      <c r="Q142" s="19">
        <v>68003</v>
      </c>
      <c r="R142" s="19">
        <v>101914</v>
      </c>
      <c r="S142" s="19">
        <v>95895</v>
      </c>
      <c r="T142" s="19">
        <v>60052</v>
      </c>
      <c r="U142" s="19">
        <v>32872</v>
      </c>
      <c r="V142" s="19">
        <v>33293</v>
      </c>
      <c r="W142" s="19">
        <v>30237</v>
      </c>
      <c r="X142" s="19">
        <v>22717</v>
      </c>
      <c r="Y142" s="19">
        <v>18074</v>
      </c>
      <c r="Z142" s="19">
        <v>7138</v>
      </c>
      <c r="AA142" s="19">
        <v>29847</v>
      </c>
      <c r="AB142" s="19">
        <v>30618</v>
      </c>
      <c r="AC142" s="19">
        <v>27390</v>
      </c>
    </row>
    <row r="143" spans="1:29" s="43" customFormat="1" x14ac:dyDescent="0.25">
      <c r="A143" s="42" t="s">
        <v>185</v>
      </c>
      <c r="B143" s="19">
        <v>0</v>
      </c>
      <c r="C143" s="19">
        <v>0</v>
      </c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>
        <v>0</v>
      </c>
      <c r="Y143" s="19">
        <v>0</v>
      </c>
      <c r="Z143" s="19">
        <v>0</v>
      </c>
      <c r="AA143" s="19">
        <v>0</v>
      </c>
      <c r="AB143" s="19">
        <v>0</v>
      </c>
      <c r="AC143" s="19">
        <v>0</v>
      </c>
    </row>
    <row r="144" spans="1:29" s="43" customFormat="1" x14ac:dyDescent="0.25">
      <c r="A144" s="42" t="s">
        <v>17</v>
      </c>
      <c r="B144" s="19">
        <v>0</v>
      </c>
      <c r="C144" s="19">
        <v>0</v>
      </c>
      <c r="D144" s="19">
        <v>0</v>
      </c>
      <c r="E144" s="19">
        <v>0</v>
      </c>
      <c r="F144" s="19">
        <v>0</v>
      </c>
      <c r="G144" s="19">
        <v>0</v>
      </c>
      <c r="H144" s="19">
        <v>0</v>
      </c>
      <c r="I144" s="19">
        <v>0</v>
      </c>
      <c r="J144" s="19">
        <v>0</v>
      </c>
      <c r="K144" s="19">
        <v>0</v>
      </c>
      <c r="L144" s="19">
        <v>7642</v>
      </c>
      <c r="M144" s="19">
        <v>21463</v>
      </c>
      <c r="N144" s="19">
        <v>6912</v>
      </c>
      <c r="O144" s="19">
        <v>9831</v>
      </c>
      <c r="P144" s="19">
        <v>27908</v>
      </c>
      <c r="Q144" s="19">
        <v>19635</v>
      </c>
      <c r="R144" s="19">
        <v>17730</v>
      </c>
      <c r="S144" s="19">
        <v>18698</v>
      </c>
      <c r="T144" s="19">
        <v>7543</v>
      </c>
      <c r="U144" s="19">
        <v>3790</v>
      </c>
      <c r="V144" s="19">
        <v>8480</v>
      </c>
      <c r="W144" s="19">
        <v>12861</v>
      </c>
      <c r="X144" s="19">
        <v>20821</v>
      </c>
      <c r="Y144" s="19">
        <v>9555</v>
      </c>
      <c r="Z144" s="19">
        <v>10760</v>
      </c>
      <c r="AA144" s="19">
        <v>14363</v>
      </c>
      <c r="AB144" s="19">
        <v>10029</v>
      </c>
      <c r="AC144" s="19">
        <v>19615</v>
      </c>
    </row>
    <row r="145" spans="1:29" s="43" customFormat="1" x14ac:dyDescent="0.25">
      <c r="A145" s="42" t="s">
        <v>18</v>
      </c>
      <c r="B145" s="19">
        <v>0</v>
      </c>
      <c r="C145" s="19">
        <v>0</v>
      </c>
      <c r="D145" s="19">
        <v>0</v>
      </c>
      <c r="E145" s="19">
        <v>0</v>
      </c>
      <c r="F145" s="19">
        <v>0</v>
      </c>
      <c r="G145" s="19">
        <v>0</v>
      </c>
      <c r="H145" s="19">
        <v>0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5987</v>
      </c>
      <c r="O145" s="19">
        <v>5384</v>
      </c>
      <c r="P145" s="19">
        <v>10217</v>
      </c>
      <c r="Q145" s="19">
        <v>11839</v>
      </c>
      <c r="R145" s="19">
        <v>10160</v>
      </c>
      <c r="S145" s="19">
        <v>13216</v>
      </c>
      <c r="T145" s="19">
        <v>5954</v>
      </c>
      <c r="U145" s="19">
        <v>1058</v>
      </c>
      <c r="V145" s="19">
        <v>2671</v>
      </c>
      <c r="W145" s="19">
        <v>1419</v>
      </c>
      <c r="X145" s="19">
        <v>1066</v>
      </c>
      <c r="Y145" s="19">
        <v>581</v>
      </c>
      <c r="Z145" s="19">
        <v>2221</v>
      </c>
      <c r="AA145" s="19">
        <v>1338</v>
      </c>
      <c r="AB145" s="19">
        <v>1615</v>
      </c>
      <c r="AC145" s="19">
        <v>0</v>
      </c>
    </row>
    <row r="146" spans="1:29" s="43" customFormat="1" x14ac:dyDescent="0.25">
      <c r="A146" s="42" t="s">
        <v>76</v>
      </c>
      <c r="B146" s="19">
        <v>0</v>
      </c>
      <c r="C146" s="19">
        <v>0</v>
      </c>
      <c r="D146" s="19">
        <v>0</v>
      </c>
      <c r="E146" s="19">
        <v>0</v>
      </c>
      <c r="F146" s="19">
        <v>0</v>
      </c>
      <c r="G146" s="19">
        <v>0</v>
      </c>
      <c r="H146" s="19">
        <v>16</v>
      </c>
      <c r="I146" s="19">
        <v>0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 s="19">
        <v>0</v>
      </c>
      <c r="P146" s="19">
        <v>0</v>
      </c>
      <c r="Q146" s="19">
        <v>0</v>
      </c>
      <c r="R146" s="19">
        <v>0</v>
      </c>
      <c r="S146" s="19">
        <v>0</v>
      </c>
      <c r="T146" s="19">
        <v>0</v>
      </c>
      <c r="U146" s="19">
        <v>0</v>
      </c>
      <c r="V146" s="19">
        <v>0</v>
      </c>
      <c r="W146" s="19">
        <v>0</v>
      </c>
      <c r="X146" s="19">
        <v>0</v>
      </c>
      <c r="Y146" s="19">
        <v>0</v>
      </c>
      <c r="Z146" s="19">
        <v>0</v>
      </c>
      <c r="AA146" s="19">
        <v>0</v>
      </c>
      <c r="AB146" s="19">
        <v>0</v>
      </c>
      <c r="AC146" s="19">
        <v>0</v>
      </c>
    </row>
    <row r="147" spans="1:29" s="43" customFormat="1" x14ac:dyDescent="0.25">
      <c r="A147" s="42" t="s">
        <v>28</v>
      </c>
      <c r="B147" s="19">
        <v>0</v>
      </c>
      <c r="C147" s="19">
        <v>0</v>
      </c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>
        <v>0</v>
      </c>
      <c r="Y147" s="19">
        <v>0</v>
      </c>
      <c r="Z147" s="19">
        <v>0</v>
      </c>
      <c r="AA147" s="19">
        <v>0</v>
      </c>
      <c r="AB147" s="19">
        <v>0</v>
      </c>
      <c r="AC147" s="19">
        <v>0</v>
      </c>
    </row>
    <row r="148" spans="1:29" s="43" customFormat="1" x14ac:dyDescent="0.25">
      <c r="A148" s="42" t="s">
        <v>74</v>
      </c>
      <c r="B148" s="19">
        <v>110197</v>
      </c>
      <c r="C148" s="19">
        <v>124283</v>
      </c>
      <c r="D148" s="19">
        <v>113832</v>
      </c>
      <c r="E148" s="19">
        <v>116276</v>
      </c>
      <c r="F148" s="19">
        <v>135827</v>
      </c>
      <c r="G148" s="19">
        <v>135557</v>
      </c>
      <c r="H148" s="19">
        <v>134057</v>
      </c>
      <c r="I148" s="19">
        <v>106534</v>
      </c>
      <c r="J148" s="19">
        <v>126574</v>
      </c>
      <c r="K148" s="19">
        <v>143424</v>
      </c>
      <c r="L148" s="19">
        <v>136254</v>
      </c>
      <c r="M148" s="19">
        <v>168098</v>
      </c>
      <c r="N148" s="19">
        <v>148399</v>
      </c>
      <c r="O148" s="19">
        <v>221373</v>
      </c>
      <c r="P148" s="19">
        <v>184262</v>
      </c>
      <c r="Q148" s="19">
        <v>209987</v>
      </c>
      <c r="R148" s="19">
        <v>187086</v>
      </c>
      <c r="S148" s="19">
        <v>179431</v>
      </c>
      <c r="T148" s="19">
        <v>158591</v>
      </c>
      <c r="U148" s="19">
        <v>161155</v>
      </c>
      <c r="V148" s="19">
        <v>150331</v>
      </c>
      <c r="W148" s="19">
        <v>173522</v>
      </c>
      <c r="X148" s="19">
        <v>174963</v>
      </c>
      <c r="Y148" s="19">
        <v>155031</v>
      </c>
      <c r="Z148" s="19">
        <v>140953</v>
      </c>
      <c r="AA148" s="19">
        <v>150482</v>
      </c>
      <c r="AB148" s="19">
        <v>137671</v>
      </c>
      <c r="AC148" s="19">
        <v>148745</v>
      </c>
    </row>
    <row r="149" spans="1:29" s="43" customFormat="1" x14ac:dyDescent="0.25">
      <c r="A149" s="42" t="s">
        <v>162</v>
      </c>
      <c r="B149" s="19">
        <v>124564</v>
      </c>
      <c r="C149" s="19">
        <v>159777</v>
      </c>
      <c r="D149" s="19">
        <v>99539</v>
      </c>
      <c r="E149" s="19">
        <v>159209</v>
      </c>
      <c r="F149" s="19">
        <v>150780</v>
      </c>
      <c r="G149" s="19">
        <v>179302</v>
      </c>
      <c r="H149" s="19">
        <v>162167</v>
      </c>
      <c r="I149" s="19">
        <v>165827</v>
      </c>
      <c r="J149" s="19">
        <v>174067</v>
      </c>
      <c r="K149" s="19">
        <v>239693</v>
      </c>
      <c r="L149" s="19">
        <v>223335</v>
      </c>
      <c r="M149" s="19">
        <v>209997</v>
      </c>
      <c r="N149" s="19">
        <v>219608</v>
      </c>
      <c r="O149" s="19">
        <v>278143</v>
      </c>
      <c r="P149" s="19">
        <v>213557</v>
      </c>
      <c r="Q149" s="19">
        <v>269639</v>
      </c>
      <c r="R149" s="19">
        <v>230617</v>
      </c>
      <c r="S149" s="19">
        <v>273292</v>
      </c>
      <c r="T149" s="19">
        <v>269217</v>
      </c>
      <c r="U149" s="19">
        <v>272449</v>
      </c>
      <c r="V149" s="19">
        <v>243158</v>
      </c>
      <c r="W149" s="19">
        <v>260588</v>
      </c>
      <c r="X149" s="19">
        <v>305109</v>
      </c>
      <c r="Y149" s="19">
        <v>243554</v>
      </c>
      <c r="Z149" s="19">
        <v>225312</v>
      </c>
      <c r="AA149" s="19">
        <v>227377</v>
      </c>
      <c r="AB149" s="19">
        <v>227119</v>
      </c>
      <c r="AC149" s="19">
        <v>255884</v>
      </c>
    </row>
    <row r="150" spans="1:29" s="43" customFormat="1" x14ac:dyDescent="0.25">
      <c r="A150" s="42" t="s">
        <v>164</v>
      </c>
      <c r="B150" s="19">
        <v>0</v>
      </c>
      <c r="C150" s="19">
        <v>0</v>
      </c>
      <c r="D150" s="19">
        <v>0</v>
      </c>
      <c r="E150" s="19">
        <v>0</v>
      </c>
      <c r="F150" s="19">
        <v>0</v>
      </c>
      <c r="G150" s="19">
        <v>0</v>
      </c>
      <c r="H150" s="19">
        <v>0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>
        <v>0</v>
      </c>
      <c r="P150" s="19">
        <v>0</v>
      </c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>
        <v>0</v>
      </c>
      <c r="Y150" s="19">
        <v>0</v>
      </c>
      <c r="Z150" s="19">
        <v>0</v>
      </c>
      <c r="AA150" s="19">
        <v>0</v>
      </c>
      <c r="AB150" s="19">
        <v>0</v>
      </c>
      <c r="AC150" s="19">
        <v>0</v>
      </c>
    </row>
    <row r="151" spans="1:29" s="43" customFormat="1" x14ac:dyDescent="0.25">
      <c r="A151" s="42" t="s">
        <v>43</v>
      </c>
      <c r="B151" s="19">
        <v>32957</v>
      </c>
      <c r="C151" s="19">
        <v>43011</v>
      </c>
      <c r="D151" s="19">
        <v>31226</v>
      </c>
      <c r="E151" s="19">
        <v>35457</v>
      </c>
      <c r="F151" s="19">
        <v>25651</v>
      </c>
      <c r="G151" s="19">
        <v>28185</v>
      </c>
      <c r="H151" s="19">
        <v>27611</v>
      </c>
      <c r="I151" s="19">
        <v>28799</v>
      </c>
      <c r="J151" s="19">
        <v>30061</v>
      </c>
      <c r="K151" s="19">
        <v>31625</v>
      </c>
      <c r="L151" s="19">
        <v>34060</v>
      </c>
      <c r="M151" s="19">
        <v>49203</v>
      </c>
      <c r="N151" s="19">
        <v>61022</v>
      </c>
      <c r="O151" s="19">
        <v>73300</v>
      </c>
      <c r="P151" s="19">
        <v>80724</v>
      </c>
      <c r="Q151" s="19">
        <v>110139</v>
      </c>
      <c r="R151" s="19">
        <v>84719</v>
      </c>
      <c r="S151" s="19">
        <v>106981</v>
      </c>
      <c r="T151" s="19">
        <v>75213</v>
      </c>
      <c r="U151" s="19">
        <v>71393</v>
      </c>
      <c r="V151" s="19">
        <v>30011</v>
      </c>
      <c r="W151" s="19">
        <v>11390</v>
      </c>
      <c r="X151" s="19">
        <v>6449</v>
      </c>
      <c r="Y151" s="19">
        <v>28162</v>
      </c>
      <c r="Z151" s="19">
        <v>0</v>
      </c>
      <c r="AA151" s="19">
        <v>0</v>
      </c>
      <c r="AB151" s="19">
        <v>0</v>
      </c>
      <c r="AC151" s="19">
        <v>317</v>
      </c>
    </row>
    <row r="152" spans="1:29" s="43" customFormat="1" x14ac:dyDescent="0.25">
      <c r="A152" s="42" t="s">
        <v>44</v>
      </c>
      <c r="B152" s="19">
        <v>0</v>
      </c>
      <c r="C152" s="19">
        <v>0</v>
      </c>
      <c r="D152" s="19">
        <v>0</v>
      </c>
      <c r="E152" s="19">
        <v>0</v>
      </c>
      <c r="F152" s="19">
        <v>0</v>
      </c>
      <c r="G152" s="19">
        <v>0</v>
      </c>
      <c r="H152" s="19">
        <v>0</v>
      </c>
      <c r="I152" s="19">
        <v>0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>
        <v>0</v>
      </c>
      <c r="P152" s="19">
        <v>0</v>
      </c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>
        <v>0</v>
      </c>
      <c r="Y152" s="19">
        <v>0</v>
      </c>
      <c r="Z152" s="19">
        <v>0</v>
      </c>
      <c r="AA152" s="19">
        <v>0</v>
      </c>
      <c r="AB152" s="19">
        <v>0</v>
      </c>
      <c r="AC152" s="19">
        <v>0</v>
      </c>
    </row>
    <row r="153" spans="1:29" s="43" customFormat="1" x14ac:dyDescent="0.25">
      <c r="A153" s="42" t="s">
        <v>46</v>
      </c>
      <c r="B153" s="19">
        <v>0</v>
      </c>
      <c r="C153" s="19">
        <v>0</v>
      </c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>
        <v>0</v>
      </c>
      <c r="Y153" s="19">
        <v>0</v>
      </c>
      <c r="Z153" s="19">
        <v>0</v>
      </c>
      <c r="AA153" s="19">
        <v>0</v>
      </c>
      <c r="AB153" s="19">
        <v>0</v>
      </c>
      <c r="AC153" s="19">
        <v>0</v>
      </c>
    </row>
    <row r="154" spans="1:29" s="43" customFormat="1" x14ac:dyDescent="0.25">
      <c r="A154" s="42" t="s">
        <v>49</v>
      </c>
      <c r="B154" s="19">
        <v>0</v>
      </c>
      <c r="C154" s="19">
        <v>0</v>
      </c>
      <c r="D154" s="19">
        <v>0</v>
      </c>
      <c r="E154" s="19">
        <v>2091</v>
      </c>
      <c r="F154" s="19">
        <v>0</v>
      </c>
      <c r="G154" s="19">
        <v>0</v>
      </c>
      <c r="H154" s="19">
        <v>0</v>
      </c>
      <c r="I154" s="19">
        <v>1476</v>
      </c>
      <c r="J154" s="19">
        <v>0</v>
      </c>
      <c r="K154" s="19">
        <v>0</v>
      </c>
      <c r="L154" s="19">
        <v>10120</v>
      </c>
      <c r="M154" s="19">
        <v>12970</v>
      </c>
      <c r="N154" s="19">
        <v>12235</v>
      </c>
      <c r="O154" s="19">
        <v>17234</v>
      </c>
      <c r="P154" s="19">
        <v>23074</v>
      </c>
      <c r="Q154" s="19">
        <v>14281</v>
      </c>
      <c r="R154" s="19">
        <v>23549</v>
      </c>
      <c r="S154" s="19">
        <v>19319</v>
      </c>
      <c r="T154" s="19">
        <v>13912</v>
      </c>
      <c r="U154" s="19">
        <v>0</v>
      </c>
      <c r="V154" s="19">
        <v>836</v>
      </c>
      <c r="W154" s="19">
        <v>2441</v>
      </c>
      <c r="X154" s="19">
        <v>2651</v>
      </c>
      <c r="Y154" s="19">
        <v>1349</v>
      </c>
      <c r="Z154" s="19">
        <v>453</v>
      </c>
      <c r="AA154" s="19">
        <v>526</v>
      </c>
      <c r="AB154" s="19">
        <v>1399</v>
      </c>
      <c r="AC154" s="19">
        <v>10571</v>
      </c>
    </row>
    <row r="155" spans="1:29" s="43" customFormat="1" x14ac:dyDescent="0.25">
      <c r="A155" s="42" t="s">
        <v>166</v>
      </c>
      <c r="B155" s="19">
        <v>133400</v>
      </c>
      <c r="C155" s="19">
        <v>181252</v>
      </c>
      <c r="D155" s="19">
        <v>138813</v>
      </c>
      <c r="E155" s="19">
        <v>198261</v>
      </c>
      <c r="F155" s="19">
        <v>174950</v>
      </c>
      <c r="G155" s="19">
        <v>206866</v>
      </c>
      <c r="H155" s="19">
        <v>168296</v>
      </c>
      <c r="I155" s="19">
        <v>158351</v>
      </c>
      <c r="J155" s="19">
        <v>173584</v>
      </c>
      <c r="K155" s="19">
        <v>190192</v>
      </c>
      <c r="L155" s="19">
        <v>200217</v>
      </c>
      <c r="M155" s="19">
        <v>178041</v>
      </c>
      <c r="N155" s="19">
        <v>167392</v>
      </c>
      <c r="O155" s="19">
        <v>203051</v>
      </c>
      <c r="P155" s="19">
        <v>188218</v>
      </c>
      <c r="Q155" s="19">
        <v>216102</v>
      </c>
      <c r="R155" s="19">
        <v>223086</v>
      </c>
      <c r="S155" s="19">
        <v>242864</v>
      </c>
      <c r="T155" s="19">
        <v>193587</v>
      </c>
      <c r="U155" s="19">
        <v>195305</v>
      </c>
      <c r="V155" s="19">
        <v>176457</v>
      </c>
      <c r="W155" s="19">
        <v>200466</v>
      </c>
      <c r="X155" s="19">
        <v>236549</v>
      </c>
      <c r="Y155" s="19">
        <v>175788</v>
      </c>
      <c r="Z155" s="19">
        <v>215005</v>
      </c>
      <c r="AA155" s="19">
        <v>211341</v>
      </c>
      <c r="AB155" s="19">
        <v>170260</v>
      </c>
      <c r="AC155" s="19">
        <v>225639</v>
      </c>
    </row>
    <row r="156" spans="1:29" s="43" customFormat="1" x14ac:dyDescent="0.25">
      <c r="A156" s="42" t="s">
        <v>186</v>
      </c>
      <c r="B156" s="19">
        <v>80772</v>
      </c>
      <c r="C156" s="19">
        <v>101089</v>
      </c>
      <c r="D156" s="19">
        <v>122836</v>
      </c>
      <c r="E156" s="19">
        <v>99801</v>
      </c>
      <c r="F156" s="19">
        <v>88459</v>
      </c>
      <c r="G156" s="19">
        <v>88433</v>
      </c>
      <c r="H156" s="19">
        <v>69613</v>
      </c>
      <c r="I156" s="19">
        <v>48661</v>
      </c>
      <c r="J156" s="19">
        <v>62310</v>
      </c>
      <c r="K156" s="19">
        <v>48146</v>
      </c>
      <c r="L156" s="19">
        <v>61110</v>
      </c>
      <c r="M156" s="19">
        <v>168157</v>
      </c>
      <c r="N156" s="19">
        <v>224214</v>
      </c>
      <c r="O156" s="19">
        <v>235986</v>
      </c>
      <c r="P156" s="19">
        <v>190334</v>
      </c>
      <c r="Q156" s="19">
        <v>219465</v>
      </c>
      <c r="R156" s="19">
        <v>217255</v>
      </c>
      <c r="S156" s="19">
        <v>264766</v>
      </c>
      <c r="T156" s="19">
        <v>159716</v>
      </c>
      <c r="U156" s="19">
        <v>142515</v>
      </c>
      <c r="V156" s="19">
        <v>141424</v>
      </c>
      <c r="W156" s="19">
        <v>138170</v>
      </c>
      <c r="X156" s="19">
        <v>89775</v>
      </c>
      <c r="Y156" s="19">
        <v>70271</v>
      </c>
      <c r="Z156" s="19">
        <v>18398</v>
      </c>
      <c r="AA156" s="19">
        <v>23200</v>
      </c>
      <c r="AB156" s="19">
        <v>29131</v>
      </c>
      <c r="AC156" s="19">
        <v>15925</v>
      </c>
    </row>
    <row r="157" spans="1:29" s="43" customFormat="1" x14ac:dyDescent="0.25">
      <c r="A157" s="42" t="s">
        <v>168</v>
      </c>
      <c r="B157" s="19">
        <v>0</v>
      </c>
      <c r="C157" s="19">
        <v>0</v>
      </c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  <c r="AC157" s="19">
        <v>0</v>
      </c>
    </row>
    <row r="158" spans="1:29" s="43" customFormat="1" x14ac:dyDescent="0.25">
      <c r="A158" s="42" t="s">
        <v>169</v>
      </c>
      <c r="B158" s="19">
        <v>0</v>
      </c>
      <c r="C158" s="19">
        <v>0</v>
      </c>
      <c r="D158" s="19">
        <v>0</v>
      </c>
      <c r="E158" s="19">
        <v>0</v>
      </c>
      <c r="F158" s="19">
        <v>0</v>
      </c>
      <c r="G158" s="19">
        <v>0</v>
      </c>
      <c r="H158" s="19">
        <v>0</v>
      </c>
      <c r="I158" s="19">
        <v>0</v>
      </c>
      <c r="J158" s="19">
        <v>0</v>
      </c>
      <c r="K158" s="19">
        <v>0</v>
      </c>
      <c r="L158" s="19">
        <v>0</v>
      </c>
      <c r="M158" s="19">
        <v>0</v>
      </c>
      <c r="N158" s="19">
        <v>0</v>
      </c>
      <c r="O158" s="19">
        <v>0</v>
      </c>
      <c r="P158" s="19">
        <v>0</v>
      </c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19">
        <v>0</v>
      </c>
      <c r="AC158" s="19">
        <v>0</v>
      </c>
    </row>
    <row r="159" spans="1:29" s="43" customFormat="1" x14ac:dyDescent="0.25">
      <c r="A159" s="26" t="s">
        <v>159</v>
      </c>
      <c r="B159" s="27">
        <v>484620</v>
      </c>
      <c r="C159" s="27">
        <v>611310</v>
      </c>
      <c r="D159" s="27">
        <v>508217</v>
      </c>
      <c r="E159" s="27">
        <v>613441</v>
      </c>
      <c r="F159" s="27">
        <v>579286</v>
      </c>
      <c r="G159" s="27">
        <v>646827</v>
      </c>
      <c r="H159" s="27">
        <v>584967</v>
      </c>
      <c r="I159" s="27">
        <v>526099</v>
      </c>
      <c r="J159" s="27">
        <v>606606</v>
      </c>
      <c r="K159" s="27">
        <v>708379</v>
      </c>
      <c r="L159" s="27">
        <v>728611</v>
      </c>
      <c r="M159" s="27">
        <v>866631</v>
      </c>
      <c r="N159" s="27">
        <v>908864</v>
      </c>
      <c r="O159" s="27">
        <v>1105368</v>
      </c>
      <c r="P159" s="27">
        <v>1007521</v>
      </c>
      <c r="Q159" s="27">
        <v>1139150</v>
      </c>
      <c r="R159" s="27">
        <v>1096122</v>
      </c>
      <c r="S159" s="27">
        <v>1214462</v>
      </c>
      <c r="T159" s="27">
        <v>943785</v>
      </c>
      <c r="U159" s="27">
        <v>880537</v>
      </c>
      <c r="V159" s="27">
        <v>786661</v>
      </c>
      <c r="W159" s="27">
        <v>831094</v>
      </c>
      <c r="X159" s="27">
        <v>860100</v>
      </c>
      <c r="Y159" s="27">
        <v>702365</v>
      </c>
      <c r="Z159" s="27">
        <v>620240</v>
      </c>
      <c r="AA159" s="27">
        <v>658474</v>
      </c>
      <c r="AB159" s="27">
        <v>607842</v>
      </c>
      <c r="AC159" s="27">
        <v>704086</v>
      </c>
    </row>
    <row r="160" spans="1:29" s="43" customFormat="1" ht="14.25" thickBot="1" x14ac:dyDescent="0.3">
      <c r="A160" s="20" t="s">
        <v>138</v>
      </c>
      <c r="B160" s="21">
        <v>610055</v>
      </c>
      <c r="C160" s="21">
        <v>788298</v>
      </c>
      <c r="D160" s="21">
        <v>658104</v>
      </c>
      <c r="E160" s="21">
        <v>782327</v>
      </c>
      <c r="F160" s="21">
        <v>776808</v>
      </c>
      <c r="G160" s="21">
        <v>900205</v>
      </c>
      <c r="H160" s="21">
        <v>882363</v>
      </c>
      <c r="I160" s="21">
        <v>896371</v>
      </c>
      <c r="J160" s="21">
        <v>1013993</v>
      </c>
      <c r="K160" s="21">
        <v>1117690</v>
      </c>
      <c r="L160" s="21">
        <v>1174987</v>
      </c>
      <c r="M160" s="21">
        <v>1239616</v>
      </c>
      <c r="N160" s="21">
        <v>1293282</v>
      </c>
      <c r="O160" s="21">
        <v>1534012</v>
      </c>
      <c r="P160" s="21">
        <v>1465888</v>
      </c>
      <c r="Q160" s="21">
        <v>1681686</v>
      </c>
      <c r="R160" s="21">
        <v>1612257</v>
      </c>
      <c r="S160" s="21">
        <v>1779310</v>
      </c>
      <c r="T160" s="21">
        <v>1436310</v>
      </c>
      <c r="U160" s="21">
        <v>1532726</v>
      </c>
      <c r="V160" s="21">
        <v>1435380</v>
      </c>
      <c r="W160" s="21">
        <v>1585097</v>
      </c>
      <c r="X160" s="21">
        <v>1649864</v>
      </c>
      <c r="Y160" s="21">
        <v>1492891</v>
      </c>
      <c r="Z160" s="21">
        <v>1414817</v>
      </c>
      <c r="AA160" s="21">
        <v>1576401</v>
      </c>
      <c r="AB160" s="21">
        <v>1381687</v>
      </c>
      <c r="AC160" s="21">
        <v>1774259</v>
      </c>
    </row>
    <row r="161" spans="1:29" x14ac:dyDescent="0.25">
      <c r="A161" s="45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</row>
    <row r="162" spans="1:29" ht="14.25" thickBot="1" x14ac:dyDescent="0.3">
      <c r="A162" s="13" t="s">
        <v>188</v>
      </c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</row>
    <row r="163" spans="1:29" s="17" customFormat="1" x14ac:dyDescent="0.25">
      <c r="A163" s="15"/>
      <c r="B163" s="16">
        <v>1997</v>
      </c>
      <c r="C163" s="16">
        <v>1998</v>
      </c>
      <c r="D163" s="16">
        <v>1999</v>
      </c>
      <c r="E163" s="16">
        <v>2000</v>
      </c>
      <c r="F163" s="16">
        <v>2001</v>
      </c>
      <c r="G163" s="16">
        <v>2002</v>
      </c>
      <c r="H163" s="16">
        <v>2003</v>
      </c>
      <c r="I163" s="16">
        <v>2004</v>
      </c>
      <c r="J163" s="16">
        <v>2005</v>
      </c>
      <c r="K163" s="16">
        <v>2006</v>
      </c>
      <c r="L163" s="16">
        <v>2007</v>
      </c>
      <c r="M163" s="16">
        <v>2008</v>
      </c>
      <c r="N163" s="16">
        <v>2009</v>
      </c>
      <c r="O163" s="16">
        <v>2010</v>
      </c>
      <c r="P163" s="16">
        <v>2011</v>
      </c>
      <c r="Q163" s="16">
        <v>2012</v>
      </c>
      <c r="R163" s="16">
        <v>2013</v>
      </c>
      <c r="S163" s="16">
        <v>2014</v>
      </c>
      <c r="T163" s="16">
        <v>2015</v>
      </c>
      <c r="U163" s="16">
        <v>2016</v>
      </c>
      <c r="V163" s="16">
        <v>2017</v>
      </c>
      <c r="W163" s="16">
        <v>2018</v>
      </c>
      <c r="X163" s="16">
        <v>2019</v>
      </c>
      <c r="Y163" s="16">
        <v>2020</v>
      </c>
      <c r="Z163" s="16">
        <v>2021</v>
      </c>
      <c r="AA163" s="16">
        <v>2022</v>
      </c>
      <c r="AB163" s="16">
        <v>2023</v>
      </c>
      <c r="AC163" s="16">
        <v>2024</v>
      </c>
    </row>
    <row r="164" spans="1:29" x14ac:dyDescent="0.25">
      <c r="A164" s="41" t="s">
        <v>145</v>
      </c>
      <c r="W164" s="11"/>
    </row>
    <row r="165" spans="1:29" s="18" customFormat="1" x14ac:dyDescent="0.25">
      <c r="A165" s="42" t="s">
        <v>5</v>
      </c>
      <c r="B165" s="19">
        <v>7545</v>
      </c>
      <c r="C165" s="19">
        <v>5053</v>
      </c>
      <c r="D165" s="19">
        <v>7521</v>
      </c>
      <c r="E165" s="19">
        <v>6971</v>
      </c>
      <c r="F165" s="19">
        <v>5236</v>
      </c>
      <c r="G165" s="19">
        <v>5188</v>
      </c>
      <c r="H165" s="19">
        <v>5686</v>
      </c>
      <c r="I165" s="19">
        <v>4107</v>
      </c>
      <c r="J165" s="19">
        <v>3018</v>
      </c>
      <c r="K165" s="19">
        <v>4962</v>
      </c>
      <c r="L165" s="19">
        <v>4377</v>
      </c>
      <c r="M165" s="19">
        <v>3956</v>
      </c>
      <c r="N165" s="19">
        <v>3636</v>
      </c>
      <c r="O165" s="19">
        <v>2559</v>
      </c>
      <c r="P165" s="19">
        <v>2916</v>
      </c>
      <c r="Q165" s="19">
        <v>2519</v>
      </c>
      <c r="R165" s="19">
        <v>2584</v>
      </c>
      <c r="S165" s="19">
        <v>2911</v>
      </c>
      <c r="T165" s="19">
        <v>3907</v>
      </c>
      <c r="U165" s="19">
        <v>3457</v>
      </c>
      <c r="V165" s="19">
        <v>2918</v>
      </c>
      <c r="W165" s="19">
        <v>2390</v>
      </c>
      <c r="X165" s="19">
        <v>3009</v>
      </c>
      <c r="Y165" s="19">
        <v>3193</v>
      </c>
      <c r="Z165" s="19">
        <v>2888</v>
      </c>
      <c r="AA165" s="19">
        <v>2888</v>
      </c>
      <c r="AB165" s="19">
        <v>2529</v>
      </c>
      <c r="AC165" s="19">
        <v>3710</v>
      </c>
    </row>
    <row r="166" spans="1:29" s="18" customFormat="1" x14ac:dyDescent="0.25">
      <c r="A166" s="42" t="s">
        <v>147</v>
      </c>
      <c r="B166" s="19">
        <v>0</v>
      </c>
      <c r="C166" s="19">
        <v>0</v>
      </c>
      <c r="D166" s="19">
        <v>0</v>
      </c>
      <c r="E166" s="19">
        <v>0</v>
      </c>
      <c r="F166" s="19">
        <v>4</v>
      </c>
      <c r="G166" s="19">
        <v>604</v>
      </c>
      <c r="H166" s="19">
        <v>1755</v>
      </c>
      <c r="I166" s="19">
        <v>2825</v>
      </c>
      <c r="J166" s="19">
        <v>2909</v>
      </c>
      <c r="K166" s="19">
        <v>2417</v>
      </c>
      <c r="L166" s="19">
        <v>2799</v>
      </c>
      <c r="M166" s="19">
        <v>2338</v>
      </c>
      <c r="N166" s="19">
        <v>1740</v>
      </c>
      <c r="O166" s="19">
        <v>2763</v>
      </c>
      <c r="P166" s="19">
        <v>3629</v>
      </c>
      <c r="Q166" s="19">
        <v>5267</v>
      </c>
      <c r="R166" s="19">
        <v>1716</v>
      </c>
      <c r="S166" s="19">
        <v>1955</v>
      </c>
      <c r="T166" s="19">
        <v>1533</v>
      </c>
      <c r="U166" s="19">
        <v>1708</v>
      </c>
      <c r="V166" s="19">
        <v>3184</v>
      </c>
      <c r="W166" s="19">
        <v>2900</v>
      </c>
      <c r="X166" s="19">
        <v>1465</v>
      </c>
      <c r="Y166" s="19">
        <v>546</v>
      </c>
      <c r="Z166" s="19">
        <v>407</v>
      </c>
      <c r="AA166" s="19">
        <v>342</v>
      </c>
      <c r="AB166" s="19">
        <v>1060</v>
      </c>
      <c r="AC166" s="19">
        <v>301</v>
      </c>
    </row>
    <row r="167" spans="1:29" s="18" customFormat="1" x14ac:dyDescent="0.25">
      <c r="A167" s="42" t="s">
        <v>20</v>
      </c>
      <c r="B167" s="19">
        <v>4308</v>
      </c>
      <c r="C167" s="19">
        <v>3835</v>
      </c>
      <c r="D167" s="19">
        <v>3801</v>
      </c>
      <c r="E167" s="19">
        <v>8059</v>
      </c>
      <c r="F167" s="19">
        <v>10410</v>
      </c>
      <c r="G167" s="19">
        <v>9033</v>
      </c>
      <c r="H167" s="19">
        <v>7157</v>
      </c>
      <c r="I167" s="19">
        <v>9808</v>
      </c>
      <c r="J167" s="19">
        <v>8123</v>
      </c>
      <c r="K167" s="19">
        <v>7856</v>
      </c>
      <c r="L167" s="19">
        <v>5525</v>
      </c>
      <c r="M167" s="19">
        <v>6901</v>
      </c>
      <c r="N167" s="19">
        <v>7550</v>
      </c>
      <c r="O167" s="19">
        <v>8543</v>
      </c>
      <c r="P167" s="19">
        <v>6374</v>
      </c>
      <c r="Q167" s="19">
        <v>5817</v>
      </c>
      <c r="R167" s="19">
        <v>4761</v>
      </c>
      <c r="S167" s="19">
        <v>6696</v>
      </c>
      <c r="T167" s="19">
        <v>9158</v>
      </c>
      <c r="U167" s="19">
        <v>7916</v>
      </c>
      <c r="V167" s="19">
        <v>10636</v>
      </c>
      <c r="W167" s="19">
        <v>8827</v>
      </c>
      <c r="X167" s="19">
        <v>8782</v>
      </c>
      <c r="Y167" s="19">
        <v>8102</v>
      </c>
      <c r="Z167" s="19">
        <v>6915</v>
      </c>
      <c r="AA167" s="19">
        <v>7832</v>
      </c>
      <c r="AB167" s="19">
        <v>6039</v>
      </c>
      <c r="AC167" s="19">
        <v>10421</v>
      </c>
    </row>
    <row r="168" spans="1:29" s="18" customFormat="1" x14ac:dyDescent="0.25">
      <c r="A168" s="42" t="s">
        <v>148</v>
      </c>
      <c r="B168" s="19">
        <v>2528</v>
      </c>
      <c r="C168" s="19">
        <v>3767</v>
      </c>
      <c r="D168" s="19">
        <v>3048</v>
      </c>
      <c r="E168" s="19">
        <v>3072</v>
      </c>
      <c r="F168" s="19">
        <v>2664</v>
      </c>
      <c r="G168" s="19">
        <v>2838</v>
      </c>
      <c r="H168" s="19">
        <v>4711</v>
      </c>
      <c r="I168" s="19">
        <v>1539</v>
      </c>
      <c r="J168" s="19">
        <v>7012</v>
      </c>
      <c r="K168" s="19">
        <v>3957</v>
      </c>
      <c r="L168" s="19">
        <v>3936</v>
      </c>
      <c r="M168" s="19">
        <v>4744</v>
      </c>
      <c r="N168" s="19">
        <v>5720</v>
      </c>
      <c r="O168" s="19">
        <v>7055</v>
      </c>
      <c r="P168" s="19">
        <v>9507</v>
      </c>
      <c r="Q168" s="19">
        <v>11805</v>
      </c>
      <c r="R168" s="19">
        <v>10019</v>
      </c>
      <c r="S168" s="19">
        <v>16891</v>
      </c>
      <c r="T168" s="19">
        <v>8772</v>
      </c>
      <c r="U168" s="19">
        <v>35497</v>
      </c>
      <c r="V168" s="19">
        <v>30866</v>
      </c>
      <c r="W168" s="19">
        <v>50164</v>
      </c>
      <c r="X168" s="19">
        <v>34248</v>
      </c>
      <c r="Y168" s="19">
        <v>69977</v>
      </c>
      <c r="Z168" s="19">
        <v>29793</v>
      </c>
      <c r="AA168" s="19">
        <v>61634</v>
      </c>
      <c r="AB168" s="19">
        <v>26377</v>
      </c>
      <c r="AC168" s="19">
        <v>69625</v>
      </c>
    </row>
    <row r="169" spans="1:29" s="18" customFormat="1" x14ac:dyDescent="0.25">
      <c r="A169" s="42" t="s">
        <v>73</v>
      </c>
      <c r="B169" s="19">
        <v>3482</v>
      </c>
      <c r="C169" s="19">
        <v>3088</v>
      </c>
      <c r="D169" s="19">
        <v>3720</v>
      </c>
      <c r="E169" s="19">
        <v>9753</v>
      </c>
      <c r="F169" s="19">
        <v>1686</v>
      </c>
      <c r="G169" s="19">
        <v>5286</v>
      </c>
      <c r="H169" s="19">
        <v>2132</v>
      </c>
      <c r="I169" s="19">
        <v>2316</v>
      </c>
      <c r="J169" s="19">
        <v>2060</v>
      </c>
      <c r="K169" s="19">
        <v>2280</v>
      </c>
      <c r="L169" s="19">
        <v>13732</v>
      </c>
      <c r="M169" s="19">
        <v>12681</v>
      </c>
      <c r="N169" s="19">
        <v>18797</v>
      </c>
      <c r="O169" s="19">
        <v>20101</v>
      </c>
      <c r="P169" s="19">
        <v>24839</v>
      </c>
      <c r="Q169" s="19">
        <v>42144</v>
      </c>
      <c r="R169" s="19">
        <v>25300</v>
      </c>
      <c r="S169" s="19">
        <v>58511</v>
      </c>
      <c r="T169" s="19">
        <v>93029</v>
      </c>
      <c r="U169" s="19">
        <v>83001</v>
      </c>
      <c r="V169" s="19">
        <v>91262</v>
      </c>
      <c r="W169" s="19">
        <v>108236</v>
      </c>
      <c r="X169" s="19">
        <v>157802</v>
      </c>
      <c r="Y169" s="19">
        <v>133885</v>
      </c>
      <c r="Z169" s="19">
        <v>118508</v>
      </c>
      <c r="AA169" s="19">
        <v>112654</v>
      </c>
      <c r="AB169" s="19">
        <v>149833</v>
      </c>
      <c r="AC169" s="19">
        <v>97477</v>
      </c>
    </row>
    <row r="170" spans="1:29" s="18" customFormat="1" x14ac:dyDescent="0.25">
      <c r="A170" s="42" t="s">
        <v>149</v>
      </c>
      <c r="B170" s="19">
        <v>0</v>
      </c>
      <c r="C170" s="19">
        <v>0</v>
      </c>
      <c r="D170" s="19">
        <v>0</v>
      </c>
      <c r="E170" s="19">
        <v>309</v>
      </c>
      <c r="F170" s="19">
        <v>5293</v>
      </c>
      <c r="G170" s="19">
        <v>2510</v>
      </c>
      <c r="H170" s="19">
        <v>1839</v>
      </c>
      <c r="I170" s="19">
        <v>5298</v>
      </c>
      <c r="J170" s="19">
        <v>4174</v>
      </c>
      <c r="K170" s="19">
        <v>1564</v>
      </c>
      <c r="L170" s="19">
        <v>5095</v>
      </c>
      <c r="M170" s="19">
        <v>3810</v>
      </c>
      <c r="N170" s="19">
        <v>4447</v>
      </c>
      <c r="O170" s="19">
        <v>4477</v>
      </c>
      <c r="P170" s="19">
        <v>6686</v>
      </c>
      <c r="Q170" s="19">
        <v>13178</v>
      </c>
      <c r="R170" s="19">
        <v>13347</v>
      </c>
      <c r="S170" s="19">
        <v>14051</v>
      </c>
      <c r="T170" s="19">
        <v>4230</v>
      </c>
      <c r="U170" s="19">
        <v>9523</v>
      </c>
      <c r="V170" s="19">
        <v>10574</v>
      </c>
      <c r="W170" s="19">
        <v>8405</v>
      </c>
      <c r="X170" s="19">
        <v>4202</v>
      </c>
      <c r="Y170" s="19">
        <v>10856</v>
      </c>
      <c r="Z170" s="19">
        <v>17935</v>
      </c>
      <c r="AA170" s="19">
        <v>19452</v>
      </c>
      <c r="AB170" s="19">
        <v>11654</v>
      </c>
      <c r="AC170" s="19">
        <v>10737</v>
      </c>
    </row>
    <row r="171" spans="1:29" s="18" customFormat="1" x14ac:dyDescent="0.25">
      <c r="A171" s="42" t="s">
        <v>150</v>
      </c>
      <c r="B171" s="19">
        <v>0</v>
      </c>
      <c r="C171" s="19">
        <v>0</v>
      </c>
      <c r="D171" s="19">
        <v>0</v>
      </c>
      <c r="E171" s="19">
        <v>11</v>
      </c>
      <c r="F171" s="19">
        <v>13</v>
      </c>
      <c r="G171" s="19">
        <v>7</v>
      </c>
      <c r="H171" s="19">
        <v>20</v>
      </c>
      <c r="I171" s="19">
        <v>3</v>
      </c>
      <c r="J171" s="19">
        <v>0</v>
      </c>
      <c r="K171" s="19">
        <v>0</v>
      </c>
      <c r="L171" s="19">
        <v>0</v>
      </c>
      <c r="M171" s="19">
        <v>3</v>
      </c>
      <c r="N171" s="19">
        <v>8</v>
      </c>
      <c r="O171" s="19">
        <v>4</v>
      </c>
      <c r="P171" s="19">
        <v>11</v>
      </c>
      <c r="Q171" s="19">
        <v>11</v>
      </c>
      <c r="R171" s="19">
        <v>19</v>
      </c>
      <c r="S171" s="19">
        <v>19</v>
      </c>
      <c r="T171" s="19">
        <v>19</v>
      </c>
      <c r="U171" s="19">
        <v>19</v>
      </c>
      <c r="V171" s="19">
        <v>19</v>
      </c>
      <c r="W171" s="19">
        <v>36</v>
      </c>
      <c r="X171" s="19">
        <v>2659</v>
      </c>
      <c r="Y171" s="19">
        <v>21953</v>
      </c>
      <c r="Z171" s="19">
        <v>36583</v>
      </c>
      <c r="AA171" s="19">
        <v>23493</v>
      </c>
      <c r="AB171" s="19">
        <v>24329</v>
      </c>
      <c r="AC171" s="19">
        <v>6341</v>
      </c>
    </row>
    <row r="172" spans="1:29" s="18" customFormat="1" x14ac:dyDescent="0.25">
      <c r="A172" s="42" t="s">
        <v>67</v>
      </c>
      <c r="B172" s="19">
        <v>10451</v>
      </c>
      <c r="C172" s="19">
        <v>15145</v>
      </c>
      <c r="D172" s="19">
        <v>10138</v>
      </c>
      <c r="E172" s="19">
        <v>14176</v>
      </c>
      <c r="F172" s="19">
        <v>10075</v>
      </c>
      <c r="G172" s="19">
        <v>10564</v>
      </c>
      <c r="H172" s="19">
        <v>10182</v>
      </c>
      <c r="I172" s="19">
        <v>15572</v>
      </c>
      <c r="J172" s="19">
        <v>14229</v>
      </c>
      <c r="K172" s="19">
        <v>8317</v>
      </c>
      <c r="L172" s="19">
        <v>11568</v>
      </c>
      <c r="M172" s="19">
        <v>11619</v>
      </c>
      <c r="N172" s="19">
        <v>6348</v>
      </c>
      <c r="O172" s="19">
        <v>9388</v>
      </c>
      <c r="P172" s="19">
        <v>12807</v>
      </c>
      <c r="Q172" s="19">
        <v>12366</v>
      </c>
      <c r="R172" s="19">
        <v>15590</v>
      </c>
      <c r="S172" s="19">
        <v>11928</v>
      </c>
      <c r="T172" s="19">
        <v>13452</v>
      </c>
      <c r="U172" s="19">
        <v>7840</v>
      </c>
      <c r="V172" s="19">
        <v>6372</v>
      </c>
      <c r="W172" s="19">
        <v>6363</v>
      </c>
      <c r="X172" s="19">
        <v>8276</v>
      </c>
      <c r="Y172" s="19">
        <v>8661</v>
      </c>
      <c r="Z172" s="19">
        <v>8507</v>
      </c>
      <c r="AA172" s="19">
        <v>3449</v>
      </c>
      <c r="AB172" s="19">
        <v>1208</v>
      </c>
      <c r="AC172" s="19">
        <v>1327</v>
      </c>
    </row>
    <row r="173" spans="1:29" s="18" customFormat="1" x14ac:dyDescent="0.25">
      <c r="A173" s="42" t="s">
        <v>151</v>
      </c>
      <c r="B173" s="19">
        <v>0</v>
      </c>
      <c r="C173" s="19">
        <v>0</v>
      </c>
      <c r="D173" s="19">
        <v>0</v>
      </c>
      <c r="E173" s="19">
        <v>0</v>
      </c>
      <c r="F173" s="19">
        <v>0</v>
      </c>
      <c r="G173" s="19">
        <v>0</v>
      </c>
      <c r="H173" s="19">
        <v>0</v>
      </c>
      <c r="I173" s="19">
        <v>6</v>
      </c>
      <c r="J173" s="19">
        <v>105</v>
      </c>
      <c r="K173" s="19">
        <v>285</v>
      </c>
      <c r="L173" s="19">
        <v>306</v>
      </c>
      <c r="M173" s="19">
        <v>435</v>
      </c>
      <c r="N173" s="19">
        <v>189</v>
      </c>
      <c r="O173" s="19">
        <v>110</v>
      </c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9">
        <v>0</v>
      </c>
      <c r="V173" s="19">
        <v>0</v>
      </c>
      <c r="W173" s="19">
        <v>0</v>
      </c>
      <c r="X173" s="19">
        <v>0</v>
      </c>
      <c r="Y173" s="19">
        <v>0</v>
      </c>
      <c r="Z173" s="19">
        <v>3</v>
      </c>
      <c r="AA173" s="19">
        <v>2</v>
      </c>
      <c r="AB173" s="19">
        <v>4</v>
      </c>
      <c r="AC173" s="19">
        <v>15</v>
      </c>
    </row>
    <row r="174" spans="1:29" s="18" customFormat="1" x14ac:dyDescent="0.25">
      <c r="A174" s="42" t="s">
        <v>152</v>
      </c>
      <c r="B174" s="19">
        <v>17067</v>
      </c>
      <c r="C174" s="19">
        <v>37643</v>
      </c>
      <c r="D174" s="19">
        <v>28712</v>
      </c>
      <c r="E174" s="19">
        <v>45269</v>
      </c>
      <c r="F174" s="19">
        <v>56696</v>
      </c>
      <c r="G174" s="19">
        <v>72856</v>
      </c>
      <c r="H174" s="19">
        <v>124081</v>
      </c>
      <c r="I174" s="19">
        <v>132519</v>
      </c>
      <c r="J174" s="19">
        <v>130261</v>
      </c>
      <c r="K174" s="19">
        <v>153400</v>
      </c>
      <c r="L174" s="19">
        <v>167550</v>
      </c>
      <c r="M174" s="19">
        <v>153990</v>
      </c>
      <c r="N174" s="19">
        <v>140643</v>
      </c>
      <c r="O174" s="19">
        <v>131119</v>
      </c>
      <c r="P174" s="19">
        <v>136278</v>
      </c>
      <c r="Q174" s="19">
        <v>164587</v>
      </c>
      <c r="R174" s="19">
        <v>148245</v>
      </c>
      <c r="S174" s="19">
        <v>112712</v>
      </c>
      <c r="T174" s="19">
        <v>61010</v>
      </c>
      <c r="U174" s="19">
        <v>126481</v>
      </c>
      <c r="V174" s="19">
        <v>203747</v>
      </c>
      <c r="W174" s="19">
        <v>192772</v>
      </c>
      <c r="X174" s="19">
        <v>152862</v>
      </c>
      <c r="Y174" s="19">
        <v>189745</v>
      </c>
      <c r="Z174" s="19">
        <v>155583</v>
      </c>
      <c r="AA174" s="19">
        <v>213486</v>
      </c>
      <c r="AB174" s="19">
        <v>197402</v>
      </c>
      <c r="AC174" s="19">
        <v>299180</v>
      </c>
    </row>
    <row r="175" spans="1:29" s="18" customFormat="1" x14ac:dyDescent="0.25">
      <c r="A175" s="42" t="s">
        <v>153</v>
      </c>
      <c r="B175" s="19">
        <v>107</v>
      </c>
      <c r="C175" s="19">
        <v>100</v>
      </c>
      <c r="D175" s="19">
        <v>100</v>
      </c>
      <c r="E175" s="19">
        <v>169</v>
      </c>
      <c r="F175" s="19">
        <v>62</v>
      </c>
      <c r="G175" s="19">
        <v>4</v>
      </c>
      <c r="H175" s="19">
        <v>20</v>
      </c>
      <c r="I175" s="19">
        <v>35</v>
      </c>
      <c r="J175" s="19">
        <v>0</v>
      </c>
      <c r="K175" s="19">
        <v>0</v>
      </c>
      <c r="L175" s="19">
        <v>0</v>
      </c>
      <c r="M175" s="19">
        <v>0</v>
      </c>
      <c r="N175" s="19">
        <v>0</v>
      </c>
      <c r="O175" s="19">
        <v>0</v>
      </c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9">
        <v>0</v>
      </c>
      <c r="V175" s="19">
        <v>2294</v>
      </c>
      <c r="W175" s="19">
        <v>2683</v>
      </c>
      <c r="X175" s="19">
        <v>2331</v>
      </c>
      <c r="Y175" s="19">
        <v>1</v>
      </c>
      <c r="Z175" s="19">
        <v>33</v>
      </c>
      <c r="AA175" s="19">
        <v>24</v>
      </c>
      <c r="AB175" s="19">
        <v>8</v>
      </c>
      <c r="AC175" s="19">
        <v>0</v>
      </c>
    </row>
    <row r="176" spans="1:29" s="18" customFormat="1" x14ac:dyDescent="0.25">
      <c r="A176" s="42" t="s">
        <v>63</v>
      </c>
      <c r="B176" s="19">
        <v>5498</v>
      </c>
      <c r="C176" s="19">
        <v>6820</v>
      </c>
      <c r="D176" s="19">
        <v>5790</v>
      </c>
      <c r="E176" s="19">
        <v>5389</v>
      </c>
      <c r="F176" s="19">
        <v>5864</v>
      </c>
      <c r="G176" s="19">
        <v>4908</v>
      </c>
      <c r="H176" s="19">
        <v>2944</v>
      </c>
      <c r="I176" s="19">
        <v>1967</v>
      </c>
      <c r="J176" s="19">
        <v>1626</v>
      </c>
      <c r="K176" s="19">
        <v>2564</v>
      </c>
      <c r="L176" s="19">
        <v>3559</v>
      </c>
      <c r="M176" s="19">
        <v>2796</v>
      </c>
      <c r="N176" s="19">
        <v>3422</v>
      </c>
      <c r="O176" s="19">
        <v>3090</v>
      </c>
      <c r="P176" s="19">
        <v>1932</v>
      </c>
      <c r="Q176" s="19">
        <v>2353</v>
      </c>
      <c r="R176" s="19">
        <v>2022</v>
      </c>
      <c r="S176" s="19">
        <v>1090</v>
      </c>
      <c r="T176" s="19">
        <v>1160</v>
      </c>
      <c r="U176" s="19">
        <v>1086</v>
      </c>
      <c r="V176" s="19">
        <v>2219</v>
      </c>
      <c r="W176" s="19">
        <v>1771</v>
      </c>
      <c r="X176" s="19">
        <v>1877</v>
      </c>
      <c r="Y176" s="19">
        <v>1381</v>
      </c>
      <c r="Z176" s="19">
        <v>1093</v>
      </c>
      <c r="AA176" s="19">
        <v>854</v>
      </c>
      <c r="AB176" s="19">
        <v>1463</v>
      </c>
      <c r="AC176" s="19">
        <v>454</v>
      </c>
    </row>
    <row r="177" spans="1:29" s="18" customFormat="1" x14ac:dyDescent="0.25">
      <c r="A177" s="42" t="s">
        <v>154</v>
      </c>
      <c r="B177" s="19">
        <v>46961</v>
      </c>
      <c r="C177" s="19">
        <v>48218</v>
      </c>
      <c r="D177" s="19">
        <v>43549</v>
      </c>
      <c r="E177" s="19">
        <v>8256</v>
      </c>
      <c r="F177" s="19">
        <v>15070</v>
      </c>
      <c r="G177" s="19">
        <v>17360</v>
      </c>
      <c r="H177" s="19">
        <v>26365</v>
      </c>
      <c r="I177" s="19">
        <v>24904</v>
      </c>
      <c r="J177" s="19">
        <v>17670</v>
      </c>
      <c r="K177" s="19">
        <v>27237</v>
      </c>
      <c r="L177" s="19">
        <v>21112</v>
      </c>
      <c r="M177" s="19">
        <v>16348</v>
      </c>
      <c r="N177" s="19">
        <v>17805</v>
      </c>
      <c r="O177" s="19">
        <v>21824</v>
      </c>
      <c r="P177" s="19">
        <v>27983</v>
      </c>
      <c r="Q177" s="19">
        <v>28607</v>
      </c>
      <c r="R177" s="19">
        <v>26419</v>
      </c>
      <c r="S177" s="19">
        <v>58456</v>
      </c>
      <c r="T177" s="19">
        <v>53679</v>
      </c>
      <c r="U177" s="19">
        <v>44415</v>
      </c>
      <c r="V177" s="19">
        <v>33922</v>
      </c>
      <c r="W177" s="19">
        <v>41278</v>
      </c>
      <c r="X177" s="19">
        <v>39246</v>
      </c>
      <c r="Y177" s="19">
        <v>28798</v>
      </c>
      <c r="Z177" s="19">
        <v>34175</v>
      </c>
      <c r="AA177" s="19">
        <v>37742</v>
      </c>
      <c r="AB177" s="19">
        <v>31751</v>
      </c>
      <c r="AC177" s="19">
        <v>47498</v>
      </c>
    </row>
    <row r="178" spans="1:29" s="18" customFormat="1" x14ac:dyDescent="0.25">
      <c r="A178" s="42" t="s">
        <v>155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8</v>
      </c>
      <c r="H178" s="19">
        <v>3</v>
      </c>
      <c r="I178" s="19">
        <v>3</v>
      </c>
      <c r="J178" s="19">
        <v>6</v>
      </c>
      <c r="K178" s="19">
        <v>6</v>
      </c>
      <c r="L178" s="19">
        <v>8</v>
      </c>
      <c r="M178" s="19">
        <v>8</v>
      </c>
      <c r="N178" s="19">
        <v>12</v>
      </c>
      <c r="O178" s="19">
        <v>4</v>
      </c>
      <c r="P178" s="19">
        <v>4</v>
      </c>
      <c r="Q178" s="19">
        <v>229</v>
      </c>
      <c r="R178" s="19">
        <v>177</v>
      </c>
      <c r="S178" s="19">
        <v>86</v>
      </c>
      <c r="T178" s="19">
        <v>179</v>
      </c>
      <c r="U178" s="19">
        <v>179</v>
      </c>
      <c r="V178" s="19">
        <v>67</v>
      </c>
      <c r="W178" s="19">
        <v>55</v>
      </c>
      <c r="X178" s="19">
        <v>67</v>
      </c>
      <c r="Y178" s="19">
        <v>51</v>
      </c>
      <c r="Z178" s="19">
        <v>51</v>
      </c>
      <c r="AA178" s="19">
        <v>19</v>
      </c>
      <c r="AB178" s="19">
        <v>50</v>
      </c>
      <c r="AC178" s="19">
        <v>77</v>
      </c>
    </row>
    <row r="179" spans="1:29" s="18" customFormat="1" x14ac:dyDescent="0.25">
      <c r="A179" s="42" t="s">
        <v>156</v>
      </c>
      <c r="B179" s="19">
        <v>663</v>
      </c>
      <c r="C179" s="19">
        <v>825</v>
      </c>
      <c r="D179" s="19">
        <v>1043</v>
      </c>
      <c r="E179" s="19">
        <v>1158</v>
      </c>
      <c r="F179" s="19">
        <v>1528</v>
      </c>
      <c r="G179" s="19">
        <v>1253</v>
      </c>
      <c r="H179" s="19">
        <v>654</v>
      </c>
      <c r="I179" s="19">
        <v>383</v>
      </c>
      <c r="J179" s="19">
        <v>598</v>
      </c>
      <c r="K179" s="19">
        <v>753</v>
      </c>
      <c r="L179" s="19">
        <v>822</v>
      </c>
      <c r="M179" s="19">
        <v>592</v>
      </c>
      <c r="N179" s="19">
        <v>271</v>
      </c>
      <c r="O179" s="19">
        <v>128</v>
      </c>
      <c r="P179" s="19">
        <v>224</v>
      </c>
      <c r="Q179" s="19">
        <v>171</v>
      </c>
      <c r="R179" s="19">
        <v>147</v>
      </c>
      <c r="S179" s="19">
        <v>244</v>
      </c>
      <c r="T179" s="19">
        <v>357</v>
      </c>
      <c r="U179" s="19">
        <v>400</v>
      </c>
      <c r="V179" s="19">
        <v>432</v>
      </c>
      <c r="W179" s="19">
        <v>259</v>
      </c>
      <c r="X179" s="19">
        <v>233</v>
      </c>
      <c r="Y179" s="19">
        <v>182</v>
      </c>
      <c r="Z179" s="19">
        <v>235</v>
      </c>
      <c r="AA179" s="19">
        <v>385</v>
      </c>
      <c r="AB179" s="19">
        <v>236</v>
      </c>
      <c r="AC179" s="19">
        <v>218</v>
      </c>
    </row>
    <row r="180" spans="1:29" s="18" customFormat="1" x14ac:dyDescent="0.25">
      <c r="A180" s="42" t="s">
        <v>157</v>
      </c>
      <c r="B180" s="19">
        <v>0</v>
      </c>
      <c r="C180" s="19">
        <v>0</v>
      </c>
      <c r="D180" s="19">
        <v>0</v>
      </c>
      <c r="E180" s="19">
        <v>0</v>
      </c>
      <c r="F180" s="19">
        <v>0</v>
      </c>
      <c r="G180" s="19">
        <v>0</v>
      </c>
      <c r="H180" s="19">
        <v>0</v>
      </c>
      <c r="I180" s="19">
        <v>0</v>
      </c>
      <c r="J180" s="19">
        <v>19</v>
      </c>
      <c r="K180" s="19">
        <v>12</v>
      </c>
      <c r="L180" s="19">
        <v>26</v>
      </c>
      <c r="M180" s="19">
        <v>22</v>
      </c>
      <c r="N180" s="19">
        <v>446</v>
      </c>
      <c r="O180" s="19">
        <v>239</v>
      </c>
      <c r="P180" s="19">
        <v>3174</v>
      </c>
      <c r="Q180" s="19">
        <v>3795</v>
      </c>
      <c r="R180" s="19">
        <v>435</v>
      </c>
      <c r="S180" s="19">
        <v>1462</v>
      </c>
      <c r="T180" s="19">
        <v>904</v>
      </c>
      <c r="U180" s="19">
        <v>2600</v>
      </c>
      <c r="V180" s="19">
        <v>987</v>
      </c>
      <c r="W180" s="19">
        <v>1915</v>
      </c>
      <c r="X180" s="19">
        <v>1705</v>
      </c>
      <c r="Y180" s="19">
        <v>1569</v>
      </c>
      <c r="Z180" s="19">
        <v>6941</v>
      </c>
      <c r="AA180" s="19">
        <v>4415</v>
      </c>
      <c r="AB180" s="19">
        <v>1640</v>
      </c>
      <c r="AC180" s="19">
        <v>3173</v>
      </c>
    </row>
    <row r="181" spans="1:29" s="18" customFormat="1" x14ac:dyDescent="0.25">
      <c r="A181" s="42" t="s">
        <v>158</v>
      </c>
      <c r="B181" s="19">
        <v>2</v>
      </c>
      <c r="C181" s="19">
        <v>0</v>
      </c>
      <c r="D181" s="19">
        <v>0</v>
      </c>
      <c r="E181" s="19">
        <v>329</v>
      </c>
      <c r="F181" s="19">
        <v>204</v>
      </c>
      <c r="G181" s="19">
        <v>918</v>
      </c>
      <c r="H181" s="19">
        <v>1732</v>
      </c>
      <c r="I181" s="19">
        <v>801</v>
      </c>
      <c r="J181" s="19">
        <v>1630</v>
      </c>
      <c r="K181" s="19">
        <v>2098</v>
      </c>
      <c r="L181" s="19">
        <v>1313</v>
      </c>
      <c r="M181" s="19">
        <v>1346</v>
      </c>
      <c r="N181" s="19">
        <v>353</v>
      </c>
      <c r="O181" s="19">
        <v>501</v>
      </c>
      <c r="P181" s="19">
        <v>885</v>
      </c>
      <c r="Q181" s="19">
        <v>640</v>
      </c>
      <c r="R181" s="19">
        <v>347</v>
      </c>
      <c r="S181" s="19">
        <v>103</v>
      </c>
      <c r="T181" s="19">
        <v>0</v>
      </c>
      <c r="U181" s="19">
        <v>0</v>
      </c>
      <c r="V181" s="19">
        <v>275</v>
      </c>
      <c r="W181" s="19">
        <v>175</v>
      </c>
      <c r="X181" s="19">
        <v>8</v>
      </c>
      <c r="Y181" s="19">
        <v>262</v>
      </c>
      <c r="Z181" s="19">
        <v>115</v>
      </c>
      <c r="AA181" s="19">
        <v>403</v>
      </c>
      <c r="AB181" s="19">
        <v>217</v>
      </c>
      <c r="AC181" s="19">
        <v>154</v>
      </c>
    </row>
    <row r="182" spans="1:29" s="18" customFormat="1" x14ac:dyDescent="0.25">
      <c r="A182" s="26" t="s">
        <v>159</v>
      </c>
      <c r="B182" s="27">
        <v>98612</v>
      </c>
      <c r="C182" s="27">
        <v>124494</v>
      </c>
      <c r="D182" s="27">
        <v>107422</v>
      </c>
      <c r="E182" s="27">
        <v>102921</v>
      </c>
      <c r="F182" s="27">
        <v>114805</v>
      </c>
      <c r="G182" s="27">
        <v>133337</v>
      </c>
      <c r="H182" s="27">
        <v>189281</v>
      </c>
      <c r="I182" s="27">
        <v>202086</v>
      </c>
      <c r="J182" s="27">
        <v>193440</v>
      </c>
      <c r="K182" s="27">
        <v>217708</v>
      </c>
      <c r="L182" s="27">
        <v>241728</v>
      </c>
      <c r="M182" s="27">
        <v>221589</v>
      </c>
      <c r="N182" s="27">
        <v>211387</v>
      </c>
      <c r="O182" s="27">
        <v>211905</v>
      </c>
      <c r="P182" s="27">
        <v>237249</v>
      </c>
      <c r="Q182" s="27">
        <v>293489</v>
      </c>
      <c r="R182" s="27">
        <v>251128</v>
      </c>
      <c r="S182" s="27">
        <v>287115</v>
      </c>
      <c r="T182" s="27">
        <v>251389</v>
      </c>
      <c r="U182" s="27">
        <v>324122</v>
      </c>
      <c r="V182" s="27">
        <v>399774</v>
      </c>
      <c r="W182" s="27">
        <v>428229</v>
      </c>
      <c r="X182" s="27">
        <v>418772</v>
      </c>
      <c r="Y182" s="27">
        <v>479162</v>
      </c>
      <c r="Z182" s="27">
        <v>419765</v>
      </c>
      <c r="AA182" s="27">
        <v>489074</v>
      </c>
      <c r="AB182" s="27">
        <v>455800</v>
      </c>
      <c r="AC182" s="27">
        <v>550708</v>
      </c>
    </row>
    <row r="183" spans="1:29" s="43" customFormat="1" x14ac:dyDescent="0.25">
      <c r="A183" s="28" t="s">
        <v>160</v>
      </c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7"/>
      <c r="Y183" s="47"/>
      <c r="Z183" s="47"/>
      <c r="AA183" s="47"/>
      <c r="AB183" s="47"/>
      <c r="AC183" s="47"/>
    </row>
    <row r="184" spans="1:29" s="43" customFormat="1" x14ac:dyDescent="0.25">
      <c r="A184" s="42" t="s">
        <v>184</v>
      </c>
      <c r="B184" s="19">
        <v>0</v>
      </c>
      <c r="C184" s="19">
        <v>0</v>
      </c>
      <c r="D184" s="19">
        <v>0</v>
      </c>
      <c r="E184" s="19">
        <v>0</v>
      </c>
      <c r="F184" s="19">
        <v>0</v>
      </c>
      <c r="G184" s="19">
        <v>0</v>
      </c>
      <c r="H184" s="19">
        <v>0</v>
      </c>
      <c r="I184" s="19">
        <v>0</v>
      </c>
      <c r="J184" s="19">
        <v>0</v>
      </c>
      <c r="K184" s="19">
        <v>0</v>
      </c>
      <c r="L184" s="19">
        <v>0</v>
      </c>
      <c r="M184" s="19">
        <v>0</v>
      </c>
      <c r="N184" s="19">
        <v>0</v>
      </c>
      <c r="O184" s="19">
        <v>0</v>
      </c>
      <c r="P184" s="19">
        <v>0</v>
      </c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>
        <v>0</v>
      </c>
      <c r="Y184" s="19">
        <v>0</v>
      </c>
      <c r="Z184" s="19">
        <v>0</v>
      </c>
      <c r="AA184" s="19">
        <v>0</v>
      </c>
      <c r="AB184" s="19">
        <v>0</v>
      </c>
      <c r="AC184" s="19">
        <v>0</v>
      </c>
    </row>
    <row r="185" spans="1:29" s="43" customFormat="1" x14ac:dyDescent="0.25">
      <c r="A185" s="42" t="s">
        <v>11</v>
      </c>
      <c r="B185" s="19">
        <v>0</v>
      </c>
      <c r="C185" s="19">
        <v>0</v>
      </c>
      <c r="D185" s="19">
        <v>0</v>
      </c>
      <c r="E185" s="19">
        <v>0</v>
      </c>
      <c r="F185" s="19">
        <v>0</v>
      </c>
      <c r="G185" s="19">
        <v>0</v>
      </c>
      <c r="H185" s="19">
        <v>0</v>
      </c>
      <c r="I185" s="19">
        <v>0</v>
      </c>
      <c r="J185" s="19">
        <v>0</v>
      </c>
      <c r="K185" s="19">
        <v>0</v>
      </c>
      <c r="L185" s="19">
        <v>0</v>
      </c>
      <c r="M185" s="19">
        <v>0</v>
      </c>
      <c r="N185" s="19">
        <v>0</v>
      </c>
      <c r="O185" s="19">
        <v>0</v>
      </c>
      <c r="P185" s="19">
        <v>0</v>
      </c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>
        <v>0</v>
      </c>
      <c r="Y185" s="19">
        <v>0</v>
      </c>
      <c r="Z185" s="19">
        <v>0</v>
      </c>
      <c r="AA185" s="19">
        <v>0</v>
      </c>
      <c r="AB185" s="19">
        <v>0</v>
      </c>
      <c r="AC185" s="19">
        <v>0</v>
      </c>
    </row>
    <row r="186" spans="1:29" s="43" customFormat="1" x14ac:dyDescent="0.25">
      <c r="A186" s="42" t="s">
        <v>12</v>
      </c>
      <c r="B186" s="19">
        <v>0</v>
      </c>
      <c r="C186" s="19">
        <v>0</v>
      </c>
      <c r="D186" s="19">
        <v>0</v>
      </c>
      <c r="E186" s="19">
        <v>0</v>
      </c>
      <c r="F186" s="19">
        <v>0</v>
      </c>
      <c r="G186" s="19">
        <v>0</v>
      </c>
      <c r="H186" s="19">
        <v>0</v>
      </c>
      <c r="I186" s="19">
        <v>0</v>
      </c>
      <c r="J186" s="19">
        <v>0</v>
      </c>
      <c r="K186" s="19">
        <v>0</v>
      </c>
      <c r="L186" s="19">
        <v>0</v>
      </c>
      <c r="M186" s="19">
        <v>0</v>
      </c>
      <c r="N186" s="19">
        <v>0</v>
      </c>
      <c r="O186" s="19">
        <v>0</v>
      </c>
      <c r="P186" s="19">
        <v>0</v>
      </c>
      <c r="Q186" s="19">
        <v>0</v>
      </c>
      <c r="R186" s="19">
        <v>0</v>
      </c>
      <c r="S186" s="19">
        <v>0</v>
      </c>
      <c r="T186" s="19">
        <v>0</v>
      </c>
      <c r="U186" s="19">
        <v>0</v>
      </c>
      <c r="V186" s="19">
        <v>2</v>
      </c>
      <c r="W186" s="19">
        <v>0</v>
      </c>
      <c r="X186" s="19">
        <v>0</v>
      </c>
      <c r="Y186" s="19">
        <v>0</v>
      </c>
      <c r="Z186" s="19">
        <v>0</v>
      </c>
      <c r="AA186" s="19">
        <v>0</v>
      </c>
      <c r="AB186" s="19">
        <v>0</v>
      </c>
      <c r="AC186" s="19">
        <v>0</v>
      </c>
    </row>
    <row r="187" spans="1:29" s="43" customFormat="1" x14ac:dyDescent="0.25">
      <c r="A187" s="42" t="s">
        <v>185</v>
      </c>
      <c r="B187" s="19">
        <v>0</v>
      </c>
      <c r="C187" s="19">
        <v>0</v>
      </c>
      <c r="D187" s="19">
        <v>0</v>
      </c>
      <c r="E187" s="19">
        <v>0</v>
      </c>
      <c r="F187" s="19">
        <v>0</v>
      </c>
      <c r="G187" s="19">
        <v>0</v>
      </c>
      <c r="H187" s="19">
        <v>0</v>
      </c>
      <c r="I187" s="19">
        <v>0</v>
      </c>
      <c r="J187" s="19">
        <v>0</v>
      </c>
      <c r="K187" s="19">
        <v>0</v>
      </c>
      <c r="L187" s="19">
        <v>0</v>
      </c>
      <c r="M187" s="19">
        <v>0</v>
      </c>
      <c r="N187" s="19">
        <v>0</v>
      </c>
      <c r="O187" s="19">
        <v>0</v>
      </c>
      <c r="P187" s="19">
        <v>0</v>
      </c>
      <c r="Q187" s="19">
        <v>0</v>
      </c>
      <c r="R187" s="19">
        <v>0</v>
      </c>
      <c r="S187" s="19">
        <v>0</v>
      </c>
      <c r="T187" s="19">
        <v>0</v>
      </c>
      <c r="U187" s="19">
        <v>0</v>
      </c>
      <c r="V187" s="19">
        <v>0</v>
      </c>
      <c r="W187" s="19">
        <v>0</v>
      </c>
      <c r="X187" s="19">
        <v>0</v>
      </c>
      <c r="Y187" s="19">
        <v>0</v>
      </c>
      <c r="Z187" s="19">
        <v>0</v>
      </c>
      <c r="AA187" s="19">
        <v>0</v>
      </c>
      <c r="AB187" s="19">
        <v>0</v>
      </c>
      <c r="AC187" s="19">
        <v>0</v>
      </c>
    </row>
    <row r="188" spans="1:29" s="43" customFormat="1" x14ac:dyDescent="0.25">
      <c r="A188" s="42" t="s">
        <v>17</v>
      </c>
      <c r="B188" s="19">
        <v>0</v>
      </c>
      <c r="C188" s="19">
        <v>0</v>
      </c>
      <c r="D188" s="19">
        <v>0</v>
      </c>
      <c r="E188" s="19">
        <v>0</v>
      </c>
      <c r="F188" s="19">
        <v>0</v>
      </c>
      <c r="G188" s="19">
        <v>0</v>
      </c>
      <c r="H188" s="19">
        <v>0</v>
      </c>
      <c r="I188" s="19">
        <v>0</v>
      </c>
      <c r="J188" s="19">
        <v>0</v>
      </c>
      <c r="K188" s="19">
        <v>0</v>
      </c>
      <c r="L188" s="19">
        <v>0</v>
      </c>
      <c r="M188" s="19">
        <v>0</v>
      </c>
      <c r="N188" s="19">
        <v>0</v>
      </c>
      <c r="O188" s="19">
        <v>0</v>
      </c>
      <c r="P188" s="19">
        <v>0</v>
      </c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>
        <v>0</v>
      </c>
      <c r="Y188" s="19">
        <v>0</v>
      </c>
      <c r="Z188" s="19">
        <v>0</v>
      </c>
      <c r="AA188" s="19">
        <v>0</v>
      </c>
      <c r="AB188" s="19">
        <v>0</v>
      </c>
      <c r="AC188" s="19">
        <v>0</v>
      </c>
    </row>
    <row r="189" spans="1:29" s="43" customFormat="1" x14ac:dyDescent="0.25">
      <c r="A189" s="42" t="s">
        <v>18</v>
      </c>
      <c r="B189" s="19">
        <v>0</v>
      </c>
      <c r="C189" s="19">
        <v>0</v>
      </c>
      <c r="D189" s="19">
        <v>0</v>
      </c>
      <c r="E189" s="19">
        <v>0</v>
      </c>
      <c r="F189" s="19">
        <v>0</v>
      </c>
      <c r="G189" s="19">
        <v>0</v>
      </c>
      <c r="H189" s="19">
        <v>0</v>
      </c>
      <c r="I189" s="19">
        <v>0</v>
      </c>
      <c r="J189" s="19">
        <v>0</v>
      </c>
      <c r="K189" s="19">
        <v>0</v>
      </c>
      <c r="L189" s="19">
        <v>0</v>
      </c>
      <c r="M189" s="19">
        <v>0</v>
      </c>
      <c r="N189" s="19">
        <v>0</v>
      </c>
      <c r="O189" s="19">
        <v>0</v>
      </c>
      <c r="P189" s="19">
        <v>0</v>
      </c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>
        <v>0</v>
      </c>
      <c r="Y189" s="19">
        <v>0</v>
      </c>
      <c r="Z189" s="19">
        <v>0</v>
      </c>
      <c r="AA189" s="19">
        <v>0</v>
      </c>
      <c r="AB189" s="19">
        <v>0</v>
      </c>
      <c r="AC189" s="19">
        <v>0</v>
      </c>
    </row>
    <row r="190" spans="1:29" s="43" customFormat="1" x14ac:dyDescent="0.25">
      <c r="A190" s="42" t="s">
        <v>76</v>
      </c>
      <c r="B190" s="19">
        <v>4563</v>
      </c>
      <c r="C190" s="19">
        <v>5710</v>
      </c>
      <c r="D190" s="19">
        <v>5200</v>
      </c>
      <c r="E190" s="19">
        <v>6777</v>
      </c>
      <c r="F190" s="19">
        <v>7732</v>
      </c>
      <c r="G190" s="19">
        <v>7346</v>
      </c>
      <c r="H190" s="19">
        <v>6264</v>
      </c>
      <c r="I190" s="19">
        <v>5484</v>
      </c>
      <c r="J190" s="19">
        <v>4818</v>
      </c>
      <c r="K190" s="19">
        <v>5822</v>
      </c>
      <c r="L190" s="19">
        <v>6365</v>
      </c>
      <c r="M190" s="19">
        <v>5657</v>
      </c>
      <c r="N190" s="19">
        <v>6873</v>
      </c>
      <c r="O190" s="19">
        <v>6249</v>
      </c>
      <c r="P190" s="19">
        <v>6027</v>
      </c>
      <c r="Q190" s="19">
        <v>7266</v>
      </c>
      <c r="R190" s="19">
        <v>6671</v>
      </c>
      <c r="S190" s="19">
        <v>7173</v>
      </c>
      <c r="T190" s="19">
        <v>7402</v>
      </c>
      <c r="U190" s="19">
        <v>6663</v>
      </c>
      <c r="V190" s="19">
        <v>6349</v>
      </c>
      <c r="W190" s="19">
        <v>7071</v>
      </c>
      <c r="X190" s="19">
        <v>7371</v>
      </c>
      <c r="Y190" s="19">
        <v>6313</v>
      </c>
      <c r="Z190" s="19">
        <v>7744</v>
      </c>
      <c r="AA190" s="19">
        <v>8539</v>
      </c>
      <c r="AB190" s="19">
        <v>9647</v>
      </c>
      <c r="AC190" s="19">
        <v>11754</v>
      </c>
    </row>
    <row r="191" spans="1:29" s="43" customFormat="1" x14ac:dyDescent="0.25">
      <c r="A191" s="42" t="s">
        <v>28</v>
      </c>
      <c r="B191" s="19">
        <v>256670</v>
      </c>
      <c r="C191" s="19">
        <v>338881</v>
      </c>
      <c r="D191" s="19">
        <v>321618</v>
      </c>
      <c r="E191" s="19">
        <v>342203</v>
      </c>
      <c r="F191" s="19">
        <v>314888</v>
      </c>
      <c r="G191" s="19">
        <v>302659</v>
      </c>
      <c r="H191" s="19">
        <v>310657</v>
      </c>
      <c r="I191" s="19">
        <v>411985</v>
      </c>
      <c r="J191" s="19">
        <v>247514</v>
      </c>
      <c r="K191" s="19">
        <v>285844</v>
      </c>
      <c r="L191" s="19">
        <v>321890</v>
      </c>
      <c r="M191" s="19">
        <v>334970</v>
      </c>
      <c r="N191" s="19">
        <v>388635</v>
      </c>
      <c r="O191" s="19">
        <v>358254</v>
      </c>
      <c r="P191" s="19">
        <v>397915</v>
      </c>
      <c r="Q191" s="19">
        <v>443316</v>
      </c>
      <c r="R191" s="19">
        <v>526236</v>
      </c>
      <c r="S191" s="19">
        <v>482917</v>
      </c>
      <c r="T191" s="19">
        <v>432078</v>
      </c>
      <c r="U191" s="19">
        <v>525633</v>
      </c>
      <c r="V191" s="19">
        <v>470964</v>
      </c>
      <c r="W191" s="19">
        <v>526475</v>
      </c>
      <c r="X191" s="19">
        <v>536212</v>
      </c>
      <c r="Y191" s="19">
        <v>514558</v>
      </c>
      <c r="Z191" s="19">
        <v>546944</v>
      </c>
      <c r="AA191" s="19">
        <v>513429</v>
      </c>
      <c r="AB191" s="19">
        <v>511995</v>
      </c>
      <c r="AC191" s="19">
        <v>512006</v>
      </c>
    </row>
    <row r="192" spans="1:29" s="43" customFormat="1" x14ac:dyDescent="0.25">
      <c r="A192" s="42" t="s">
        <v>74</v>
      </c>
      <c r="B192" s="19">
        <v>146158</v>
      </c>
      <c r="C192" s="19">
        <v>146410</v>
      </c>
      <c r="D192" s="19">
        <v>141765</v>
      </c>
      <c r="E192" s="19">
        <v>148627</v>
      </c>
      <c r="F192" s="19">
        <v>82219</v>
      </c>
      <c r="G192" s="19">
        <v>75636</v>
      </c>
      <c r="H192" s="19">
        <v>90356</v>
      </c>
      <c r="I192" s="19">
        <v>104502</v>
      </c>
      <c r="J192" s="19">
        <v>109913</v>
      </c>
      <c r="K192" s="19">
        <v>101396</v>
      </c>
      <c r="L192" s="19">
        <v>121352</v>
      </c>
      <c r="M192" s="19">
        <v>102221</v>
      </c>
      <c r="N192" s="19">
        <v>101990</v>
      </c>
      <c r="O192" s="19">
        <v>87773</v>
      </c>
      <c r="P192" s="19">
        <v>77423</v>
      </c>
      <c r="Q192" s="19">
        <v>71141</v>
      </c>
      <c r="R192" s="19">
        <v>94076</v>
      </c>
      <c r="S192" s="19">
        <v>74284</v>
      </c>
      <c r="T192" s="19">
        <v>89571</v>
      </c>
      <c r="U192" s="19">
        <v>71709</v>
      </c>
      <c r="V192" s="19">
        <v>76829</v>
      </c>
      <c r="W192" s="19">
        <v>86713</v>
      </c>
      <c r="X192" s="19">
        <v>65942</v>
      </c>
      <c r="Y192" s="19">
        <v>68617</v>
      </c>
      <c r="Z192" s="19">
        <v>79243</v>
      </c>
      <c r="AA192" s="19">
        <v>68249</v>
      </c>
      <c r="AB192" s="19">
        <v>84557</v>
      </c>
      <c r="AC192" s="19">
        <v>74349</v>
      </c>
    </row>
    <row r="193" spans="1:29" s="43" customFormat="1" x14ac:dyDescent="0.25">
      <c r="A193" s="42" t="s">
        <v>162</v>
      </c>
      <c r="B193" s="19">
        <v>0</v>
      </c>
      <c r="C193" s="19">
        <v>0</v>
      </c>
      <c r="D193" s="19">
        <v>0</v>
      </c>
      <c r="E193" s="19">
        <v>0</v>
      </c>
      <c r="F193" s="19">
        <v>0</v>
      </c>
      <c r="G193" s="19">
        <v>0</v>
      </c>
      <c r="H193" s="19">
        <v>0</v>
      </c>
      <c r="I193" s="19">
        <v>0</v>
      </c>
      <c r="J193" s="19">
        <v>0</v>
      </c>
      <c r="K193" s="19">
        <v>0</v>
      </c>
      <c r="L193" s="19">
        <v>0</v>
      </c>
      <c r="M193" s="19">
        <v>0</v>
      </c>
      <c r="N193" s="19">
        <v>0</v>
      </c>
      <c r="O193" s="19">
        <v>0</v>
      </c>
      <c r="P193" s="19">
        <v>0</v>
      </c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>
        <v>0</v>
      </c>
      <c r="Y193" s="19">
        <v>0</v>
      </c>
      <c r="Z193" s="19">
        <v>0</v>
      </c>
      <c r="AA193" s="19">
        <v>0</v>
      </c>
      <c r="AB193" s="19">
        <v>0</v>
      </c>
      <c r="AC193" s="19">
        <v>0</v>
      </c>
    </row>
    <row r="194" spans="1:29" s="43" customFormat="1" x14ac:dyDescent="0.25">
      <c r="A194" s="42" t="s">
        <v>164</v>
      </c>
      <c r="B194" s="19">
        <v>875</v>
      </c>
      <c r="C194" s="19">
        <v>1497</v>
      </c>
      <c r="D194" s="19">
        <v>1567</v>
      </c>
      <c r="E194" s="19">
        <v>1653</v>
      </c>
      <c r="F194" s="19">
        <v>1713</v>
      </c>
      <c r="G194" s="19">
        <v>1925</v>
      </c>
      <c r="H194" s="19">
        <v>2000</v>
      </c>
      <c r="I194" s="19">
        <v>2161</v>
      </c>
      <c r="J194" s="19">
        <v>2109</v>
      </c>
      <c r="K194" s="19">
        <v>1802</v>
      </c>
      <c r="L194" s="19">
        <v>1764</v>
      </c>
      <c r="M194" s="19">
        <v>1982</v>
      </c>
      <c r="N194" s="19">
        <v>2178</v>
      </c>
      <c r="O194" s="19">
        <v>2481</v>
      </c>
      <c r="P194" s="19">
        <v>2360</v>
      </c>
      <c r="Q194" s="19">
        <v>2332</v>
      </c>
      <c r="R194" s="19">
        <v>2290</v>
      </c>
      <c r="S194" s="19">
        <v>2426</v>
      </c>
      <c r="T194" s="19">
        <v>2497</v>
      </c>
      <c r="U194" s="19">
        <v>2359</v>
      </c>
      <c r="V194" s="19">
        <v>2363</v>
      </c>
      <c r="W194" s="19">
        <v>2270</v>
      </c>
      <c r="X194" s="19">
        <v>2747</v>
      </c>
      <c r="Y194" s="19">
        <v>2467</v>
      </c>
      <c r="Z194" s="19">
        <v>2434</v>
      </c>
      <c r="AA194" s="19">
        <v>2879</v>
      </c>
      <c r="AB194" s="19">
        <v>2515</v>
      </c>
      <c r="AC194" s="19">
        <v>2798</v>
      </c>
    </row>
    <row r="195" spans="1:29" s="43" customFormat="1" x14ac:dyDescent="0.25">
      <c r="A195" s="42" t="s">
        <v>43</v>
      </c>
      <c r="B195" s="19">
        <v>173749</v>
      </c>
      <c r="C195" s="19">
        <v>191743</v>
      </c>
      <c r="D195" s="19">
        <v>194894</v>
      </c>
      <c r="E195" s="19">
        <v>199003</v>
      </c>
      <c r="F195" s="19">
        <v>185049</v>
      </c>
      <c r="G195" s="19">
        <v>205309</v>
      </c>
      <c r="H195" s="19">
        <v>259729</v>
      </c>
      <c r="I195" s="19">
        <v>266693</v>
      </c>
      <c r="J195" s="19">
        <v>273273</v>
      </c>
      <c r="K195" s="19">
        <v>300392</v>
      </c>
      <c r="L195" s="19">
        <v>346832</v>
      </c>
      <c r="M195" s="19">
        <v>370650</v>
      </c>
      <c r="N195" s="19">
        <v>266721</v>
      </c>
      <c r="O195" s="19">
        <v>212163</v>
      </c>
      <c r="P195" s="19">
        <v>113102</v>
      </c>
      <c r="Q195" s="19">
        <v>121095</v>
      </c>
      <c r="R195" s="19">
        <v>132278</v>
      </c>
      <c r="S195" s="19">
        <v>154819</v>
      </c>
      <c r="T195" s="19">
        <v>148196</v>
      </c>
      <c r="U195" s="19">
        <v>120891</v>
      </c>
      <c r="V195" s="19">
        <v>145744</v>
      </c>
      <c r="W195" s="19">
        <v>123276</v>
      </c>
      <c r="X195" s="19">
        <v>131323</v>
      </c>
      <c r="Y195" s="19">
        <v>155055</v>
      </c>
      <c r="Z195" s="19">
        <v>156103</v>
      </c>
      <c r="AA195" s="19">
        <v>126400</v>
      </c>
      <c r="AB195" s="19">
        <v>138203</v>
      </c>
      <c r="AC195" s="19">
        <v>169001</v>
      </c>
    </row>
    <row r="196" spans="1:29" s="43" customFormat="1" x14ac:dyDescent="0.25">
      <c r="A196" s="42" t="s">
        <v>44</v>
      </c>
      <c r="B196" s="19">
        <v>0</v>
      </c>
      <c r="C196" s="19">
        <v>0</v>
      </c>
      <c r="D196" s="19">
        <v>0</v>
      </c>
      <c r="E196" s="19">
        <v>0</v>
      </c>
      <c r="F196" s="19">
        <v>0</v>
      </c>
      <c r="G196" s="19">
        <v>0</v>
      </c>
      <c r="H196" s="19">
        <v>0</v>
      </c>
      <c r="I196" s="19">
        <v>0</v>
      </c>
      <c r="J196" s="19">
        <v>0</v>
      </c>
      <c r="K196" s="19">
        <v>0</v>
      </c>
      <c r="L196" s="19">
        <v>0</v>
      </c>
      <c r="M196" s="19">
        <v>0</v>
      </c>
      <c r="N196" s="19">
        <v>0</v>
      </c>
      <c r="O196" s="19">
        <v>0</v>
      </c>
      <c r="P196" s="19">
        <v>0</v>
      </c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>
        <v>0</v>
      </c>
      <c r="Y196" s="19">
        <v>0</v>
      </c>
      <c r="Z196" s="19">
        <v>0</v>
      </c>
      <c r="AA196" s="19">
        <v>0</v>
      </c>
      <c r="AB196" s="19">
        <v>0</v>
      </c>
      <c r="AC196" s="19">
        <v>0</v>
      </c>
    </row>
    <row r="197" spans="1:29" s="43" customFormat="1" x14ac:dyDescent="0.25">
      <c r="A197" s="42" t="s">
        <v>46</v>
      </c>
      <c r="B197" s="19">
        <v>0</v>
      </c>
      <c r="C197" s="19">
        <v>0</v>
      </c>
      <c r="D197" s="19">
        <v>0</v>
      </c>
      <c r="E197" s="19">
        <v>0</v>
      </c>
      <c r="F197" s="19">
        <v>0</v>
      </c>
      <c r="G197" s="19">
        <v>0</v>
      </c>
      <c r="H197" s="19">
        <v>0</v>
      </c>
      <c r="I197" s="19">
        <v>0</v>
      </c>
      <c r="J197" s="19">
        <v>0</v>
      </c>
      <c r="K197" s="19">
        <v>0</v>
      </c>
      <c r="L197" s="19">
        <v>0</v>
      </c>
      <c r="M197" s="19">
        <v>0</v>
      </c>
      <c r="N197" s="19">
        <v>0</v>
      </c>
      <c r="O197" s="19">
        <v>0</v>
      </c>
      <c r="P197" s="19">
        <v>0</v>
      </c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>
        <v>0</v>
      </c>
      <c r="Y197" s="19">
        <v>0</v>
      </c>
      <c r="Z197" s="19">
        <v>0</v>
      </c>
      <c r="AA197" s="19">
        <v>0</v>
      </c>
      <c r="AB197" s="19">
        <v>0</v>
      </c>
      <c r="AC197" s="19">
        <v>0</v>
      </c>
    </row>
    <row r="198" spans="1:29" s="43" customFormat="1" x14ac:dyDescent="0.25">
      <c r="A198" s="42" t="s">
        <v>49</v>
      </c>
      <c r="B198" s="19">
        <v>0</v>
      </c>
      <c r="C198" s="19">
        <v>0</v>
      </c>
      <c r="D198" s="19">
        <v>0</v>
      </c>
      <c r="E198" s="19">
        <v>0</v>
      </c>
      <c r="F198" s="19">
        <v>0</v>
      </c>
      <c r="G198" s="19">
        <v>0</v>
      </c>
      <c r="H198" s="19">
        <v>0</v>
      </c>
      <c r="I198" s="19">
        <v>0</v>
      </c>
      <c r="J198" s="19">
        <v>0</v>
      </c>
      <c r="K198" s="19">
        <v>0</v>
      </c>
      <c r="L198" s="19">
        <v>0</v>
      </c>
      <c r="M198" s="19">
        <v>0</v>
      </c>
      <c r="N198" s="19">
        <v>0</v>
      </c>
      <c r="O198" s="19">
        <v>0</v>
      </c>
      <c r="P198" s="19">
        <v>0</v>
      </c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>
        <v>0</v>
      </c>
      <c r="Y198" s="19">
        <v>0</v>
      </c>
      <c r="Z198" s="19">
        <v>0</v>
      </c>
      <c r="AA198" s="19">
        <v>0</v>
      </c>
      <c r="AB198" s="19">
        <v>0</v>
      </c>
      <c r="AC198" s="19">
        <v>0</v>
      </c>
    </row>
    <row r="199" spans="1:29" s="43" customFormat="1" x14ac:dyDescent="0.25">
      <c r="A199" s="42" t="s">
        <v>166</v>
      </c>
      <c r="B199" s="19">
        <v>1495</v>
      </c>
      <c r="C199" s="19">
        <v>0</v>
      </c>
      <c r="D199" s="19">
        <v>0</v>
      </c>
      <c r="E199" s="19">
        <v>0</v>
      </c>
      <c r="F199" s="19">
        <v>848</v>
      </c>
      <c r="G199" s="19">
        <v>987</v>
      </c>
      <c r="H199" s="19">
        <v>1980</v>
      </c>
      <c r="I199" s="19">
        <v>2473</v>
      </c>
      <c r="J199" s="19">
        <v>607</v>
      </c>
      <c r="K199" s="19">
        <v>1231</v>
      </c>
      <c r="L199" s="19">
        <v>1994</v>
      </c>
      <c r="M199" s="19">
        <v>2528</v>
      </c>
      <c r="N199" s="19">
        <v>2790</v>
      </c>
      <c r="O199" s="19">
        <v>2939</v>
      </c>
      <c r="P199" s="19">
        <v>3961</v>
      </c>
      <c r="Q199" s="19">
        <v>4054</v>
      </c>
      <c r="R199" s="19">
        <v>4510</v>
      </c>
      <c r="S199" s="19">
        <v>4510</v>
      </c>
      <c r="T199" s="19">
        <v>4510</v>
      </c>
      <c r="U199" s="19">
        <v>4510</v>
      </c>
      <c r="V199" s="19">
        <v>4566</v>
      </c>
      <c r="W199" s="19">
        <v>4532</v>
      </c>
      <c r="X199" s="19">
        <v>4522</v>
      </c>
      <c r="Y199" s="19">
        <v>4527</v>
      </c>
      <c r="Z199" s="19">
        <v>4530</v>
      </c>
      <c r="AA199" s="19">
        <v>4516</v>
      </c>
      <c r="AB199" s="19">
        <v>4517</v>
      </c>
      <c r="AC199" s="19">
        <v>4510</v>
      </c>
    </row>
    <row r="200" spans="1:29" s="43" customFormat="1" x14ac:dyDescent="0.25">
      <c r="A200" s="42" t="s">
        <v>186</v>
      </c>
      <c r="B200" s="19">
        <v>42849</v>
      </c>
      <c r="C200" s="19">
        <v>26917</v>
      </c>
      <c r="D200" s="19">
        <v>16965</v>
      </c>
      <c r="E200" s="19">
        <v>7876</v>
      </c>
      <c r="F200" s="19">
        <v>14823</v>
      </c>
      <c r="G200" s="19">
        <v>19246</v>
      </c>
      <c r="H200" s="19">
        <v>12345</v>
      </c>
      <c r="I200" s="19">
        <v>12255</v>
      </c>
      <c r="J200" s="19">
        <v>11565</v>
      </c>
      <c r="K200" s="19">
        <v>15738</v>
      </c>
      <c r="L200" s="19">
        <v>11576</v>
      </c>
      <c r="M200" s="19">
        <v>8056</v>
      </c>
      <c r="N200" s="19">
        <v>10017</v>
      </c>
      <c r="O200" s="19">
        <v>6886</v>
      </c>
      <c r="P200" s="19">
        <v>7254</v>
      </c>
      <c r="Q200" s="19">
        <v>13394</v>
      </c>
      <c r="R200" s="19">
        <v>11397</v>
      </c>
      <c r="S200" s="19">
        <v>13736</v>
      </c>
      <c r="T200" s="19">
        <v>8820</v>
      </c>
      <c r="U200" s="19">
        <v>11661</v>
      </c>
      <c r="V200" s="19">
        <v>13336</v>
      </c>
      <c r="W200" s="19">
        <v>10472</v>
      </c>
      <c r="X200" s="19">
        <v>9684</v>
      </c>
      <c r="Y200" s="19">
        <v>13152</v>
      </c>
      <c r="Z200" s="19">
        <v>12986</v>
      </c>
      <c r="AA200" s="19">
        <v>14045</v>
      </c>
      <c r="AB200" s="19">
        <v>7995</v>
      </c>
      <c r="AC200" s="19">
        <v>11252</v>
      </c>
    </row>
    <row r="201" spans="1:29" s="43" customFormat="1" x14ac:dyDescent="0.25">
      <c r="A201" s="42" t="s">
        <v>168</v>
      </c>
      <c r="B201" s="19">
        <v>0</v>
      </c>
      <c r="C201" s="19">
        <v>0</v>
      </c>
      <c r="D201" s="19">
        <v>0</v>
      </c>
      <c r="E201" s="19">
        <v>33632</v>
      </c>
      <c r="F201" s="19">
        <v>35400</v>
      </c>
      <c r="G201" s="19">
        <v>37683</v>
      </c>
      <c r="H201" s="19">
        <v>37458</v>
      </c>
      <c r="I201" s="19">
        <v>50521</v>
      </c>
      <c r="J201" s="19">
        <v>52409</v>
      </c>
      <c r="K201" s="19">
        <v>52573</v>
      </c>
      <c r="L201" s="19">
        <v>54210</v>
      </c>
      <c r="M201" s="19">
        <v>49903</v>
      </c>
      <c r="N201" s="19">
        <v>44241</v>
      </c>
      <c r="O201" s="19">
        <v>41665</v>
      </c>
      <c r="P201" s="19">
        <v>49584</v>
      </c>
      <c r="Q201" s="19">
        <v>65556</v>
      </c>
      <c r="R201" s="19">
        <v>78631</v>
      </c>
      <c r="S201" s="19">
        <v>80842</v>
      </c>
      <c r="T201" s="19">
        <v>89063</v>
      </c>
      <c r="U201" s="19">
        <v>123076</v>
      </c>
      <c r="V201" s="19">
        <v>112626</v>
      </c>
      <c r="W201" s="19">
        <v>120535</v>
      </c>
      <c r="X201" s="19">
        <v>109315</v>
      </c>
      <c r="Y201" s="19">
        <v>95540</v>
      </c>
      <c r="Z201" s="19">
        <v>89589</v>
      </c>
      <c r="AA201" s="19">
        <v>97615</v>
      </c>
      <c r="AB201" s="19">
        <v>97145</v>
      </c>
      <c r="AC201" s="19">
        <v>97613</v>
      </c>
    </row>
    <row r="202" spans="1:29" s="43" customFormat="1" x14ac:dyDescent="0.25">
      <c r="A202" s="42" t="s">
        <v>169</v>
      </c>
      <c r="B202" s="19">
        <v>0</v>
      </c>
      <c r="C202" s="19">
        <v>0</v>
      </c>
      <c r="D202" s="19">
        <v>0</v>
      </c>
      <c r="E202" s="19">
        <v>0</v>
      </c>
      <c r="F202" s="19">
        <v>0</v>
      </c>
      <c r="G202" s="19">
        <v>0</v>
      </c>
      <c r="H202" s="19">
        <v>0</v>
      </c>
      <c r="I202" s="19">
        <v>0</v>
      </c>
      <c r="J202" s="19">
        <v>0</v>
      </c>
      <c r="K202" s="19">
        <v>0</v>
      </c>
      <c r="L202" s="19">
        <v>0</v>
      </c>
      <c r="M202" s="19">
        <v>0</v>
      </c>
      <c r="N202" s="19">
        <v>0</v>
      </c>
      <c r="O202" s="19">
        <v>0</v>
      </c>
      <c r="P202" s="19">
        <v>13</v>
      </c>
      <c r="Q202" s="19">
        <v>0</v>
      </c>
      <c r="R202" s="19">
        <v>9</v>
      </c>
      <c r="S202" s="19">
        <v>7</v>
      </c>
      <c r="T202" s="19">
        <v>6</v>
      </c>
      <c r="U202" s="19">
        <v>7</v>
      </c>
      <c r="V202" s="19">
        <v>5</v>
      </c>
      <c r="W202" s="19">
        <v>11</v>
      </c>
      <c r="X202" s="19">
        <v>19</v>
      </c>
      <c r="Y202" s="19">
        <v>13</v>
      </c>
      <c r="Z202" s="19">
        <v>13</v>
      </c>
      <c r="AA202" s="19">
        <v>4</v>
      </c>
      <c r="AB202" s="19">
        <v>4</v>
      </c>
      <c r="AC202" s="19">
        <v>0</v>
      </c>
    </row>
    <row r="203" spans="1:29" s="43" customFormat="1" x14ac:dyDescent="0.25">
      <c r="A203" s="26" t="s">
        <v>159</v>
      </c>
      <c r="B203" s="27">
        <v>626359</v>
      </c>
      <c r="C203" s="27">
        <v>711158</v>
      </c>
      <c r="D203" s="27">
        <v>682009</v>
      </c>
      <c r="E203" s="27">
        <v>739771</v>
      </c>
      <c r="F203" s="27">
        <v>642672</v>
      </c>
      <c r="G203" s="27">
        <v>650791</v>
      </c>
      <c r="H203" s="27">
        <v>720789</v>
      </c>
      <c r="I203" s="27">
        <v>856074</v>
      </c>
      <c r="J203" s="27">
        <v>702208</v>
      </c>
      <c r="K203" s="27">
        <v>764798</v>
      </c>
      <c r="L203" s="27">
        <v>865983</v>
      </c>
      <c r="M203" s="27">
        <v>875967</v>
      </c>
      <c r="N203" s="27">
        <v>823445</v>
      </c>
      <c r="O203" s="27">
        <v>718410</v>
      </c>
      <c r="P203" s="27">
        <v>657639</v>
      </c>
      <c r="Q203" s="27">
        <v>728154</v>
      </c>
      <c r="R203" s="27">
        <v>856098</v>
      </c>
      <c r="S203" s="27">
        <v>820714</v>
      </c>
      <c r="T203" s="27">
        <v>782143</v>
      </c>
      <c r="U203" s="27">
        <v>866509</v>
      </c>
      <c r="V203" s="27">
        <v>832784</v>
      </c>
      <c r="W203" s="27">
        <v>881355</v>
      </c>
      <c r="X203" s="27">
        <v>867135</v>
      </c>
      <c r="Y203" s="27">
        <v>860242</v>
      </c>
      <c r="Z203" s="27">
        <v>899586</v>
      </c>
      <c r="AA203" s="27">
        <v>835676</v>
      </c>
      <c r="AB203" s="27">
        <v>856578</v>
      </c>
      <c r="AC203" s="27">
        <v>883283</v>
      </c>
    </row>
    <row r="204" spans="1:29" s="43" customFormat="1" ht="14.25" thickBot="1" x14ac:dyDescent="0.3">
      <c r="A204" s="20" t="s">
        <v>138</v>
      </c>
      <c r="B204" s="21">
        <v>724971</v>
      </c>
      <c r="C204" s="21">
        <v>835652</v>
      </c>
      <c r="D204" s="21">
        <v>789431</v>
      </c>
      <c r="E204" s="21">
        <v>842692</v>
      </c>
      <c r="F204" s="21">
        <v>757477</v>
      </c>
      <c r="G204" s="21">
        <v>784128</v>
      </c>
      <c r="H204" s="21">
        <v>910070</v>
      </c>
      <c r="I204" s="21">
        <v>1058160</v>
      </c>
      <c r="J204" s="21">
        <v>895648</v>
      </c>
      <c r="K204" s="21">
        <v>982506</v>
      </c>
      <c r="L204" s="21">
        <v>1107711</v>
      </c>
      <c r="M204" s="21">
        <v>1097556</v>
      </c>
      <c r="N204" s="21">
        <v>1034832</v>
      </c>
      <c r="O204" s="21">
        <v>930315</v>
      </c>
      <c r="P204" s="21">
        <v>894888</v>
      </c>
      <c r="Q204" s="21">
        <v>1021643</v>
      </c>
      <c r="R204" s="21">
        <v>1107226</v>
      </c>
      <c r="S204" s="21">
        <v>1107829</v>
      </c>
      <c r="T204" s="21">
        <v>1033532</v>
      </c>
      <c r="U204" s="21">
        <v>1190631</v>
      </c>
      <c r="V204" s="21">
        <v>1232558</v>
      </c>
      <c r="W204" s="21">
        <v>1309584</v>
      </c>
      <c r="X204" s="21">
        <v>1285907</v>
      </c>
      <c r="Y204" s="21">
        <v>1339404</v>
      </c>
      <c r="Z204" s="21">
        <v>1319351</v>
      </c>
      <c r="AA204" s="21">
        <v>1324750</v>
      </c>
      <c r="AB204" s="21">
        <v>1312378</v>
      </c>
      <c r="AC204" s="21">
        <v>1433991</v>
      </c>
    </row>
    <row r="206" spans="1:29" x14ac:dyDescent="0.25">
      <c r="A206" s="10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</row>
    <row r="207" spans="1:29" ht="15" x14ac:dyDescent="0.25">
      <c r="A207" s="2" t="s">
        <v>2</v>
      </c>
      <c r="B207" t="s">
        <v>6</v>
      </c>
      <c r="W207" s="11"/>
      <c r="X207" s="11"/>
      <c r="Y207" s="11"/>
      <c r="Z207" s="11"/>
    </row>
    <row r="208" spans="1:29" ht="15" x14ac:dyDescent="0.25">
      <c r="A208" s="2" t="s">
        <v>4</v>
      </c>
      <c r="B208" t="s">
        <v>59</v>
      </c>
      <c r="W208" s="11"/>
      <c r="X208" s="11"/>
      <c r="Y208" s="11"/>
      <c r="Z208" s="11"/>
    </row>
    <row r="209" spans="1:28" ht="15" x14ac:dyDescent="0.25">
      <c r="A209" s="2" t="s">
        <v>0</v>
      </c>
      <c r="B209" t="s">
        <v>38</v>
      </c>
    </row>
    <row r="211" spans="1:28" ht="15" x14ac:dyDescent="0.25">
      <c r="A211"/>
      <c r="B211" s="2" t="s">
        <v>126</v>
      </c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1:28" ht="15" x14ac:dyDescent="0.25">
      <c r="A212"/>
      <c r="B212">
        <v>2003</v>
      </c>
      <c r="C212">
        <v>2005</v>
      </c>
      <c r="D212">
        <v>2006</v>
      </c>
      <c r="E212">
        <v>2007</v>
      </c>
      <c r="F212">
        <v>2010</v>
      </c>
      <c r="G212">
        <v>2011</v>
      </c>
      <c r="H212">
        <v>2012</v>
      </c>
      <c r="I212">
        <v>2013</v>
      </c>
      <c r="J212">
        <v>2014</v>
      </c>
      <c r="K212">
        <v>2015</v>
      </c>
      <c r="L212">
        <v>2016</v>
      </c>
      <c r="M212">
        <v>2017</v>
      </c>
      <c r="N212">
        <v>2018</v>
      </c>
      <c r="O212">
        <v>2019</v>
      </c>
      <c r="P212">
        <v>2020</v>
      </c>
      <c r="Q212">
        <v>2021</v>
      </c>
      <c r="R212">
        <v>2022</v>
      </c>
      <c r="S212">
        <v>2023</v>
      </c>
      <c r="T212">
        <v>2024</v>
      </c>
      <c r="U212">
        <v>2025</v>
      </c>
      <c r="V212" t="s">
        <v>127</v>
      </c>
      <c r="W212"/>
      <c r="X212"/>
      <c r="Y212"/>
      <c r="Z212"/>
      <c r="AA212"/>
      <c r="AB212"/>
    </row>
    <row r="213" spans="1:28" ht="15" x14ac:dyDescent="0.25">
      <c r="A213" t="s">
        <v>129</v>
      </c>
      <c r="B213" s="4">
        <v>0</v>
      </c>
      <c r="C213" s="4">
        <v>0</v>
      </c>
      <c r="D213" s="4">
        <v>0</v>
      </c>
      <c r="E213" s="4">
        <v>206186417.94400001</v>
      </c>
      <c r="F213" s="4">
        <v>393117810.20499998</v>
      </c>
      <c r="G213" s="4">
        <v>612637263.824</v>
      </c>
      <c r="H213" s="4">
        <v>1055219955.237</v>
      </c>
      <c r="I213" s="4">
        <v>671924447.59599996</v>
      </c>
      <c r="J213" s="4">
        <v>1008595240.418</v>
      </c>
      <c r="K213" s="4">
        <v>898180419.80499995</v>
      </c>
      <c r="L213" s="4">
        <v>1385040244.3729999</v>
      </c>
      <c r="M213" s="4">
        <v>774389663.06799996</v>
      </c>
      <c r="N213" s="4">
        <v>950058789.49399996</v>
      </c>
      <c r="O213" s="4">
        <v>904500670.10099995</v>
      </c>
      <c r="P213" s="4">
        <v>933427917.15999997</v>
      </c>
      <c r="Q213" s="4">
        <v>940047639.63100004</v>
      </c>
      <c r="R213" s="4">
        <v>991233732.42999995</v>
      </c>
      <c r="S213" s="4">
        <v>641464461.26400006</v>
      </c>
      <c r="T213" s="4">
        <v>890341424.80700004</v>
      </c>
      <c r="U213" s="4">
        <v>546910368.62800002</v>
      </c>
      <c r="V213" s="4">
        <v>13803276465.985001</v>
      </c>
      <c r="W213"/>
      <c r="X213"/>
      <c r="Y213"/>
      <c r="Z213"/>
      <c r="AA213"/>
      <c r="AB213"/>
    </row>
    <row r="214" spans="1:28" ht="15" x14ac:dyDescent="0.25">
      <c r="A214"/>
      <c r="B214"/>
      <c r="C214"/>
    </row>
    <row r="215" spans="1:28" ht="15" x14ac:dyDescent="0.25">
      <c r="A215"/>
      <c r="B215"/>
      <c r="C215"/>
      <c r="F215" s="11">
        <f t="shared" ref="F215:T215" si="0">F212</f>
        <v>2010</v>
      </c>
      <c r="G215" s="11">
        <f t="shared" si="0"/>
        <v>2011</v>
      </c>
      <c r="H215" s="11">
        <f t="shared" si="0"/>
        <v>2012</v>
      </c>
      <c r="I215" s="11">
        <f t="shared" si="0"/>
        <v>2013</v>
      </c>
      <c r="J215" s="11">
        <f t="shared" si="0"/>
        <v>2014</v>
      </c>
      <c r="K215" s="11">
        <f t="shared" si="0"/>
        <v>2015</v>
      </c>
      <c r="L215" s="11">
        <f t="shared" si="0"/>
        <v>2016</v>
      </c>
      <c r="M215" s="11">
        <f t="shared" si="0"/>
        <v>2017</v>
      </c>
      <c r="N215" s="11">
        <f t="shared" si="0"/>
        <v>2018</v>
      </c>
      <c r="O215" s="11">
        <f t="shared" si="0"/>
        <v>2019</v>
      </c>
      <c r="P215" s="11">
        <f t="shared" si="0"/>
        <v>2020</v>
      </c>
      <c r="Q215" s="11">
        <f t="shared" si="0"/>
        <v>2021</v>
      </c>
      <c r="R215" s="11">
        <f t="shared" si="0"/>
        <v>2022</v>
      </c>
      <c r="S215" s="11">
        <f t="shared" si="0"/>
        <v>2023</v>
      </c>
      <c r="T215" s="11">
        <f t="shared" si="0"/>
        <v>2024</v>
      </c>
    </row>
    <row r="216" spans="1:28" ht="15" x14ac:dyDescent="0.25">
      <c r="A216"/>
      <c r="B216"/>
      <c r="C216"/>
      <c r="F216" s="11">
        <f t="shared" ref="F216:T216" si="1">F213/1000</f>
        <v>393117.81020499999</v>
      </c>
      <c r="G216" s="11">
        <f t="shared" si="1"/>
        <v>612637.26382400002</v>
      </c>
      <c r="H216" s="11">
        <f t="shared" si="1"/>
        <v>1055219.955237</v>
      </c>
      <c r="I216" s="11">
        <f t="shared" si="1"/>
        <v>671924.44759599993</v>
      </c>
      <c r="J216" s="11">
        <f t="shared" si="1"/>
        <v>1008595.240418</v>
      </c>
      <c r="K216" s="11">
        <f t="shared" si="1"/>
        <v>898180.41980499995</v>
      </c>
      <c r="L216" s="11">
        <f t="shared" si="1"/>
        <v>1385040.244373</v>
      </c>
      <c r="M216" s="11">
        <f t="shared" si="1"/>
        <v>774389.66306799999</v>
      </c>
      <c r="N216" s="11">
        <f t="shared" si="1"/>
        <v>950058.78949399991</v>
      </c>
      <c r="O216" s="11">
        <f t="shared" si="1"/>
        <v>904500.670101</v>
      </c>
      <c r="P216" s="11">
        <f t="shared" si="1"/>
        <v>933427.91715999995</v>
      </c>
      <c r="Q216" s="11">
        <f t="shared" si="1"/>
        <v>940047.639631</v>
      </c>
      <c r="R216" s="11">
        <f t="shared" si="1"/>
        <v>991233.73242999997</v>
      </c>
      <c r="S216" s="11">
        <f t="shared" si="1"/>
        <v>641464.46126400004</v>
      </c>
      <c r="T216" s="11">
        <f t="shared" si="1"/>
        <v>890341.42480700009</v>
      </c>
    </row>
    <row r="217" spans="1:28" ht="15" x14ac:dyDescent="0.25">
      <c r="A217"/>
      <c r="B217"/>
      <c r="C217"/>
      <c r="F217" s="11">
        <f t="shared" ref="F217:S217" si="2">O204</f>
        <v>930315</v>
      </c>
      <c r="G217" s="11">
        <f t="shared" si="2"/>
        <v>894888</v>
      </c>
      <c r="H217" s="11">
        <f t="shared" si="2"/>
        <v>1021643</v>
      </c>
      <c r="I217" s="11">
        <f t="shared" si="2"/>
        <v>1107226</v>
      </c>
      <c r="J217" s="11">
        <f t="shared" si="2"/>
        <v>1107829</v>
      </c>
      <c r="K217" s="11">
        <f t="shared" si="2"/>
        <v>1033532</v>
      </c>
      <c r="L217" s="11">
        <f t="shared" si="2"/>
        <v>1190631</v>
      </c>
      <c r="M217" s="11">
        <f t="shared" si="2"/>
        <v>1232558</v>
      </c>
      <c r="N217" s="11">
        <f t="shared" si="2"/>
        <v>1309584</v>
      </c>
      <c r="O217" s="11">
        <f t="shared" si="2"/>
        <v>1285907</v>
      </c>
      <c r="P217" s="11">
        <f t="shared" si="2"/>
        <v>1339404</v>
      </c>
      <c r="Q217" s="11">
        <f t="shared" si="2"/>
        <v>1319351</v>
      </c>
      <c r="R217" s="11">
        <f t="shared" si="2"/>
        <v>1324750</v>
      </c>
      <c r="S217" s="11">
        <f t="shared" si="2"/>
        <v>1312378</v>
      </c>
      <c r="T217" s="11">
        <f>AC204</f>
        <v>1433991</v>
      </c>
    </row>
    <row r="218" spans="1:28" ht="15" x14ac:dyDescent="0.25">
      <c r="A218"/>
      <c r="B218"/>
      <c r="C218"/>
    </row>
    <row r="219" spans="1:28" ht="15" x14ac:dyDescent="0.25">
      <c r="A219"/>
      <c r="B219"/>
      <c r="C219"/>
    </row>
    <row r="220" spans="1:28" ht="15" x14ac:dyDescent="0.25">
      <c r="A220"/>
      <c r="B220"/>
      <c r="C220"/>
    </row>
    <row r="221" spans="1:28" ht="15" x14ac:dyDescent="0.25">
      <c r="A221"/>
      <c r="B221"/>
      <c r="C221"/>
    </row>
    <row r="222" spans="1:28" ht="15" x14ac:dyDescent="0.25">
      <c r="A222"/>
      <c r="B222"/>
      <c r="C222"/>
    </row>
    <row r="223" spans="1:28" ht="15" x14ac:dyDescent="0.25">
      <c r="A223"/>
      <c r="B223"/>
      <c r="C223"/>
    </row>
    <row r="224" spans="1:28" ht="15" x14ac:dyDescent="0.25">
      <c r="A224"/>
      <c r="B224"/>
      <c r="C224"/>
    </row>
    <row r="225" spans="1:3" ht="15" x14ac:dyDescent="0.25">
      <c r="A225"/>
      <c r="B225"/>
      <c r="C225"/>
    </row>
    <row r="226" spans="1:3" ht="15" x14ac:dyDescent="0.25">
      <c r="A226"/>
      <c r="B226"/>
      <c r="C226"/>
    </row>
    <row r="227" spans="1:3" ht="15" x14ac:dyDescent="0.25">
      <c r="A227"/>
      <c r="B227"/>
      <c r="C227"/>
    </row>
    <row r="228" spans="1:3" ht="15" x14ac:dyDescent="0.25">
      <c r="A228"/>
      <c r="B228"/>
      <c r="C228"/>
    </row>
  </sheetData>
  <pageMargins left="0.81" right="1.03" top="1" bottom="1" header="0.5" footer="0.5"/>
  <pageSetup paperSize="9" orientation="landscape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12EE-8521-411E-A668-B4E8F2977FFE}">
  <dimension ref="A4:R1511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K8" sqref="K8"/>
    </sheetView>
  </sheetViews>
  <sheetFormatPr defaultRowHeight="15" x14ac:dyDescent="0.25"/>
  <cols>
    <col min="1" max="1" width="24.7109375" bestFit="1" customWidth="1"/>
    <col min="2" max="2" width="16.85546875" bestFit="1" customWidth="1"/>
    <col min="3" max="3" width="13.85546875" bestFit="1" customWidth="1"/>
    <col min="4" max="4" width="14.7109375" bestFit="1" customWidth="1"/>
    <col min="5" max="5" width="14.5703125" bestFit="1" customWidth="1"/>
    <col min="6" max="6" width="21.140625" bestFit="1" customWidth="1"/>
    <col min="7" max="7" width="13.85546875" bestFit="1" customWidth="1"/>
    <col min="8" max="8" width="14.7109375" bestFit="1" customWidth="1"/>
    <col min="9" max="10" width="14.5703125" bestFit="1" customWidth="1"/>
    <col min="11" max="11" width="24.28515625" bestFit="1" customWidth="1"/>
  </cols>
  <sheetData>
    <row r="4" spans="1:15" x14ac:dyDescent="0.25">
      <c r="A4" s="2" t="s">
        <v>129</v>
      </c>
      <c r="B4" s="2" t="s">
        <v>126</v>
      </c>
    </row>
    <row r="5" spans="1:15" x14ac:dyDescent="0.25">
      <c r="B5" t="s">
        <v>6</v>
      </c>
      <c r="F5" t="s">
        <v>57</v>
      </c>
    </row>
    <row r="6" spans="1:15" x14ac:dyDescent="0.25">
      <c r="A6" s="2" t="s">
        <v>128</v>
      </c>
      <c r="B6" t="s">
        <v>81</v>
      </c>
      <c r="C6" t="s">
        <v>59</v>
      </c>
      <c r="D6" t="s">
        <v>98</v>
      </c>
      <c r="E6" t="s">
        <v>7</v>
      </c>
      <c r="F6" t="s">
        <v>81</v>
      </c>
      <c r="G6" t="s">
        <v>59</v>
      </c>
      <c r="H6" t="s">
        <v>98</v>
      </c>
      <c r="I6" t="s">
        <v>7</v>
      </c>
    </row>
    <row r="7" spans="1:15" x14ac:dyDescent="0.25">
      <c r="A7" s="3" t="s">
        <v>97</v>
      </c>
      <c r="B7" s="4">
        <v>31381401.91</v>
      </c>
      <c r="C7" s="4"/>
      <c r="D7" s="4">
        <v>51372326.452</v>
      </c>
      <c r="E7" s="4"/>
      <c r="F7" s="4">
        <v>82689264.75</v>
      </c>
      <c r="G7" s="4"/>
      <c r="H7" s="4">
        <v>105239114.31</v>
      </c>
      <c r="I7" s="4"/>
      <c r="K7" s="48">
        <f t="shared" ref="K7:K70" si="0">F7/B7</f>
        <v>2.6349767606669681</v>
      </c>
      <c r="L7" s="48" t="e">
        <f t="shared" ref="L7:L70" si="1">G7/C7</f>
        <v>#DIV/0!</v>
      </c>
      <c r="M7" s="48">
        <f t="shared" ref="M7:M70" si="2">H7/D7</f>
        <v>2.0485565201788303</v>
      </c>
      <c r="N7" s="48" t="e">
        <f t="shared" ref="N7:N70" si="3">I7/E7</f>
        <v>#DIV/0!</v>
      </c>
      <c r="O7" s="6"/>
    </row>
    <row r="8" spans="1:15" x14ac:dyDescent="0.25">
      <c r="A8" s="5">
        <v>2010</v>
      </c>
      <c r="B8" s="4">
        <v>2327279</v>
      </c>
      <c r="C8" s="4"/>
      <c r="D8" s="4">
        <v>7803377</v>
      </c>
      <c r="E8" s="4"/>
      <c r="F8" s="4">
        <v>3034277.736</v>
      </c>
      <c r="G8" s="4"/>
      <c r="H8" s="4">
        <v>8298861.7630000003</v>
      </c>
      <c r="I8" s="4"/>
      <c r="K8" s="48">
        <f t="shared" si="0"/>
        <v>1.3037877005722134</v>
      </c>
      <c r="L8" s="48" t="e">
        <f t="shared" si="1"/>
        <v>#DIV/0!</v>
      </c>
      <c r="M8" s="48">
        <f t="shared" si="2"/>
        <v>1.0634961969670311</v>
      </c>
      <c r="N8" s="48" t="e">
        <f t="shared" si="3"/>
        <v>#DIV/0!</v>
      </c>
      <c r="O8" s="6"/>
    </row>
    <row r="9" spans="1:15" x14ac:dyDescent="0.25">
      <c r="A9" s="5">
        <v>2011</v>
      </c>
      <c r="B9" s="4"/>
      <c r="C9" s="4"/>
      <c r="D9" s="4">
        <v>6305922</v>
      </c>
      <c r="E9" s="4"/>
      <c r="F9" s="4"/>
      <c r="G9" s="4"/>
      <c r="H9" s="4">
        <v>6487811.2400000002</v>
      </c>
      <c r="I9" s="4"/>
      <c r="K9" s="48" t="e">
        <f t="shared" si="0"/>
        <v>#DIV/0!</v>
      </c>
      <c r="L9" s="48" t="e">
        <f t="shared" si="1"/>
        <v>#DIV/0!</v>
      </c>
      <c r="M9" s="48">
        <f t="shared" si="2"/>
        <v>1.0288441943937778</v>
      </c>
      <c r="N9" s="48" t="e">
        <f t="shared" si="3"/>
        <v>#DIV/0!</v>
      </c>
      <c r="O9" s="6"/>
    </row>
    <row r="10" spans="1:15" x14ac:dyDescent="0.25">
      <c r="A10" s="5">
        <v>2012</v>
      </c>
      <c r="B10" s="4">
        <v>2846475</v>
      </c>
      <c r="C10" s="4"/>
      <c r="D10" s="4">
        <v>5693782</v>
      </c>
      <c r="E10" s="4"/>
      <c r="F10" s="4">
        <v>5105277</v>
      </c>
      <c r="G10" s="4"/>
      <c r="H10" s="4">
        <v>8895825</v>
      </c>
      <c r="I10" s="4"/>
      <c r="K10" s="48">
        <f t="shared" si="0"/>
        <v>1.7935435933918267</v>
      </c>
      <c r="L10" s="48" t="e">
        <f t="shared" si="1"/>
        <v>#DIV/0!</v>
      </c>
      <c r="M10" s="48">
        <f t="shared" si="2"/>
        <v>1.5623754123357727</v>
      </c>
      <c r="N10" s="48" t="e">
        <f t="shared" si="3"/>
        <v>#DIV/0!</v>
      </c>
      <c r="O10" s="6"/>
    </row>
    <row r="11" spans="1:15" x14ac:dyDescent="0.25">
      <c r="A11" s="5">
        <v>2013</v>
      </c>
      <c r="B11" s="4">
        <v>2081651</v>
      </c>
      <c r="C11" s="4"/>
      <c r="D11" s="4">
        <v>8083236</v>
      </c>
      <c r="E11" s="4"/>
      <c r="F11" s="4">
        <v>4708279.5939999996</v>
      </c>
      <c r="G11" s="4"/>
      <c r="H11" s="4">
        <v>15481797.608999999</v>
      </c>
      <c r="I11" s="4"/>
      <c r="K11" s="48">
        <f t="shared" si="0"/>
        <v>2.2618006543844285</v>
      </c>
      <c r="L11" s="48" t="e">
        <f t="shared" si="1"/>
        <v>#DIV/0!</v>
      </c>
      <c r="M11" s="48">
        <f t="shared" si="2"/>
        <v>1.9152969935555513</v>
      </c>
      <c r="N11" s="48" t="e">
        <f t="shared" si="3"/>
        <v>#DIV/0!</v>
      </c>
      <c r="O11" s="6"/>
    </row>
    <row r="12" spans="1:15" x14ac:dyDescent="0.25">
      <c r="A12" s="5">
        <v>2014</v>
      </c>
      <c r="B12" s="4">
        <v>5551129</v>
      </c>
      <c r="C12" s="4"/>
      <c r="D12" s="4">
        <v>6740870.3820000002</v>
      </c>
      <c r="E12" s="4"/>
      <c r="F12" s="4">
        <v>18271926.530000001</v>
      </c>
      <c r="G12" s="4"/>
      <c r="H12" s="4">
        <v>16479632.960999999</v>
      </c>
      <c r="I12" s="4"/>
      <c r="K12" s="48">
        <f t="shared" si="0"/>
        <v>3.2915694320921025</v>
      </c>
      <c r="L12" s="48" t="e">
        <f t="shared" si="1"/>
        <v>#DIV/0!</v>
      </c>
      <c r="M12" s="48">
        <f t="shared" si="2"/>
        <v>2.4447336956671362</v>
      </c>
      <c r="N12" s="48" t="e">
        <f t="shared" si="3"/>
        <v>#DIV/0!</v>
      </c>
      <c r="O12" s="6"/>
    </row>
    <row r="13" spans="1:15" x14ac:dyDescent="0.25">
      <c r="A13" s="5">
        <v>2015</v>
      </c>
      <c r="B13" s="4">
        <v>11915370.91</v>
      </c>
      <c r="C13" s="4"/>
      <c r="D13" s="4">
        <v>7182002.0700000003</v>
      </c>
      <c r="E13" s="4"/>
      <c r="F13" s="4">
        <v>36269692.310000002</v>
      </c>
      <c r="G13" s="4"/>
      <c r="H13" s="4">
        <v>18915133.530000001</v>
      </c>
      <c r="I13" s="4"/>
      <c r="K13" s="48">
        <f t="shared" si="0"/>
        <v>3.04394152594617</v>
      </c>
      <c r="L13" s="48" t="e">
        <f t="shared" si="1"/>
        <v>#DIV/0!</v>
      </c>
      <c r="M13" s="48">
        <f t="shared" si="2"/>
        <v>2.6336853353204339</v>
      </c>
      <c r="N13" s="48" t="e">
        <f t="shared" si="3"/>
        <v>#DIV/0!</v>
      </c>
      <c r="O13" s="6"/>
    </row>
    <row r="14" spans="1:15" x14ac:dyDescent="0.25">
      <c r="A14" s="5">
        <v>2016</v>
      </c>
      <c r="B14" s="4">
        <v>6659497</v>
      </c>
      <c r="C14" s="4"/>
      <c r="D14" s="4">
        <v>7855333</v>
      </c>
      <c r="E14" s="4"/>
      <c r="F14" s="4">
        <v>15299811.58</v>
      </c>
      <c r="G14" s="4"/>
      <c r="H14" s="4">
        <v>25315556.59</v>
      </c>
      <c r="I14" s="4"/>
      <c r="K14" s="48">
        <f t="shared" si="0"/>
        <v>2.2974425215598115</v>
      </c>
      <c r="L14" s="48" t="e">
        <f t="shared" si="1"/>
        <v>#DIV/0!</v>
      </c>
      <c r="M14" s="48">
        <f t="shared" si="2"/>
        <v>3.2227222690623045</v>
      </c>
      <c r="N14" s="48" t="e">
        <f t="shared" si="3"/>
        <v>#DIV/0!</v>
      </c>
      <c r="O14" s="6"/>
    </row>
    <row r="15" spans="1:15" x14ac:dyDescent="0.25">
      <c r="A15" s="5">
        <v>2017</v>
      </c>
      <c r="B15" s="4"/>
      <c r="C15" s="4"/>
      <c r="D15" s="4">
        <v>1707804</v>
      </c>
      <c r="E15" s="4"/>
      <c r="F15" s="4"/>
      <c r="G15" s="4"/>
      <c r="H15" s="4">
        <v>5364495.6169999996</v>
      </c>
      <c r="I15" s="4"/>
      <c r="K15" s="48" t="e">
        <f t="shared" si="0"/>
        <v>#DIV/0!</v>
      </c>
      <c r="L15" s="48" t="e">
        <f t="shared" si="1"/>
        <v>#DIV/0!</v>
      </c>
      <c r="M15" s="48">
        <f t="shared" si="2"/>
        <v>3.1411658580258623</v>
      </c>
      <c r="N15" s="48" t="e">
        <f t="shared" si="3"/>
        <v>#DIV/0!</v>
      </c>
      <c r="O15" s="6"/>
    </row>
    <row r="16" spans="1:15" x14ac:dyDescent="0.25">
      <c r="A16" s="3" t="s">
        <v>125</v>
      </c>
      <c r="B16" s="4"/>
      <c r="C16" s="4"/>
      <c r="D16" s="4">
        <v>64618101.852000006</v>
      </c>
      <c r="E16" s="4"/>
      <c r="F16" s="4"/>
      <c r="G16" s="4"/>
      <c r="H16" s="4">
        <v>107147644.71699998</v>
      </c>
      <c r="I16" s="4"/>
      <c r="K16" s="48" t="e">
        <f t="shared" si="0"/>
        <v>#DIV/0!</v>
      </c>
      <c r="L16" s="48" t="e">
        <f t="shared" si="1"/>
        <v>#DIV/0!</v>
      </c>
      <c r="M16" s="48">
        <f t="shared" si="2"/>
        <v>1.6581676286686473</v>
      </c>
      <c r="N16" s="48" t="e">
        <f t="shared" si="3"/>
        <v>#DIV/0!</v>
      </c>
      <c r="O16" s="6"/>
    </row>
    <row r="17" spans="1:15" x14ac:dyDescent="0.25">
      <c r="A17" s="5">
        <v>2015</v>
      </c>
      <c r="B17" s="4"/>
      <c r="C17" s="4"/>
      <c r="D17" s="4">
        <v>22940279.699999999</v>
      </c>
      <c r="E17" s="4"/>
      <c r="F17" s="4"/>
      <c r="G17" s="4"/>
      <c r="H17" s="4">
        <v>17553015.870000001</v>
      </c>
      <c r="I17" s="4"/>
      <c r="K17" s="48" t="e">
        <f t="shared" si="0"/>
        <v>#DIV/0!</v>
      </c>
      <c r="L17" s="48" t="e">
        <f t="shared" si="1"/>
        <v>#DIV/0!</v>
      </c>
      <c r="M17" s="48">
        <f t="shared" si="2"/>
        <v>0.76516137115799865</v>
      </c>
      <c r="N17" s="48" t="e">
        <f t="shared" si="3"/>
        <v>#DIV/0!</v>
      </c>
      <c r="O17" s="6"/>
    </row>
    <row r="18" spans="1:15" x14ac:dyDescent="0.25">
      <c r="A18" s="5">
        <v>2016</v>
      </c>
      <c r="B18" s="4"/>
      <c r="C18" s="4"/>
      <c r="D18" s="4">
        <v>17102644</v>
      </c>
      <c r="E18" s="4"/>
      <c r="F18" s="4"/>
      <c r="G18" s="4"/>
      <c r="H18" s="4">
        <v>16924814.309999999</v>
      </c>
      <c r="I18" s="4"/>
      <c r="K18" s="48" t="e">
        <f t="shared" si="0"/>
        <v>#DIV/0!</v>
      </c>
      <c r="L18" s="48" t="e">
        <f t="shared" si="1"/>
        <v>#DIV/0!</v>
      </c>
      <c r="M18" s="48">
        <f t="shared" si="2"/>
        <v>0.98960221062895293</v>
      </c>
      <c r="N18" s="48" t="e">
        <f t="shared" si="3"/>
        <v>#DIV/0!</v>
      </c>
      <c r="O18" s="6"/>
    </row>
    <row r="19" spans="1:15" x14ac:dyDescent="0.25">
      <c r="A19" s="5">
        <v>2017</v>
      </c>
      <c r="B19" s="4"/>
      <c r="C19" s="4"/>
      <c r="D19" s="4">
        <v>3346020.3930000002</v>
      </c>
      <c r="E19" s="4"/>
      <c r="F19" s="4"/>
      <c r="G19" s="4"/>
      <c r="H19" s="4">
        <v>16667799.73</v>
      </c>
      <c r="I19" s="4"/>
      <c r="K19" s="48" t="e">
        <f t="shared" si="0"/>
        <v>#DIV/0!</v>
      </c>
      <c r="L19" s="48" t="e">
        <f t="shared" si="1"/>
        <v>#DIV/0!</v>
      </c>
      <c r="M19" s="48">
        <f t="shared" si="2"/>
        <v>4.9813801986591777</v>
      </c>
      <c r="N19" s="48" t="e">
        <f t="shared" si="3"/>
        <v>#DIV/0!</v>
      </c>
      <c r="O19" s="6"/>
    </row>
    <row r="20" spans="1:15" x14ac:dyDescent="0.25">
      <c r="A20" s="5">
        <v>2018</v>
      </c>
      <c r="B20" s="4"/>
      <c r="C20" s="4"/>
      <c r="D20" s="4">
        <v>10715029.949999999</v>
      </c>
      <c r="E20" s="4"/>
      <c r="F20" s="4"/>
      <c r="G20" s="4"/>
      <c r="H20" s="4">
        <v>17650816.958999999</v>
      </c>
      <c r="I20" s="4"/>
      <c r="K20" s="48" t="e">
        <f t="shared" si="0"/>
        <v>#DIV/0!</v>
      </c>
      <c r="L20" s="48" t="e">
        <f t="shared" si="1"/>
        <v>#DIV/0!</v>
      </c>
      <c r="M20" s="48">
        <f t="shared" si="2"/>
        <v>1.6472951584237057</v>
      </c>
      <c r="N20" s="48" t="e">
        <f t="shared" si="3"/>
        <v>#DIV/0!</v>
      </c>
      <c r="O20" s="6"/>
    </row>
    <row r="21" spans="1:15" x14ac:dyDescent="0.25">
      <c r="A21" s="5">
        <v>2019</v>
      </c>
      <c r="B21" s="4"/>
      <c r="C21" s="4"/>
      <c r="D21" s="4">
        <v>2219653.3620000002</v>
      </c>
      <c r="E21" s="4"/>
      <c r="F21" s="4"/>
      <c r="G21" s="4"/>
      <c r="H21" s="4">
        <v>9251767.3049999997</v>
      </c>
      <c r="I21" s="4"/>
      <c r="K21" s="48" t="e">
        <f t="shared" si="0"/>
        <v>#DIV/0!</v>
      </c>
      <c r="L21" s="48" t="e">
        <f t="shared" si="1"/>
        <v>#DIV/0!</v>
      </c>
      <c r="M21" s="48">
        <f t="shared" si="2"/>
        <v>4.1681135727714578</v>
      </c>
      <c r="N21" s="48" t="e">
        <f t="shared" si="3"/>
        <v>#DIV/0!</v>
      </c>
      <c r="O21" s="6"/>
    </row>
    <row r="22" spans="1:15" x14ac:dyDescent="0.25">
      <c r="A22" s="5">
        <v>2020</v>
      </c>
      <c r="B22" s="4"/>
      <c r="C22" s="4"/>
      <c r="D22" s="4">
        <v>1338125.1070000001</v>
      </c>
      <c r="E22" s="4"/>
      <c r="F22" s="4"/>
      <c r="G22" s="4"/>
      <c r="H22" s="4">
        <v>5145011.2209999999</v>
      </c>
      <c r="I22" s="4"/>
      <c r="K22" s="48" t="e">
        <f t="shared" si="0"/>
        <v>#DIV/0!</v>
      </c>
      <c r="L22" s="48" t="e">
        <f t="shared" si="1"/>
        <v>#DIV/0!</v>
      </c>
      <c r="M22" s="48">
        <f t="shared" si="2"/>
        <v>3.8449403528006592</v>
      </c>
      <c r="N22" s="48" t="e">
        <f t="shared" si="3"/>
        <v>#DIV/0!</v>
      </c>
      <c r="O22" s="6"/>
    </row>
    <row r="23" spans="1:15" x14ac:dyDescent="0.25">
      <c r="A23" s="5">
        <v>2021</v>
      </c>
      <c r="B23" s="4"/>
      <c r="C23" s="4"/>
      <c r="D23" s="4">
        <v>1759431.4280000001</v>
      </c>
      <c r="E23" s="4"/>
      <c r="F23" s="4"/>
      <c r="G23" s="4"/>
      <c r="H23" s="4">
        <v>5256793.4249999998</v>
      </c>
      <c r="I23" s="4"/>
      <c r="K23" s="48" t="e">
        <f t="shared" si="0"/>
        <v>#DIV/0!</v>
      </c>
      <c r="L23" s="48" t="e">
        <f t="shared" si="1"/>
        <v>#DIV/0!</v>
      </c>
      <c r="M23" s="48">
        <f t="shared" si="2"/>
        <v>2.987779655030693</v>
      </c>
      <c r="N23" s="48" t="e">
        <f t="shared" si="3"/>
        <v>#DIV/0!</v>
      </c>
      <c r="O23" s="6"/>
    </row>
    <row r="24" spans="1:15" x14ac:dyDescent="0.25">
      <c r="A24" s="5">
        <v>2022</v>
      </c>
      <c r="B24" s="4"/>
      <c r="C24" s="4"/>
      <c r="D24" s="4">
        <v>3183759.3530000001</v>
      </c>
      <c r="E24" s="4"/>
      <c r="F24" s="4"/>
      <c r="G24" s="4"/>
      <c r="H24" s="4">
        <v>11170877.620999999</v>
      </c>
      <c r="I24" s="4"/>
      <c r="K24" s="48" t="e">
        <f t="shared" si="0"/>
        <v>#DIV/0!</v>
      </c>
      <c r="L24" s="48" t="e">
        <f t="shared" si="1"/>
        <v>#DIV/0!</v>
      </c>
      <c r="M24" s="48">
        <f t="shared" si="2"/>
        <v>3.5087066522392401</v>
      </c>
      <c r="N24" s="48" t="e">
        <f t="shared" si="3"/>
        <v>#DIV/0!</v>
      </c>
      <c r="O24" s="6"/>
    </row>
    <row r="25" spans="1:15" x14ac:dyDescent="0.25">
      <c r="A25" s="5">
        <v>2023</v>
      </c>
      <c r="B25" s="4"/>
      <c r="C25" s="4"/>
      <c r="D25" s="4">
        <v>2013158.5589999999</v>
      </c>
      <c r="E25" s="4"/>
      <c r="F25" s="4"/>
      <c r="G25" s="4"/>
      <c r="H25" s="4">
        <v>7526748.2759999996</v>
      </c>
      <c r="I25" s="4"/>
      <c r="K25" s="48" t="e">
        <f t="shared" si="0"/>
        <v>#DIV/0!</v>
      </c>
      <c r="L25" s="48" t="e">
        <f t="shared" si="1"/>
        <v>#DIV/0!</v>
      </c>
      <c r="M25" s="48">
        <f t="shared" si="2"/>
        <v>3.7387756877624065</v>
      </c>
      <c r="N25" s="48" t="e">
        <f t="shared" si="3"/>
        <v>#DIV/0!</v>
      </c>
      <c r="O25" s="6"/>
    </row>
    <row r="26" spans="1:15" x14ac:dyDescent="0.25">
      <c r="A26" s="3" t="s">
        <v>124</v>
      </c>
      <c r="B26" s="4"/>
      <c r="C26" s="4"/>
      <c r="D26" s="4">
        <v>241229252.79000002</v>
      </c>
      <c r="E26" s="4"/>
      <c r="F26" s="4"/>
      <c r="G26" s="4"/>
      <c r="H26" s="4">
        <v>1162245267.5799999</v>
      </c>
      <c r="I26" s="4"/>
      <c r="K26" s="48" t="e">
        <f t="shared" si="0"/>
        <v>#DIV/0!</v>
      </c>
      <c r="L26" s="48" t="e">
        <f t="shared" si="1"/>
        <v>#DIV/0!</v>
      </c>
      <c r="M26" s="48">
        <f t="shared" si="2"/>
        <v>4.8180113072429993</v>
      </c>
      <c r="N26" s="48" t="e">
        <f t="shared" si="3"/>
        <v>#DIV/0!</v>
      </c>
      <c r="O26" s="6"/>
    </row>
    <row r="27" spans="1:15" x14ac:dyDescent="0.25">
      <c r="A27" s="5">
        <v>2010</v>
      </c>
      <c r="B27" s="4"/>
      <c r="C27" s="4"/>
      <c r="D27" s="4">
        <v>11012958.02</v>
      </c>
      <c r="E27" s="4"/>
      <c r="F27" s="4"/>
      <c r="G27" s="4"/>
      <c r="H27" s="4">
        <v>40151345.869999997</v>
      </c>
      <c r="I27" s="4"/>
      <c r="K27" s="48" t="e">
        <f t="shared" si="0"/>
        <v>#DIV/0!</v>
      </c>
      <c r="L27" s="48" t="e">
        <f t="shared" si="1"/>
        <v>#DIV/0!</v>
      </c>
      <c r="M27" s="48">
        <f t="shared" si="2"/>
        <v>3.6458275603233434</v>
      </c>
      <c r="N27" s="48" t="e">
        <f t="shared" si="3"/>
        <v>#DIV/0!</v>
      </c>
      <c r="O27" s="6"/>
    </row>
    <row r="28" spans="1:15" x14ac:dyDescent="0.25">
      <c r="A28" s="5">
        <v>2011</v>
      </c>
      <c r="B28" s="4"/>
      <c r="C28" s="4"/>
      <c r="D28" s="4">
        <v>13946306.93</v>
      </c>
      <c r="E28" s="4"/>
      <c r="F28" s="4"/>
      <c r="G28" s="4"/>
      <c r="H28" s="4">
        <v>59706272.079999998</v>
      </c>
      <c r="I28" s="4"/>
      <c r="K28" s="48" t="e">
        <f t="shared" si="0"/>
        <v>#DIV/0!</v>
      </c>
      <c r="L28" s="48" t="e">
        <f t="shared" si="1"/>
        <v>#DIV/0!</v>
      </c>
      <c r="M28" s="48">
        <f t="shared" si="2"/>
        <v>4.2811528800908158</v>
      </c>
      <c r="N28" s="48" t="e">
        <f t="shared" si="3"/>
        <v>#DIV/0!</v>
      </c>
      <c r="O28" s="6"/>
    </row>
    <row r="29" spans="1:15" x14ac:dyDescent="0.25">
      <c r="A29" s="5">
        <v>2012</v>
      </c>
      <c r="B29" s="4"/>
      <c r="C29" s="4"/>
      <c r="D29" s="4">
        <v>14064482.85</v>
      </c>
      <c r="E29" s="4"/>
      <c r="F29" s="4"/>
      <c r="G29" s="4"/>
      <c r="H29" s="4">
        <v>76803279.890000001</v>
      </c>
      <c r="I29" s="4"/>
      <c r="K29" s="48" t="e">
        <f t="shared" si="0"/>
        <v>#DIV/0!</v>
      </c>
      <c r="L29" s="48" t="e">
        <f t="shared" si="1"/>
        <v>#DIV/0!</v>
      </c>
      <c r="M29" s="48">
        <f t="shared" si="2"/>
        <v>5.4607965830752176</v>
      </c>
      <c r="N29" s="48" t="e">
        <f t="shared" si="3"/>
        <v>#DIV/0!</v>
      </c>
      <c r="O29" s="6"/>
    </row>
    <row r="30" spans="1:15" x14ac:dyDescent="0.25">
      <c r="A30" s="5">
        <v>2013</v>
      </c>
      <c r="B30" s="4"/>
      <c r="C30" s="4"/>
      <c r="D30" s="4">
        <v>13043203.880000001</v>
      </c>
      <c r="E30" s="4"/>
      <c r="F30" s="4"/>
      <c r="G30" s="4"/>
      <c r="H30" s="4">
        <v>77146919.969999999</v>
      </c>
      <c r="I30" s="4"/>
      <c r="K30" s="48" t="e">
        <f t="shared" si="0"/>
        <v>#DIV/0!</v>
      </c>
      <c r="L30" s="48" t="e">
        <f t="shared" si="1"/>
        <v>#DIV/0!</v>
      </c>
      <c r="M30" s="48">
        <f t="shared" si="2"/>
        <v>5.9147216189953475</v>
      </c>
      <c r="N30" s="48" t="e">
        <f t="shared" si="3"/>
        <v>#DIV/0!</v>
      </c>
      <c r="O30" s="6"/>
    </row>
    <row r="31" spans="1:15" x14ac:dyDescent="0.25">
      <c r="A31" s="5">
        <v>2014</v>
      </c>
      <c r="B31" s="4"/>
      <c r="C31" s="4"/>
      <c r="D31" s="4">
        <v>10943223.85</v>
      </c>
      <c r="E31" s="4"/>
      <c r="F31" s="4"/>
      <c r="G31" s="4"/>
      <c r="H31" s="4">
        <v>55008296.390000001</v>
      </c>
      <c r="I31" s="4"/>
      <c r="K31" s="48" t="e">
        <f t="shared" si="0"/>
        <v>#DIV/0!</v>
      </c>
      <c r="L31" s="48" t="e">
        <f t="shared" si="1"/>
        <v>#DIV/0!</v>
      </c>
      <c r="M31" s="48">
        <f t="shared" si="2"/>
        <v>5.0266993661104724</v>
      </c>
      <c r="N31" s="48" t="e">
        <f t="shared" si="3"/>
        <v>#DIV/0!</v>
      </c>
      <c r="O31" s="6"/>
    </row>
    <row r="32" spans="1:15" x14ac:dyDescent="0.25">
      <c r="A32" s="5">
        <v>2015</v>
      </c>
      <c r="B32" s="4"/>
      <c r="C32" s="4"/>
      <c r="D32" s="4">
        <v>15278553.75</v>
      </c>
      <c r="E32" s="4"/>
      <c r="F32" s="4"/>
      <c r="G32" s="4"/>
      <c r="H32" s="4">
        <v>63387195.799999997</v>
      </c>
      <c r="I32" s="4"/>
      <c r="K32" s="48" t="e">
        <f t="shared" si="0"/>
        <v>#DIV/0!</v>
      </c>
      <c r="L32" s="48" t="e">
        <f t="shared" si="1"/>
        <v>#DIV/0!</v>
      </c>
      <c r="M32" s="48">
        <f t="shared" si="2"/>
        <v>4.1487693689594147</v>
      </c>
      <c r="N32" s="48" t="e">
        <f t="shared" si="3"/>
        <v>#DIV/0!</v>
      </c>
      <c r="O32" s="6"/>
    </row>
    <row r="33" spans="1:14" x14ac:dyDescent="0.25">
      <c r="A33" s="5">
        <v>2016</v>
      </c>
      <c r="B33" s="4"/>
      <c r="C33" s="4"/>
      <c r="D33" s="4">
        <v>15447464.92</v>
      </c>
      <c r="E33" s="4"/>
      <c r="F33" s="4"/>
      <c r="G33" s="4"/>
      <c r="H33" s="4">
        <v>64930226.590000004</v>
      </c>
      <c r="I33" s="4"/>
      <c r="K33" s="48" t="e">
        <f t="shared" si="0"/>
        <v>#DIV/0!</v>
      </c>
      <c r="L33" s="48" t="e">
        <f t="shared" si="1"/>
        <v>#DIV/0!</v>
      </c>
      <c r="M33" s="48">
        <f t="shared" si="2"/>
        <v>4.2032933511267689</v>
      </c>
      <c r="N33" s="48" t="e">
        <f t="shared" si="3"/>
        <v>#DIV/0!</v>
      </c>
    </row>
    <row r="34" spans="1:14" x14ac:dyDescent="0.25">
      <c r="A34" s="5">
        <v>2017</v>
      </c>
      <c r="B34" s="4"/>
      <c r="C34" s="4"/>
      <c r="D34" s="4">
        <v>16535784.82</v>
      </c>
      <c r="E34" s="4"/>
      <c r="F34" s="4"/>
      <c r="G34" s="4"/>
      <c r="H34" s="4">
        <v>79173179.019999996</v>
      </c>
      <c r="I34" s="4"/>
      <c r="K34" s="48" t="e">
        <f t="shared" si="0"/>
        <v>#DIV/0!</v>
      </c>
      <c r="L34" s="48" t="e">
        <f t="shared" si="1"/>
        <v>#DIV/0!</v>
      </c>
      <c r="M34" s="48">
        <f t="shared" si="2"/>
        <v>4.7879904027440041</v>
      </c>
      <c r="N34" s="48" t="e">
        <f t="shared" si="3"/>
        <v>#DIV/0!</v>
      </c>
    </row>
    <row r="35" spans="1:14" x14ac:dyDescent="0.25">
      <c r="A35" s="5">
        <v>2018</v>
      </c>
      <c r="B35" s="4"/>
      <c r="C35" s="4"/>
      <c r="D35" s="4">
        <v>18152750.879999999</v>
      </c>
      <c r="E35" s="4"/>
      <c r="F35" s="4"/>
      <c r="G35" s="4"/>
      <c r="H35" s="4">
        <v>92857099.260000005</v>
      </c>
      <c r="I35" s="4"/>
      <c r="K35" s="48" t="e">
        <f t="shared" si="0"/>
        <v>#DIV/0!</v>
      </c>
      <c r="L35" s="48" t="e">
        <f t="shared" si="1"/>
        <v>#DIV/0!</v>
      </c>
      <c r="M35" s="48">
        <f t="shared" si="2"/>
        <v>5.115318326893715</v>
      </c>
      <c r="N35" s="48" t="e">
        <f t="shared" si="3"/>
        <v>#DIV/0!</v>
      </c>
    </row>
    <row r="36" spans="1:14" x14ac:dyDescent="0.25">
      <c r="A36" s="5">
        <v>2019</v>
      </c>
      <c r="B36" s="4"/>
      <c r="C36" s="4"/>
      <c r="D36" s="4">
        <v>12315738.560000001</v>
      </c>
      <c r="E36" s="4"/>
      <c r="F36" s="4"/>
      <c r="G36" s="4"/>
      <c r="H36" s="4">
        <v>55822419.170000002</v>
      </c>
      <c r="I36" s="4"/>
      <c r="K36" s="48" t="e">
        <f t="shared" si="0"/>
        <v>#DIV/0!</v>
      </c>
      <c r="L36" s="48" t="e">
        <f t="shared" si="1"/>
        <v>#DIV/0!</v>
      </c>
      <c r="M36" s="48">
        <f t="shared" si="2"/>
        <v>4.5326083286068064</v>
      </c>
      <c r="N36" s="48" t="e">
        <f t="shared" si="3"/>
        <v>#DIV/0!</v>
      </c>
    </row>
    <row r="37" spans="1:14" x14ac:dyDescent="0.25">
      <c r="A37" s="5">
        <v>2020</v>
      </c>
      <c r="B37" s="4"/>
      <c r="C37" s="4"/>
      <c r="D37" s="4">
        <v>13275891.890000001</v>
      </c>
      <c r="E37" s="4"/>
      <c r="F37" s="4"/>
      <c r="G37" s="4"/>
      <c r="H37" s="4">
        <v>57389815.630000003</v>
      </c>
      <c r="I37" s="4"/>
      <c r="K37" s="48" t="e">
        <f t="shared" si="0"/>
        <v>#DIV/0!</v>
      </c>
      <c r="L37" s="48" t="e">
        <f t="shared" si="1"/>
        <v>#DIV/0!</v>
      </c>
      <c r="M37" s="48">
        <f t="shared" si="2"/>
        <v>4.3228595190074266</v>
      </c>
      <c r="N37" s="48" t="e">
        <f t="shared" si="3"/>
        <v>#DIV/0!</v>
      </c>
    </row>
    <row r="38" spans="1:14" x14ac:dyDescent="0.25">
      <c r="A38" s="5">
        <v>2021</v>
      </c>
      <c r="B38" s="4"/>
      <c r="C38" s="4"/>
      <c r="D38" s="4">
        <v>17371385.940000001</v>
      </c>
      <c r="E38" s="4"/>
      <c r="F38" s="4"/>
      <c r="G38" s="4"/>
      <c r="H38" s="4">
        <v>78196511.900000006</v>
      </c>
      <c r="I38" s="4"/>
      <c r="K38" s="48" t="e">
        <f t="shared" si="0"/>
        <v>#DIV/0!</v>
      </c>
      <c r="L38" s="48" t="e">
        <f t="shared" si="1"/>
        <v>#DIV/0!</v>
      </c>
      <c r="M38" s="48">
        <f t="shared" si="2"/>
        <v>4.5014549886858362</v>
      </c>
      <c r="N38" s="48" t="e">
        <f t="shared" si="3"/>
        <v>#DIV/0!</v>
      </c>
    </row>
    <row r="39" spans="1:14" x14ac:dyDescent="0.25">
      <c r="A39" s="5">
        <v>2022</v>
      </c>
      <c r="B39" s="4"/>
      <c r="C39" s="4"/>
      <c r="D39" s="4">
        <v>18781173.140000001</v>
      </c>
      <c r="E39" s="4"/>
      <c r="F39" s="4"/>
      <c r="G39" s="4"/>
      <c r="H39" s="4">
        <v>91649980.219999999</v>
      </c>
      <c r="I39" s="4"/>
      <c r="K39" s="48" t="e">
        <f t="shared" si="0"/>
        <v>#DIV/0!</v>
      </c>
      <c r="L39" s="48" t="e">
        <f t="shared" si="1"/>
        <v>#DIV/0!</v>
      </c>
      <c r="M39" s="48">
        <f t="shared" si="2"/>
        <v>4.8798858056850856</v>
      </c>
      <c r="N39" s="48" t="e">
        <f t="shared" si="3"/>
        <v>#DIV/0!</v>
      </c>
    </row>
    <row r="40" spans="1:14" x14ac:dyDescent="0.25">
      <c r="A40" s="5">
        <v>2023</v>
      </c>
      <c r="B40" s="4"/>
      <c r="C40" s="4"/>
      <c r="D40" s="4">
        <v>16787509.300000001</v>
      </c>
      <c r="E40" s="4"/>
      <c r="F40" s="4"/>
      <c r="G40" s="4"/>
      <c r="H40" s="4">
        <v>90493204.549999997</v>
      </c>
      <c r="I40" s="4"/>
      <c r="K40" s="48" t="e">
        <f t="shared" si="0"/>
        <v>#DIV/0!</v>
      </c>
      <c r="L40" s="48" t="e">
        <f t="shared" si="1"/>
        <v>#DIV/0!</v>
      </c>
      <c r="M40" s="48">
        <f t="shared" si="2"/>
        <v>5.3905080815055744</v>
      </c>
      <c r="N40" s="48" t="e">
        <f t="shared" si="3"/>
        <v>#DIV/0!</v>
      </c>
    </row>
    <row r="41" spans="1:14" x14ac:dyDescent="0.25">
      <c r="A41" s="5">
        <v>2024</v>
      </c>
      <c r="B41" s="4"/>
      <c r="C41" s="4"/>
      <c r="D41" s="4">
        <v>17416507.52</v>
      </c>
      <c r="E41" s="4"/>
      <c r="F41" s="4"/>
      <c r="G41" s="4"/>
      <c r="H41" s="4">
        <v>94673527.739999995</v>
      </c>
      <c r="I41" s="4"/>
      <c r="K41" s="48" t="e">
        <f t="shared" si="0"/>
        <v>#DIV/0!</v>
      </c>
      <c r="L41" s="48" t="e">
        <f t="shared" si="1"/>
        <v>#DIV/0!</v>
      </c>
      <c r="M41" s="48">
        <f t="shared" si="2"/>
        <v>5.4358503064568477</v>
      </c>
      <c r="N41" s="48" t="e">
        <f t="shared" si="3"/>
        <v>#DIV/0!</v>
      </c>
    </row>
    <row r="42" spans="1:14" x14ac:dyDescent="0.25">
      <c r="A42" s="5">
        <v>2025</v>
      </c>
      <c r="B42" s="4"/>
      <c r="C42" s="4"/>
      <c r="D42" s="4">
        <v>16856316.539999999</v>
      </c>
      <c r="E42" s="4"/>
      <c r="F42" s="4"/>
      <c r="G42" s="4"/>
      <c r="H42" s="4">
        <v>84855993.5</v>
      </c>
      <c r="I42" s="4"/>
      <c r="K42" s="48" t="e">
        <f t="shared" si="0"/>
        <v>#DIV/0!</v>
      </c>
      <c r="L42" s="48" t="e">
        <f t="shared" si="1"/>
        <v>#DIV/0!</v>
      </c>
      <c r="M42" s="48">
        <f t="shared" si="2"/>
        <v>5.0340768873577408</v>
      </c>
      <c r="N42" s="48" t="e">
        <f t="shared" si="3"/>
        <v>#DIV/0!</v>
      </c>
    </row>
    <row r="43" spans="1:14" x14ac:dyDescent="0.25">
      <c r="A43" s="3" t="s">
        <v>5</v>
      </c>
      <c r="B43" s="4">
        <v>1155383.77</v>
      </c>
      <c r="C43" s="4">
        <v>150970315.95099998</v>
      </c>
      <c r="D43" s="4">
        <v>682588840.66499996</v>
      </c>
      <c r="E43" s="4">
        <v>2410916.35</v>
      </c>
      <c r="F43" s="4">
        <v>10924669.289999999</v>
      </c>
      <c r="G43" s="4">
        <v>1722960129.3339999</v>
      </c>
      <c r="H43" s="4">
        <v>3630034234.0469999</v>
      </c>
      <c r="I43" s="4">
        <v>3165181.9479999999</v>
      </c>
      <c r="K43" s="48">
        <f t="shared" si="0"/>
        <v>9.4554463838452563</v>
      </c>
      <c r="L43" s="48">
        <f t="shared" si="1"/>
        <v>11.412575501883538</v>
      </c>
      <c r="M43" s="48">
        <f t="shared" si="2"/>
        <v>5.3180392320954208</v>
      </c>
      <c r="N43" s="48">
        <f t="shared" si="3"/>
        <v>1.3128543211381016</v>
      </c>
    </row>
    <row r="44" spans="1:14" x14ac:dyDescent="0.25">
      <c r="A44" s="5">
        <v>2010</v>
      </c>
      <c r="B44" s="4"/>
      <c r="C44" s="4"/>
      <c r="D44" s="4">
        <v>10086560.002</v>
      </c>
      <c r="E44" s="4"/>
      <c r="F44" s="4"/>
      <c r="G44" s="4"/>
      <c r="H44" s="4">
        <v>174485897.94800001</v>
      </c>
      <c r="I44" s="4"/>
      <c r="K44" s="48" t="e">
        <f t="shared" si="0"/>
        <v>#DIV/0!</v>
      </c>
      <c r="L44" s="48" t="e">
        <f t="shared" si="1"/>
        <v>#DIV/0!</v>
      </c>
      <c r="M44" s="48">
        <f t="shared" si="2"/>
        <v>17.298850937624156</v>
      </c>
      <c r="N44" s="48" t="e">
        <f t="shared" si="3"/>
        <v>#DIV/0!</v>
      </c>
    </row>
    <row r="45" spans="1:14" x14ac:dyDescent="0.25">
      <c r="A45" s="5">
        <v>2011</v>
      </c>
      <c r="B45" s="4"/>
      <c r="C45" s="4">
        <v>9368798.8000000007</v>
      </c>
      <c r="D45" s="4">
        <v>43823668.079999998</v>
      </c>
      <c r="E45" s="4"/>
      <c r="F45" s="4"/>
      <c r="G45" s="4">
        <v>174684779.002</v>
      </c>
      <c r="H45" s="4">
        <v>209181513.986</v>
      </c>
      <c r="I45" s="4"/>
      <c r="K45" s="48" t="e">
        <f t="shared" si="0"/>
        <v>#DIV/0!</v>
      </c>
      <c r="L45" s="48">
        <f t="shared" si="1"/>
        <v>18.645376289007295</v>
      </c>
      <c r="M45" s="48">
        <f t="shared" si="2"/>
        <v>4.7732543429303922</v>
      </c>
      <c r="N45" s="48" t="e">
        <f t="shared" si="3"/>
        <v>#DIV/0!</v>
      </c>
    </row>
    <row r="46" spans="1:14" x14ac:dyDescent="0.25">
      <c r="A46" s="5">
        <v>2012</v>
      </c>
      <c r="B46" s="4"/>
      <c r="C46" s="4">
        <v>8510289.8800000008</v>
      </c>
      <c r="D46" s="4">
        <v>45131342.593999997</v>
      </c>
      <c r="E46" s="4"/>
      <c r="F46" s="4"/>
      <c r="G46" s="4">
        <v>165462063.116</v>
      </c>
      <c r="H46" s="4">
        <v>251997661.69299999</v>
      </c>
      <c r="I46" s="4"/>
      <c r="K46" s="48" t="e">
        <f t="shared" si="0"/>
        <v>#DIV/0!</v>
      </c>
      <c r="L46" s="48">
        <f t="shared" si="1"/>
        <v>19.442588378199872</v>
      </c>
      <c r="M46" s="48">
        <f t="shared" si="2"/>
        <v>5.5836508999956473</v>
      </c>
      <c r="N46" s="48" t="e">
        <f t="shared" si="3"/>
        <v>#DIV/0!</v>
      </c>
    </row>
    <row r="47" spans="1:14" x14ac:dyDescent="0.25">
      <c r="A47" s="5">
        <v>2013</v>
      </c>
      <c r="B47" s="4"/>
      <c r="C47" s="4">
        <v>9061239.6799999997</v>
      </c>
      <c r="D47" s="4">
        <v>47036472.314000003</v>
      </c>
      <c r="E47" s="4"/>
      <c r="F47" s="4"/>
      <c r="G47" s="4">
        <v>123247091.242</v>
      </c>
      <c r="H47" s="4">
        <v>268724670.72899997</v>
      </c>
      <c r="I47" s="4"/>
      <c r="K47" s="48" t="e">
        <f t="shared" si="0"/>
        <v>#DIV/0!</v>
      </c>
      <c r="L47" s="48">
        <f t="shared" si="1"/>
        <v>13.601570601209392</v>
      </c>
      <c r="M47" s="48">
        <f t="shared" si="2"/>
        <v>5.7131127720438419</v>
      </c>
      <c r="N47" s="48" t="e">
        <f t="shared" si="3"/>
        <v>#DIV/0!</v>
      </c>
    </row>
    <row r="48" spans="1:14" x14ac:dyDescent="0.25">
      <c r="A48" s="5">
        <v>2014</v>
      </c>
      <c r="B48" s="4"/>
      <c r="C48" s="4">
        <v>10521748.619999999</v>
      </c>
      <c r="D48" s="4">
        <v>48228801.545000002</v>
      </c>
      <c r="E48" s="4">
        <v>2410916.35</v>
      </c>
      <c r="F48" s="4"/>
      <c r="G48" s="4">
        <v>139223855.273</v>
      </c>
      <c r="H48" s="4">
        <v>248967014.118</v>
      </c>
      <c r="I48" s="4">
        <v>3165181.9479999999</v>
      </c>
      <c r="K48" s="48" t="e">
        <f t="shared" si="0"/>
        <v>#DIV/0!</v>
      </c>
      <c r="L48" s="48">
        <f t="shared" si="1"/>
        <v>13.232007368847405</v>
      </c>
      <c r="M48" s="48">
        <f t="shared" si="2"/>
        <v>5.1622061121651699</v>
      </c>
      <c r="N48" s="48">
        <f t="shared" si="3"/>
        <v>1.3128543211381016</v>
      </c>
    </row>
    <row r="49" spans="1:14" x14ac:dyDescent="0.25">
      <c r="A49" s="5">
        <v>2015</v>
      </c>
      <c r="B49" s="4"/>
      <c r="C49" s="4">
        <v>10934851.880000001</v>
      </c>
      <c r="D49" s="4">
        <v>47427401.202</v>
      </c>
      <c r="E49" s="4"/>
      <c r="F49" s="4"/>
      <c r="G49" s="4">
        <v>103677664.721</v>
      </c>
      <c r="H49" s="4">
        <v>217662553.88299999</v>
      </c>
      <c r="I49" s="4"/>
      <c r="K49" s="48" t="e">
        <f t="shared" si="0"/>
        <v>#DIV/0!</v>
      </c>
      <c r="L49" s="48">
        <f t="shared" si="1"/>
        <v>9.4813963516623314</v>
      </c>
      <c r="M49" s="48">
        <f t="shared" si="2"/>
        <v>4.5893839503443257</v>
      </c>
      <c r="N49" s="48" t="e">
        <f t="shared" si="3"/>
        <v>#DIV/0!</v>
      </c>
    </row>
    <row r="50" spans="1:14" x14ac:dyDescent="0.25">
      <c r="A50" s="5">
        <v>2016</v>
      </c>
      <c r="B50" s="4"/>
      <c r="C50" s="4">
        <v>10389454.689999999</v>
      </c>
      <c r="D50" s="4">
        <v>45201397.730999999</v>
      </c>
      <c r="E50" s="4"/>
      <c r="F50" s="4"/>
      <c r="G50" s="4">
        <v>114131654.778</v>
      </c>
      <c r="H50" s="4">
        <v>211505358.542</v>
      </c>
      <c r="I50" s="4"/>
      <c r="K50" s="48" t="e">
        <f t="shared" si="0"/>
        <v>#DIV/0!</v>
      </c>
      <c r="L50" s="48">
        <f t="shared" si="1"/>
        <v>10.985336399595001</v>
      </c>
      <c r="M50" s="48">
        <f t="shared" si="2"/>
        <v>4.6791773962543974</v>
      </c>
      <c r="N50" s="48" t="e">
        <f t="shared" si="3"/>
        <v>#DIV/0!</v>
      </c>
    </row>
    <row r="51" spans="1:14" x14ac:dyDescent="0.25">
      <c r="A51" s="5">
        <v>2017</v>
      </c>
      <c r="B51" s="4"/>
      <c r="C51" s="4">
        <v>10339961.210000001</v>
      </c>
      <c r="D51" s="4">
        <v>45621785.450000003</v>
      </c>
      <c r="E51" s="4"/>
      <c r="F51" s="4"/>
      <c r="G51" s="4">
        <v>112181788.45999999</v>
      </c>
      <c r="H51" s="4">
        <v>226313955.206</v>
      </c>
      <c r="I51" s="4"/>
      <c r="K51" s="48" t="e">
        <f t="shared" si="0"/>
        <v>#DIV/0!</v>
      </c>
      <c r="L51" s="48">
        <f t="shared" si="1"/>
        <v>10.849343259770313</v>
      </c>
      <c r="M51" s="48">
        <f t="shared" si="2"/>
        <v>4.9606553749202291</v>
      </c>
      <c r="N51" s="48" t="e">
        <f t="shared" si="3"/>
        <v>#DIV/0!</v>
      </c>
    </row>
    <row r="52" spans="1:14" x14ac:dyDescent="0.25">
      <c r="A52" s="5">
        <v>2018</v>
      </c>
      <c r="B52" s="4"/>
      <c r="C52" s="4">
        <v>10505594.001</v>
      </c>
      <c r="D52" s="4">
        <v>47119037.060000002</v>
      </c>
      <c r="E52" s="4"/>
      <c r="F52" s="4"/>
      <c r="G52" s="4">
        <v>111157372.016</v>
      </c>
      <c r="H52" s="4">
        <v>241997939.62</v>
      </c>
      <c r="I52" s="4"/>
      <c r="K52" s="48" t="e">
        <f t="shared" si="0"/>
        <v>#DIV/0!</v>
      </c>
      <c r="L52" s="48">
        <f t="shared" si="1"/>
        <v>10.580779345310624</v>
      </c>
      <c r="M52" s="48">
        <f t="shared" si="2"/>
        <v>5.1358846597787409</v>
      </c>
      <c r="N52" s="48" t="e">
        <f t="shared" si="3"/>
        <v>#DIV/0!</v>
      </c>
    </row>
    <row r="53" spans="1:14" x14ac:dyDescent="0.25">
      <c r="A53" s="5">
        <v>2019</v>
      </c>
      <c r="B53" s="4"/>
      <c r="C53" s="4">
        <v>10892036.35</v>
      </c>
      <c r="D53" s="4">
        <v>44130903.68</v>
      </c>
      <c r="E53" s="4"/>
      <c r="F53" s="4"/>
      <c r="G53" s="4">
        <v>118015608.234</v>
      </c>
      <c r="H53" s="4">
        <v>221975622.914</v>
      </c>
      <c r="I53" s="4"/>
      <c r="K53" s="48" t="e">
        <f t="shared" si="0"/>
        <v>#DIV/0!</v>
      </c>
      <c r="L53" s="48">
        <f t="shared" si="1"/>
        <v>10.835036208266052</v>
      </c>
      <c r="M53" s="48">
        <f t="shared" si="2"/>
        <v>5.0299360403670752</v>
      </c>
      <c r="N53" s="48" t="e">
        <f t="shared" si="3"/>
        <v>#DIV/0!</v>
      </c>
    </row>
    <row r="54" spans="1:14" x14ac:dyDescent="0.25">
      <c r="A54" s="5">
        <v>2020</v>
      </c>
      <c r="B54" s="4"/>
      <c r="C54" s="4">
        <v>10622410.220000001</v>
      </c>
      <c r="D54" s="4">
        <v>42613647.479999997</v>
      </c>
      <c r="E54" s="4"/>
      <c r="F54" s="4"/>
      <c r="G54" s="4">
        <v>94282604.255999997</v>
      </c>
      <c r="H54" s="4">
        <v>208391729.50600001</v>
      </c>
      <c r="I54" s="4"/>
      <c r="K54" s="48" t="e">
        <f t="shared" si="0"/>
        <v>#DIV/0!</v>
      </c>
      <c r="L54" s="48">
        <f t="shared" si="1"/>
        <v>8.8758202990959241</v>
      </c>
      <c r="M54" s="48">
        <f t="shared" si="2"/>
        <v>4.8902579767152101</v>
      </c>
      <c r="N54" s="48" t="e">
        <f t="shared" si="3"/>
        <v>#DIV/0!</v>
      </c>
    </row>
    <row r="55" spans="1:14" x14ac:dyDescent="0.25">
      <c r="A55" s="5">
        <v>2021</v>
      </c>
      <c r="B55" s="4"/>
      <c r="C55" s="4">
        <v>9178834.1899999995</v>
      </c>
      <c r="D55" s="4">
        <v>39237307.866999999</v>
      </c>
      <c r="E55" s="4"/>
      <c r="F55" s="4"/>
      <c r="G55" s="4">
        <v>85086192.290999994</v>
      </c>
      <c r="H55" s="4">
        <v>197479798.155</v>
      </c>
      <c r="I55" s="4"/>
      <c r="K55" s="48" t="e">
        <f t="shared" si="0"/>
        <v>#DIV/0!</v>
      </c>
      <c r="L55" s="48">
        <f t="shared" si="1"/>
        <v>9.2698256150762859</v>
      </c>
      <c r="M55" s="48">
        <f t="shared" si="2"/>
        <v>5.0329599274339536</v>
      </c>
      <c r="N55" s="48" t="e">
        <f t="shared" si="3"/>
        <v>#DIV/0!</v>
      </c>
    </row>
    <row r="56" spans="1:14" x14ac:dyDescent="0.25">
      <c r="A56" s="5">
        <v>2022</v>
      </c>
      <c r="B56" s="4"/>
      <c r="C56" s="4">
        <v>9514175.5700000003</v>
      </c>
      <c r="D56" s="4">
        <v>49184165.859999999</v>
      </c>
      <c r="E56" s="4"/>
      <c r="F56" s="4"/>
      <c r="G56" s="4">
        <v>99442246.941</v>
      </c>
      <c r="H56" s="4">
        <v>267407150.33500001</v>
      </c>
      <c r="I56" s="4"/>
      <c r="K56" s="48" t="e">
        <f t="shared" si="0"/>
        <v>#DIV/0!</v>
      </c>
      <c r="L56" s="48">
        <f t="shared" si="1"/>
        <v>10.452008816671437</v>
      </c>
      <c r="M56" s="48">
        <f t="shared" si="2"/>
        <v>5.4368544359613544</v>
      </c>
      <c r="N56" s="48" t="e">
        <f t="shared" si="3"/>
        <v>#DIV/0!</v>
      </c>
    </row>
    <row r="57" spans="1:14" x14ac:dyDescent="0.25">
      <c r="A57" s="5">
        <v>2023</v>
      </c>
      <c r="B57" s="4"/>
      <c r="C57" s="4">
        <v>9866536.4399999995</v>
      </c>
      <c r="D57" s="4">
        <v>39286599.759999998</v>
      </c>
      <c r="E57" s="4"/>
      <c r="F57" s="4"/>
      <c r="G57" s="4">
        <v>98340247.398000002</v>
      </c>
      <c r="H57" s="4">
        <v>214327035.82300001</v>
      </c>
      <c r="I57" s="4"/>
      <c r="K57" s="48" t="e">
        <f t="shared" si="0"/>
        <v>#DIV/0!</v>
      </c>
      <c r="L57" s="48">
        <f t="shared" si="1"/>
        <v>9.9670485175849617</v>
      </c>
      <c r="M57" s="48">
        <f t="shared" si="2"/>
        <v>5.4554743126743945</v>
      </c>
      <c r="N57" s="48" t="e">
        <f t="shared" si="3"/>
        <v>#DIV/0!</v>
      </c>
    </row>
    <row r="58" spans="1:14" x14ac:dyDescent="0.25">
      <c r="A58" s="5">
        <v>2024</v>
      </c>
      <c r="B58" s="4"/>
      <c r="C58" s="4">
        <v>9849311.1699999999</v>
      </c>
      <c r="D58" s="4">
        <v>47754260.25</v>
      </c>
      <c r="E58" s="4"/>
      <c r="F58" s="4"/>
      <c r="G58" s="4">
        <v>82898083.017000005</v>
      </c>
      <c r="H58" s="4">
        <v>252592809.68700001</v>
      </c>
      <c r="I58" s="4"/>
      <c r="K58" s="48" t="e">
        <f t="shared" si="0"/>
        <v>#DIV/0!</v>
      </c>
      <c r="L58" s="48">
        <f t="shared" si="1"/>
        <v>8.4166376293906868</v>
      </c>
      <c r="M58" s="48">
        <f t="shared" si="2"/>
        <v>5.2894298511722839</v>
      </c>
      <c r="N58" s="48" t="e">
        <f t="shared" si="3"/>
        <v>#DIV/0!</v>
      </c>
    </row>
    <row r="59" spans="1:14" x14ac:dyDescent="0.25">
      <c r="A59" s="5">
        <v>2025</v>
      </c>
      <c r="B59" s="4">
        <v>1155383.77</v>
      </c>
      <c r="C59" s="4">
        <v>11415073.25</v>
      </c>
      <c r="D59" s="4">
        <v>40705489.789999999</v>
      </c>
      <c r="E59" s="4"/>
      <c r="F59" s="4">
        <v>10924669.289999999</v>
      </c>
      <c r="G59" s="4">
        <v>101128878.589</v>
      </c>
      <c r="H59" s="4">
        <v>217023521.90200001</v>
      </c>
      <c r="I59" s="4"/>
      <c r="K59" s="48">
        <f t="shared" si="0"/>
        <v>9.4554463838452563</v>
      </c>
      <c r="L59" s="48">
        <f t="shared" si="1"/>
        <v>8.859240442368602</v>
      </c>
      <c r="M59" s="48">
        <f t="shared" si="2"/>
        <v>5.3315541225919745</v>
      </c>
      <c r="N59" s="48" t="e">
        <f t="shared" si="3"/>
        <v>#DIV/0!</v>
      </c>
    </row>
    <row r="60" spans="1:14" x14ac:dyDescent="0.25">
      <c r="A60" s="3" t="s">
        <v>8</v>
      </c>
      <c r="B60" s="4"/>
      <c r="C60" s="4"/>
      <c r="D60" s="4">
        <v>72376282.282000005</v>
      </c>
      <c r="E60" s="4">
        <v>8671851.0720000006</v>
      </c>
      <c r="F60" s="4"/>
      <c r="G60" s="4"/>
      <c r="H60" s="4">
        <v>497453744.74800003</v>
      </c>
      <c r="I60" s="4">
        <v>46199247.788000003</v>
      </c>
      <c r="K60" s="48" t="e">
        <f t="shared" si="0"/>
        <v>#DIV/0!</v>
      </c>
      <c r="L60" s="48" t="e">
        <f t="shared" si="1"/>
        <v>#DIV/0!</v>
      </c>
      <c r="M60" s="48">
        <f t="shared" si="2"/>
        <v>6.8731596741839951</v>
      </c>
      <c r="N60" s="48">
        <f t="shared" si="3"/>
        <v>5.3274955259748262</v>
      </c>
    </row>
    <row r="61" spans="1:14" x14ac:dyDescent="0.25">
      <c r="A61" s="5">
        <v>2010</v>
      </c>
      <c r="B61" s="4"/>
      <c r="C61" s="4"/>
      <c r="D61" s="4">
        <v>7818600</v>
      </c>
      <c r="E61" s="4"/>
      <c r="F61" s="4"/>
      <c r="G61" s="4"/>
      <c r="H61" s="4">
        <v>42334771.177000001</v>
      </c>
      <c r="I61" s="4"/>
      <c r="K61" s="48" t="e">
        <f t="shared" si="0"/>
        <v>#DIV/0!</v>
      </c>
      <c r="L61" s="48" t="e">
        <f t="shared" si="1"/>
        <v>#DIV/0!</v>
      </c>
      <c r="M61" s="48">
        <f t="shared" si="2"/>
        <v>5.4146229730386519</v>
      </c>
      <c r="N61" s="48" t="e">
        <f t="shared" si="3"/>
        <v>#DIV/0!</v>
      </c>
    </row>
    <row r="62" spans="1:14" x14ac:dyDescent="0.25">
      <c r="A62" s="5">
        <v>2011</v>
      </c>
      <c r="B62" s="4"/>
      <c r="C62" s="4"/>
      <c r="D62" s="4">
        <v>10250300</v>
      </c>
      <c r="E62" s="4"/>
      <c r="F62" s="4"/>
      <c r="G62" s="4"/>
      <c r="H62" s="4">
        <v>60072844.398999996</v>
      </c>
      <c r="I62" s="4"/>
      <c r="K62" s="48" t="e">
        <f t="shared" si="0"/>
        <v>#DIV/0!</v>
      </c>
      <c r="L62" s="48" t="e">
        <f t="shared" si="1"/>
        <v>#DIV/0!</v>
      </c>
      <c r="M62" s="48">
        <f t="shared" si="2"/>
        <v>5.8605937776455317</v>
      </c>
      <c r="N62" s="48" t="e">
        <f t="shared" si="3"/>
        <v>#DIV/0!</v>
      </c>
    </row>
    <row r="63" spans="1:14" x14ac:dyDescent="0.25">
      <c r="A63" s="5">
        <v>2012</v>
      </c>
      <c r="B63" s="4"/>
      <c r="C63" s="4"/>
      <c r="D63" s="4">
        <v>9765300</v>
      </c>
      <c r="E63" s="4"/>
      <c r="F63" s="4"/>
      <c r="G63" s="4"/>
      <c r="H63" s="4">
        <v>66392009.954999998</v>
      </c>
      <c r="I63" s="4"/>
      <c r="K63" s="48" t="e">
        <f t="shared" si="0"/>
        <v>#DIV/0!</v>
      </c>
      <c r="L63" s="48" t="e">
        <f t="shared" si="1"/>
        <v>#DIV/0!</v>
      </c>
      <c r="M63" s="48">
        <f t="shared" si="2"/>
        <v>6.7987680823937815</v>
      </c>
      <c r="N63" s="48" t="e">
        <f t="shared" si="3"/>
        <v>#DIV/0!</v>
      </c>
    </row>
    <row r="64" spans="1:14" x14ac:dyDescent="0.25">
      <c r="A64" s="5">
        <v>2013</v>
      </c>
      <c r="B64" s="4"/>
      <c r="C64" s="4"/>
      <c r="D64" s="4">
        <v>8284100</v>
      </c>
      <c r="E64" s="4"/>
      <c r="F64" s="4"/>
      <c r="G64" s="4"/>
      <c r="H64" s="4">
        <v>68888416.197999999</v>
      </c>
      <c r="I64" s="4"/>
      <c r="K64" s="48" t="e">
        <f t="shared" si="0"/>
        <v>#DIV/0!</v>
      </c>
      <c r="L64" s="48" t="e">
        <f t="shared" si="1"/>
        <v>#DIV/0!</v>
      </c>
      <c r="M64" s="48">
        <f t="shared" si="2"/>
        <v>8.3157393317318711</v>
      </c>
      <c r="N64" s="48" t="e">
        <f t="shared" si="3"/>
        <v>#DIV/0!</v>
      </c>
    </row>
    <row r="65" spans="1:14" x14ac:dyDescent="0.25">
      <c r="A65" s="5">
        <v>2014</v>
      </c>
      <c r="B65" s="4"/>
      <c r="C65" s="4"/>
      <c r="D65" s="4">
        <v>5950100</v>
      </c>
      <c r="E65" s="4"/>
      <c r="F65" s="4"/>
      <c r="G65" s="4"/>
      <c r="H65" s="4">
        <v>55266631.259000003</v>
      </c>
      <c r="I65" s="4"/>
      <c r="K65" s="48" t="e">
        <f t="shared" si="0"/>
        <v>#DIV/0!</v>
      </c>
      <c r="L65" s="48" t="e">
        <f t="shared" si="1"/>
        <v>#DIV/0!</v>
      </c>
      <c r="M65" s="48">
        <f t="shared" si="2"/>
        <v>9.2883533485151517</v>
      </c>
      <c r="N65" s="48" t="e">
        <f t="shared" si="3"/>
        <v>#DIV/0!</v>
      </c>
    </row>
    <row r="66" spans="1:14" x14ac:dyDescent="0.25">
      <c r="A66" s="5">
        <v>2015</v>
      </c>
      <c r="B66" s="4"/>
      <c r="C66" s="4"/>
      <c r="D66" s="4">
        <v>7132162</v>
      </c>
      <c r="E66" s="4"/>
      <c r="F66" s="4"/>
      <c r="G66" s="4"/>
      <c r="H66" s="4">
        <v>52949775.395999998</v>
      </c>
      <c r="I66" s="4"/>
      <c r="K66" s="48" t="e">
        <f t="shared" si="0"/>
        <v>#DIV/0!</v>
      </c>
      <c r="L66" s="48" t="e">
        <f t="shared" si="1"/>
        <v>#DIV/0!</v>
      </c>
      <c r="M66" s="48">
        <f t="shared" si="2"/>
        <v>7.424084786071881</v>
      </c>
      <c r="N66" s="48" t="e">
        <f t="shared" si="3"/>
        <v>#DIV/0!</v>
      </c>
    </row>
    <row r="67" spans="1:14" x14ac:dyDescent="0.25">
      <c r="A67" s="5">
        <v>2016</v>
      </c>
      <c r="B67" s="4"/>
      <c r="C67" s="4"/>
      <c r="D67" s="4">
        <v>7405216</v>
      </c>
      <c r="E67" s="4"/>
      <c r="F67" s="4"/>
      <c r="G67" s="4"/>
      <c r="H67" s="4">
        <v>54031750.322999999</v>
      </c>
      <c r="I67" s="4"/>
      <c r="K67" s="48" t="e">
        <f t="shared" si="0"/>
        <v>#DIV/0!</v>
      </c>
      <c r="L67" s="48" t="e">
        <f t="shared" si="1"/>
        <v>#DIV/0!</v>
      </c>
      <c r="M67" s="48">
        <f t="shared" si="2"/>
        <v>7.2964448738564815</v>
      </c>
      <c r="N67" s="48" t="e">
        <f t="shared" si="3"/>
        <v>#DIV/0!</v>
      </c>
    </row>
    <row r="68" spans="1:14" x14ac:dyDescent="0.25">
      <c r="A68" s="5">
        <v>2017</v>
      </c>
      <c r="B68" s="4"/>
      <c r="C68" s="4"/>
      <c r="D68" s="4">
        <v>5386879</v>
      </c>
      <c r="E68" s="4"/>
      <c r="F68" s="4"/>
      <c r="G68" s="4"/>
      <c r="H68" s="4">
        <v>31270704.548</v>
      </c>
      <c r="I68" s="4"/>
      <c r="K68" s="48" t="e">
        <f t="shared" si="0"/>
        <v>#DIV/0!</v>
      </c>
      <c r="L68" s="48" t="e">
        <f t="shared" si="1"/>
        <v>#DIV/0!</v>
      </c>
      <c r="M68" s="48">
        <f t="shared" si="2"/>
        <v>5.8049762298354946</v>
      </c>
      <c r="N68" s="48" t="e">
        <f t="shared" si="3"/>
        <v>#DIV/0!</v>
      </c>
    </row>
    <row r="69" spans="1:14" x14ac:dyDescent="0.25">
      <c r="A69" s="5">
        <v>2022</v>
      </c>
      <c r="B69" s="4"/>
      <c r="C69" s="4"/>
      <c r="D69" s="4">
        <v>10383625.282</v>
      </c>
      <c r="E69" s="4">
        <v>8671851.0720000006</v>
      </c>
      <c r="F69" s="4"/>
      <c r="G69" s="4"/>
      <c r="H69" s="4">
        <v>66246841.493000001</v>
      </c>
      <c r="I69" s="4">
        <v>46199247.788000003</v>
      </c>
      <c r="K69" s="48" t="e">
        <f t="shared" si="0"/>
        <v>#DIV/0!</v>
      </c>
      <c r="L69" s="48" t="e">
        <f t="shared" si="1"/>
        <v>#DIV/0!</v>
      </c>
      <c r="M69" s="48">
        <f t="shared" si="2"/>
        <v>6.3799337604987354</v>
      </c>
      <c r="N69" s="48">
        <f t="shared" si="3"/>
        <v>5.3274955259748262</v>
      </c>
    </row>
    <row r="70" spans="1:14" x14ac:dyDescent="0.25">
      <c r="A70" s="3" t="s">
        <v>123</v>
      </c>
      <c r="B70" s="4"/>
      <c r="C70" s="4"/>
      <c r="D70" s="4">
        <v>846376.74</v>
      </c>
      <c r="E70" s="4"/>
      <c r="F70" s="4"/>
      <c r="G70" s="4"/>
      <c r="H70" s="4">
        <v>4752134.7089999998</v>
      </c>
      <c r="I70" s="4"/>
      <c r="K70" s="48" t="e">
        <f t="shared" si="0"/>
        <v>#DIV/0!</v>
      </c>
      <c r="L70" s="48" t="e">
        <f t="shared" si="1"/>
        <v>#DIV/0!</v>
      </c>
      <c r="M70" s="48">
        <f t="shared" si="2"/>
        <v>5.6146801824917825</v>
      </c>
      <c r="N70" s="48" t="e">
        <f t="shared" si="3"/>
        <v>#DIV/0!</v>
      </c>
    </row>
    <row r="71" spans="1:14" x14ac:dyDescent="0.25">
      <c r="A71" s="5">
        <v>2017</v>
      </c>
      <c r="B71" s="4"/>
      <c r="C71" s="4"/>
      <c r="D71" s="4">
        <v>846376.74</v>
      </c>
      <c r="E71" s="4"/>
      <c r="F71" s="4"/>
      <c r="G71" s="4"/>
      <c r="H71" s="4">
        <v>4752134.7089999998</v>
      </c>
      <c r="I71" s="4"/>
      <c r="K71" s="48" t="e">
        <f t="shared" ref="K71:K134" si="4">F71/B71</f>
        <v>#DIV/0!</v>
      </c>
      <c r="L71" s="48" t="e">
        <f t="shared" ref="L71:L134" si="5">G71/C71</f>
        <v>#DIV/0!</v>
      </c>
      <c r="M71" s="48">
        <f t="shared" ref="M71:M134" si="6">H71/D71</f>
        <v>5.6146801824917825</v>
      </c>
      <c r="N71" s="48" t="e">
        <f t="shared" ref="N71:N134" si="7">I71/E71</f>
        <v>#DIV/0!</v>
      </c>
    </row>
    <row r="72" spans="1:14" x14ac:dyDescent="0.25">
      <c r="A72" s="3" t="s">
        <v>122</v>
      </c>
      <c r="B72" s="4"/>
      <c r="C72" s="4"/>
      <c r="D72" s="4">
        <v>28619088.144000001</v>
      </c>
      <c r="E72" s="4"/>
      <c r="F72" s="4"/>
      <c r="G72" s="4"/>
      <c r="H72" s="4">
        <v>76929846</v>
      </c>
      <c r="I72" s="4"/>
      <c r="K72" s="48" t="e">
        <f t="shared" si="4"/>
        <v>#DIV/0!</v>
      </c>
      <c r="L72" s="48" t="e">
        <f t="shared" si="5"/>
        <v>#DIV/0!</v>
      </c>
      <c r="M72" s="48">
        <f t="shared" si="6"/>
        <v>2.6880606961661133</v>
      </c>
      <c r="N72" s="48" t="e">
        <f t="shared" si="7"/>
        <v>#DIV/0!</v>
      </c>
    </row>
    <row r="73" spans="1:14" x14ac:dyDescent="0.25">
      <c r="A73" s="5">
        <v>2011</v>
      </c>
      <c r="B73" s="4"/>
      <c r="C73" s="4"/>
      <c r="D73" s="4">
        <v>1106459</v>
      </c>
      <c r="E73" s="4"/>
      <c r="F73" s="4"/>
      <c r="G73" s="4"/>
      <c r="H73" s="4">
        <v>3803367.5</v>
      </c>
      <c r="I73" s="4"/>
      <c r="K73" s="48" t="e">
        <f t="shared" si="4"/>
        <v>#DIV/0!</v>
      </c>
      <c r="L73" s="48" t="e">
        <f t="shared" si="5"/>
        <v>#DIV/0!</v>
      </c>
      <c r="M73" s="48">
        <f t="shared" si="6"/>
        <v>3.4374228959229396</v>
      </c>
      <c r="N73" s="48" t="e">
        <f t="shared" si="7"/>
        <v>#DIV/0!</v>
      </c>
    </row>
    <row r="74" spans="1:14" x14ac:dyDescent="0.25">
      <c r="A74" s="5">
        <v>2012</v>
      </c>
      <c r="B74" s="4"/>
      <c r="C74" s="4"/>
      <c r="D74" s="4">
        <v>1054128</v>
      </c>
      <c r="E74" s="4"/>
      <c r="F74" s="4"/>
      <c r="G74" s="4"/>
      <c r="H74" s="4">
        <v>4604204</v>
      </c>
      <c r="I74" s="4"/>
      <c r="K74" s="48" t="e">
        <f t="shared" si="4"/>
        <v>#DIV/0!</v>
      </c>
      <c r="L74" s="48" t="e">
        <f t="shared" si="5"/>
        <v>#DIV/0!</v>
      </c>
      <c r="M74" s="48">
        <f t="shared" si="6"/>
        <v>4.3677845574730965</v>
      </c>
      <c r="N74" s="48" t="e">
        <f t="shared" si="7"/>
        <v>#DIV/0!</v>
      </c>
    </row>
    <row r="75" spans="1:14" x14ac:dyDescent="0.25">
      <c r="A75" s="5">
        <v>2013</v>
      </c>
      <c r="B75" s="4"/>
      <c r="C75" s="4"/>
      <c r="D75" s="4">
        <v>791501</v>
      </c>
      <c r="E75" s="4"/>
      <c r="F75" s="4"/>
      <c r="G75" s="4"/>
      <c r="H75" s="4">
        <v>3311613</v>
      </c>
      <c r="I75" s="4"/>
      <c r="K75" s="48" t="e">
        <f t="shared" si="4"/>
        <v>#DIV/0!</v>
      </c>
      <c r="L75" s="48" t="e">
        <f t="shared" si="5"/>
        <v>#DIV/0!</v>
      </c>
      <c r="M75" s="48">
        <f t="shared" si="6"/>
        <v>4.1839656551286728</v>
      </c>
      <c r="N75" s="48" t="e">
        <f t="shared" si="7"/>
        <v>#DIV/0!</v>
      </c>
    </row>
    <row r="76" spans="1:14" x14ac:dyDescent="0.25">
      <c r="A76" s="5">
        <v>2014</v>
      </c>
      <c r="B76" s="4"/>
      <c r="C76" s="4"/>
      <c r="D76" s="4">
        <v>1147553</v>
      </c>
      <c r="E76" s="4"/>
      <c r="F76" s="4"/>
      <c r="G76" s="4"/>
      <c r="H76" s="4">
        <v>4424744.5</v>
      </c>
      <c r="I76" s="4"/>
      <c r="K76" s="48" t="e">
        <f t="shared" si="4"/>
        <v>#DIV/0!</v>
      </c>
      <c r="L76" s="48" t="e">
        <f t="shared" si="5"/>
        <v>#DIV/0!</v>
      </c>
      <c r="M76" s="48">
        <f t="shared" si="6"/>
        <v>3.8558084027491542</v>
      </c>
      <c r="N76" s="48" t="e">
        <f t="shared" si="7"/>
        <v>#DIV/0!</v>
      </c>
    </row>
    <row r="77" spans="1:14" x14ac:dyDescent="0.25">
      <c r="A77" s="5">
        <v>2015</v>
      </c>
      <c r="B77" s="4"/>
      <c r="C77" s="4"/>
      <c r="D77" s="4">
        <v>1316539</v>
      </c>
      <c r="E77" s="4"/>
      <c r="F77" s="4"/>
      <c r="G77" s="4"/>
      <c r="H77" s="4">
        <v>4512265</v>
      </c>
      <c r="I77" s="4"/>
      <c r="K77" s="48" t="e">
        <f t="shared" si="4"/>
        <v>#DIV/0!</v>
      </c>
      <c r="L77" s="48" t="e">
        <f t="shared" si="5"/>
        <v>#DIV/0!</v>
      </c>
      <c r="M77" s="48">
        <f t="shared" si="6"/>
        <v>3.427369033503755</v>
      </c>
      <c r="N77" s="48" t="e">
        <f t="shared" si="7"/>
        <v>#DIV/0!</v>
      </c>
    </row>
    <row r="78" spans="1:14" x14ac:dyDescent="0.25">
      <c r="A78" s="5">
        <v>2016</v>
      </c>
      <c r="B78" s="4"/>
      <c r="C78" s="4"/>
      <c r="D78" s="4">
        <v>1816273</v>
      </c>
      <c r="E78" s="4"/>
      <c r="F78" s="4"/>
      <c r="G78" s="4"/>
      <c r="H78" s="4">
        <v>4696343.5</v>
      </c>
      <c r="I78" s="4"/>
      <c r="K78" s="48" t="e">
        <f t="shared" si="4"/>
        <v>#DIV/0!</v>
      </c>
      <c r="L78" s="48" t="e">
        <f t="shared" si="5"/>
        <v>#DIV/0!</v>
      </c>
      <c r="M78" s="48">
        <f t="shared" si="6"/>
        <v>2.5857035258466099</v>
      </c>
      <c r="N78" s="48" t="e">
        <f t="shared" si="7"/>
        <v>#DIV/0!</v>
      </c>
    </row>
    <row r="79" spans="1:14" x14ac:dyDescent="0.25">
      <c r="A79" s="5">
        <v>2017</v>
      </c>
      <c r="B79" s="4"/>
      <c r="C79" s="4"/>
      <c r="D79" s="4">
        <v>2448591</v>
      </c>
      <c r="E79" s="4"/>
      <c r="F79" s="4"/>
      <c r="G79" s="4"/>
      <c r="H79" s="4">
        <v>5924212</v>
      </c>
      <c r="I79" s="4"/>
      <c r="K79" s="48" t="e">
        <f t="shared" si="4"/>
        <v>#DIV/0!</v>
      </c>
      <c r="L79" s="48" t="e">
        <f t="shared" si="5"/>
        <v>#DIV/0!</v>
      </c>
      <c r="M79" s="48">
        <f t="shared" si="6"/>
        <v>2.4194371375211294</v>
      </c>
      <c r="N79" s="48" t="e">
        <f t="shared" si="7"/>
        <v>#DIV/0!</v>
      </c>
    </row>
    <row r="80" spans="1:14" x14ac:dyDescent="0.25">
      <c r="A80" s="5">
        <v>2018</v>
      </c>
      <c r="B80" s="4"/>
      <c r="C80" s="4"/>
      <c r="D80" s="4">
        <v>2461028</v>
      </c>
      <c r="E80" s="4"/>
      <c r="F80" s="4"/>
      <c r="G80" s="4"/>
      <c r="H80" s="4">
        <v>6564805</v>
      </c>
      <c r="I80" s="4"/>
      <c r="K80" s="48" t="e">
        <f t="shared" si="4"/>
        <v>#DIV/0!</v>
      </c>
      <c r="L80" s="48" t="e">
        <f t="shared" si="5"/>
        <v>#DIV/0!</v>
      </c>
      <c r="M80" s="48">
        <f t="shared" si="6"/>
        <v>2.6675052051419161</v>
      </c>
      <c r="N80" s="48" t="e">
        <f t="shared" si="7"/>
        <v>#DIV/0!</v>
      </c>
    </row>
    <row r="81" spans="1:14" x14ac:dyDescent="0.25">
      <c r="A81" s="5">
        <v>2019</v>
      </c>
      <c r="B81" s="4"/>
      <c r="C81" s="4"/>
      <c r="D81" s="4">
        <v>2191491</v>
      </c>
      <c r="E81" s="4"/>
      <c r="F81" s="4"/>
      <c r="G81" s="4"/>
      <c r="H81" s="4">
        <v>5760268.5</v>
      </c>
      <c r="I81" s="4"/>
      <c r="K81" s="48" t="e">
        <f t="shared" si="4"/>
        <v>#DIV/0!</v>
      </c>
      <c r="L81" s="48" t="e">
        <f t="shared" si="5"/>
        <v>#DIV/0!</v>
      </c>
      <c r="M81" s="48">
        <f t="shared" si="6"/>
        <v>2.6284700690078124</v>
      </c>
      <c r="N81" s="48" t="e">
        <f t="shared" si="7"/>
        <v>#DIV/0!</v>
      </c>
    </row>
    <row r="82" spans="1:14" x14ac:dyDescent="0.25">
      <c r="A82" s="5">
        <v>2020</v>
      </c>
      <c r="B82" s="4"/>
      <c r="C82" s="4"/>
      <c r="D82" s="4">
        <v>2954488.1439999999</v>
      </c>
      <c r="E82" s="4"/>
      <c r="F82" s="4"/>
      <c r="G82" s="4"/>
      <c r="H82" s="4">
        <v>6984782.5</v>
      </c>
      <c r="I82" s="4"/>
      <c r="K82" s="48" t="e">
        <f t="shared" si="4"/>
        <v>#DIV/0!</v>
      </c>
      <c r="L82" s="48" t="e">
        <f t="shared" si="5"/>
        <v>#DIV/0!</v>
      </c>
      <c r="M82" s="48">
        <f t="shared" si="6"/>
        <v>2.3641260887049951</v>
      </c>
      <c r="N82" s="48" t="e">
        <f t="shared" si="7"/>
        <v>#DIV/0!</v>
      </c>
    </row>
    <row r="83" spans="1:14" x14ac:dyDescent="0.25">
      <c r="A83" s="5">
        <v>2021</v>
      </c>
      <c r="B83" s="4"/>
      <c r="C83" s="4"/>
      <c r="D83" s="4">
        <v>2920006</v>
      </c>
      <c r="E83" s="4"/>
      <c r="F83" s="4"/>
      <c r="G83" s="4"/>
      <c r="H83" s="4">
        <v>6930788</v>
      </c>
      <c r="I83" s="4"/>
      <c r="K83" s="48" t="e">
        <f t="shared" si="4"/>
        <v>#DIV/0!</v>
      </c>
      <c r="L83" s="48" t="e">
        <f t="shared" si="5"/>
        <v>#DIV/0!</v>
      </c>
      <c r="M83" s="48">
        <f t="shared" si="6"/>
        <v>2.3735526570835814</v>
      </c>
      <c r="N83" s="48" t="e">
        <f t="shared" si="7"/>
        <v>#DIV/0!</v>
      </c>
    </row>
    <row r="84" spans="1:14" x14ac:dyDescent="0.25">
      <c r="A84" s="5">
        <v>2022</v>
      </c>
      <c r="B84" s="4"/>
      <c r="C84" s="4"/>
      <c r="D84" s="4">
        <v>3651993</v>
      </c>
      <c r="E84" s="4"/>
      <c r="F84" s="4"/>
      <c r="G84" s="4"/>
      <c r="H84" s="4">
        <v>8380803</v>
      </c>
      <c r="I84" s="4"/>
      <c r="K84" s="48" t="e">
        <f t="shared" si="4"/>
        <v>#DIV/0!</v>
      </c>
      <c r="L84" s="48" t="e">
        <f t="shared" si="5"/>
        <v>#DIV/0!</v>
      </c>
      <c r="M84" s="48">
        <f t="shared" si="6"/>
        <v>2.2948573559697403</v>
      </c>
      <c r="N84" s="48" t="e">
        <f t="shared" si="7"/>
        <v>#DIV/0!</v>
      </c>
    </row>
    <row r="85" spans="1:14" x14ac:dyDescent="0.25">
      <c r="A85" s="5">
        <v>2023</v>
      </c>
      <c r="B85" s="4"/>
      <c r="C85" s="4"/>
      <c r="D85" s="4">
        <v>2688446</v>
      </c>
      <c r="E85" s="4"/>
      <c r="F85" s="4"/>
      <c r="G85" s="4"/>
      <c r="H85" s="4">
        <v>4919596.5</v>
      </c>
      <c r="I85" s="4"/>
      <c r="K85" s="48" t="e">
        <f t="shared" si="4"/>
        <v>#DIV/0!</v>
      </c>
      <c r="L85" s="48" t="e">
        <f t="shared" si="5"/>
        <v>#DIV/0!</v>
      </c>
      <c r="M85" s="48">
        <f t="shared" si="6"/>
        <v>1.8299034088837938</v>
      </c>
      <c r="N85" s="48" t="e">
        <f t="shared" si="7"/>
        <v>#DIV/0!</v>
      </c>
    </row>
    <row r="86" spans="1:14" x14ac:dyDescent="0.25">
      <c r="A86" s="5">
        <v>2024</v>
      </c>
      <c r="B86" s="4"/>
      <c r="C86" s="4"/>
      <c r="D86" s="4">
        <v>2070592</v>
      </c>
      <c r="E86" s="4"/>
      <c r="F86" s="4"/>
      <c r="G86" s="4"/>
      <c r="H86" s="4">
        <v>6112053</v>
      </c>
      <c r="I86" s="4"/>
      <c r="K86" s="48" t="e">
        <f t="shared" si="4"/>
        <v>#DIV/0!</v>
      </c>
      <c r="L86" s="48" t="e">
        <f t="shared" si="5"/>
        <v>#DIV/0!</v>
      </c>
      <c r="M86" s="48">
        <f t="shared" si="6"/>
        <v>2.951838411430161</v>
      </c>
      <c r="N86" s="48" t="e">
        <f t="shared" si="7"/>
        <v>#DIV/0!</v>
      </c>
    </row>
    <row r="87" spans="1:14" x14ac:dyDescent="0.25">
      <c r="A87" s="3" t="s">
        <v>9</v>
      </c>
      <c r="B87" s="4">
        <v>8883926.2599999998</v>
      </c>
      <c r="C87" s="4"/>
      <c r="D87" s="4">
        <v>226732466.15100002</v>
      </c>
      <c r="E87" s="4">
        <v>5152731.459999999</v>
      </c>
      <c r="F87" s="4">
        <v>92486363.209000006</v>
      </c>
      <c r="G87" s="4"/>
      <c r="H87" s="4">
        <v>1233448108.924</v>
      </c>
      <c r="I87" s="4">
        <v>34709526.883000001</v>
      </c>
      <c r="K87" s="48">
        <f t="shared" si="4"/>
        <v>10.410528014558285</v>
      </c>
      <c r="L87" s="48" t="e">
        <f t="shared" si="5"/>
        <v>#DIV/0!</v>
      </c>
      <c r="M87" s="48">
        <f t="shared" si="6"/>
        <v>5.4401036157854179</v>
      </c>
      <c r="N87" s="48">
        <f t="shared" si="7"/>
        <v>6.7361412393495872</v>
      </c>
    </row>
    <row r="88" spans="1:14" x14ac:dyDescent="0.25">
      <c r="A88" s="5">
        <v>2010</v>
      </c>
      <c r="B88" s="4"/>
      <c r="C88" s="4"/>
      <c r="D88" s="4">
        <v>13344465.470000001</v>
      </c>
      <c r="E88" s="4"/>
      <c r="F88" s="4"/>
      <c r="G88" s="4"/>
      <c r="H88" s="4">
        <v>57558735.769000001</v>
      </c>
      <c r="I88" s="4"/>
      <c r="K88" s="48" t="e">
        <f t="shared" si="4"/>
        <v>#DIV/0!</v>
      </c>
      <c r="L88" s="48" t="e">
        <f t="shared" si="5"/>
        <v>#DIV/0!</v>
      </c>
      <c r="M88" s="48">
        <f t="shared" si="6"/>
        <v>4.3133039609866062</v>
      </c>
      <c r="N88" s="48" t="e">
        <f t="shared" si="7"/>
        <v>#DIV/0!</v>
      </c>
    </row>
    <row r="89" spans="1:14" x14ac:dyDescent="0.25">
      <c r="A89" s="5">
        <v>2011</v>
      </c>
      <c r="B89" s="4"/>
      <c r="C89" s="4"/>
      <c r="D89" s="4">
        <v>15542088.4</v>
      </c>
      <c r="E89" s="4"/>
      <c r="F89" s="4"/>
      <c r="G89" s="4"/>
      <c r="H89" s="4">
        <v>75526885.371999994</v>
      </c>
      <c r="I89" s="4"/>
      <c r="K89" s="48" t="e">
        <f t="shared" si="4"/>
        <v>#DIV/0!</v>
      </c>
      <c r="L89" s="48" t="e">
        <f t="shared" si="5"/>
        <v>#DIV/0!</v>
      </c>
      <c r="M89" s="48">
        <f t="shared" si="6"/>
        <v>4.8595068711615355</v>
      </c>
      <c r="N89" s="48" t="e">
        <f t="shared" si="7"/>
        <v>#DIV/0!</v>
      </c>
    </row>
    <row r="90" spans="1:14" x14ac:dyDescent="0.25">
      <c r="A90" s="5">
        <v>2012</v>
      </c>
      <c r="B90" s="4"/>
      <c r="C90" s="4"/>
      <c r="D90" s="4">
        <v>14816540.43</v>
      </c>
      <c r="E90" s="4"/>
      <c r="F90" s="4"/>
      <c r="G90" s="4"/>
      <c r="H90" s="4">
        <v>79817278.157000005</v>
      </c>
      <c r="I90" s="4"/>
      <c r="K90" s="48" t="e">
        <f t="shared" si="4"/>
        <v>#DIV/0!</v>
      </c>
      <c r="L90" s="48" t="e">
        <f t="shared" si="5"/>
        <v>#DIV/0!</v>
      </c>
      <c r="M90" s="48">
        <f t="shared" si="6"/>
        <v>5.3870387985706056</v>
      </c>
      <c r="N90" s="48" t="e">
        <f t="shared" si="7"/>
        <v>#DIV/0!</v>
      </c>
    </row>
    <row r="91" spans="1:14" x14ac:dyDescent="0.25">
      <c r="A91" s="5">
        <v>2013</v>
      </c>
      <c r="B91" s="4">
        <v>1806792.75</v>
      </c>
      <c r="C91" s="4"/>
      <c r="D91" s="4">
        <v>14359289.859999999</v>
      </c>
      <c r="E91" s="4"/>
      <c r="F91" s="4">
        <v>20296615.449000001</v>
      </c>
      <c r="G91" s="4"/>
      <c r="H91" s="4">
        <v>90553534.924999997</v>
      </c>
      <c r="I91" s="4"/>
      <c r="K91" s="48">
        <f t="shared" si="4"/>
        <v>11.23350503205196</v>
      </c>
      <c r="L91" s="48" t="e">
        <f t="shared" si="5"/>
        <v>#DIV/0!</v>
      </c>
      <c r="M91" s="48">
        <f t="shared" si="6"/>
        <v>6.30626833275723</v>
      </c>
      <c r="N91" s="48" t="e">
        <f t="shared" si="7"/>
        <v>#DIV/0!</v>
      </c>
    </row>
    <row r="92" spans="1:14" x14ac:dyDescent="0.25">
      <c r="A92" s="5">
        <v>2014</v>
      </c>
      <c r="B92" s="4"/>
      <c r="C92" s="4"/>
      <c r="D92" s="4">
        <v>16306765.4</v>
      </c>
      <c r="E92" s="4"/>
      <c r="F92" s="4"/>
      <c r="G92" s="4"/>
      <c r="H92" s="4">
        <v>91683597.383000001</v>
      </c>
      <c r="I92" s="4"/>
      <c r="K92" s="48" t="e">
        <f t="shared" si="4"/>
        <v>#DIV/0!</v>
      </c>
      <c r="L92" s="48" t="e">
        <f t="shared" si="5"/>
        <v>#DIV/0!</v>
      </c>
      <c r="M92" s="48">
        <f t="shared" si="6"/>
        <v>5.6224269580158426</v>
      </c>
      <c r="N92" s="48" t="e">
        <f t="shared" si="7"/>
        <v>#DIV/0!</v>
      </c>
    </row>
    <row r="93" spans="1:14" x14ac:dyDescent="0.25">
      <c r="A93" s="5">
        <v>2015</v>
      </c>
      <c r="B93" s="4"/>
      <c r="C93" s="4"/>
      <c r="D93" s="4">
        <v>13246701.869999999</v>
      </c>
      <c r="E93" s="4">
        <v>1491602.41</v>
      </c>
      <c r="F93" s="4"/>
      <c r="G93" s="4"/>
      <c r="H93" s="4">
        <v>62690525.038000003</v>
      </c>
      <c r="I93" s="4">
        <v>8715045.4010000005</v>
      </c>
      <c r="K93" s="48" t="e">
        <f t="shared" si="4"/>
        <v>#DIV/0!</v>
      </c>
      <c r="L93" s="48" t="e">
        <f t="shared" si="5"/>
        <v>#DIV/0!</v>
      </c>
      <c r="M93" s="48">
        <f t="shared" si="6"/>
        <v>4.732538382250163</v>
      </c>
      <c r="N93" s="48">
        <f t="shared" si="7"/>
        <v>5.8427402252588214</v>
      </c>
    </row>
    <row r="94" spans="1:14" x14ac:dyDescent="0.25">
      <c r="A94" s="5">
        <v>2016</v>
      </c>
      <c r="B94" s="4"/>
      <c r="C94" s="4"/>
      <c r="D94" s="4">
        <v>13480032.76</v>
      </c>
      <c r="E94" s="4"/>
      <c r="F94" s="4"/>
      <c r="G94" s="4"/>
      <c r="H94" s="4">
        <v>63509789.424999997</v>
      </c>
      <c r="I94" s="4"/>
      <c r="K94" s="48" t="e">
        <f t="shared" si="4"/>
        <v>#DIV/0!</v>
      </c>
      <c r="L94" s="48" t="e">
        <f t="shared" si="5"/>
        <v>#DIV/0!</v>
      </c>
      <c r="M94" s="48">
        <f t="shared" si="6"/>
        <v>4.7113972610998314</v>
      </c>
      <c r="N94" s="48" t="e">
        <f t="shared" si="7"/>
        <v>#DIV/0!</v>
      </c>
    </row>
    <row r="95" spans="1:14" x14ac:dyDescent="0.25">
      <c r="A95" s="5">
        <v>2017</v>
      </c>
      <c r="B95" s="4"/>
      <c r="C95" s="4"/>
      <c r="D95" s="4">
        <v>16460097.560000001</v>
      </c>
      <c r="E95" s="4"/>
      <c r="F95" s="4"/>
      <c r="G95" s="4"/>
      <c r="H95" s="4">
        <v>83374691.734999999</v>
      </c>
      <c r="I95" s="4"/>
      <c r="K95" s="48" t="e">
        <f t="shared" si="4"/>
        <v>#DIV/0!</v>
      </c>
      <c r="L95" s="48" t="e">
        <f t="shared" si="5"/>
        <v>#DIV/0!</v>
      </c>
      <c r="M95" s="48">
        <f t="shared" si="6"/>
        <v>5.0652610916238094</v>
      </c>
      <c r="N95" s="48" t="e">
        <f t="shared" si="7"/>
        <v>#DIV/0!</v>
      </c>
    </row>
    <row r="96" spans="1:14" x14ac:dyDescent="0.25">
      <c r="A96" s="5">
        <v>2018</v>
      </c>
      <c r="B96" s="4"/>
      <c r="C96" s="4"/>
      <c r="D96" s="4">
        <v>17523825.82</v>
      </c>
      <c r="E96" s="4"/>
      <c r="F96" s="4"/>
      <c r="G96" s="4"/>
      <c r="H96" s="4">
        <v>100649770.653</v>
      </c>
      <c r="I96" s="4"/>
      <c r="K96" s="48" t="e">
        <f t="shared" si="4"/>
        <v>#DIV/0!</v>
      </c>
      <c r="L96" s="48" t="e">
        <f t="shared" si="5"/>
        <v>#DIV/0!</v>
      </c>
      <c r="M96" s="48">
        <f t="shared" si="6"/>
        <v>5.7435957014665187</v>
      </c>
      <c r="N96" s="48" t="e">
        <f t="shared" si="7"/>
        <v>#DIV/0!</v>
      </c>
    </row>
    <row r="97" spans="1:14" x14ac:dyDescent="0.25">
      <c r="A97" s="5">
        <v>2019</v>
      </c>
      <c r="B97" s="4"/>
      <c r="C97" s="4"/>
      <c r="D97" s="4">
        <v>13433402.647</v>
      </c>
      <c r="E97" s="4"/>
      <c r="F97" s="4"/>
      <c r="G97" s="4"/>
      <c r="H97" s="4">
        <v>72511548.010000005</v>
      </c>
      <c r="I97" s="4"/>
      <c r="K97" s="48" t="e">
        <f t="shared" si="4"/>
        <v>#DIV/0!</v>
      </c>
      <c r="L97" s="48" t="e">
        <f t="shared" si="5"/>
        <v>#DIV/0!</v>
      </c>
      <c r="M97" s="48">
        <f t="shared" si="6"/>
        <v>5.3978541338663417</v>
      </c>
      <c r="N97" s="48" t="e">
        <f t="shared" si="7"/>
        <v>#DIV/0!</v>
      </c>
    </row>
    <row r="98" spans="1:14" x14ac:dyDescent="0.25">
      <c r="A98" s="5">
        <v>2020</v>
      </c>
      <c r="B98" s="4"/>
      <c r="C98" s="4"/>
      <c r="D98" s="4">
        <v>13353766.27</v>
      </c>
      <c r="E98" s="4"/>
      <c r="F98" s="4"/>
      <c r="G98" s="4"/>
      <c r="H98" s="4">
        <v>75302985.386999995</v>
      </c>
      <c r="I98" s="4"/>
      <c r="K98" s="48" t="e">
        <f t="shared" si="4"/>
        <v>#DIV/0!</v>
      </c>
      <c r="L98" s="48" t="e">
        <f t="shared" si="5"/>
        <v>#DIV/0!</v>
      </c>
      <c r="M98" s="48">
        <f t="shared" si="6"/>
        <v>5.6390821783493745</v>
      </c>
      <c r="N98" s="48" t="e">
        <f t="shared" si="7"/>
        <v>#DIV/0!</v>
      </c>
    </row>
    <row r="99" spans="1:14" x14ac:dyDescent="0.25">
      <c r="A99" s="5">
        <v>2021</v>
      </c>
      <c r="B99" s="4"/>
      <c r="C99" s="4"/>
      <c r="D99" s="4">
        <v>13289686.369999999</v>
      </c>
      <c r="E99" s="4"/>
      <c r="F99" s="4"/>
      <c r="G99" s="4"/>
      <c r="H99" s="4">
        <v>74758219.148000002</v>
      </c>
      <c r="I99" s="4"/>
      <c r="K99" s="48" t="e">
        <f t="shared" si="4"/>
        <v>#DIV/0!</v>
      </c>
      <c r="L99" s="48" t="e">
        <f t="shared" si="5"/>
        <v>#DIV/0!</v>
      </c>
      <c r="M99" s="48">
        <f t="shared" si="6"/>
        <v>5.6252809183487154</v>
      </c>
      <c r="N99" s="48" t="e">
        <f t="shared" si="7"/>
        <v>#DIV/0!</v>
      </c>
    </row>
    <row r="100" spans="1:14" x14ac:dyDescent="0.25">
      <c r="A100" s="5">
        <v>2022</v>
      </c>
      <c r="B100" s="4">
        <v>1491235.88</v>
      </c>
      <c r="C100" s="4"/>
      <c r="D100" s="4">
        <v>14188741.949999999</v>
      </c>
      <c r="E100" s="4"/>
      <c r="F100" s="4">
        <v>22029351.655999999</v>
      </c>
      <c r="G100" s="4"/>
      <c r="H100" s="4">
        <v>76178121.606000006</v>
      </c>
      <c r="I100" s="4"/>
      <c r="K100" s="48">
        <f t="shared" si="4"/>
        <v>14.772546685236678</v>
      </c>
      <c r="L100" s="48" t="e">
        <f t="shared" si="5"/>
        <v>#DIV/0!</v>
      </c>
      <c r="M100" s="48">
        <f t="shared" si="6"/>
        <v>5.368913035027747</v>
      </c>
      <c r="N100" s="48" t="e">
        <f t="shared" si="7"/>
        <v>#DIV/0!</v>
      </c>
    </row>
    <row r="101" spans="1:14" x14ac:dyDescent="0.25">
      <c r="A101" s="5">
        <v>2023</v>
      </c>
      <c r="B101" s="4">
        <v>1356556.18</v>
      </c>
      <c r="C101" s="4"/>
      <c r="D101" s="4">
        <v>13296447.83</v>
      </c>
      <c r="E101" s="4">
        <v>2412279.86</v>
      </c>
      <c r="F101" s="4">
        <v>18028323.088</v>
      </c>
      <c r="G101" s="4"/>
      <c r="H101" s="4">
        <v>81853658.627000004</v>
      </c>
      <c r="I101" s="4">
        <v>16305511.582</v>
      </c>
      <c r="K101" s="48">
        <f t="shared" si="4"/>
        <v>13.289772553319539</v>
      </c>
      <c r="L101" s="48" t="e">
        <f t="shared" si="5"/>
        <v>#DIV/0!</v>
      </c>
      <c r="M101" s="48">
        <f t="shared" si="6"/>
        <v>6.1560545849184143</v>
      </c>
      <c r="N101" s="48">
        <f t="shared" si="7"/>
        <v>6.7593780690106167</v>
      </c>
    </row>
    <row r="102" spans="1:14" x14ac:dyDescent="0.25">
      <c r="A102" s="5">
        <v>2024</v>
      </c>
      <c r="B102" s="4">
        <v>3154072.06</v>
      </c>
      <c r="C102" s="4"/>
      <c r="D102" s="4">
        <v>12632526.607999999</v>
      </c>
      <c r="E102" s="4"/>
      <c r="F102" s="4">
        <v>17283427.802999999</v>
      </c>
      <c r="G102" s="4"/>
      <c r="H102" s="4">
        <v>76618254.408999994</v>
      </c>
      <c r="I102" s="4"/>
      <c r="K102" s="48">
        <f t="shared" si="4"/>
        <v>5.4797187490383461</v>
      </c>
      <c r="L102" s="48" t="e">
        <f t="shared" si="5"/>
        <v>#DIV/0!</v>
      </c>
      <c r="M102" s="48">
        <f t="shared" si="6"/>
        <v>6.0651567803133499</v>
      </c>
      <c r="N102" s="48" t="e">
        <f t="shared" si="7"/>
        <v>#DIV/0!</v>
      </c>
    </row>
    <row r="103" spans="1:14" x14ac:dyDescent="0.25">
      <c r="A103" s="5">
        <v>2025</v>
      </c>
      <c r="B103" s="4">
        <v>1075269.3899999999</v>
      </c>
      <c r="C103" s="4"/>
      <c r="D103" s="4">
        <v>11458086.905999999</v>
      </c>
      <c r="E103" s="4">
        <v>1248849.19</v>
      </c>
      <c r="F103" s="4">
        <v>14848645.213</v>
      </c>
      <c r="G103" s="4"/>
      <c r="H103" s="4">
        <v>70860513.280000001</v>
      </c>
      <c r="I103" s="4">
        <v>9688969.9000000004</v>
      </c>
      <c r="K103" s="48">
        <f t="shared" si="4"/>
        <v>13.809232691911745</v>
      </c>
      <c r="L103" s="48" t="e">
        <f t="shared" si="5"/>
        <v>#DIV/0!</v>
      </c>
      <c r="M103" s="48">
        <f t="shared" si="6"/>
        <v>6.1843232523305494</v>
      </c>
      <c r="N103" s="48">
        <f t="shared" si="7"/>
        <v>7.7583186005029168</v>
      </c>
    </row>
    <row r="104" spans="1:14" x14ac:dyDescent="0.25">
      <c r="A104" s="3" t="s">
        <v>96</v>
      </c>
      <c r="B104" s="4">
        <v>3447593</v>
      </c>
      <c r="C104" s="4"/>
      <c r="D104" s="4"/>
      <c r="E104" s="4"/>
      <c r="F104" s="4">
        <v>2299434.361</v>
      </c>
      <c r="G104" s="4"/>
      <c r="H104" s="4"/>
      <c r="I104" s="4"/>
      <c r="K104" s="48">
        <f t="shared" si="4"/>
        <v>0.666968044371827</v>
      </c>
      <c r="L104" s="48" t="e">
        <f t="shared" si="5"/>
        <v>#DIV/0!</v>
      </c>
      <c r="M104" s="48" t="e">
        <f t="shared" si="6"/>
        <v>#DIV/0!</v>
      </c>
      <c r="N104" s="48" t="e">
        <f t="shared" si="7"/>
        <v>#DIV/0!</v>
      </c>
    </row>
    <row r="105" spans="1:14" x14ac:dyDescent="0.25">
      <c r="A105" s="5">
        <v>2016</v>
      </c>
      <c r="B105" s="4">
        <v>3447593</v>
      </c>
      <c r="C105" s="4"/>
      <c r="D105" s="4"/>
      <c r="E105" s="4"/>
      <c r="F105" s="4">
        <v>2299434.361</v>
      </c>
      <c r="G105" s="4"/>
      <c r="H105" s="4"/>
      <c r="I105" s="4"/>
      <c r="K105" s="48">
        <f t="shared" si="4"/>
        <v>0.666968044371827</v>
      </c>
      <c r="L105" s="48" t="e">
        <f t="shared" si="5"/>
        <v>#DIV/0!</v>
      </c>
      <c r="M105" s="48" t="e">
        <f t="shared" si="6"/>
        <v>#DIV/0!</v>
      </c>
      <c r="N105" s="48" t="e">
        <f t="shared" si="7"/>
        <v>#DIV/0!</v>
      </c>
    </row>
    <row r="106" spans="1:14" x14ac:dyDescent="0.25">
      <c r="A106" s="3" t="s">
        <v>121</v>
      </c>
      <c r="B106" s="4"/>
      <c r="C106" s="4"/>
      <c r="D106" s="4">
        <v>33582969.990000002</v>
      </c>
      <c r="E106" s="4"/>
      <c r="F106" s="4"/>
      <c r="G106" s="4"/>
      <c r="H106" s="4">
        <v>150962096.46399999</v>
      </c>
      <c r="I106" s="4"/>
      <c r="K106" s="48" t="e">
        <f t="shared" si="4"/>
        <v>#DIV/0!</v>
      </c>
      <c r="L106" s="48" t="e">
        <f t="shared" si="5"/>
        <v>#DIV/0!</v>
      </c>
      <c r="M106" s="48">
        <f t="shared" si="6"/>
        <v>4.4951979086111784</v>
      </c>
      <c r="N106" s="48" t="e">
        <f t="shared" si="7"/>
        <v>#DIV/0!</v>
      </c>
    </row>
    <row r="107" spans="1:14" x14ac:dyDescent="0.25">
      <c r="A107" s="5">
        <v>2010</v>
      </c>
      <c r="B107" s="4"/>
      <c r="C107" s="4"/>
      <c r="D107" s="4">
        <v>1964377</v>
      </c>
      <c r="E107" s="4"/>
      <c r="F107" s="4"/>
      <c r="G107" s="4"/>
      <c r="H107" s="4">
        <v>6791328.9939999999</v>
      </c>
      <c r="I107" s="4"/>
      <c r="K107" s="48" t="e">
        <f t="shared" si="4"/>
        <v>#DIV/0!</v>
      </c>
      <c r="L107" s="48" t="e">
        <f t="shared" si="5"/>
        <v>#DIV/0!</v>
      </c>
      <c r="M107" s="48">
        <f t="shared" si="6"/>
        <v>3.4572431839713049</v>
      </c>
      <c r="N107" s="48" t="e">
        <f t="shared" si="7"/>
        <v>#DIV/0!</v>
      </c>
    </row>
    <row r="108" spans="1:14" x14ac:dyDescent="0.25">
      <c r="A108" s="5">
        <v>2011</v>
      </c>
      <c r="B108" s="4"/>
      <c r="C108" s="4"/>
      <c r="D108" s="4">
        <v>1421485</v>
      </c>
      <c r="E108" s="4"/>
      <c r="F108" s="4"/>
      <c r="G108" s="4"/>
      <c r="H108" s="4">
        <v>6251468</v>
      </c>
      <c r="I108" s="4"/>
      <c r="K108" s="48" t="e">
        <f t="shared" si="4"/>
        <v>#DIV/0!</v>
      </c>
      <c r="L108" s="48" t="e">
        <f t="shared" si="5"/>
        <v>#DIV/0!</v>
      </c>
      <c r="M108" s="48">
        <f t="shared" si="6"/>
        <v>4.397843100701027</v>
      </c>
      <c r="N108" s="48" t="e">
        <f t="shared" si="7"/>
        <v>#DIV/0!</v>
      </c>
    </row>
    <row r="109" spans="1:14" x14ac:dyDescent="0.25">
      <c r="A109" s="5">
        <v>2012</v>
      </c>
      <c r="B109" s="4"/>
      <c r="C109" s="4"/>
      <c r="D109" s="4">
        <v>1126514</v>
      </c>
      <c r="E109" s="4"/>
      <c r="F109" s="4"/>
      <c r="G109" s="4"/>
      <c r="H109" s="4">
        <v>6226007</v>
      </c>
      <c r="I109" s="4"/>
      <c r="K109" s="48" t="e">
        <f t="shared" si="4"/>
        <v>#DIV/0!</v>
      </c>
      <c r="L109" s="48" t="e">
        <f t="shared" si="5"/>
        <v>#DIV/0!</v>
      </c>
      <c r="M109" s="48">
        <f t="shared" si="6"/>
        <v>5.5267906124557706</v>
      </c>
      <c r="N109" s="48" t="e">
        <f t="shared" si="7"/>
        <v>#DIV/0!</v>
      </c>
    </row>
    <row r="110" spans="1:14" x14ac:dyDescent="0.25">
      <c r="A110" s="5">
        <v>2013</v>
      </c>
      <c r="B110" s="4"/>
      <c r="C110" s="4"/>
      <c r="D110" s="4">
        <v>1293874</v>
      </c>
      <c r="E110" s="4"/>
      <c r="F110" s="4"/>
      <c r="G110" s="4"/>
      <c r="H110" s="4">
        <v>7320281</v>
      </c>
      <c r="I110" s="4"/>
      <c r="K110" s="48" t="e">
        <f t="shared" si="4"/>
        <v>#DIV/0!</v>
      </c>
      <c r="L110" s="48" t="e">
        <f t="shared" si="5"/>
        <v>#DIV/0!</v>
      </c>
      <c r="M110" s="48">
        <f t="shared" si="6"/>
        <v>5.6576459531608174</v>
      </c>
      <c r="N110" s="48" t="e">
        <f t="shared" si="7"/>
        <v>#DIV/0!</v>
      </c>
    </row>
    <row r="111" spans="1:14" x14ac:dyDescent="0.25">
      <c r="A111" s="5">
        <v>2014</v>
      </c>
      <c r="B111" s="4"/>
      <c r="C111" s="4"/>
      <c r="D111" s="4">
        <v>2098607</v>
      </c>
      <c r="E111" s="4"/>
      <c r="F111" s="4"/>
      <c r="G111" s="4"/>
      <c r="H111" s="4">
        <v>8935031</v>
      </c>
      <c r="I111" s="4"/>
      <c r="K111" s="48" t="e">
        <f t="shared" si="4"/>
        <v>#DIV/0!</v>
      </c>
      <c r="L111" s="48" t="e">
        <f t="shared" si="5"/>
        <v>#DIV/0!</v>
      </c>
      <c r="M111" s="48">
        <f t="shared" si="6"/>
        <v>4.2576008752472472</v>
      </c>
      <c r="N111" s="48" t="e">
        <f t="shared" si="7"/>
        <v>#DIV/0!</v>
      </c>
    </row>
    <row r="112" spans="1:14" x14ac:dyDescent="0.25">
      <c r="A112" s="5">
        <v>2015</v>
      </c>
      <c r="B112" s="4"/>
      <c r="C112" s="4"/>
      <c r="D112" s="4">
        <v>1735669</v>
      </c>
      <c r="E112" s="4"/>
      <c r="F112" s="4"/>
      <c r="G112" s="4"/>
      <c r="H112" s="4">
        <v>6197271</v>
      </c>
      <c r="I112" s="4"/>
      <c r="K112" s="48" t="e">
        <f t="shared" si="4"/>
        <v>#DIV/0!</v>
      </c>
      <c r="L112" s="48" t="e">
        <f t="shared" si="5"/>
        <v>#DIV/0!</v>
      </c>
      <c r="M112" s="48">
        <f t="shared" si="6"/>
        <v>3.5705373547606141</v>
      </c>
      <c r="N112" s="48" t="e">
        <f t="shared" si="7"/>
        <v>#DIV/0!</v>
      </c>
    </row>
    <row r="113" spans="1:14" x14ac:dyDescent="0.25">
      <c r="A113" s="5">
        <v>2016</v>
      </c>
      <c r="B113" s="4"/>
      <c r="C113" s="4"/>
      <c r="D113" s="4">
        <v>2245743</v>
      </c>
      <c r="E113" s="4"/>
      <c r="F113" s="4"/>
      <c r="G113" s="4"/>
      <c r="H113" s="4">
        <v>8369066</v>
      </c>
      <c r="I113" s="4"/>
      <c r="K113" s="48" t="e">
        <f t="shared" si="4"/>
        <v>#DIV/0!</v>
      </c>
      <c r="L113" s="48" t="e">
        <f t="shared" si="5"/>
        <v>#DIV/0!</v>
      </c>
      <c r="M113" s="48">
        <f t="shared" si="6"/>
        <v>3.7266356836022645</v>
      </c>
      <c r="N113" s="48" t="e">
        <f t="shared" si="7"/>
        <v>#DIV/0!</v>
      </c>
    </row>
    <row r="114" spans="1:14" x14ac:dyDescent="0.25">
      <c r="A114" s="5">
        <v>2017</v>
      </c>
      <c r="B114" s="4"/>
      <c r="C114" s="4"/>
      <c r="D114" s="4">
        <v>2085802.44</v>
      </c>
      <c r="E114" s="4"/>
      <c r="F114" s="4"/>
      <c r="G114" s="4"/>
      <c r="H114" s="4">
        <v>8661390.6199999992</v>
      </c>
      <c r="I114" s="4"/>
      <c r="K114" s="48" t="e">
        <f t="shared" si="4"/>
        <v>#DIV/0!</v>
      </c>
      <c r="L114" s="48" t="e">
        <f t="shared" si="5"/>
        <v>#DIV/0!</v>
      </c>
      <c r="M114" s="48">
        <f t="shared" si="6"/>
        <v>4.1525460196508348</v>
      </c>
      <c r="N114" s="48" t="e">
        <f t="shared" si="7"/>
        <v>#DIV/0!</v>
      </c>
    </row>
    <row r="115" spans="1:14" x14ac:dyDescent="0.25">
      <c r="A115" s="5">
        <v>2018</v>
      </c>
      <c r="B115" s="4"/>
      <c r="C115" s="4"/>
      <c r="D115" s="4">
        <v>2129998.98</v>
      </c>
      <c r="E115" s="4"/>
      <c r="F115" s="4"/>
      <c r="G115" s="4"/>
      <c r="H115" s="4">
        <v>9451492.2799999993</v>
      </c>
      <c r="I115" s="4"/>
      <c r="K115" s="48" t="e">
        <f t="shared" si="4"/>
        <v>#DIV/0!</v>
      </c>
      <c r="L115" s="48" t="e">
        <f t="shared" si="5"/>
        <v>#DIV/0!</v>
      </c>
      <c r="M115" s="48">
        <f t="shared" si="6"/>
        <v>4.4373224441637991</v>
      </c>
      <c r="N115" s="48" t="e">
        <f t="shared" si="7"/>
        <v>#DIV/0!</v>
      </c>
    </row>
    <row r="116" spans="1:14" x14ac:dyDescent="0.25">
      <c r="A116" s="5">
        <v>2019</v>
      </c>
      <c r="B116" s="4"/>
      <c r="C116" s="4"/>
      <c r="D116" s="4">
        <v>2781566.15</v>
      </c>
      <c r="E116" s="4"/>
      <c r="F116" s="4"/>
      <c r="G116" s="4"/>
      <c r="H116" s="4">
        <v>12127852.57</v>
      </c>
      <c r="I116" s="4"/>
      <c r="K116" s="48" t="e">
        <f t="shared" si="4"/>
        <v>#DIV/0!</v>
      </c>
      <c r="L116" s="48" t="e">
        <f t="shared" si="5"/>
        <v>#DIV/0!</v>
      </c>
      <c r="M116" s="48">
        <f t="shared" si="6"/>
        <v>4.3600805862553367</v>
      </c>
      <c r="N116" s="48" t="e">
        <f t="shared" si="7"/>
        <v>#DIV/0!</v>
      </c>
    </row>
    <row r="117" spans="1:14" x14ac:dyDescent="0.25">
      <c r="A117" s="5">
        <v>2020</v>
      </c>
      <c r="B117" s="4"/>
      <c r="C117" s="4"/>
      <c r="D117" s="4">
        <v>2359639.54</v>
      </c>
      <c r="E117" s="4"/>
      <c r="F117" s="4"/>
      <c r="G117" s="4"/>
      <c r="H117" s="4">
        <v>9947781.9900000002</v>
      </c>
      <c r="I117" s="4"/>
      <c r="K117" s="48" t="e">
        <f t="shared" si="4"/>
        <v>#DIV/0!</v>
      </c>
      <c r="L117" s="48" t="e">
        <f t="shared" si="5"/>
        <v>#DIV/0!</v>
      </c>
      <c r="M117" s="48">
        <f t="shared" si="6"/>
        <v>4.2158057709102463</v>
      </c>
      <c r="N117" s="48" t="e">
        <f t="shared" si="7"/>
        <v>#DIV/0!</v>
      </c>
    </row>
    <row r="118" spans="1:14" x14ac:dyDescent="0.25">
      <c r="A118" s="5">
        <v>2021</v>
      </c>
      <c r="B118" s="4"/>
      <c r="C118" s="4"/>
      <c r="D118" s="4">
        <v>1874533.9</v>
      </c>
      <c r="E118" s="4"/>
      <c r="F118" s="4"/>
      <c r="G118" s="4"/>
      <c r="H118" s="4">
        <v>9339052.6099999994</v>
      </c>
      <c r="I118" s="4"/>
      <c r="K118" s="48" t="e">
        <f t="shared" si="4"/>
        <v>#DIV/0!</v>
      </c>
      <c r="L118" s="48" t="e">
        <f t="shared" si="5"/>
        <v>#DIV/0!</v>
      </c>
      <c r="M118" s="48">
        <f t="shared" si="6"/>
        <v>4.9820665339794603</v>
      </c>
      <c r="N118" s="48" t="e">
        <f t="shared" si="7"/>
        <v>#DIV/0!</v>
      </c>
    </row>
    <row r="119" spans="1:14" x14ac:dyDescent="0.25">
      <c r="A119" s="5">
        <v>2022</v>
      </c>
      <c r="B119" s="4"/>
      <c r="C119" s="4"/>
      <c r="D119" s="4">
        <v>2748305.35</v>
      </c>
      <c r="E119" s="4"/>
      <c r="F119" s="4"/>
      <c r="G119" s="4"/>
      <c r="H119" s="4">
        <v>13096939.810000001</v>
      </c>
      <c r="I119" s="4"/>
      <c r="K119" s="48" t="e">
        <f t="shared" si="4"/>
        <v>#DIV/0!</v>
      </c>
      <c r="L119" s="48" t="e">
        <f t="shared" si="5"/>
        <v>#DIV/0!</v>
      </c>
      <c r="M119" s="48">
        <f t="shared" si="6"/>
        <v>4.7654602171479965</v>
      </c>
      <c r="N119" s="48" t="e">
        <f t="shared" si="7"/>
        <v>#DIV/0!</v>
      </c>
    </row>
    <row r="120" spans="1:14" x14ac:dyDescent="0.25">
      <c r="A120" s="5">
        <v>2023</v>
      </c>
      <c r="B120" s="4"/>
      <c r="C120" s="4"/>
      <c r="D120" s="4">
        <v>2604563.59</v>
      </c>
      <c r="E120" s="4"/>
      <c r="F120" s="4"/>
      <c r="G120" s="4"/>
      <c r="H120" s="4">
        <v>12726653.937999999</v>
      </c>
      <c r="I120" s="4"/>
      <c r="K120" s="48" t="e">
        <f t="shared" si="4"/>
        <v>#DIV/0!</v>
      </c>
      <c r="L120" s="48" t="e">
        <f t="shared" si="5"/>
        <v>#DIV/0!</v>
      </c>
      <c r="M120" s="48">
        <f t="shared" si="6"/>
        <v>4.8862903508529811</v>
      </c>
      <c r="N120" s="48" t="e">
        <f t="shared" si="7"/>
        <v>#DIV/0!</v>
      </c>
    </row>
    <row r="121" spans="1:14" x14ac:dyDescent="0.25">
      <c r="A121" s="5">
        <v>2024</v>
      </c>
      <c r="B121" s="4"/>
      <c r="C121" s="4"/>
      <c r="D121" s="4">
        <v>2956133.52</v>
      </c>
      <c r="E121" s="4"/>
      <c r="F121" s="4"/>
      <c r="G121" s="4"/>
      <c r="H121" s="4">
        <v>14417923.323000001</v>
      </c>
      <c r="I121" s="4"/>
      <c r="K121" s="48" t="e">
        <f t="shared" si="4"/>
        <v>#DIV/0!</v>
      </c>
      <c r="L121" s="48" t="e">
        <f t="shared" si="5"/>
        <v>#DIV/0!</v>
      </c>
      <c r="M121" s="48">
        <f t="shared" si="6"/>
        <v>4.8772909699288549</v>
      </c>
      <c r="N121" s="48" t="e">
        <f t="shared" si="7"/>
        <v>#DIV/0!</v>
      </c>
    </row>
    <row r="122" spans="1:14" x14ac:dyDescent="0.25">
      <c r="A122" s="5">
        <v>2025</v>
      </c>
      <c r="B122" s="4"/>
      <c r="C122" s="4"/>
      <c r="D122" s="4">
        <v>2156157.52</v>
      </c>
      <c r="E122" s="4"/>
      <c r="F122" s="4"/>
      <c r="G122" s="4"/>
      <c r="H122" s="4">
        <v>11102556.329</v>
      </c>
      <c r="I122" s="4"/>
      <c r="K122" s="48" t="e">
        <f t="shared" si="4"/>
        <v>#DIV/0!</v>
      </c>
      <c r="L122" s="48" t="e">
        <f t="shared" si="5"/>
        <v>#DIV/0!</v>
      </c>
      <c r="M122" s="48">
        <f t="shared" si="6"/>
        <v>5.1492324776902203</v>
      </c>
      <c r="N122" s="48" t="e">
        <f t="shared" si="7"/>
        <v>#DIV/0!</v>
      </c>
    </row>
    <row r="123" spans="1:14" x14ac:dyDescent="0.25">
      <c r="A123" s="3" t="s">
        <v>10</v>
      </c>
      <c r="B123" s="4">
        <v>10201994</v>
      </c>
      <c r="C123" s="4">
        <v>184580992</v>
      </c>
      <c r="D123" s="4">
        <v>61946837</v>
      </c>
      <c r="E123" s="4">
        <v>58590633.424999997</v>
      </c>
      <c r="F123" s="4">
        <v>14699822</v>
      </c>
      <c r="G123" s="4">
        <v>453729483</v>
      </c>
      <c r="H123" s="4">
        <v>288392975</v>
      </c>
      <c r="I123" s="4">
        <v>229983596</v>
      </c>
      <c r="K123" s="48">
        <f t="shared" si="4"/>
        <v>1.4408773422136889</v>
      </c>
      <c r="L123" s="48">
        <f t="shared" si="5"/>
        <v>2.4581593049407817</v>
      </c>
      <c r="M123" s="48">
        <f t="shared" si="6"/>
        <v>4.6554915305845235</v>
      </c>
      <c r="N123" s="48">
        <f t="shared" si="7"/>
        <v>3.925262154647887</v>
      </c>
    </row>
    <row r="124" spans="1:14" x14ac:dyDescent="0.25">
      <c r="A124" s="5">
        <v>2000</v>
      </c>
      <c r="B124" s="4"/>
      <c r="C124" s="4">
        <v>12513084</v>
      </c>
      <c r="D124" s="4">
        <v>709296</v>
      </c>
      <c r="E124" s="4"/>
      <c r="F124" s="4"/>
      <c r="G124" s="4">
        <v>16064856</v>
      </c>
      <c r="H124" s="4">
        <v>1646729</v>
      </c>
      <c r="I124" s="4"/>
      <c r="K124" s="48" t="e">
        <f t="shared" si="4"/>
        <v>#DIV/0!</v>
      </c>
      <c r="L124" s="48">
        <f t="shared" si="5"/>
        <v>1.2838446541236357</v>
      </c>
      <c r="M124" s="48">
        <f t="shared" si="6"/>
        <v>2.3216386388757302</v>
      </c>
      <c r="N124" s="48" t="e">
        <f t="shared" si="7"/>
        <v>#DIV/0!</v>
      </c>
    </row>
    <row r="125" spans="1:14" x14ac:dyDescent="0.25">
      <c r="A125" s="5">
        <v>2001</v>
      </c>
      <c r="B125" s="4"/>
      <c r="C125" s="4">
        <v>14025643</v>
      </c>
      <c r="D125" s="4"/>
      <c r="E125" s="4"/>
      <c r="F125" s="4"/>
      <c r="G125" s="4">
        <v>19180731</v>
      </c>
      <c r="H125" s="4"/>
      <c r="I125" s="4"/>
      <c r="K125" s="48" t="e">
        <f t="shared" si="4"/>
        <v>#DIV/0!</v>
      </c>
      <c r="L125" s="48">
        <f t="shared" si="5"/>
        <v>1.3675473559394034</v>
      </c>
      <c r="M125" s="48" t="e">
        <f t="shared" si="6"/>
        <v>#DIV/0!</v>
      </c>
      <c r="N125" s="48" t="e">
        <f t="shared" si="7"/>
        <v>#DIV/0!</v>
      </c>
    </row>
    <row r="126" spans="1:14" x14ac:dyDescent="0.25">
      <c r="A126" s="5">
        <v>2002</v>
      </c>
      <c r="B126" s="4"/>
      <c r="C126" s="4">
        <v>10894855</v>
      </c>
      <c r="D126" s="4"/>
      <c r="E126" s="4"/>
      <c r="F126" s="4"/>
      <c r="G126" s="4">
        <v>16140207</v>
      </c>
      <c r="H126" s="4"/>
      <c r="I126" s="4"/>
      <c r="K126" s="48" t="e">
        <f t="shared" si="4"/>
        <v>#DIV/0!</v>
      </c>
      <c r="L126" s="48">
        <f t="shared" si="5"/>
        <v>1.481452208404793</v>
      </c>
      <c r="M126" s="48" t="e">
        <f t="shared" si="6"/>
        <v>#DIV/0!</v>
      </c>
      <c r="N126" s="48" t="e">
        <f t="shared" si="7"/>
        <v>#DIV/0!</v>
      </c>
    </row>
    <row r="127" spans="1:14" x14ac:dyDescent="0.25">
      <c r="A127" s="5">
        <v>2003</v>
      </c>
      <c r="B127" s="4">
        <v>3197330</v>
      </c>
      <c r="C127" s="4">
        <v>6697706</v>
      </c>
      <c r="D127" s="4"/>
      <c r="E127" s="4">
        <v>2740110</v>
      </c>
      <c r="F127" s="4">
        <v>2482261</v>
      </c>
      <c r="G127" s="4">
        <v>10710156</v>
      </c>
      <c r="H127" s="4"/>
      <c r="I127" s="4">
        <v>5656598</v>
      </c>
      <c r="K127" s="48">
        <f t="shared" si="4"/>
        <v>0.77635433314671931</v>
      </c>
      <c r="L127" s="48">
        <f t="shared" si="5"/>
        <v>1.599078251568522</v>
      </c>
      <c r="M127" s="48" t="e">
        <f t="shared" si="6"/>
        <v>#DIV/0!</v>
      </c>
      <c r="N127" s="48">
        <f t="shared" si="7"/>
        <v>2.0643689486918406</v>
      </c>
    </row>
    <row r="128" spans="1:14" x14ac:dyDescent="0.25">
      <c r="A128" s="5">
        <v>2004</v>
      </c>
      <c r="B128" s="4"/>
      <c r="C128" s="4">
        <v>7951190</v>
      </c>
      <c r="D128" s="4"/>
      <c r="E128" s="4"/>
      <c r="F128" s="4"/>
      <c r="G128" s="4">
        <v>13474062</v>
      </c>
      <c r="H128" s="4"/>
      <c r="I128" s="4"/>
      <c r="K128" s="48" t="e">
        <f t="shared" si="4"/>
        <v>#DIV/0!</v>
      </c>
      <c r="L128" s="48">
        <f t="shared" si="5"/>
        <v>1.6945969093934368</v>
      </c>
      <c r="M128" s="48" t="e">
        <f t="shared" si="6"/>
        <v>#DIV/0!</v>
      </c>
      <c r="N128" s="48" t="e">
        <f t="shared" si="7"/>
        <v>#DIV/0!</v>
      </c>
    </row>
    <row r="129" spans="1:14" x14ac:dyDescent="0.25">
      <c r="A129" s="5">
        <v>2005</v>
      </c>
      <c r="B129" s="4"/>
      <c r="C129" s="4">
        <v>8069344</v>
      </c>
      <c r="D129" s="4"/>
      <c r="E129" s="4">
        <v>4031433</v>
      </c>
      <c r="F129" s="4"/>
      <c r="G129" s="4">
        <v>13692201</v>
      </c>
      <c r="H129" s="4"/>
      <c r="I129" s="4">
        <v>9709593</v>
      </c>
      <c r="K129" s="48" t="e">
        <f t="shared" si="4"/>
        <v>#DIV/0!</v>
      </c>
      <c r="L129" s="48">
        <f t="shared" si="5"/>
        <v>1.6968171142536495</v>
      </c>
      <c r="M129" s="48" t="e">
        <f t="shared" si="6"/>
        <v>#DIV/0!</v>
      </c>
      <c r="N129" s="48">
        <f t="shared" si="7"/>
        <v>2.4084718758813555</v>
      </c>
    </row>
    <row r="130" spans="1:14" x14ac:dyDescent="0.25">
      <c r="A130" s="5">
        <v>2006</v>
      </c>
      <c r="B130" s="4"/>
      <c r="C130" s="4">
        <v>5632054</v>
      </c>
      <c r="D130" s="4"/>
      <c r="E130" s="4">
        <v>4002104</v>
      </c>
      <c r="F130" s="4"/>
      <c r="G130" s="4">
        <v>11783976</v>
      </c>
      <c r="H130" s="4"/>
      <c r="I130" s="4">
        <v>11212903</v>
      </c>
      <c r="K130" s="48" t="e">
        <f t="shared" si="4"/>
        <v>#DIV/0!</v>
      </c>
      <c r="L130" s="48">
        <f t="shared" si="5"/>
        <v>2.0923052229257744</v>
      </c>
      <c r="M130" s="48" t="e">
        <f t="shared" si="6"/>
        <v>#DIV/0!</v>
      </c>
      <c r="N130" s="48">
        <f t="shared" si="7"/>
        <v>2.8017520284330444</v>
      </c>
    </row>
    <row r="131" spans="1:14" x14ac:dyDescent="0.25">
      <c r="A131" s="5">
        <v>2007</v>
      </c>
      <c r="B131" s="4"/>
      <c r="C131" s="4">
        <v>4746545</v>
      </c>
      <c r="D131" s="4">
        <v>829400</v>
      </c>
      <c r="E131" s="4">
        <v>5959433</v>
      </c>
      <c r="F131" s="4"/>
      <c r="G131" s="4">
        <v>9783610</v>
      </c>
      <c r="H131" s="4">
        <v>2755585</v>
      </c>
      <c r="I131" s="4">
        <v>19714529</v>
      </c>
      <c r="K131" s="48" t="e">
        <f t="shared" si="4"/>
        <v>#DIV/0!</v>
      </c>
      <c r="L131" s="48">
        <f t="shared" si="5"/>
        <v>2.0612066250293632</v>
      </c>
      <c r="M131" s="48">
        <f t="shared" si="6"/>
        <v>3.3223836508319269</v>
      </c>
      <c r="N131" s="48">
        <f t="shared" si="7"/>
        <v>3.308121594789303</v>
      </c>
    </row>
    <row r="132" spans="1:14" x14ac:dyDescent="0.25">
      <c r="A132" s="5">
        <v>2008</v>
      </c>
      <c r="B132" s="4"/>
      <c r="C132" s="4"/>
      <c r="D132" s="4"/>
      <c r="E132" s="4">
        <v>4820836</v>
      </c>
      <c r="F132" s="4"/>
      <c r="G132" s="4"/>
      <c r="H132" s="4"/>
      <c r="I132" s="4">
        <v>19298944</v>
      </c>
      <c r="K132" s="48" t="e">
        <f t="shared" si="4"/>
        <v>#DIV/0!</v>
      </c>
      <c r="L132" s="48" t="e">
        <f t="shared" si="5"/>
        <v>#DIV/0!</v>
      </c>
      <c r="M132" s="48" t="e">
        <f t="shared" si="6"/>
        <v>#DIV/0!</v>
      </c>
      <c r="N132" s="48">
        <f t="shared" si="7"/>
        <v>4.0032359532661967</v>
      </c>
    </row>
    <row r="133" spans="1:14" x14ac:dyDescent="0.25">
      <c r="A133" s="5">
        <v>2009</v>
      </c>
      <c r="B133" s="4"/>
      <c r="C133" s="4">
        <v>2760193</v>
      </c>
      <c r="D133" s="4">
        <v>1395322</v>
      </c>
      <c r="E133" s="4">
        <v>5112091</v>
      </c>
      <c r="F133" s="4"/>
      <c r="G133" s="4">
        <v>6614216</v>
      </c>
      <c r="H133" s="4">
        <v>5143366</v>
      </c>
      <c r="I133" s="4">
        <v>19121160</v>
      </c>
      <c r="K133" s="48" t="e">
        <f t="shared" si="4"/>
        <v>#DIV/0!</v>
      </c>
      <c r="L133" s="48">
        <f t="shared" si="5"/>
        <v>2.3962875059823716</v>
      </c>
      <c r="M133" s="48">
        <f t="shared" si="6"/>
        <v>3.6861498636157104</v>
      </c>
      <c r="N133" s="48">
        <f t="shared" si="7"/>
        <v>3.7403794259530985</v>
      </c>
    </row>
    <row r="134" spans="1:14" x14ac:dyDescent="0.25">
      <c r="A134" s="5">
        <v>2010</v>
      </c>
      <c r="B134" s="4"/>
      <c r="C134" s="4">
        <v>4360260</v>
      </c>
      <c r="D134" s="4">
        <v>2292319</v>
      </c>
      <c r="E134" s="4">
        <v>2811622</v>
      </c>
      <c r="F134" s="4"/>
      <c r="G134" s="4">
        <v>9874514</v>
      </c>
      <c r="H134" s="4">
        <v>9431182</v>
      </c>
      <c r="I134" s="4">
        <v>11193183</v>
      </c>
      <c r="K134" s="48" t="e">
        <f t="shared" si="4"/>
        <v>#DIV/0!</v>
      </c>
      <c r="L134" s="48">
        <f t="shared" si="5"/>
        <v>2.2646617403549332</v>
      </c>
      <c r="M134" s="48">
        <f t="shared" si="6"/>
        <v>4.1142537317013907</v>
      </c>
      <c r="N134" s="48">
        <f t="shared" si="7"/>
        <v>3.9810411925927456</v>
      </c>
    </row>
    <row r="135" spans="1:14" x14ac:dyDescent="0.25">
      <c r="A135" s="5">
        <v>2011</v>
      </c>
      <c r="B135" s="4"/>
      <c r="C135" s="4">
        <v>10992333</v>
      </c>
      <c r="D135" s="4">
        <v>3411322</v>
      </c>
      <c r="E135" s="4">
        <v>2760482</v>
      </c>
      <c r="F135" s="4"/>
      <c r="G135" s="4">
        <v>27059259</v>
      </c>
      <c r="H135" s="4">
        <v>14902321</v>
      </c>
      <c r="I135" s="4">
        <v>12607473</v>
      </c>
      <c r="K135" s="48" t="e">
        <f t="shared" ref="K135:K198" si="8">F135/B135</f>
        <v>#DIV/0!</v>
      </c>
      <c r="L135" s="48">
        <f t="shared" ref="L135:L198" si="9">G135/C135</f>
        <v>2.4616484053021321</v>
      </c>
      <c r="M135" s="48">
        <f t="shared" ref="M135:M198" si="10">H135/D135</f>
        <v>4.3684885214588363</v>
      </c>
      <c r="N135" s="48">
        <f t="shared" ref="N135:N198" si="11">I135/E135</f>
        <v>4.5671274074600019</v>
      </c>
    </row>
    <row r="136" spans="1:14" x14ac:dyDescent="0.25">
      <c r="A136" s="5">
        <v>2012</v>
      </c>
      <c r="B136" s="4"/>
      <c r="C136" s="4">
        <v>16486960</v>
      </c>
      <c r="D136" s="4">
        <v>2723040</v>
      </c>
      <c r="E136" s="4"/>
      <c r="F136" s="4"/>
      <c r="G136" s="4">
        <v>40263668</v>
      </c>
      <c r="H136" s="4">
        <v>15007736</v>
      </c>
      <c r="I136" s="4"/>
      <c r="K136" s="48" t="e">
        <f t="shared" si="8"/>
        <v>#DIV/0!</v>
      </c>
      <c r="L136" s="48">
        <f t="shared" si="9"/>
        <v>2.4421523434277757</v>
      </c>
      <c r="M136" s="48">
        <f t="shared" si="10"/>
        <v>5.5113902109407134</v>
      </c>
      <c r="N136" s="48" t="e">
        <f t="shared" si="11"/>
        <v>#DIV/0!</v>
      </c>
    </row>
    <row r="137" spans="1:14" x14ac:dyDescent="0.25">
      <c r="A137" s="5">
        <v>2013</v>
      </c>
      <c r="B137" s="4"/>
      <c r="C137" s="4">
        <v>10031338</v>
      </c>
      <c r="D137" s="4">
        <v>4678984</v>
      </c>
      <c r="E137" s="4"/>
      <c r="F137" s="4"/>
      <c r="G137" s="4">
        <v>26857215</v>
      </c>
      <c r="H137" s="4">
        <v>28360389</v>
      </c>
      <c r="I137" s="4"/>
      <c r="K137" s="48" t="e">
        <f t="shared" si="8"/>
        <v>#DIV/0!</v>
      </c>
      <c r="L137" s="48">
        <f t="shared" si="9"/>
        <v>2.6773312792371269</v>
      </c>
      <c r="M137" s="48">
        <f t="shared" si="10"/>
        <v>6.061228035830001</v>
      </c>
      <c r="N137" s="48" t="e">
        <f t="shared" si="11"/>
        <v>#DIV/0!</v>
      </c>
    </row>
    <row r="138" spans="1:14" x14ac:dyDescent="0.25">
      <c r="A138" s="5">
        <v>2014</v>
      </c>
      <c r="B138" s="4"/>
      <c r="C138" s="4">
        <v>6367342</v>
      </c>
      <c r="D138" s="4">
        <v>8744314</v>
      </c>
      <c r="E138" s="4"/>
      <c r="F138" s="4"/>
      <c r="G138" s="4">
        <v>17445172</v>
      </c>
      <c r="H138" s="4">
        <v>41994303</v>
      </c>
      <c r="I138" s="4"/>
      <c r="K138" s="48" t="e">
        <f t="shared" si="8"/>
        <v>#DIV/0!</v>
      </c>
      <c r="L138" s="48">
        <f t="shared" si="9"/>
        <v>2.7397887532976868</v>
      </c>
      <c r="M138" s="48">
        <f t="shared" si="10"/>
        <v>4.8024696963077949</v>
      </c>
      <c r="N138" s="48" t="e">
        <f t="shared" si="11"/>
        <v>#DIV/0!</v>
      </c>
    </row>
    <row r="139" spans="1:14" x14ac:dyDescent="0.25">
      <c r="A139" s="5">
        <v>2015</v>
      </c>
      <c r="B139" s="4">
        <v>1925057</v>
      </c>
      <c r="C139" s="4">
        <v>8725531</v>
      </c>
      <c r="D139" s="4">
        <v>8198761</v>
      </c>
      <c r="E139" s="4">
        <v>1934508</v>
      </c>
      <c r="F139" s="4">
        <v>2490268</v>
      </c>
      <c r="G139" s="4">
        <v>25475050</v>
      </c>
      <c r="H139" s="4">
        <v>33244231</v>
      </c>
      <c r="I139" s="4">
        <v>7889465</v>
      </c>
      <c r="K139" s="48">
        <f t="shared" si="8"/>
        <v>1.2936074100662993</v>
      </c>
      <c r="L139" s="48">
        <f t="shared" si="9"/>
        <v>2.919598818685075</v>
      </c>
      <c r="M139" s="48">
        <f t="shared" si="10"/>
        <v>4.0547871806483933</v>
      </c>
      <c r="N139" s="48">
        <f t="shared" si="11"/>
        <v>4.0782798520347292</v>
      </c>
    </row>
    <row r="140" spans="1:14" x14ac:dyDescent="0.25">
      <c r="A140" s="5">
        <v>2016</v>
      </c>
      <c r="B140" s="4">
        <v>2796524</v>
      </c>
      <c r="C140" s="4">
        <v>8408983</v>
      </c>
      <c r="D140" s="4">
        <v>6864827</v>
      </c>
      <c r="E140" s="4"/>
      <c r="F140" s="4">
        <v>4529177</v>
      </c>
      <c r="G140" s="4">
        <v>22423841</v>
      </c>
      <c r="H140" s="4">
        <v>28279178</v>
      </c>
      <c r="I140" s="4"/>
      <c r="K140" s="48">
        <f t="shared" si="8"/>
        <v>1.6195737994739183</v>
      </c>
      <c r="L140" s="48">
        <f t="shared" si="9"/>
        <v>2.6666531493760899</v>
      </c>
      <c r="M140" s="48">
        <f t="shared" si="10"/>
        <v>4.1194305406385334</v>
      </c>
      <c r="N140" s="48" t="e">
        <f t="shared" si="11"/>
        <v>#DIV/0!</v>
      </c>
    </row>
    <row r="141" spans="1:14" x14ac:dyDescent="0.25">
      <c r="A141" s="5">
        <v>2017</v>
      </c>
      <c r="B141" s="4">
        <v>2283083</v>
      </c>
      <c r="C141" s="4">
        <v>8904929</v>
      </c>
      <c r="D141" s="4">
        <v>4250648</v>
      </c>
      <c r="E141" s="4">
        <v>1579602</v>
      </c>
      <c r="F141" s="4">
        <v>5198116</v>
      </c>
      <c r="G141" s="4">
        <v>24492000</v>
      </c>
      <c r="H141" s="4">
        <v>20626042</v>
      </c>
      <c r="I141" s="4">
        <v>7681399</v>
      </c>
      <c r="K141" s="48">
        <f t="shared" si="8"/>
        <v>2.2767967699816434</v>
      </c>
      <c r="L141" s="48">
        <f t="shared" si="9"/>
        <v>2.7503868924726969</v>
      </c>
      <c r="M141" s="48">
        <f t="shared" si="10"/>
        <v>4.8524464975693116</v>
      </c>
      <c r="N141" s="48">
        <f t="shared" si="11"/>
        <v>4.8628698874779852</v>
      </c>
    </row>
    <row r="142" spans="1:14" x14ac:dyDescent="0.25">
      <c r="A142" s="5">
        <v>2018</v>
      </c>
      <c r="B142" s="4"/>
      <c r="C142" s="4">
        <v>7292887</v>
      </c>
      <c r="D142" s="4">
        <v>4329607</v>
      </c>
      <c r="E142" s="4"/>
      <c r="F142" s="4"/>
      <c r="G142" s="4">
        <v>23601347</v>
      </c>
      <c r="H142" s="4">
        <v>24005097</v>
      </c>
      <c r="I142" s="4"/>
      <c r="K142" s="48" t="e">
        <f t="shared" si="8"/>
        <v>#DIV/0!</v>
      </c>
      <c r="L142" s="48">
        <f t="shared" si="9"/>
        <v>3.2362145471333919</v>
      </c>
      <c r="M142" s="48">
        <f t="shared" si="10"/>
        <v>5.5444055314951219</v>
      </c>
      <c r="N142" s="48" t="e">
        <f t="shared" si="11"/>
        <v>#DIV/0!</v>
      </c>
    </row>
    <row r="143" spans="1:14" x14ac:dyDescent="0.25">
      <c r="A143" s="5">
        <v>2019</v>
      </c>
      <c r="B143" s="4"/>
      <c r="C143" s="4">
        <v>7878819</v>
      </c>
      <c r="D143" s="4">
        <v>2563192</v>
      </c>
      <c r="E143" s="4"/>
      <c r="F143" s="4"/>
      <c r="G143" s="4">
        <v>23284449</v>
      </c>
      <c r="H143" s="4">
        <v>11648244</v>
      </c>
      <c r="I143" s="4"/>
      <c r="K143" s="48" t="e">
        <f t="shared" si="8"/>
        <v>#DIV/0!</v>
      </c>
      <c r="L143" s="48">
        <f t="shared" si="9"/>
        <v>2.9553222380156212</v>
      </c>
      <c r="M143" s="48">
        <f t="shared" si="10"/>
        <v>4.5444289776185318</v>
      </c>
      <c r="N143" s="48" t="e">
        <f t="shared" si="11"/>
        <v>#DIV/0!</v>
      </c>
    </row>
    <row r="144" spans="1:14" x14ac:dyDescent="0.25">
      <c r="A144" s="5">
        <v>2020</v>
      </c>
      <c r="B144" s="4"/>
      <c r="C144" s="4">
        <v>7555341</v>
      </c>
      <c r="D144" s="4">
        <v>1765375</v>
      </c>
      <c r="E144" s="4"/>
      <c r="F144" s="4"/>
      <c r="G144" s="4">
        <v>16178006</v>
      </c>
      <c r="H144" s="4">
        <v>7724843</v>
      </c>
      <c r="I144" s="4"/>
      <c r="K144" s="48" t="e">
        <f t="shared" si="8"/>
        <v>#DIV/0!</v>
      </c>
      <c r="L144" s="48">
        <f t="shared" si="9"/>
        <v>2.1412674821692361</v>
      </c>
      <c r="M144" s="48">
        <f t="shared" si="10"/>
        <v>4.3757518940734972</v>
      </c>
      <c r="N144" s="48" t="e">
        <f t="shared" si="11"/>
        <v>#DIV/0!</v>
      </c>
    </row>
    <row r="145" spans="1:14" x14ac:dyDescent="0.25">
      <c r="A145" s="5">
        <v>2021</v>
      </c>
      <c r="B145" s="4"/>
      <c r="C145" s="4">
        <v>4177609</v>
      </c>
      <c r="D145" s="4">
        <v>1602909</v>
      </c>
      <c r="E145" s="4">
        <v>2598211.2340000002</v>
      </c>
      <c r="F145" s="4"/>
      <c r="G145" s="4">
        <v>19690124</v>
      </c>
      <c r="H145" s="4">
        <v>6810905</v>
      </c>
      <c r="I145" s="4">
        <v>10448226</v>
      </c>
      <c r="K145" s="48" t="e">
        <f t="shared" si="8"/>
        <v>#DIV/0!</v>
      </c>
      <c r="L145" s="48">
        <f t="shared" si="9"/>
        <v>4.7132520061116301</v>
      </c>
      <c r="M145" s="48">
        <f t="shared" si="10"/>
        <v>4.2490902477932311</v>
      </c>
      <c r="N145" s="48">
        <f t="shared" si="11"/>
        <v>4.0213150737227545</v>
      </c>
    </row>
    <row r="146" spans="1:14" x14ac:dyDescent="0.25">
      <c r="A146" s="5">
        <v>2022</v>
      </c>
      <c r="B146" s="4"/>
      <c r="C146" s="4">
        <v>3735826</v>
      </c>
      <c r="D146" s="4">
        <v>1947569</v>
      </c>
      <c r="E146" s="4">
        <v>4502868.1150000002</v>
      </c>
      <c r="F146" s="4"/>
      <c r="G146" s="4">
        <v>22547107</v>
      </c>
      <c r="H146" s="4">
        <v>10327596</v>
      </c>
      <c r="I146" s="4">
        <v>19394416</v>
      </c>
      <c r="K146" s="48" t="e">
        <f t="shared" si="8"/>
        <v>#DIV/0!</v>
      </c>
      <c r="L146" s="48">
        <f t="shared" si="9"/>
        <v>6.0353739708433958</v>
      </c>
      <c r="M146" s="48">
        <f t="shared" si="10"/>
        <v>5.3028139182745262</v>
      </c>
      <c r="N146" s="48">
        <f t="shared" si="11"/>
        <v>4.3071250377938286</v>
      </c>
    </row>
    <row r="147" spans="1:14" x14ac:dyDescent="0.25">
      <c r="A147" s="5">
        <v>2023</v>
      </c>
      <c r="B147" s="4"/>
      <c r="C147" s="4">
        <v>4198721</v>
      </c>
      <c r="D147" s="4"/>
      <c r="E147" s="4">
        <v>4680075.6540000001</v>
      </c>
      <c r="F147" s="4"/>
      <c r="G147" s="4">
        <v>23049735</v>
      </c>
      <c r="H147" s="4"/>
      <c r="I147" s="4">
        <v>22571307</v>
      </c>
      <c r="K147" s="48" t="e">
        <f t="shared" si="8"/>
        <v>#DIV/0!</v>
      </c>
      <c r="L147" s="48">
        <f t="shared" si="9"/>
        <v>5.4897038883983953</v>
      </c>
      <c r="M147" s="48" t="e">
        <f t="shared" si="10"/>
        <v>#DIV/0!</v>
      </c>
      <c r="N147" s="48">
        <f t="shared" si="11"/>
        <v>4.8228508829143815</v>
      </c>
    </row>
    <row r="148" spans="1:14" x14ac:dyDescent="0.25">
      <c r="A148" s="5">
        <v>2024</v>
      </c>
      <c r="B148" s="4"/>
      <c r="C148" s="4"/>
      <c r="D148" s="4">
        <v>2115927</v>
      </c>
      <c r="E148" s="4">
        <v>5451647.2970000003</v>
      </c>
      <c r="F148" s="4"/>
      <c r="G148" s="4"/>
      <c r="H148" s="4">
        <v>10404515</v>
      </c>
      <c r="I148" s="4">
        <v>26554009</v>
      </c>
      <c r="K148" s="48" t="e">
        <f t="shared" si="8"/>
        <v>#DIV/0!</v>
      </c>
      <c r="L148" s="48" t="e">
        <f t="shared" si="9"/>
        <v>#DIV/0!</v>
      </c>
      <c r="M148" s="48">
        <f t="shared" si="10"/>
        <v>4.9172372203766956</v>
      </c>
      <c r="N148" s="48">
        <f t="shared" si="11"/>
        <v>4.870822992274733</v>
      </c>
    </row>
    <row r="149" spans="1:14" x14ac:dyDescent="0.25">
      <c r="A149" s="5">
        <v>2025</v>
      </c>
      <c r="B149" s="4"/>
      <c r="C149" s="4">
        <v>2173499</v>
      </c>
      <c r="D149" s="4">
        <v>3524025</v>
      </c>
      <c r="E149" s="4">
        <v>5605610.125</v>
      </c>
      <c r="F149" s="4"/>
      <c r="G149" s="4">
        <v>14043981</v>
      </c>
      <c r="H149" s="4">
        <v>16080713</v>
      </c>
      <c r="I149" s="4">
        <v>26930391</v>
      </c>
      <c r="K149" s="48" t="e">
        <f t="shared" si="8"/>
        <v>#DIV/0!</v>
      </c>
      <c r="L149" s="48">
        <f t="shared" si="9"/>
        <v>6.4614619100353856</v>
      </c>
      <c r="M149" s="48">
        <f t="shared" si="10"/>
        <v>4.5631665496130136</v>
      </c>
      <c r="N149" s="48">
        <f t="shared" si="11"/>
        <v>4.8041855211969455</v>
      </c>
    </row>
    <row r="150" spans="1:14" x14ac:dyDescent="0.25">
      <c r="A150" s="3" t="s">
        <v>80</v>
      </c>
      <c r="B150" s="4"/>
      <c r="C150" s="4">
        <v>1747180.27</v>
      </c>
      <c r="D150" s="4"/>
      <c r="E150" s="4"/>
      <c r="F150" s="4"/>
      <c r="G150" s="4">
        <v>2081150.9539999999</v>
      </c>
      <c r="H150" s="4"/>
      <c r="I150" s="4"/>
      <c r="K150" s="48" t="e">
        <f t="shared" si="8"/>
        <v>#DIV/0!</v>
      </c>
      <c r="L150" s="48">
        <f t="shared" si="9"/>
        <v>1.1911483833319614</v>
      </c>
      <c r="M150" s="48" t="e">
        <f t="shared" si="10"/>
        <v>#DIV/0!</v>
      </c>
      <c r="N150" s="48" t="e">
        <f t="shared" si="11"/>
        <v>#DIV/0!</v>
      </c>
    </row>
    <row r="151" spans="1:14" x14ac:dyDescent="0.25">
      <c r="A151" s="5">
        <v>2019</v>
      </c>
      <c r="B151" s="4"/>
      <c r="C151" s="4">
        <v>1747180.27</v>
      </c>
      <c r="D151" s="4"/>
      <c r="E151" s="4"/>
      <c r="F151" s="4"/>
      <c r="G151" s="4">
        <v>2081150.9539999999</v>
      </c>
      <c r="H151" s="4"/>
      <c r="I151" s="4"/>
      <c r="K151" s="48" t="e">
        <f t="shared" si="8"/>
        <v>#DIV/0!</v>
      </c>
      <c r="L151" s="48">
        <f t="shared" si="9"/>
        <v>1.1911483833319614</v>
      </c>
      <c r="M151" s="48" t="e">
        <f t="shared" si="10"/>
        <v>#DIV/0!</v>
      </c>
      <c r="N151" s="48" t="e">
        <f t="shared" si="11"/>
        <v>#DIV/0!</v>
      </c>
    </row>
    <row r="152" spans="1:14" x14ac:dyDescent="0.25">
      <c r="A152" s="3" t="s">
        <v>120</v>
      </c>
      <c r="B152" s="4"/>
      <c r="C152" s="4"/>
      <c r="D152" s="4">
        <v>11146627.205</v>
      </c>
      <c r="E152" s="4"/>
      <c r="F152" s="4"/>
      <c r="G152" s="4"/>
      <c r="H152" s="4">
        <v>49417478.833000004</v>
      </c>
      <c r="I152" s="4"/>
      <c r="K152" s="48" t="e">
        <f t="shared" si="8"/>
        <v>#DIV/0!</v>
      </c>
      <c r="L152" s="48" t="e">
        <f t="shared" si="9"/>
        <v>#DIV/0!</v>
      </c>
      <c r="M152" s="48">
        <f t="shared" si="10"/>
        <v>4.4334019541653813</v>
      </c>
      <c r="N152" s="48" t="e">
        <f t="shared" si="11"/>
        <v>#DIV/0!</v>
      </c>
    </row>
    <row r="153" spans="1:14" x14ac:dyDescent="0.25">
      <c r="A153" s="5">
        <v>2013</v>
      </c>
      <c r="B153" s="4"/>
      <c r="C153" s="4"/>
      <c r="D153" s="4">
        <v>874475</v>
      </c>
      <c r="E153" s="4"/>
      <c r="F153" s="4"/>
      <c r="G153" s="4"/>
      <c r="H153" s="4">
        <v>4083184.54</v>
      </c>
      <c r="I153" s="4"/>
      <c r="K153" s="48" t="e">
        <f t="shared" si="8"/>
        <v>#DIV/0!</v>
      </c>
      <c r="L153" s="48" t="e">
        <f t="shared" si="9"/>
        <v>#DIV/0!</v>
      </c>
      <c r="M153" s="48">
        <f t="shared" si="10"/>
        <v>4.6692981960604936</v>
      </c>
      <c r="N153" s="48" t="e">
        <f t="shared" si="11"/>
        <v>#DIV/0!</v>
      </c>
    </row>
    <row r="154" spans="1:14" x14ac:dyDescent="0.25">
      <c r="A154" s="5">
        <v>2014</v>
      </c>
      <c r="B154" s="4"/>
      <c r="C154" s="4"/>
      <c r="D154" s="4">
        <v>895300</v>
      </c>
      <c r="E154" s="4"/>
      <c r="F154" s="4"/>
      <c r="G154" s="4"/>
      <c r="H154" s="4">
        <v>4194878.5389999999</v>
      </c>
      <c r="I154" s="4"/>
      <c r="K154" s="48" t="e">
        <f t="shared" si="8"/>
        <v>#DIV/0!</v>
      </c>
      <c r="L154" s="48" t="e">
        <f t="shared" si="9"/>
        <v>#DIV/0!</v>
      </c>
      <c r="M154" s="48">
        <f t="shared" si="10"/>
        <v>4.6854445872891768</v>
      </c>
      <c r="N154" s="48" t="e">
        <f t="shared" si="11"/>
        <v>#DIV/0!</v>
      </c>
    </row>
    <row r="155" spans="1:14" x14ac:dyDescent="0.25">
      <c r="A155" s="5">
        <v>2016</v>
      </c>
      <c r="B155" s="4"/>
      <c r="C155" s="4"/>
      <c r="D155" s="4">
        <v>875176</v>
      </c>
      <c r="E155" s="4"/>
      <c r="F155" s="4"/>
      <c r="G155" s="4"/>
      <c r="H155" s="4">
        <v>3269427.25</v>
      </c>
      <c r="I155" s="4"/>
      <c r="K155" s="48" t="e">
        <f t="shared" si="8"/>
        <v>#DIV/0!</v>
      </c>
      <c r="L155" s="48" t="e">
        <f t="shared" si="9"/>
        <v>#DIV/0!</v>
      </c>
      <c r="M155" s="48">
        <f t="shared" si="10"/>
        <v>3.7357368689269359</v>
      </c>
      <c r="N155" s="48" t="e">
        <f t="shared" si="11"/>
        <v>#DIV/0!</v>
      </c>
    </row>
    <row r="156" spans="1:14" x14ac:dyDescent="0.25">
      <c r="A156" s="5">
        <v>2018</v>
      </c>
      <c r="B156" s="4"/>
      <c r="C156" s="4"/>
      <c r="D156" s="4">
        <v>902418</v>
      </c>
      <c r="E156" s="4"/>
      <c r="F156" s="4"/>
      <c r="G156" s="4"/>
      <c r="H156" s="4">
        <v>4231364.3339999998</v>
      </c>
      <c r="I156" s="4"/>
      <c r="K156" s="48" t="e">
        <f t="shared" si="8"/>
        <v>#DIV/0!</v>
      </c>
      <c r="L156" s="48" t="e">
        <f t="shared" si="9"/>
        <v>#DIV/0!</v>
      </c>
      <c r="M156" s="48">
        <f t="shared" si="10"/>
        <v>4.6889183659900402</v>
      </c>
      <c r="N156" s="48" t="e">
        <f t="shared" si="11"/>
        <v>#DIV/0!</v>
      </c>
    </row>
    <row r="157" spans="1:14" x14ac:dyDescent="0.25">
      <c r="A157" s="5">
        <v>2019</v>
      </c>
      <c r="B157" s="4"/>
      <c r="C157" s="4"/>
      <c r="D157" s="4">
        <v>960052</v>
      </c>
      <c r="E157" s="4"/>
      <c r="F157" s="4"/>
      <c r="G157" s="4"/>
      <c r="H157" s="4">
        <v>4292880.227</v>
      </c>
      <c r="I157" s="4"/>
      <c r="K157" s="48" t="e">
        <f t="shared" si="8"/>
        <v>#DIV/0!</v>
      </c>
      <c r="L157" s="48" t="e">
        <f t="shared" si="9"/>
        <v>#DIV/0!</v>
      </c>
      <c r="M157" s="48">
        <f t="shared" si="10"/>
        <v>4.4715080297733873</v>
      </c>
      <c r="N157" s="48" t="e">
        <f t="shared" si="11"/>
        <v>#DIV/0!</v>
      </c>
    </row>
    <row r="158" spans="1:14" x14ac:dyDescent="0.25">
      <c r="A158" s="5">
        <v>2020</v>
      </c>
      <c r="B158" s="4"/>
      <c r="C158" s="4"/>
      <c r="D158" s="4">
        <v>1684473</v>
      </c>
      <c r="E158" s="4"/>
      <c r="F158" s="4"/>
      <c r="G158" s="4"/>
      <c r="H158" s="4">
        <v>6549176.4170000004</v>
      </c>
      <c r="I158" s="4"/>
      <c r="K158" s="48" t="e">
        <f t="shared" si="8"/>
        <v>#DIV/0!</v>
      </c>
      <c r="L158" s="48" t="e">
        <f t="shared" si="9"/>
        <v>#DIV/0!</v>
      </c>
      <c r="M158" s="48">
        <f t="shared" si="10"/>
        <v>3.8879675821458703</v>
      </c>
      <c r="N158" s="48" t="e">
        <f t="shared" si="11"/>
        <v>#DIV/0!</v>
      </c>
    </row>
    <row r="159" spans="1:14" x14ac:dyDescent="0.25">
      <c r="A159" s="5">
        <v>2021</v>
      </c>
      <c r="B159" s="4"/>
      <c r="C159" s="4"/>
      <c r="D159" s="4">
        <v>1491885</v>
      </c>
      <c r="E159" s="4"/>
      <c r="F159" s="4"/>
      <c r="G159" s="4"/>
      <c r="H159" s="4">
        <v>6696857.8880000003</v>
      </c>
      <c r="I159" s="4"/>
      <c r="K159" s="48" t="e">
        <f t="shared" si="8"/>
        <v>#DIV/0!</v>
      </c>
      <c r="L159" s="48" t="e">
        <f t="shared" si="9"/>
        <v>#DIV/0!</v>
      </c>
      <c r="M159" s="48">
        <f t="shared" si="10"/>
        <v>4.4888566397544052</v>
      </c>
      <c r="N159" s="48" t="e">
        <f t="shared" si="11"/>
        <v>#DIV/0!</v>
      </c>
    </row>
    <row r="160" spans="1:14" x14ac:dyDescent="0.25">
      <c r="A160" s="5">
        <v>2022</v>
      </c>
      <c r="B160" s="4"/>
      <c r="C160" s="4"/>
      <c r="D160" s="4">
        <v>1693560.2050000001</v>
      </c>
      <c r="E160" s="4"/>
      <c r="F160" s="4"/>
      <c r="G160" s="4"/>
      <c r="H160" s="4">
        <v>7552154.9979999997</v>
      </c>
      <c r="I160" s="4"/>
      <c r="K160" s="48" t="e">
        <f t="shared" si="8"/>
        <v>#DIV/0!</v>
      </c>
      <c r="L160" s="48" t="e">
        <f t="shared" si="9"/>
        <v>#DIV/0!</v>
      </c>
      <c r="M160" s="48">
        <f t="shared" si="10"/>
        <v>4.4593365950046042</v>
      </c>
      <c r="N160" s="48" t="e">
        <f t="shared" si="11"/>
        <v>#DIV/0!</v>
      </c>
    </row>
    <row r="161" spans="1:14" x14ac:dyDescent="0.25">
      <c r="A161" s="5">
        <v>2023</v>
      </c>
      <c r="B161" s="4"/>
      <c r="C161" s="4"/>
      <c r="D161" s="4">
        <v>1769288</v>
      </c>
      <c r="E161" s="4"/>
      <c r="F161" s="4"/>
      <c r="G161" s="4"/>
      <c r="H161" s="4">
        <v>8547554.6400000006</v>
      </c>
      <c r="I161" s="4"/>
      <c r="K161" s="48" t="e">
        <f t="shared" si="8"/>
        <v>#DIV/0!</v>
      </c>
      <c r="L161" s="48" t="e">
        <f t="shared" si="9"/>
        <v>#DIV/0!</v>
      </c>
      <c r="M161" s="48">
        <f t="shared" si="10"/>
        <v>4.8310702610315568</v>
      </c>
      <c r="N161" s="48" t="e">
        <f t="shared" si="11"/>
        <v>#DIV/0!</v>
      </c>
    </row>
    <row r="162" spans="1:14" x14ac:dyDescent="0.25">
      <c r="A162" s="3" t="s">
        <v>16</v>
      </c>
      <c r="B162" s="4">
        <v>491887816</v>
      </c>
      <c r="C162" s="4">
        <v>36885432</v>
      </c>
      <c r="D162" s="4"/>
      <c r="E162" s="4">
        <v>2005009</v>
      </c>
      <c r="F162" s="4">
        <v>357900669.56400001</v>
      </c>
      <c r="G162" s="4">
        <v>52001927.950999998</v>
      </c>
      <c r="H162" s="4"/>
      <c r="I162" s="4">
        <v>10376391.441</v>
      </c>
      <c r="K162" s="48">
        <f t="shared" si="8"/>
        <v>0.72760629135810917</v>
      </c>
      <c r="L162" s="48">
        <f t="shared" si="9"/>
        <v>1.4098229336449142</v>
      </c>
      <c r="M162" s="48" t="e">
        <f t="shared" si="10"/>
        <v>#DIV/0!</v>
      </c>
      <c r="N162" s="48">
        <f t="shared" si="11"/>
        <v>5.1752343460802415</v>
      </c>
    </row>
    <row r="163" spans="1:14" x14ac:dyDescent="0.25">
      <c r="A163" s="5">
        <v>2008</v>
      </c>
      <c r="B163" s="4">
        <v>64417099</v>
      </c>
      <c r="C163" s="4">
        <v>8045363</v>
      </c>
      <c r="D163" s="4"/>
      <c r="E163" s="4">
        <v>2005009</v>
      </c>
      <c r="F163" s="4">
        <v>101365172.417</v>
      </c>
      <c r="G163" s="4">
        <v>15368660.937999999</v>
      </c>
      <c r="H163" s="4"/>
      <c r="I163" s="4">
        <v>10376391.441</v>
      </c>
      <c r="K163" s="48">
        <f t="shared" si="8"/>
        <v>1.5735755566546081</v>
      </c>
      <c r="L163" s="48">
        <f t="shared" si="9"/>
        <v>1.9102507789890897</v>
      </c>
      <c r="M163" s="48" t="e">
        <f t="shared" si="10"/>
        <v>#DIV/0!</v>
      </c>
      <c r="N163" s="48">
        <f t="shared" si="11"/>
        <v>5.1752343460802415</v>
      </c>
    </row>
    <row r="164" spans="1:14" x14ac:dyDescent="0.25">
      <c r="A164" s="5">
        <v>2009</v>
      </c>
      <c r="B164" s="4">
        <v>68641225</v>
      </c>
      <c r="C164" s="4">
        <v>20998744</v>
      </c>
      <c r="D164" s="4"/>
      <c r="E164" s="4"/>
      <c r="F164" s="4">
        <v>73538432.714000002</v>
      </c>
      <c r="G164" s="4">
        <v>27876699.828000002</v>
      </c>
      <c r="H164" s="4"/>
      <c r="I164" s="4"/>
      <c r="K164" s="48">
        <f t="shared" si="8"/>
        <v>1.0713449929543071</v>
      </c>
      <c r="L164" s="48">
        <f t="shared" si="9"/>
        <v>1.3275412961841908</v>
      </c>
      <c r="M164" s="48" t="e">
        <f t="shared" si="10"/>
        <v>#DIV/0!</v>
      </c>
      <c r="N164" s="48" t="e">
        <f t="shared" si="11"/>
        <v>#DIV/0!</v>
      </c>
    </row>
    <row r="165" spans="1:14" x14ac:dyDescent="0.25">
      <c r="A165" s="5">
        <v>2010</v>
      </c>
      <c r="B165" s="4">
        <v>16952097</v>
      </c>
      <c r="C165" s="4">
        <v>4109861</v>
      </c>
      <c r="D165" s="4"/>
      <c r="E165" s="4"/>
      <c r="F165" s="4">
        <v>6150099.0379999997</v>
      </c>
      <c r="G165" s="4">
        <v>4395837.8109999998</v>
      </c>
      <c r="H165" s="4"/>
      <c r="I165" s="4"/>
      <c r="K165" s="48">
        <f t="shared" si="8"/>
        <v>0.36279281778531586</v>
      </c>
      <c r="L165" s="48">
        <f t="shared" si="9"/>
        <v>1.0695830858999853</v>
      </c>
      <c r="M165" s="48" t="e">
        <f t="shared" si="10"/>
        <v>#DIV/0!</v>
      </c>
      <c r="N165" s="48" t="e">
        <f t="shared" si="11"/>
        <v>#DIV/0!</v>
      </c>
    </row>
    <row r="166" spans="1:14" x14ac:dyDescent="0.25">
      <c r="A166" s="5">
        <v>2011</v>
      </c>
      <c r="B166" s="4">
        <v>20502950</v>
      </c>
      <c r="C166" s="4"/>
      <c r="D166" s="4"/>
      <c r="E166" s="4"/>
      <c r="F166" s="4">
        <v>8846619.8699999992</v>
      </c>
      <c r="G166" s="4"/>
      <c r="H166" s="4"/>
      <c r="I166" s="4"/>
      <c r="K166" s="48">
        <f t="shared" si="8"/>
        <v>0.43148034160937815</v>
      </c>
      <c r="L166" s="48" t="e">
        <f t="shared" si="9"/>
        <v>#DIV/0!</v>
      </c>
      <c r="M166" s="48" t="e">
        <f t="shared" si="10"/>
        <v>#DIV/0!</v>
      </c>
      <c r="N166" s="48" t="e">
        <f t="shared" si="11"/>
        <v>#DIV/0!</v>
      </c>
    </row>
    <row r="167" spans="1:14" x14ac:dyDescent="0.25">
      <c r="A167" s="5">
        <v>2012</v>
      </c>
      <c r="B167" s="4">
        <v>17127669</v>
      </c>
      <c r="C167" s="4"/>
      <c r="D167" s="4"/>
      <c r="E167" s="4"/>
      <c r="F167" s="4">
        <v>7512896.352</v>
      </c>
      <c r="G167" s="4"/>
      <c r="H167" s="4"/>
      <c r="I167" s="4"/>
      <c r="K167" s="48">
        <f t="shared" si="8"/>
        <v>0.43864091208208195</v>
      </c>
      <c r="L167" s="48" t="e">
        <f t="shared" si="9"/>
        <v>#DIV/0!</v>
      </c>
      <c r="M167" s="48" t="e">
        <f t="shared" si="10"/>
        <v>#DIV/0!</v>
      </c>
      <c r="N167" s="48" t="e">
        <f t="shared" si="11"/>
        <v>#DIV/0!</v>
      </c>
    </row>
    <row r="168" spans="1:14" x14ac:dyDescent="0.25">
      <c r="A168" s="5">
        <v>2013</v>
      </c>
      <c r="B168" s="4">
        <v>21822855</v>
      </c>
      <c r="C168" s="4"/>
      <c r="D168" s="4"/>
      <c r="E168" s="4"/>
      <c r="F168" s="4">
        <v>11338755.677999999</v>
      </c>
      <c r="G168" s="4"/>
      <c r="H168" s="4"/>
      <c r="I168" s="4"/>
      <c r="K168" s="48">
        <f t="shared" si="8"/>
        <v>0.51958168067377064</v>
      </c>
      <c r="L168" s="48" t="e">
        <f t="shared" si="9"/>
        <v>#DIV/0!</v>
      </c>
      <c r="M168" s="48" t="e">
        <f t="shared" si="10"/>
        <v>#DIV/0!</v>
      </c>
      <c r="N168" s="48" t="e">
        <f t="shared" si="11"/>
        <v>#DIV/0!</v>
      </c>
    </row>
    <row r="169" spans="1:14" x14ac:dyDescent="0.25">
      <c r="A169" s="5">
        <v>2014</v>
      </c>
      <c r="B169" s="4">
        <v>30567756</v>
      </c>
      <c r="C169" s="4"/>
      <c r="D169" s="4"/>
      <c r="E169" s="4"/>
      <c r="F169" s="4">
        <v>13496639.708000001</v>
      </c>
      <c r="G169" s="4"/>
      <c r="H169" s="4"/>
      <c r="I169" s="4"/>
      <c r="K169" s="48">
        <f t="shared" si="8"/>
        <v>0.44153191055306779</v>
      </c>
      <c r="L169" s="48" t="e">
        <f t="shared" si="9"/>
        <v>#DIV/0!</v>
      </c>
      <c r="M169" s="48" t="e">
        <f t="shared" si="10"/>
        <v>#DIV/0!</v>
      </c>
      <c r="N169" s="48" t="e">
        <f t="shared" si="11"/>
        <v>#DIV/0!</v>
      </c>
    </row>
    <row r="170" spans="1:14" x14ac:dyDescent="0.25">
      <c r="A170" s="5">
        <v>2015</v>
      </c>
      <c r="B170" s="4">
        <v>35203617</v>
      </c>
      <c r="C170" s="4"/>
      <c r="D170" s="4"/>
      <c r="E170" s="4"/>
      <c r="F170" s="4">
        <v>15165306.171</v>
      </c>
      <c r="G170" s="4"/>
      <c r="H170" s="4"/>
      <c r="I170" s="4"/>
      <c r="K170" s="48">
        <f t="shared" si="8"/>
        <v>0.43078829573108923</v>
      </c>
      <c r="L170" s="48" t="e">
        <f t="shared" si="9"/>
        <v>#DIV/0!</v>
      </c>
      <c r="M170" s="48" t="e">
        <f t="shared" si="10"/>
        <v>#DIV/0!</v>
      </c>
      <c r="N170" s="48" t="e">
        <f t="shared" si="11"/>
        <v>#DIV/0!</v>
      </c>
    </row>
    <row r="171" spans="1:14" x14ac:dyDescent="0.25">
      <c r="A171" s="5">
        <v>2016</v>
      </c>
      <c r="B171" s="4">
        <v>32695528</v>
      </c>
      <c r="C171" s="4"/>
      <c r="D171" s="4"/>
      <c r="E171" s="4"/>
      <c r="F171" s="4">
        <v>19006296.853</v>
      </c>
      <c r="G171" s="4"/>
      <c r="H171" s="4"/>
      <c r="I171" s="4"/>
      <c r="K171" s="48">
        <f t="shared" si="8"/>
        <v>0.5813118189435571</v>
      </c>
      <c r="L171" s="48" t="e">
        <f t="shared" si="9"/>
        <v>#DIV/0!</v>
      </c>
      <c r="M171" s="48" t="e">
        <f t="shared" si="10"/>
        <v>#DIV/0!</v>
      </c>
      <c r="N171" s="48" t="e">
        <f t="shared" si="11"/>
        <v>#DIV/0!</v>
      </c>
    </row>
    <row r="172" spans="1:14" x14ac:dyDescent="0.25">
      <c r="A172" s="5">
        <v>2017</v>
      </c>
      <c r="B172" s="4">
        <v>40957835</v>
      </c>
      <c r="C172" s="4"/>
      <c r="D172" s="4"/>
      <c r="E172" s="4"/>
      <c r="F172" s="4">
        <v>23561482.449999999</v>
      </c>
      <c r="G172" s="4"/>
      <c r="H172" s="4"/>
      <c r="I172" s="4"/>
      <c r="K172" s="48">
        <f t="shared" si="8"/>
        <v>0.57526191142671479</v>
      </c>
      <c r="L172" s="48" t="e">
        <f t="shared" si="9"/>
        <v>#DIV/0!</v>
      </c>
      <c r="M172" s="48" t="e">
        <f t="shared" si="10"/>
        <v>#DIV/0!</v>
      </c>
      <c r="N172" s="48" t="e">
        <f t="shared" si="11"/>
        <v>#DIV/0!</v>
      </c>
    </row>
    <row r="173" spans="1:14" x14ac:dyDescent="0.25">
      <c r="A173" s="5">
        <v>2018</v>
      </c>
      <c r="B173" s="4">
        <v>78480389</v>
      </c>
      <c r="C173" s="4">
        <v>1909814</v>
      </c>
      <c r="D173" s="4"/>
      <c r="E173" s="4"/>
      <c r="F173" s="4">
        <v>33256833.434999999</v>
      </c>
      <c r="G173" s="4">
        <v>2499257.3119999999</v>
      </c>
      <c r="H173" s="4"/>
      <c r="I173" s="4"/>
      <c r="K173" s="48">
        <f t="shared" si="8"/>
        <v>0.42375979348165566</v>
      </c>
      <c r="L173" s="48">
        <f t="shared" si="9"/>
        <v>1.3086391198305174</v>
      </c>
      <c r="M173" s="48" t="e">
        <f t="shared" si="10"/>
        <v>#DIV/0!</v>
      </c>
      <c r="N173" s="48" t="e">
        <f t="shared" si="11"/>
        <v>#DIV/0!</v>
      </c>
    </row>
    <row r="174" spans="1:14" x14ac:dyDescent="0.25">
      <c r="A174" s="5">
        <v>2019</v>
      </c>
      <c r="B174" s="4">
        <v>64518796</v>
      </c>
      <c r="C174" s="4">
        <v>1821650</v>
      </c>
      <c r="D174" s="4"/>
      <c r="E174" s="4"/>
      <c r="F174" s="4">
        <v>44662134.877999999</v>
      </c>
      <c r="G174" s="4">
        <v>1861472.0619999999</v>
      </c>
      <c r="H174" s="4"/>
      <c r="I174" s="4"/>
      <c r="K174" s="48">
        <f t="shared" si="8"/>
        <v>0.69223447502027158</v>
      </c>
      <c r="L174" s="48">
        <f t="shared" si="9"/>
        <v>1.0218604353196277</v>
      </c>
      <c r="M174" s="48" t="e">
        <f t="shared" si="10"/>
        <v>#DIV/0!</v>
      </c>
      <c r="N174" s="48" t="e">
        <f t="shared" si="11"/>
        <v>#DIV/0!</v>
      </c>
    </row>
    <row r="175" spans="1:14" x14ac:dyDescent="0.25">
      <c r="A175" s="3" t="s">
        <v>79</v>
      </c>
      <c r="B175" s="4"/>
      <c r="C175" s="4">
        <v>75227211</v>
      </c>
      <c r="D175" s="4"/>
      <c r="E175" s="4"/>
      <c r="F175" s="4"/>
      <c r="G175" s="4">
        <v>127849908.67900002</v>
      </c>
      <c r="H175" s="4"/>
      <c r="I175" s="4"/>
      <c r="K175" s="48" t="e">
        <f t="shared" si="8"/>
        <v>#DIV/0!</v>
      </c>
      <c r="L175" s="48">
        <f t="shared" si="9"/>
        <v>1.6995167969074385</v>
      </c>
      <c r="M175" s="48" t="e">
        <f t="shared" si="10"/>
        <v>#DIV/0!</v>
      </c>
      <c r="N175" s="48" t="e">
        <f t="shared" si="11"/>
        <v>#DIV/0!</v>
      </c>
    </row>
    <row r="176" spans="1:14" x14ac:dyDescent="0.25">
      <c r="A176" s="5">
        <v>2010</v>
      </c>
      <c r="B176" s="4"/>
      <c r="C176" s="4">
        <v>9640352</v>
      </c>
      <c r="D176" s="4"/>
      <c r="E176" s="4"/>
      <c r="F176" s="4"/>
      <c r="G176" s="4">
        <v>14992365.594000001</v>
      </c>
      <c r="H176" s="4"/>
      <c r="I176" s="4"/>
      <c r="K176" s="48" t="e">
        <f t="shared" si="8"/>
        <v>#DIV/0!</v>
      </c>
      <c r="L176" s="48">
        <f t="shared" si="9"/>
        <v>1.5551678604681656</v>
      </c>
      <c r="M176" s="48" t="e">
        <f t="shared" si="10"/>
        <v>#DIV/0!</v>
      </c>
      <c r="N176" s="48" t="e">
        <f t="shared" si="11"/>
        <v>#DIV/0!</v>
      </c>
    </row>
    <row r="177" spans="1:14" x14ac:dyDescent="0.25">
      <c r="A177" s="5">
        <v>2011</v>
      </c>
      <c r="B177" s="4"/>
      <c r="C177" s="4">
        <v>13636965</v>
      </c>
      <c r="D177" s="4"/>
      <c r="E177" s="4"/>
      <c r="F177" s="4"/>
      <c r="G177" s="4">
        <v>24487962.927999999</v>
      </c>
      <c r="H177" s="4"/>
      <c r="I177" s="4"/>
      <c r="K177" s="48" t="e">
        <f t="shared" si="8"/>
        <v>#DIV/0!</v>
      </c>
      <c r="L177" s="48">
        <f t="shared" si="9"/>
        <v>1.7957047574735288</v>
      </c>
      <c r="M177" s="48" t="e">
        <f t="shared" si="10"/>
        <v>#DIV/0!</v>
      </c>
      <c r="N177" s="48" t="e">
        <f t="shared" si="11"/>
        <v>#DIV/0!</v>
      </c>
    </row>
    <row r="178" spans="1:14" x14ac:dyDescent="0.25">
      <c r="A178" s="5">
        <v>2012</v>
      </c>
      <c r="B178" s="4"/>
      <c r="C178" s="4">
        <v>8443147</v>
      </c>
      <c r="D178" s="4"/>
      <c r="E178" s="4"/>
      <c r="F178" s="4"/>
      <c r="G178" s="4">
        <v>16266651.317</v>
      </c>
      <c r="H178" s="4"/>
      <c r="I178" s="4"/>
      <c r="K178" s="48" t="e">
        <f t="shared" si="8"/>
        <v>#DIV/0!</v>
      </c>
      <c r="L178" s="48">
        <f t="shared" si="9"/>
        <v>1.9266099852341787</v>
      </c>
      <c r="M178" s="48" t="e">
        <f t="shared" si="10"/>
        <v>#DIV/0!</v>
      </c>
      <c r="N178" s="48" t="e">
        <f t="shared" si="11"/>
        <v>#DIV/0!</v>
      </c>
    </row>
    <row r="179" spans="1:14" x14ac:dyDescent="0.25">
      <c r="A179" s="5">
        <v>2013</v>
      </c>
      <c r="B179" s="4"/>
      <c r="C179" s="4">
        <v>12280964</v>
      </c>
      <c r="D179" s="4"/>
      <c r="E179" s="4"/>
      <c r="F179" s="4"/>
      <c r="G179" s="4">
        <v>28325465.556000002</v>
      </c>
      <c r="H179" s="4"/>
      <c r="I179" s="4"/>
      <c r="K179" s="48" t="e">
        <f t="shared" si="8"/>
        <v>#DIV/0!</v>
      </c>
      <c r="L179" s="48">
        <f t="shared" si="9"/>
        <v>2.3064529426191624</v>
      </c>
      <c r="M179" s="48" t="e">
        <f t="shared" si="10"/>
        <v>#DIV/0!</v>
      </c>
      <c r="N179" s="48" t="e">
        <f t="shared" si="11"/>
        <v>#DIV/0!</v>
      </c>
    </row>
    <row r="180" spans="1:14" x14ac:dyDescent="0.25">
      <c r="A180" s="5">
        <v>2014</v>
      </c>
      <c r="B180" s="4"/>
      <c r="C180" s="4">
        <v>13794712</v>
      </c>
      <c r="D180" s="4"/>
      <c r="E180" s="4"/>
      <c r="F180" s="4"/>
      <c r="G180" s="4">
        <v>23611920.589000002</v>
      </c>
      <c r="H180" s="4"/>
      <c r="I180" s="4"/>
      <c r="K180" s="48" t="e">
        <f t="shared" si="8"/>
        <v>#DIV/0!</v>
      </c>
      <c r="L180" s="48">
        <f t="shared" si="9"/>
        <v>1.7116646283735393</v>
      </c>
      <c r="M180" s="48" t="e">
        <f t="shared" si="10"/>
        <v>#DIV/0!</v>
      </c>
      <c r="N180" s="48" t="e">
        <f t="shared" si="11"/>
        <v>#DIV/0!</v>
      </c>
    </row>
    <row r="181" spans="1:14" x14ac:dyDescent="0.25">
      <c r="A181" s="5">
        <v>2015</v>
      </c>
      <c r="B181" s="4"/>
      <c r="C181" s="4">
        <v>15215071</v>
      </c>
      <c r="D181" s="4"/>
      <c r="E181" s="4"/>
      <c r="F181" s="4"/>
      <c r="G181" s="4">
        <v>18245245.010000002</v>
      </c>
      <c r="H181" s="4"/>
      <c r="I181" s="4"/>
      <c r="K181" s="48" t="e">
        <f t="shared" si="8"/>
        <v>#DIV/0!</v>
      </c>
      <c r="L181" s="48">
        <f t="shared" si="9"/>
        <v>1.1991560874083336</v>
      </c>
      <c r="M181" s="48" t="e">
        <f t="shared" si="10"/>
        <v>#DIV/0!</v>
      </c>
      <c r="N181" s="48" t="e">
        <f t="shared" si="11"/>
        <v>#DIV/0!</v>
      </c>
    </row>
    <row r="182" spans="1:14" x14ac:dyDescent="0.25">
      <c r="A182" s="5">
        <v>2019</v>
      </c>
      <c r="B182" s="4"/>
      <c r="C182" s="4">
        <v>2216000</v>
      </c>
      <c r="D182" s="4"/>
      <c r="E182" s="4"/>
      <c r="F182" s="4"/>
      <c r="G182" s="4">
        <v>1920297.6850000001</v>
      </c>
      <c r="H182" s="4"/>
      <c r="I182" s="4"/>
      <c r="K182" s="48" t="e">
        <f t="shared" si="8"/>
        <v>#DIV/0!</v>
      </c>
      <c r="L182" s="48">
        <f t="shared" si="9"/>
        <v>0.86656032716606501</v>
      </c>
      <c r="M182" s="48" t="e">
        <f t="shared" si="10"/>
        <v>#DIV/0!</v>
      </c>
      <c r="N182" s="48" t="e">
        <f t="shared" si="11"/>
        <v>#DIV/0!</v>
      </c>
    </row>
    <row r="183" spans="1:14" x14ac:dyDescent="0.25">
      <c r="A183" s="3" t="s">
        <v>78</v>
      </c>
      <c r="B183" s="4">
        <v>32043603.27</v>
      </c>
      <c r="C183" s="4">
        <v>1966220</v>
      </c>
      <c r="D183" s="4"/>
      <c r="E183" s="4"/>
      <c r="F183" s="4">
        <v>35022513.520999998</v>
      </c>
      <c r="G183" s="4">
        <v>1459543.8</v>
      </c>
      <c r="H183" s="4"/>
      <c r="I183" s="4"/>
      <c r="K183" s="48">
        <f t="shared" si="8"/>
        <v>1.0929642720233317</v>
      </c>
      <c r="L183" s="48">
        <f t="shared" si="9"/>
        <v>0.74230950758307823</v>
      </c>
      <c r="M183" s="48" t="e">
        <f t="shared" si="10"/>
        <v>#DIV/0!</v>
      </c>
      <c r="N183" s="48" t="e">
        <f t="shared" si="11"/>
        <v>#DIV/0!</v>
      </c>
    </row>
    <row r="184" spans="1:14" x14ac:dyDescent="0.25">
      <c r="A184" s="5">
        <v>2011</v>
      </c>
      <c r="B184" s="4">
        <v>6494024</v>
      </c>
      <c r="C184" s="4"/>
      <c r="D184" s="4"/>
      <c r="E184" s="4"/>
      <c r="F184" s="4">
        <v>7860526.1009999998</v>
      </c>
      <c r="G184" s="4"/>
      <c r="H184" s="4"/>
      <c r="I184" s="4"/>
      <c r="K184" s="48">
        <f t="shared" si="8"/>
        <v>1.2104245535587796</v>
      </c>
      <c r="L184" s="48" t="e">
        <f t="shared" si="9"/>
        <v>#DIV/0!</v>
      </c>
      <c r="M184" s="48" t="e">
        <f t="shared" si="10"/>
        <v>#DIV/0!</v>
      </c>
      <c r="N184" s="48" t="e">
        <f t="shared" si="11"/>
        <v>#DIV/0!</v>
      </c>
    </row>
    <row r="185" spans="1:14" x14ac:dyDescent="0.25">
      <c r="A185" s="5">
        <v>2012</v>
      </c>
      <c r="B185" s="4">
        <v>3645271</v>
      </c>
      <c r="C185" s="4">
        <v>1966220</v>
      </c>
      <c r="D185" s="4"/>
      <c r="E185" s="4"/>
      <c r="F185" s="4">
        <v>4567647.9419999998</v>
      </c>
      <c r="G185" s="4">
        <v>1459543.8</v>
      </c>
      <c r="H185" s="4"/>
      <c r="I185" s="4"/>
      <c r="K185" s="48">
        <f t="shared" si="8"/>
        <v>1.2530338463175987</v>
      </c>
      <c r="L185" s="48">
        <f t="shared" si="9"/>
        <v>0.74230950758307823</v>
      </c>
      <c r="M185" s="48" t="e">
        <f t="shared" si="10"/>
        <v>#DIV/0!</v>
      </c>
      <c r="N185" s="48" t="e">
        <f t="shared" si="11"/>
        <v>#DIV/0!</v>
      </c>
    </row>
    <row r="186" spans="1:14" x14ac:dyDescent="0.25">
      <c r="A186" s="5">
        <v>2013</v>
      </c>
      <c r="B186" s="4">
        <v>2994501</v>
      </c>
      <c r="C186" s="4"/>
      <c r="D186" s="4"/>
      <c r="E186" s="4"/>
      <c r="F186" s="4">
        <v>2913448.6850000001</v>
      </c>
      <c r="G186" s="4"/>
      <c r="H186" s="4"/>
      <c r="I186" s="4"/>
      <c r="K186" s="48">
        <f t="shared" si="8"/>
        <v>0.97293294775991057</v>
      </c>
      <c r="L186" s="48" t="e">
        <f t="shared" si="9"/>
        <v>#DIV/0!</v>
      </c>
      <c r="M186" s="48" t="e">
        <f t="shared" si="10"/>
        <v>#DIV/0!</v>
      </c>
      <c r="N186" s="48" t="e">
        <f t="shared" si="11"/>
        <v>#DIV/0!</v>
      </c>
    </row>
    <row r="187" spans="1:14" x14ac:dyDescent="0.25">
      <c r="A187" s="5">
        <v>2022</v>
      </c>
      <c r="B187" s="4">
        <v>13118856.109999999</v>
      </c>
      <c r="C187" s="4"/>
      <c r="D187" s="4"/>
      <c r="E187" s="4"/>
      <c r="F187" s="4">
        <v>12921756.828</v>
      </c>
      <c r="G187" s="4"/>
      <c r="H187" s="4"/>
      <c r="I187" s="4"/>
      <c r="K187" s="48">
        <f t="shared" si="8"/>
        <v>0.9849758789678501</v>
      </c>
      <c r="L187" s="48" t="e">
        <f t="shared" si="9"/>
        <v>#DIV/0!</v>
      </c>
      <c r="M187" s="48" t="e">
        <f t="shared" si="10"/>
        <v>#DIV/0!</v>
      </c>
      <c r="N187" s="48" t="e">
        <f t="shared" si="11"/>
        <v>#DIV/0!</v>
      </c>
    </row>
    <row r="188" spans="1:14" x14ac:dyDescent="0.25">
      <c r="A188" s="5">
        <v>2023</v>
      </c>
      <c r="B188" s="4">
        <v>5790951.1600000001</v>
      </c>
      <c r="C188" s="4"/>
      <c r="D188" s="4"/>
      <c r="E188" s="4"/>
      <c r="F188" s="4">
        <v>6759133.9649999999</v>
      </c>
      <c r="G188" s="4"/>
      <c r="H188" s="4"/>
      <c r="I188" s="4"/>
      <c r="K188" s="48">
        <f t="shared" si="8"/>
        <v>1.1671889087387848</v>
      </c>
      <c r="L188" s="48" t="e">
        <f t="shared" si="9"/>
        <v>#DIV/0!</v>
      </c>
      <c r="M188" s="48" t="e">
        <f t="shared" si="10"/>
        <v>#DIV/0!</v>
      </c>
      <c r="N188" s="48" t="e">
        <f t="shared" si="11"/>
        <v>#DIV/0!</v>
      </c>
    </row>
    <row r="189" spans="1:14" x14ac:dyDescent="0.25">
      <c r="A189" s="3" t="s">
        <v>11</v>
      </c>
      <c r="B189" s="4">
        <v>104114637.322</v>
      </c>
      <c r="C189" s="4">
        <v>51553042.439000003</v>
      </c>
      <c r="D189" s="4">
        <v>515892633.66099995</v>
      </c>
      <c r="E189" s="4">
        <v>6346293</v>
      </c>
      <c r="F189" s="4">
        <v>741364803.14900017</v>
      </c>
      <c r="G189" s="4">
        <v>474889296.29700005</v>
      </c>
      <c r="H189" s="4">
        <v>2566090283.4589996</v>
      </c>
      <c r="I189" s="4">
        <v>28456881.717</v>
      </c>
      <c r="K189" s="48">
        <f t="shared" si="8"/>
        <v>7.1206587490301487</v>
      </c>
      <c r="L189" s="48">
        <f t="shared" si="9"/>
        <v>9.2116638287432124</v>
      </c>
      <c r="M189" s="48">
        <f t="shared" si="10"/>
        <v>4.9740781628318667</v>
      </c>
      <c r="N189" s="48">
        <f t="shared" si="11"/>
        <v>4.4840163725500854</v>
      </c>
    </row>
    <row r="190" spans="1:14" x14ac:dyDescent="0.25">
      <c r="A190" s="5">
        <v>2010</v>
      </c>
      <c r="B190" s="4">
        <v>5628754</v>
      </c>
      <c r="C190" s="4">
        <v>6137599</v>
      </c>
      <c r="D190" s="4">
        <v>34634587</v>
      </c>
      <c r="E190" s="4"/>
      <c r="F190" s="4">
        <v>28504618.761</v>
      </c>
      <c r="G190" s="4">
        <v>30347912.710000001</v>
      </c>
      <c r="H190" s="4">
        <v>127913197.241</v>
      </c>
      <c r="I190" s="4"/>
      <c r="K190" s="48">
        <f t="shared" si="8"/>
        <v>5.0641081065187787</v>
      </c>
      <c r="L190" s="48">
        <f t="shared" si="9"/>
        <v>4.9445903373615643</v>
      </c>
      <c r="M190" s="48">
        <f t="shared" si="10"/>
        <v>3.6932213813030308</v>
      </c>
      <c r="N190" s="48" t="e">
        <f t="shared" si="11"/>
        <v>#DIV/0!</v>
      </c>
    </row>
    <row r="191" spans="1:14" x14ac:dyDescent="0.25">
      <c r="A191" s="5">
        <v>2011</v>
      </c>
      <c r="B191" s="4">
        <v>7117707</v>
      </c>
      <c r="C191" s="4">
        <v>5712055</v>
      </c>
      <c r="D191" s="4">
        <v>31019154</v>
      </c>
      <c r="E191" s="4"/>
      <c r="F191" s="4">
        <v>38977116.254000001</v>
      </c>
      <c r="G191" s="4">
        <v>25771949.278000001</v>
      </c>
      <c r="H191" s="4">
        <v>140291531.42300001</v>
      </c>
      <c r="I191" s="4"/>
      <c r="K191" s="48">
        <f t="shared" si="8"/>
        <v>5.4760776545030581</v>
      </c>
      <c r="L191" s="48">
        <f t="shared" si="9"/>
        <v>4.5118524380455023</v>
      </c>
      <c r="M191" s="48">
        <f t="shared" si="10"/>
        <v>4.5227388027088038</v>
      </c>
      <c r="N191" s="48" t="e">
        <f t="shared" si="11"/>
        <v>#DIV/0!</v>
      </c>
    </row>
    <row r="192" spans="1:14" x14ac:dyDescent="0.25">
      <c r="A192" s="5">
        <v>2012</v>
      </c>
      <c r="B192" s="4">
        <v>6916148</v>
      </c>
      <c r="C192" s="4">
        <v>3113945</v>
      </c>
      <c r="D192" s="4">
        <v>30343118</v>
      </c>
      <c r="E192" s="4">
        <v>3826639</v>
      </c>
      <c r="F192" s="4">
        <v>37284114.511</v>
      </c>
      <c r="G192" s="4">
        <v>24133102.18</v>
      </c>
      <c r="H192" s="4">
        <v>151656533.942</v>
      </c>
      <c r="I192" s="4">
        <v>18611291.408</v>
      </c>
      <c r="K192" s="48">
        <f t="shared" si="8"/>
        <v>5.3908786380800411</v>
      </c>
      <c r="L192" s="48">
        <f t="shared" si="9"/>
        <v>7.7500091298979266</v>
      </c>
      <c r="M192" s="48">
        <f t="shared" si="10"/>
        <v>4.9980537248017818</v>
      </c>
      <c r="N192" s="48">
        <f t="shared" si="11"/>
        <v>4.8636130578295989</v>
      </c>
    </row>
    <row r="193" spans="1:14" x14ac:dyDescent="0.25">
      <c r="A193" s="5">
        <v>2013</v>
      </c>
      <c r="B193" s="4">
        <v>7765623</v>
      </c>
      <c r="C193" s="4">
        <v>4627756</v>
      </c>
      <c r="D193" s="4">
        <v>35366358</v>
      </c>
      <c r="E193" s="4"/>
      <c r="F193" s="4">
        <v>51019571.633000001</v>
      </c>
      <c r="G193" s="4">
        <v>33881587.523999996</v>
      </c>
      <c r="H193" s="4">
        <v>183508056.396</v>
      </c>
      <c r="I193" s="4"/>
      <c r="K193" s="48">
        <f t="shared" si="8"/>
        <v>6.5699264093814493</v>
      </c>
      <c r="L193" s="48">
        <f t="shared" si="9"/>
        <v>7.3213858993430065</v>
      </c>
      <c r="M193" s="48">
        <f t="shared" si="10"/>
        <v>5.1887744956944672</v>
      </c>
      <c r="N193" s="48" t="e">
        <f t="shared" si="11"/>
        <v>#DIV/0!</v>
      </c>
    </row>
    <row r="194" spans="1:14" x14ac:dyDescent="0.25">
      <c r="A194" s="5">
        <v>2014</v>
      </c>
      <c r="B194" s="4">
        <v>6183720</v>
      </c>
      <c r="C194" s="4">
        <v>3708907</v>
      </c>
      <c r="D194" s="4">
        <v>33552974</v>
      </c>
      <c r="E194" s="4"/>
      <c r="F194" s="4">
        <v>39735842.851999998</v>
      </c>
      <c r="G194" s="4">
        <v>31298710.285999998</v>
      </c>
      <c r="H194" s="4">
        <v>151755775.26300001</v>
      </c>
      <c r="I194" s="4"/>
      <c r="K194" s="48">
        <f t="shared" si="8"/>
        <v>6.4258800288499476</v>
      </c>
      <c r="L194" s="48">
        <f t="shared" si="9"/>
        <v>8.4387961968310332</v>
      </c>
      <c r="M194" s="48">
        <f t="shared" si="10"/>
        <v>4.5228710654083901</v>
      </c>
      <c r="N194" s="48" t="e">
        <f t="shared" si="11"/>
        <v>#DIV/0!</v>
      </c>
    </row>
    <row r="195" spans="1:14" x14ac:dyDescent="0.25">
      <c r="A195" s="5">
        <v>2015</v>
      </c>
      <c r="B195" s="4">
        <v>5452596</v>
      </c>
      <c r="C195" s="4">
        <v>4839314</v>
      </c>
      <c r="D195" s="4">
        <v>36296011</v>
      </c>
      <c r="E195" s="4"/>
      <c r="F195" s="4">
        <v>40129560.987999998</v>
      </c>
      <c r="G195" s="4">
        <v>39727357.975000001</v>
      </c>
      <c r="H195" s="4">
        <v>159986772.86500001</v>
      </c>
      <c r="I195" s="4"/>
      <c r="K195" s="48">
        <f t="shared" si="8"/>
        <v>7.3597165438260967</v>
      </c>
      <c r="L195" s="48">
        <f t="shared" si="9"/>
        <v>8.2092953619046014</v>
      </c>
      <c r="M195" s="48">
        <f t="shared" si="10"/>
        <v>4.4078334907105914</v>
      </c>
      <c r="N195" s="48" t="e">
        <f t="shared" si="11"/>
        <v>#DIV/0!</v>
      </c>
    </row>
    <row r="196" spans="1:14" x14ac:dyDescent="0.25">
      <c r="A196" s="5">
        <v>2016</v>
      </c>
      <c r="B196" s="4">
        <v>7358500</v>
      </c>
      <c r="C196" s="4">
        <v>2879629</v>
      </c>
      <c r="D196" s="4">
        <v>26434699</v>
      </c>
      <c r="E196" s="4">
        <v>2519654</v>
      </c>
      <c r="F196" s="4">
        <v>49616564.644000001</v>
      </c>
      <c r="G196" s="4">
        <v>28825288.767999999</v>
      </c>
      <c r="H196" s="4">
        <v>141011051.48100001</v>
      </c>
      <c r="I196" s="4">
        <v>9845590.3090000004</v>
      </c>
      <c r="K196" s="48">
        <f t="shared" si="8"/>
        <v>6.7427552686009378</v>
      </c>
      <c r="L196" s="48">
        <f t="shared" si="9"/>
        <v>10.010070313918911</v>
      </c>
      <c r="M196" s="48">
        <f t="shared" si="10"/>
        <v>5.3343165163711532</v>
      </c>
      <c r="N196" s="48">
        <f t="shared" si="11"/>
        <v>3.9075167896068272</v>
      </c>
    </row>
    <row r="197" spans="1:14" x14ac:dyDescent="0.25">
      <c r="A197" s="5">
        <v>2017</v>
      </c>
      <c r="B197" s="4">
        <v>9344693</v>
      </c>
      <c r="C197" s="4">
        <v>2898110</v>
      </c>
      <c r="D197" s="4">
        <v>29578344</v>
      </c>
      <c r="E197" s="4"/>
      <c r="F197" s="4">
        <v>63660045.200000003</v>
      </c>
      <c r="G197" s="4">
        <v>29176741.506999999</v>
      </c>
      <c r="H197" s="4">
        <v>148412877.23699999</v>
      </c>
      <c r="I197" s="4"/>
      <c r="K197" s="48">
        <f t="shared" si="8"/>
        <v>6.8124276741889762</v>
      </c>
      <c r="L197" s="48">
        <f t="shared" si="9"/>
        <v>10.067506584291142</v>
      </c>
      <c r="M197" s="48">
        <f t="shared" si="10"/>
        <v>5.0176195542590207</v>
      </c>
      <c r="N197" s="48" t="e">
        <f t="shared" si="11"/>
        <v>#DIV/0!</v>
      </c>
    </row>
    <row r="198" spans="1:14" x14ac:dyDescent="0.25">
      <c r="A198" s="5">
        <v>2018</v>
      </c>
      <c r="B198" s="4">
        <v>7784465</v>
      </c>
      <c r="C198" s="4">
        <v>2182340</v>
      </c>
      <c r="D198" s="4">
        <v>27587160</v>
      </c>
      <c r="E198" s="4"/>
      <c r="F198" s="4">
        <v>54193675.805</v>
      </c>
      <c r="G198" s="4">
        <v>26001429.537999999</v>
      </c>
      <c r="H198" s="4">
        <v>167722100.38299999</v>
      </c>
      <c r="I198" s="4"/>
      <c r="K198" s="48">
        <f t="shared" si="8"/>
        <v>6.9617726850849735</v>
      </c>
      <c r="L198" s="48">
        <f t="shared" si="9"/>
        <v>11.914472326951804</v>
      </c>
      <c r="M198" s="48">
        <f t="shared" si="10"/>
        <v>6.0797160846930236</v>
      </c>
      <c r="N198" s="48" t="e">
        <f t="shared" si="11"/>
        <v>#DIV/0!</v>
      </c>
    </row>
    <row r="199" spans="1:14" x14ac:dyDescent="0.25">
      <c r="A199" s="5">
        <v>2019</v>
      </c>
      <c r="B199" s="4">
        <v>6533602</v>
      </c>
      <c r="C199" s="4">
        <v>2286820</v>
      </c>
      <c r="D199" s="4">
        <v>29346190</v>
      </c>
      <c r="E199" s="4"/>
      <c r="F199" s="4">
        <v>49742354.175999999</v>
      </c>
      <c r="G199" s="4">
        <v>27889915.285999998</v>
      </c>
      <c r="H199" s="4">
        <v>162174580.748</v>
      </c>
      <c r="I199" s="4"/>
      <c r="K199" s="48">
        <f t="shared" ref="K199:K262" si="12">F199/B199</f>
        <v>7.613312561126313</v>
      </c>
      <c r="L199" s="48">
        <f t="shared" ref="L199:L262" si="13">G199/C199</f>
        <v>12.195938152543706</v>
      </c>
      <c r="M199" s="48">
        <f t="shared" ref="M199:M262" si="14">H199/D199</f>
        <v>5.5262567559195928</v>
      </c>
      <c r="N199" s="48" t="e">
        <f t="shared" ref="N199:N262" si="15">I199/E199</f>
        <v>#DIV/0!</v>
      </c>
    </row>
    <row r="200" spans="1:14" x14ac:dyDescent="0.25">
      <c r="A200" s="5">
        <v>2020</v>
      </c>
      <c r="B200" s="4">
        <v>4077662.4419999998</v>
      </c>
      <c r="C200" s="4">
        <v>2172680</v>
      </c>
      <c r="D200" s="4">
        <v>36559436.402000003</v>
      </c>
      <c r="E200" s="4"/>
      <c r="F200" s="4">
        <v>29311214.044</v>
      </c>
      <c r="G200" s="4">
        <v>21182758.445</v>
      </c>
      <c r="H200" s="4">
        <v>166108275.40799999</v>
      </c>
      <c r="I200" s="4"/>
      <c r="K200" s="48">
        <f t="shared" si="12"/>
        <v>7.1882394535883956</v>
      </c>
      <c r="L200" s="48">
        <f t="shared" si="13"/>
        <v>9.7495988571717884</v>
      </c>
      <c r="M200" s="48">
        <f t="shared" si="14"/>
        <v>4.5435130230539595</v>
      </c>
      <c r="N200" s="48" t="e">
        <f t="shared" si="15"/>
        <v>#DIV/0!</v>
      </c>
    </row>
    <row r="201" spans="1:14" x14ac:dyDescent="0.25">
      <c r="A201" s="5">
        <v>2021</v>
      </c>
      <c r="B201" s="4">
        <v>5263752.6900000004</v>
      </c>
      <c r="C201" s="4">
        <v>2090458</v>
      </c>
      <c r="D201" s="4">
        <v>31018121.024999999</v>
      </c>
      <c r="E201" s="4"/>
      <c r="F201" s="4">
        <v>39756604.636</v>
      </c>
      <c r="G201" s="4">
        <v>30467220.026999999</v>
      </c>
      <c r="H201" s="4">
        <v>155540976.94800001</v>
      </c>
      <c r="I201" s="4"/>
      <c r="K201" s="48">
        <f t="shared" si="12"/>
        <v>7.5529013191537304</v>
      </c>
      <c r="L201" s="48">
        <f t="shared" si="13"/>
        <v>14.57442341678235</v>
      </c>
      <c r="M201" s="48">
        <f t="shared" si="14"/>
        <v>5.0145196358811361</v>
      </c>
      <c r="N201" s="48" t="e">
        <f t="shared" si="15"/>
        <v>#DIV/0!</v>
      </c>
    </row>
    <row r="202" spans="1:14" x14ac:dyDescent="0.25">
      <c r="A202" s="5">
        <v>2022</v>
      </c>
      <c r="B202" s="4">
        <v>8855302.9529999997</v>
      </c>
      <c r="C202" s="4">
        <v>2724667</v>
      </c>
      <c r="D202" s="4">
        <v>37390128.254000001</v>
      </c>
      <c r="E202" s="4"/>
      <c r="F202" s="4">
        <v>79359059.882000104</v>
      </c>
      <c r="G202" s="4">
        <v>38484141.434</v>
      </c>
      <c r="H202" s="4">
        <v>192066986.72600001</v>
      </c>
      <c r="I202" s="4"/>
      <c r="K202" s="48">
        <f t="shared" si="12"/>
        <v>8.9617554930873187</v>
      </c>
      <c r="L202" s="48">
        <f t="shared" si="13"/>
        <v>14.124346730811508</v>
      </c>
      <c r="M202" s="48">
        <f t="shared" si="14"/>
        <v>5.1368367987732872</v>
      </c>
      <c r="N202" s="48" t="e">
        <f t="shared" si="15"/>
        <v>#DIV/0!</v>
      </c>
    </row>
    <row r="203" spans="1:14" x14ac:dyDescent="0.25">
      <c r="A203" s="5">
        <v>2023</v>
      </c>
      <c r="B203" s="4">
        <v>3947577.0809999998</v>
      </c>
      <c r="C203" s="4">
        <v>2680900</v>
      </c>
      <c r="D203" s="4">
        <v>31157493.789000001</v>
      </c>
      <c r="E203" s="4"/>
      <c r="F203" s="4">
        <v>40865906.248000003</v>
      </c>
      <c r="G203" s="4">
        <v>35285636.049999997</v>
      </c>
      <c r="H203" s="4">
        <v>173269868.287</v>
      </c>
      <c r="I203" s="4"/>
      <c r="K203" s="48">
        <f t="shared" si="12"/>
        <v>10.352149029512518</v>
      </c>
      <c r="L203" s="48">
        <f t="shared" si="13"/>
        <v>13.16186207989854</v>
      </c>
      <c r="M203" s="48">
        <f t="shared" si="14"/>
        <v>5.5610977397730261</v>
      </c>
      <c r="N203" s="48" t="e">
        <f t="shared" si="15"/>
        <v>#DIV/0!</v>
      </c>
    </row>
    <row r="204" spans="1:14" x14ac:dyDescent="0.25">
      <c r="A204" s="5">
        <v>2024</v>
      </c>
      <c r="B204" s="4">
        <v>5092228.4079999998</v>
      </c>
      <c r="C204" s="4">
        <v>2017726.439</v>
      </c>
      <c r="D204" s="4">
        <v>37397050.818999998</v>
      </c>
      <c r="E204" s="4"/>
      <c r="F204" s="4">
        <v>45476465.020999998</v>
      </c>
      <c r="G204" s="4">
        <v>29277082.267999999</v>
      </c>
      <c r="H204" s="4">
        <v>197243570.64700001</v>
      </c>
      <c r="I204" s="4"/>
      <c r="K204" s="48">
        <f t="shared" si="12"/>
        <v>8.930562688342004</v>
      </c>
      <c r="L204" s="48">
        <f t="shared" si="13"/>
        <v>14.509936382907256</v>
      </c>
      <c r="M204" s="48">
        <f t="shared" si="14"/>
        <v>5.2743081694235681</v>
      </c>
      <c r="N204" s="48" t="e">
        <f t="shared" si="15"/>
        <v>#DIV/0!</v>
      </c>
    </row>
    <row r="205" spans="1:14" x14ac:dyDescent="0.25">
      <c r="A205" s="5">
        <v>2025</v>
      </c>
      <c r="B205" s="4">
        <v>6792305.7479999997</v>
      </c>
      <c r="C205" s="4">
        <v>1480136</v>
      </c>
      <c r="D205" s="4">
        <v>28211808.372000001</v>
      </c>
      <c r="E205" s="4"/>
      <c r="F205" s="4">
        <v>53732088.494000003</v>
      </c>
      <c r="G205" s="4">
        <v>23138463.021000002</v>
      </c>
      <c r="H205" s="4">
        <v>147428128.46399999</v>
      </c>
      <c r="I205" s="4"/>
      <c r="K205" s="48">
        <f t="shared" si="12"/>
        <v>7.9107287698027235</v>
      </c>
      <c r="L205" s="48">
        <f t="shared" si="13"/>
        <v>15.632660121096981</v>
      </c>
      <c r="M205" s="48">
        <f t="shared" si="14"/>
        <v>5.2257596010868008</v>
      </c>
      <c r="N205" s="48" t="e">
        <f t="shared" si="15"/>
        <v>#DIV/0!</v>
      </c>
    </row>
    <row r="206" spans="1:14" x14ac:dyDescent="0.25">
      <c r="A206" s="3" t="s">
        <v>95</v>
      </c>
      <c r="B206" s="4">
        <v>1363587.7420000001</v>
      </c>
      <c r="C206" s="4"/>
      <c r="D206" s="4">
        <v>399558828.72400004</v>
      </c>
      <c r="E206" s="4"/>
      <c r="F206" s="4">
        <v>9132008.9869999997</v>
      </c>
      <c r="G206" s="4"/>
      <c r="H206" s="4">
        <v>1547904518.1469998</v>
      </c>
      <c r="I206" s="4"/>
      <c r="K206" s="48">
        <f t="shared" si="12"/>
        <v>6.6970453794237752</v>
      </c>
      <c r="L206" s="48" t="e">
        <f t="shared" si="13"/>
        <v>#DIV/0!</v>
      </c>
      <c r="M206" s="48">
        <f t="shared" si="14"/>
        <v>3.8740340767597781</v>
      </c>
      <c r="N206" s="48" t="e">
        <f t="shared" si="15"/>
        <v>#DIV/0!</v>
      </c>
    </row>
    <row r="207" spans="1:14" x14ac:dyDescent="0.25">
      <c r="A207" s="5">
        <v>2003</v>
      </c>
      <c r="B207" s="4"/>
      <c r="C207" s="4"/>
      <c r="D207" s="4">
        <v>6491211.5310000004</v>
      </c>
      <c r="E207" s="4"/>
      <c r="F207" s="4"/>
      <c r="G207" s="4"/>
      <c r="H207" s="4">
        <v>15493326.946</v>
      </c>
      <c r="I207" s="4"/>
      <c r="K207" s="48" t="e">
        <f t="shared" si="12"/>
        <v>#DIV/0!</v>
      </c>
      <c r="L207" s="48" t="e">
        <f t="shared" si="13"/>
        <v>#DIV/0!</v>
      </c>
      <c r="M207" s="48">
        <f t="shared" si="14"/>
        <v>2.3868159082489773</v>
      </c>
      <c r="N207" s="48" t="e">
        <f t="shared" si="15"/>
        <v>#DIV/0!</v>
      </c>
    </row>
    <row r="208" spans="1:14" x14ac:dyDescent="0.25">
      <c r="A208" s="5">
        <v>2004</v>
      </c>
      <c r="B208" s="4"/>
      <c r="C208" s="4"/>
      <c r="D208" s="4">
        <v>7275331.1459999997</v>
      </c>
      <c r="E208" s="4"/>
      <c r="F208" s="4"/>
      <c r="G208" s="4"/>
      <c r="H208" s="4">
        <v>18314816.092999998</v>
      </c>
      <c r="I208" s="4"/>
      <c r="K208" s="48" t="e">
        <f t="shared" si="12"/>
        <v>#DIV/0!</v>
      </c>
      <c r="L208" s="48" t="e">
        <f t="shared" si="13"/>
        <v>#DIV/0!</v>
      </c>
      <c r="M208" s="48">
        <f t="shared" si="14"/>
        <v>2.5173859066290807</v>
      </c>
      <c r="N208" s="48" t="e">
        <f t="shared" si="15"/>
        <v>#DIV/0!</v>
      </c>
    </row>
    <row r="209" spans="1:14" x14ac:dyDescent="0.25">
      <c r="A209" s="5">
        <v>2005</v>
      </c>
      <c r="B209" s="4"/>
      <c r="C209" s="4"/>
      <c r="D209" s="4">
        <v>7649241.7290000003</v>
      </c>
      <c r="E209" s="4"/>
      <c r="F209" s="4"/>
      <c r="G209" s="4"/>
      <c r="H209" s="4">
        <v>20723483.259</v>
      </c>
      <c r="I209" s="4"/>
      <c r="K209" s="48" t="e">
        <f t="shared" si="12"/>
        <v>#DIV/0!</v>
      </c>
      <c r="L209" s="48" t="e">
        <f t="shared" si="13"/>
        <v>#DIV/0!</v>
      </c>
      <c r="M209" s="48">
        <f t="shared" si="14"/>
        <v>2.709220599008213</v>
      </c>
      <c r="N209" s="48" t="e">
        <f t="shared" si="15"/>
        <v>#DIV/0!</v>
      </c>
    </row>
    <row r="210" spans="1:14" x14ac:dyDescent="0.25">
      <c r="A210" s="5">
        <v>2006</v>
      </c>
      <c r="B210" s="4"/>
      <c r="C210" s="4"/>
      <c r="D210" s="4">
        <v>8451534.7259999998</v>
      </c>
      <c r="E210" s="4"/>
      <c r="F210" s="4"/>
      <c r="G210" s="4"/>
      <c r="H210" s="4">
        <v>25103173.193999998</v>
      </c>
      <c r="I210" s="4"/>
      <c r="K210" s="48" t="e">
        <f t="shared" si="12"/>
        <v>#DIV/0!</v>
      </c>
      <c r="L210" s="48" t="e">
        <f t="shared" si="13"/>
        <v>#DIV/0!</v>
      </c>
      <c r="M210" s="48">
        <f t="shared" si="14"/>
        <v>2.9702502572430416</v>
      </c>
      <c r="N210" s="48" t="e">
        <f t="shared" si="15"/>
        <v>#DIV/0!</v>
      </c>
    </row>
    <row r="211" spans="1:14" x14ac:dyDescent="0.25">
      <c r="A211" s="5">
        <v>2007</v>
      </c>
      <c r="B211" s="4"/>
      <c r="C211" s="4"/>
      <c r="D211" s="4">
        <v>7808316.8530000001</v>
      </c>
      <c r="E211" s="4"/>
      <c r="F211" s="4"/>
      <c r="G211" s="4"/>
      <c r="H211" s="4">
        <v>26038484.177999999</v>
      </c>
      <c r="I211" s="4"/>
      <c r="K211" s="48" t="e">
        <f t="shared" si="12"/>
        <v>#DIV/0!</v>
      </c>
      <c r="L211" s="48" t="e">
        <f t="shared" si="13"/>
        <v>#DIV/0!</v>
      </c>
      <c r="M211" s="48">
        <f t="shared" si="14"/>
        <v>3.334711522111947</v>
      </c>
      <c r="N211" s="48" t="e">
        <f t="shared" si="15"/>
        <v>#DIV/0!</v>
      </c>
    </row>
    <row r="212" spans="1:14" x14ac:dyDescent="0.25">
      <c r="A212" s="5">
        <v>2008</v>
      </c>
      <c r="B212" s="4"/>
      <c r="C212" s="4"/>
      <c r="D212" s="4">
        <v>8507140.6270000003</v>
      </c>
      <c r="E212" s="4"/>
      <c r="F212" s="4"/>
      <c r="G212" s="4"/>
      <c r="H212" s="4">
        <v>35022066.579000004</v>
      </c>
      <c r="I212" s="4"/>
      <c r="K212" s="48" t="e">
        <f t="shared" si="12"/>
        <v>#DIV/0!</v>
      </c>
      <c r="L212" s="48" t="e">
        <f t="shared" si="13"/>
        <v>#DIV/0!</v>
      </c>
      <c r="M212" s="48">
        <f t="shared" si="14"/>
        <v>4.116784724099519</v>
      </c>
      <c r="N212" s="48" t="e">
        <f t="shared" si="15"/>
        <v>#DIV/0!</v>
      </c>
    </row>
    <row r="213" spans="1:14" x14ac:dyDescent="0.25">
      <c r="A213" s="5">
        <v>2009</v>
      </c>
      <c r="B213" s="4"/>
      <c r="C213" s="4"/>
      <c r="D213" s="4">
        <v>7042005.0559999999</v>
      </c>
      <c r="E213" s="4"/>
      <c r="F213" s="4"/>
      <c r="G213" s="4"/>
      <c r="H213" s="4">
        <v>27298178.464000002</v>
      </c>
      <c r="I213" s="4"/>
      <c r="K213" s="48" t="e">
        <f t="shared" si="12"/>
        <v>#DIV/0!</v>
      </c>
      <c r="L213" s="48" t="e">
        <f t="shared" si="13"/>
        <v>#DIV/0!</v>
      </c>
      <c r="M213" s="48">
        <f t="shared" si="14"/>
        <v>3.876478111974818</v>
      </c>
      <c r="N213" s="48" t="e">
        <f t="shared" si="15"/>
        <v>#DIV/0!</v>
      </c>
    </row>
    <row r="214" spans="1:14" x14ac:dyDescent="0.25">
      <c r="A214" s="5">
        <v>2010</v>
      </c>
      <c r="B214" s="4"/>
      <c r="C214" s="4"/>
      <c r="D214" s="4">
        <v>10750642.607999999</v>
      </c>
      <c r="E214" s="4"/>
      <c r="F214" s="4"/>
      <c r="G214" s="4"/>
      <c r="H214" s="4">
        <v>41644195.261</v>
      </c>
      <c r="I214" s="4"/>
      <c r="K214" s="48" t="e">
        <f t="shared" si="12"/>
        <v>#DIV/0!</v>
      </c>
      <c r="L214" s="48" t="e">
        <f t="shared" si="13"/>
        <v>#DIV/0!</v>
      </c>
      <c r="M214" s="48">
        <f t="shared" si="14"/>
        <v>3.8736470720374268</v>
      </c>
      <c r="N214" s="48" t="e">
        <f t="shared" si="15"/>
        <v>#DIV/0!</v>
      </c>
    </row>
    <row r="215" spans="1:14" x14ac:dyDescent="0.25">
      <c r="A215" s="5">
        <v>2011</v>
      </c>
      <c r="B215" s="4"/>
      <c r="C215" s="4"/>
      <c r="D215" s="4">
        <v>12419234.460000001</v>
      </c>
      <c r="E215" s="4"/>
      <c r="F215" s="4"/>
      <c r="G215" s="4"/>
      <c r="H215" s="4">
        <v>53894813.210000001</v>
      </c>
      <c r="I215" s="4"/>
      <c r="K215" s="48" t="e">
        <f t="shared" si="12"/>
        <v>#DIV/0!</v>
      </c>
      <c r="L215" s="48" t="e">
        <f t="shared" si="13"/>
        <v>#DIV/0!</v>
      </c>
      <c r="M215" s="48">
        <f t="shared" si="14"/>
        <v>4.3396244256105296</v>
      </c>
      <c r="N215" s="48" t="e">
        <f t="shared" si="15"/>
        <v>#DIV/0!</v>
      </c>
    </row>
    <row r="216" spans="1:14" x14ac:dyDescent="0.25">
      <c r="A216" s="5">
        <v>2012</v>
      </c>
      <c r="B216" s="4"/>
      <c r="C216" s="4"/>
      <c r="D216" s="4">
        <v>10827761.106000001</v>
      </c>
      <c r="E216" s="4"/>
      <c r="F216" s="4"/>
      <c r="G216" s="4"/>
      <c r="H216" s="4">
        <v>57745264.803000003</v>
      </c>
      <c r="I216" s="4"/>
      <c r="K216" s="48" t="e">
        <f t="shared" si="12"/>
        <v>#DIV/0!</v>
      </c>
      <c r="L216" s="48" t="e">
        <f t="shared" si="13"/>
        <v>#DIV/0!</v>
      </c>
      <c r="M216" s="48">
        <f t="shared" si="14"/>
        <v>5.33307525329512</v>
      </c>
      <c r="N216" s="48" t="e">
        <f t="shared" si="15"/>
        <v>#DIV/0!</v>
      </c>
    </row>
    <row r="217" spans="1:14" x14ac:dyDescent="0.25">
      <c r="A217" s="5">
        <v>2013</v>
      </c>
      <c r="B217" s="4"/>
      <c r="C217" s="4"/>
      <c r="D217" s="4">
        <v>16354618.93</v>
      </c>
      <c r="E217" s="4"/>
      <c r="F217" s="4"/>
      <c r="G217" s="4"/>
      <c r="H217" s="4">
        <v>88796870.459999993</v>
      </c>
      <c r="I217" s="4"/>
      <c r="K217" s="48" t="e">
        <f t="shared" si="12"/>
        <v>#DIV/0!</v>
      </c>
      <c r="L217" s="48" t="e">
        <f t="shared" si="13"/>
        <v>#DIV/0!</v>
      </c>
      <c r="M217" s="48">
        <f t="shared" si="14"/>
        <v>5.4294674085689625</v>
      </c>
      <c r="N217" s="48" t="e">
        <f t="shared" si="15"/>
        <v>#DIV/0!</v>
      </c>
    </row>
    <row r="218" spans="1:14" x14ac:dyDescent="0.25">
      <c r="A218" s="5">
        <v>2014</v>
      </c>
      <c r="B218" s="4"/>
      <c r="C218" s="4"/>
      <c r="D218" s="4">
        <v>16917782.342</v>
      </c>
      <c r="E218" s="4"/>
      <c r="F218" s="4"/>
      <c r="G218" s="4"/>
      <c r="H218" s="4">
        <v>77868317.680000007</v>
      </c>
      <c r="I218" s="4"/>
      <c r="K218" s="48" t="e">
        <f t="shared" si="12"/>
        <v>#DIV/0!</v>
      </c>
      <c r="L218" s="48" t="e">
        <f t="shared" si="13"/>
        <v>#DIV/0!</v>
      </c>
      <c r="M218" s="48">
        <f t="shared" si="14"/>
        <v>4.6027497047697867</v>
      </c>
      <c r="N218" s="48" t="e">
        <f t="shared" si="15"/>
        <v>#DIV/0!</v>
      </c>
    </row>
    <row r="219" spans="1:14" x14ac:dyDescent="0.25">
      <c r="A219" s="5">
        <v>2015</v>
      </c>
      <c r="B219" s="4"/>
      <c r="C219" s="4"/>
      <c r="D219" s="4">
        <v>19274887.405000001</v>
      </c>
      <c r="E219" s="4"/>
      <c r="F219" s="4"/>
      <c r="G219" s="4"/>
      <c r="H219" s="4">
        <v>72989226.497999996</v>
      </c>
      <c r="I219" s="4"/>
      <c r="K219" s="48" t="e">
        <f t="shared" si="12"/>
        <v>#DIV/0!</v>
      </c>
      <c r="L219" s="48" t="e">
        <f t="shared" si="13"/>
        <v>#DIV/0!</v>
      </c>
      <c r="M219" s="48">
        <f t="shared" si="14"/>
        <v>3.7867524185415595</v>
      </c>
      <c r="N219" s="48" t="e">
        <f t="shared" si="15"/>
        <v>#DIV/0!</v>
      </c>
    </row>
    <row r="220" spans="1:14" x14ac:dyDescent="0.25">
      <c r="A220" s="5">
        <v>2016</v>
      </c>
      <c r="B220" s="4"/>
      <c r="C220" s="4"/>
      <c r="D220" s="4">
        <v>15445772.487</v>
      </c>
      <c r="E220" s="4"/>
      <c r="F220" s="4"/>
      <c r="G220" s="4"/>
      <c r="H220" s="4">
        <v>56660616.663999997</v>
      </c>
      <c r="I220" s="4"/>
      <c r="K220" s="48" t="e">
        <f t="shared" si="12"/>
        <v>#DIV/0!</v>
      </c>
      <c r="L220" s="48" t="e">
        <f t="shared" si="13"/>
        <v>#DIV/0!</v>
      </c>
      <c r="M220" s="48">
        <f t="shared" si="14"/>
        <v>3.66835758533208</v>
      </c>
      <c r="N220" s="48" t="e">
        <f t="shared" si="15"/>
        <v>#DIV/0!</v>
      </c>
    </row>
    <row r="221" spans="1:14" x14ac:dyDescent="0.25">
      <c r="A221" s="5">
        <v>2017</v>
      </c>
      <c r="B221" s="4"/>
      <c r="C221" s="4"/>
      <c r="D221" s="4">
        <v>21947004.067000002</v>
      </c>
      <c r="E221" s="4"/>
      <c r="F221" s="4"/>
      <c r="G221" s="4"/>
      <c r="H221" s="4">
        <v>80951256.424999997</v>
      </c>
      <c r="I221" s="4"/>
      <c r="K221" s="48" t="e">
        <f t="shared" si="12"/>
        <v>#DIV/0!</v>
      </c>
      <c r="L221" s="48" t="e">
        <f t="shared" si="13"/>
        <v>#DIV/0!</v>
      </c>
      <c r="M221" s="48">
        <f t="shared" si="14"/>
        <v>3.688487785297315</v>
      </c>
      <c r="N221" s="48" t="e">
        <f t="shared" si="15"/>
        <v>#DIV/0!</v>
      </c>
    </row>
    <row r="222" spans="1:14" x14ac:dyDescent="0.25">
      <c r="A222" s="5">
        <v>2018</v>
      </c>
      <c r="B222" s="4"/>
      <c r="C222" s="4"/>
      <c r="D222" s="4">
        <v>22338270.936000001</v>
      </c>
      <c r="E222" s="4"/>
      <c r="F222" s="4"/>
      <c r="G222" s="4"/>
      <c r="H222" s="4">
        <v>83941436.458000004</v>
      </c>
      <c r="I222" s="4"/>
      <c r="K222" s="48" t="e">
        <f t="shared" si="12"/>
        <v>#DIV/0!</v>
      </c>
      <c r="L222" s="48" t="e">
        <f t="shared" si="13"/>
        <v>#DIV/0!</v>
      </c>
      <c r="M222" s="48">
        <f t="shared" si="14"/>
        <v>3.7577409951958871</v>
      </c>
      <c r="N222" s="48" t="e">
        <f t="shared" si="15"/>
        <v>#DIV/0!</v>
      </c>
    </row>
    <row r="223" spans="1:14" x14ac:dyDescent="0.25">
      <c r="A223" s="5">
        <v>2019</v>
      </c>
      <c r="B223" s="4"/>
      <c r="C223" s="4"/>
      <c r="D223" s="4">
        <v>23893590.760000002</v>
      </c>
      <c r="E223" s="4"/>
      <c r="F223" s="4"/>
      <c r="G223" s="4"/>
      <c r="H223" s="4">
        <v>86393812.559</v>
      </c>
      <c r="I223" s="4"/>
      <c r="K223" s="48" t="e">
        <f t="shared" si="12"/>
        <v>#DIV/0!</v>
      </c>
      <c r="L223" s="48" t="e">
        <f t="shared" si="13"/>
        <v>#DIV/0!</v>
      </c>
      <c r="M223" s="48">
        <f t="shared" si="14"/>
        <v>3.6157735112644072</v>
      </c>
      <c r="N223" s="48" t="e">
        <f t="shared" si="15"/>
        <v>#DIV/0!</v>
      </c>
    </row>
    <row r="224" spans="1:14" x14ac:dyDescent="0.25">
      <c r="A224" s="5">
        <v>2020</v>
      </c>
      <c r="B224" s="4"/>
      <c r="C224" s="4"/>
      <c r="D224" s="4">
        <v>29519908.420000002</v>
      </c>
      <c r="E224" s="4"/>
      <c r="F224" s="4"/>
      <c r="G224" s="4"/>
      <c r="H224" s="4">
        <v>99370911.152999997</v>
      </c>
      <c r="I224" s="4"/>
      <c r="K224" s="48" t="e">
        <f t="shared" si="12"/>
        <v>#DIV/0!</v>
      </c>
      <c r="L224" s="48" t="e">
        <f t="shared" si="13"/>
        <v>#DIV/0!</v>
      </c>
      <c r="M224" s="48">
        <f t="shared" si="14"/>
        <v>3.3662337206193809</v>
      </c>
      <c r="N224" s="48" t="e">
        <f t="shared" si="15"/>
        <v>#DIV/0!</v>
      </c>
    </row>
    <row r="225" spans="1:14" x14ac:dyDescent="0.25">
      <c r="A225" s="5">
        <v>2021</v>
      </c>
      <c r="B225" s="4"/>
      <c r="C225" s="4"/>
      <c r="D225" s="4">
        <v>24664482.848000001</v>
      </c>
      <c r="E225" s="4"/>
      <c r="F225" s="4"/>
      <c r="G225" s="4"/>
      <c r="H225" s="4">
        <v>87399238.873999998</v>
      </c>
      <c r="I225" s="4"/>
      <c r="K225" s="48" t="e">
        <f t="shared" si="12"/>
        <v>#DIV/0!</v>
      </c>
      <c r="L225" s="48" t="e">
        <f t="shared" si="13"/>
        <v>#DIV/0!</v>
      </c>
      <c r="M225" s="48">
        <f t="shared" si="14"/>
        <v>3.5435261064509627</v>
      </c>
      <c r="N225" s="48" t="e">
        <f t="shared" si="15"/>
        <v>#DIV/0!</v>
      </c>
    </row>
    <row r="226" spans="1:14" x14ac:dyDescent="0.25">
      <c r="A226" s="5">
        <v>2022</v>
      </c>
      <c r="B226" s="4"/>
      <c r="C226" s="4"/>
      <c r="D226" s="4">
        <v>28181400.699999999</v>
      </c>
      <c r="E226" s="4"/>
      <c r="F226" s="4"/>
      <c r="G226" s="4"/>
      <c r="H226" s="4">
        <v>111575693.552</v>
      </c>
      <c r="I226" s="4"/>
      <c r="K226" s="48" t="e">
        <f t="shared" si="12"/>
        <v>#DIV/0!</v>
      </c>
      <c r="L226" s="48" t="e">
        <f t="shared" si="13"/>
        <v>#DIV/0!</v>
      </c>
      <c r="M226" s="48">
        <f t="shared" si="14"/>
        <v>3.9591961641565958</v>
      </c>
      <c r="N226" s="48" t="e">
        <f t="shared" si="15"/>
        <v>#DIV/0!</v>
      </c>
    </row>
    <row r="227" spans="1:14" x14ac:dyDescent="0.25">
      <c r="A227" s="5">
        <v>2023</v>
      </c>
      <c r="B227" s="4"/>
      <c r="C227" s="4"/>
      <c r="D227" s="4">
        <v>26486972.111000001</v>
      </c>
      <c r="E227" s="4"/>
      <c r="F227" s="4"/>
      <c r="G227" s="4"/>
      <c r="H227" s="4">
        <v>111347168.43799999</v>
      </c>
      <c r="I227" s="4"/>
      <c r="K227" s="48" t="e">
        <f t="shared" si="12"/>
        <v>#DIV/0!</v>
      </c>
      <c r="L227" s="48" t="e">
        <f t="shared" si="13"/>
        <v>#DIV/0!</v>
      </c>
      <c r="M227" s="48">
        <f t="shared" si="14"/>
        <v>4.2038466296325989</v>
      </c>
      <c r="N227" s="48" t="e">
        <f t="shared" si="15"/>
        <v>#DIV/0!</v>
      </c>
    </row>
    <row r="228" spans="1:14" x14ac:dyDescent="0.25">
      <c r="A228" s="5">
        <v>2024</v>
      </c>
      <c r="B228" s="4"/>
      <c r="C228" s="4"/>
      <c r="D228" s="4">
        <v>33951945.432999998</v>
      </c>
      <c r="E228" s="4"/>
      <c r="F228" s="4"/>
      <c r="G228" s="4"/>
      <c r="H228" s="4">
        <v>137709627.29899999</v>
      </c>
      <c r="I228" s="4"/>
      <c r="K228" s="48" t="e">
        <f t="shared" si="12"/>
        <v>#DIV/0!</v>
      </c>
      <c r="L228" s="48" t="e">
        <f t="shared" si="13"/>
        <v>#DIV/0!</v>
      </c>
      <c r="M228" s="48">
        <f t="shared" si="14"/>
        <v>4.0560158053609348</v>
      </c>
      <c r="N228" s="48" t="e">
        <f t="shared" si="15"/>
        <v>#DIV/0!</v>
      </c>
    </row>
    <row r="229" spans="1:14" x14ac:dyDescent="0.25">
      <c r="A229" s="5">
        <v>2025</v>
      </c>
      <c r="B229" s="4">
        <v>1363587.7420000001</v>
      </c>
      <c r="C229" s="4"/>
      <c r="D229" s="4">
        <v>33359772.443</v>
      </c>
      <c r="E229" s="4"/>
      <c r="F229" s="4">
        <v>9132008.9869999997</v>
      </c>
      <c r="G229" s="4"/>
      <c r="H229" s="4">
        <v>131622540.09999999</v>
      </c>
      <c r="I229" s="4"/>
      <c r="K229" s="48">
        <f t="shared" si="12"/>
        <v>6.6970453794237752</v>
      </c>
      <c r="L229" s="48" t="e">
        <f t="shared" si="13"/>
        <v>#DIV/0!</v>
      </c>
      <c r="M229" s="48">
        <f t="shared" si="14"/>
        <v>3.9455467007425233</v>
      </c>
      <c r="N229" s="48" t="e">
        <f t="shared" si="15"/>
        <v>#DIV/0!</v>
      </c>
    </row>
    <row r="230" spans="1:14" x14ac:dyDescent="0.25">
      <c r="A230" s="3" t="s">
        <v>12</v>
      </c>
      <c r="B230" s="4">
        <v>719939591.75800002</v>
      </c>
      <c r="C230" s="4">
        <v>1278012495.3940001</v>
      </c>
      <c r="D230" s="4">
        <v>64106893.035000011</v>
      </c>
      <c r="E230" s="4">
        <v>1264395711.892</v>
      </c>
      <c r="F230" s="4">
        <v>1679208843.6730001</v>
      </c>
      <c r="G230" s="4">
        <v>4400202071.1069994</v>
      </c>
      <c r="H230" s="4">
        <v>286698743.46899998</v>
      </c>
      <c r="I230" s="4">
        <v>6318644476.5020008</v>
      </c>
      <c r="K230" s="48">
        <f t="shared" si="12"/>
        <v>2.3324301967788545</v>
      </c>
      <c r="L230" s="48">
        <f t="shared" si="13"/>
        <v>3.4430039510298025</v>
      </c>
      <c r="M230" s="48">
        <f t="shared" si="14"/>
        <v>4.4721983845399116</v>
      </c>
      <c r="N230" s="48">
        <f t="shared" si="15"/>
        <v>4.9973631016566724</v>
      </c>
    </row>
    <row r="231" spans="1:14" x14ac:dyDescent="0.25">
      <c r="A231" s="5">
        <v>2010</v>
      </c>
      <c r="B231" s="4">
        <v>23939463</v>
      </c>
      <c r="C231" s="4">
        <v>37783554</v>
      </c>
      <c r="D231" s="4">
        <v>1860787</v>
      </c>
      <c r="E231" s="4">
        <v>37138291</v>
      </c>
      <c r="F231" s="4">
        <v>32243264.638999999</v>
      </c>
      <c r="G231" s="4">
        <v>102955419.094</v>
      </c>
      <c r="H231" s="4">
        <v>5227154.6880000001</v>
      </c>
      <c r="I231" s="4">
        <v>134152947.962</v>
      </c>
      <c r="K231" s="48">
        <f t="shared" si="12"/>
        <v>1.3468666627568044</v>
      </c>
      <c r="L231" s="48">
        <f t="shared" si="13"/>
        <v>2.7248738722143502</v>
      </c>
      <c r="M231" s="48">
        <f t="shared" si="14"/>
        <v>2.8091096337194963</v>
      </c>
      <c r="N231" s="48">
        <f t="shared" si="15"/>
        <v>3.6122542085202576</v>
      </c>
    </row>
    <row r="232" spans="1:14" x14ac:dyDescent="0.25">
      <c r="A232" s="5">
        <v>2011</v>
      </c>
      <c r="B232" s="4">
        <v>30920721</v>
      </c>
      <c r="C232" s="4">
        <v>57753341</v>
      </c>
      <c r="D232" s="4">
        <v>2583273</v>
      </c>
      <c r="E232" s="4">
        <v>52417257</v>
      </c>
      <c r="F232" s="4">
        <v>54484070.236000001</v>
      </c>
      <c r="G232" s="4">
        <v>175745066.461</v>
      </c>
      <c r="H232" s="4">
        <v>9652942.1909999996</v>
      </c>
      <c r="I232" s="4">
        <v>242138219.91100001</v>
      </c>
      <c r="K232" s="48">
        <f t="shared" si="12"/>
        <v>1.7620569143908384</v>
      </c>
      <c r="L232" s="48">
        <f t="shared" si="13"/>
        <v>3.0430285662780965</v>
      </c>
      <c r="M232" s="48">
        <f t="shared" si="14"/>
        <v>3.7367100538735163</v>
      </c>
      <c r="N232" s="48">
        <f t="shared" si="15"/>
        <v>4.6194370665179987</v>
      </c>
    </row>
    <row r="233" spans="1:14" x14ac:dyDescent="0.25">
      <c r="A233" s="5">
        <v>2012</v>
      </c>
      <c r="B233" s="4">
        <v>38815882</v>
      </c>
      <c r="C233" s="4">
        <v>29683040</v>
      </c>
      <c r="D233" s="4">
        <v>1217872</v>
      </c>
      <c r="E233" s="4">
        <v>39193508</v>
      </c>
      <c r="F233" s="4">
        <v>86267398.141000003</v>
      </c>
      <c r="G233" s="4">
        <v>126384408.322</v>
      </c>
      <c r="H233" s="4">
        <v>6040381.7130000005</v>
      </c>
      <c r="I233" s="4">
        <v>213155123.74399999</v>
      </c>
      <c r="K233" s="48">
        <f t="shared" si="12"/>
        <v>2.2224768238166019</v>
      </c>
      <c r="L233" s="48">
        <f t="shared" si="13"/>
        <v>4.2577986729795869</v>
      </c>
      <c r="M233" s="48">
        <f t="shared" si="14"/>
        <v>4.9597837153658189</v>
      </c>
      <c r="N233" s="48">
        <f t="shared" si="15"/>
        <v>5.4385313951484004</v>
      </c>
    </row>
    <row r="234" spans="1:14" x14ac:dyDescent="0.25">
      <c r="A234" s="5">
        <v>2014</v>
      </c>
      <c r="B234" s="4"/>
      <c r="C234" s="4">
        <v>1980792</v>
      </c>
      <c r="D234" s="4"/>
      <c r="E234" s="4"/>
      <c r="F234" s="4"/>
      <c r="G234" s="4">
        <v>10497101.592</v>
      </c>
      <c r="H234" s="4"/>
      <c r="I234" s="4"/>
      <c r="K234" s="48" t="e">
        <f t="shared" si="12"/>
        <v>#DIV/0!</v>
      </c>
      <c r="L234" s="48">
        <f t="shared" si="13"/>
        <v>5.2994466819332873</v>
      </c>
      <c r="M234" s="48" t="e">
        <f t="shared" si="14"/>
        <v>#DIV/0!</v>
      </c>
      <c r="N234" s="48" t="e">
        <f t="shared" si="15"/>
        <v>#DIV/0!</v>
      </c>
    </row>
    <row r="235" spans="1:14" x14ac:dyDescent="0.25">
      <c r="A235" s="5">
        <v>2015</v>
      </c>
      <c r="B235" s="4">
        <v>2750335</v>
      </c>
      <c r="C235" s="4">
        <v>1548314</v>
      </c>
      <c r="D235" s="4">
        <v>2783262.77</v>
      </c>
      <c r="E235" s="4"/>
      <c r="F235" s="4">
        <v>29154070.943</v>
      </c>
      <c r="G235" s="4">
        <v>6312510.1399999997</v>
      </c>
      <c r="H235" s="4">
        <v>9556857.5250000004</v>
      </c>
      <c r="I235" s="4"/>
      <c r="K235" s="48">
        <f t="shared" si="12"/>
        <v>10.600189047152437</v>
      </c>
      <c r="L235" s="48">
        <f t="shared" si="13"/>
        <v>4.0770219348271732</v>
      </c>
      <c r="M235" s="48">
        <f t="shared" si="14"/>
        <v>3.4336885571893019</v>
      </c>
      <c r="N235" s="48" t="e">
        <f t="shared" si="15"/>
        <v>#DIV/0!</v>
      </c>
    </row>
    <row r="236" spans="1:14" x14ac:dyDescent="0.25">
      <c r="A236" s="5">
        <v>2016</v>
      </c>
      <c r="B236" s="4">
        <v>81584453.637999997</v>
      </c>
      <c r="C236" s="4">
        <v>297803306.28399998</v>
      </c>
      <c r="D236" s="4">
        <v>5713968.267</v>
      </c>
      <c r="E236" s="4">
        <v>78375144.878999993</v>
      </c>
      <c r="F236" s="4">
        <v>172945964.62599999</v>
      </c>
      <c r="G236" s="4">
        <v>571596364.67400002</v>
      </c>
      <c r="H236" s="4">
        <v>21751917.397999998</v>
      </c>
      <c r="I236" s="4">
        <v>362890053.93000001</v>
      </c>
      <c r="K236" s="48">
        <f t="shared" si="12"/>
        <v>2.119839711048161</v>
      </c>
      <c r="L236" s="48">
        <f t="shared" si="13"/>
        <v>1.9193754824498068</v>
      </c>
      <c r="M236" s="48">
        <f t="shared" si="14"/>
        <v>3.8067970246919818</v>
      </c>
      <c r="N236" s="48">
        <f t="shared" si="15"/>
        <v>4.6301675676676624</v>
      </c>
    </row>
    <row r="237" spans="1:14" x14ac:dyDescent="0.25">
      <c r="A237" s="5">
        <v>2017</v>
      </c>
      <c r="B237" s="4">
        <v>75722846.191</v>
      </c>
      <c r="C237" s="4">
        <v>212573381.11000001</v>
      </c>
      <c r="D237" s="4">
        <v>4964247.7649999997</v>
      </c>
      <c r="E237" s="4">
        <v>77772806.363999993</v>
      </c>
      <c r="F237" s="4">
        <v>188445291.51800001</v>
      </c>
      <c r="G237" s="4">
        <v>463984102.88800001</v>
      </c>
      <c r="H237" s="4">
        <v>22429661.048</v>
      </c>
      <c r="I237" s="4">
        <v>417937610.29400003</v>
      </c>
      <c r="K237" s="48">
        <f t="shared" si="12"/>
        <v>2.4886187062049125</v>
      </c>
      <c r="L237" s="48">
        <f t="shared" si="13"/>
        <v>2.1827008652974422</v>
      </c>
      <c r="M237" s="48">
        <f t="shared" si="14"/>
        <v>4.5182396426984139</v>
      </c>
      <c r="N237" s="48">
        <f t="shared" si="15"/>
        <v>5.3738270461519289</v>
      </c>
    </row>
    <row r="238" spans="1:14" x14ac:dyDescent="0.25">
      <c r="A238" s="5">
        <v>2018</v>
      </c>
      <c r="B238" s="4">
        <v>114685293</v>
      </c>
      <c r="C238" s="4">
        <v>114145623</v>
      </c>
      <c r="D238" s="4">
        <v>5933794.5060000001</v>
      </c>
      <c r="E238" s="4">
        <v>106177224.34199999</v>
      </c>
      <c r="F238" s="4">
        <v>222363168.73899999</v>
      </c>
      <c r="G238" s="4">
        <v>487582053.64099997</v>
      </c>
      <c r="H238" s="4">
        <v>28245062.225000001</v>
      </c>
      <c r="I238" s="4">
        <v>487379646.528</v>
      </c>
      <c r="K238" s="48">
        <f t="shared" si="12"/>
        <v>1.9388987281830461</v>
      </c>
      <c r="L238" s="48">
        <f t="shared" si="13"/>
        <v>4.2715790656379351</v>
      </c>
      <c r="M238" s="48">
        <f t="shared" si="14"/>
        <v>4.7600337686854166</v>
      </c>
      <c r="N238" s="48">
        <f t="shared" si="15"/>
        <v>4.5902466329138125</v>
      </c>
    </row>
    <row r="239" spans="1:14" x14ac:dyDescent="0.25">
      <c r="A239" s="5">
        <v>2019</v>
      </c>
      <c r="B239" s="4">
        <v>97685527.425999999</v>
      </c>
      <c r="C239" s="4">
        <v>111103625</v>
      </c>
      <c r="D239" s="4">
        <v>6319531.2010000004</v>
      </c>
      <c r="E239" s="4">
        <v>123604457</v>
      </c>
      <c r="F239" s="4">
        <v>173832089.54499999</v>
      </c>
      <c r="G239" s="4">
        <v>466455386.67799997</v>
      </c>
      <c r="H239" s="4">
        <v>27625788.545000002</v>
      </c>
      <c r="I239" s="4">
        <v>503441081.17000002</v>
      </c>
      <c r="K239" s="48">
        <f t="shared" si="12"/>
        <v>1.7795070992136837</v>
      </c>
      <c r="L239" s="48">
        <f t="shared" si="13"/>
        <v>4.1983813460451893</v>
      </c>
      <c r="M239" s="48">
        <f t="shared" si="14"/>
        <v>4.3714933380862977</v>
      </c>
      <c r="N239" s="48">
        <f t="shared" si="15"/>
        <v>4.0730010340161114</v>
      </c>
    </row>
    <row r="240" spans="1:14" x14ac:dyDescent="0.25">
      <c r="A240" s="5">
        <v>2020</v>
      </c>
      <c r="B240" s="4">
        <v>46535917</v>
      </c>
      <c r="C240" s="4">
        <v>133956483</v>
      </c>
      <c r="D240" s="4">
        <v>6856987.2220000001</v>
      </c>
      <c r="E240" s="4">
        <v>136383965</v>
      </c>
      <c r="F240" s="4">
        <v>102774601.245</v>
      </c>
      <c r="G240" s="4">
        <v>570039281.09399998</v>
      </c>
      <c r="H240" s="4">
        <v>30621310.175000001</v>
      </c>
      <c r="I240" s="4">
        <v>579716302.46700001</v>
      </c>
      <c r="K240" s="48">
        <f t="shared" si="12"/>
        <v>2.2085006135153629</v>
      </c>
      <c r="L240" s="48">
        <f t="shared" si="13"/>
        <v>4.2554064448974822</v>
      </c>
      <c r="M240" s="48">
        <f t="shared" si="14"/>
        <v>4.4657090911230517</v>
      </c>
      <c r="N240" s="48">
        <f t="shared" si="15"/>
        <v>4.2506192166139183</v>
      </c>
    </row>
    <row r="241" spans="1:14" x14ac:dyDescent="0.25">
      <c r="A241" s="5">
        <v>2021</v>
      </c>
      <c r="B241" s="4">
        <v>23093997.502999999</v>
      </c>
      <c r="C241" s="4">
        <v>81834253</v>
      </c>
      <c r="D241" s="4">
        <v>5710269.3080000002</v>
      </c>
      <c r="E241" s="4">
        <v>135473079</v>
      </c>
      <c r="F241" s="4">
        <v>92075261.062999994</v>
      </c>
      <c r="G241" s="4">
        <v>445002609.708</v>
      </c>
      <c r="H241" s="4">
        <v>26000270.631999999</v>
      </c>
      <c r="I241" s="4">
        <v>702569283.16199994</v>
      </c>
      <c r="K241" s="48">
        <f t="shared" si="12"/>
        <v>3.9869780470461671</v>
      </c>
      <c r="L241" s="48">
        <f t="shared" si="13"/>
        <v>5.4378526520917836</v>
      </c>
      <c r="M241" s="48">
        <f t="shared" si="14"/>
        <v>4.5532477068242674</v>
      </c>
      <c r="N241" s="48">
        <f t="shared" si="15"/>
        <v>5.1860435176349684</v>
      </c>
    </row>
    <row r="242" spans="1:14" x14ac:dyDescent="0.25">
      <c r="A242" s="5">
        <v>2022</v>
      </c>
      <c r="B242" s="4">
        <v>3325503</v>
      </c>
      <c r="C242" s="4">
        <v>60505508</v>
      </c>
      <c r="D242" s="4">
        <v>6246155</v>
      </c>
      <c r="E242" s="4">
        <v>130544100</v>
      </c>
      <c r="F242" s="4">
        <v>74663965.019999996</v>
      </c>
      <c r="G242" s="4">
        <v>353213561.70599997</v>
      </c>
      <c r="H242" s="4">
        <v>29800259.425999999</v>
      </c>
      <c r="I242" s="4">
        <v>788668798.16600001</v>
      </c>
      <c r="K242" s="48">
        <f t="shared" si="12"/>
        <v>22.451931337905872</v>
      </c>
      <c r="L242" s="48">
        <f t="shared" si="13"/>
        <v>5.8377092165890083</v>
      </c>
      <c r="M242" s="48">
        <f t="shared" si="14"/>
        <v>4.7709766129723006</v>
      </c>
      <c r="N242" s="48">
        <f t="shared" si="15"/>
        <v>6.0413974907023755</v>
      </c>
    </row>
    <row r="243" spans="1:14" x14ac:dyDescent="0.25">
      <c r="A243" s="5">
        <v>2023</v>
      </c>
      <c r="B243" s="4">
        <v>33891190</v>
      </c>
      <c r="C243" s="4">
        <v>51410950</v>
      </c>
      <c r="D243" s="4">
        <v>6666104.6560000004</v>
      </c>
      <c r="E243" s="4">
        <v>139617960</v>
      </c>
      <c r="F243" s="4">
        <v>141182244.35100001</v>
      </c>
      <c r="G243" s="4">
        <v>248471909.361</v>
      </c>
      <c r="H243" s="4">
        <v>33434411.252999999</v>
      </c>
      <c r="I243" s="4">
        <v>833186043.68099999</v>
      </c>
      <c r="K243" s="48">
        <f t="shared" si="12"/>
        <v>4.1657505785721893</v>
      </c>
      <c r="L243" s="48">
        <f t="shared" si="13"/>
        <v>4.8330542299062751</v>
      </c>
      <c r="M243" s="48">
        <f t="shared" si="14"/>
        <v>5.0155845097491065</v>
      </c>
      <c r="N243" s="48">
        <f t="shared" si="15"/>
        <v>5.9676136485664166</v>
      </c>
    </row>
    <row r="244" spans="1:14" x14ac:dyDescent="0.25">
      <c r="A244" s="5">
        <v>2024</v>
      </c>
      <c r="B244" s="4">
        <v>145866853</v>
      </c>
      <c r="C244" s="4">
        <v>85930325</v>
      </c>
      <c r="D244" s="4">
        <v>4786201.34</v>
      </c>
      <c r="E244" s="4">
        <v>207697919.30700001</v>
      </c>
      <c r="F244" s="4">
        <v>281562537.06800002</v>
      </c>
      <c r="G244" s="4">
        <v>371962295.74800003</v>
      </c>
      <c r="H244" s="4">
        <v>25165420.131000001</v>
      </c>
      <c r="I244" s="4">
        <v>1053409365.487</v>
      </c>
      <c r="K244" s="48">
        <f t="shared" si="12"/>
        <v>1.9302708687901837</v>
      </c>
      <c r="L244" s="48">
        <f t="shared" si="13"/>
        <v>4.3286499352585945</v>
      </c>
      <c r="M244" s="48">
        <f t="shared" si="14"/>
        <v>5.2579108865904924</v>
      </c>
      <c r="N244" s="48">
        <f t="shared" si="15"/>
        <v>5.0718339837095181</v>
      </c>
    </row>
    <row r="245" spans="1:14" x14ac:dyDescent="0.25">
      <c r="A245" s="5">
        <v>2025</v>
      </c>
      <c r="B245" s="4">
        <v>1121610</v>
      </c>
      <c r="C245" s="4"/>
      <c r="D245" s="4">
        <v>2464439</v>
      </c>
      <c r="E245" s="4"/>
      <c r="F245" s="4">
        <v>27214916.539000001</v>
      </c>
      <c r="G245" s="4"/>
      <c r="H245" s="4">
        <v>11147306.518999999</v>
      </c>
      <c r="I245" s="4"/>
      <c r="K245" s="48">
        <f t="shared" si="12"/>
        <v>24.264152904307203</v>
      </c>
      <c r="L245" s="48" t="e">
        <f t="shared" si="13"/>
        <v>#DIV/0!</v>
      </c>
      <c r="M245" s="48">
        <f t="shared" si="14"/>
        <v>4.5232633142877541</v>
      </c>
      <c r="N245" s="48" t="e">
        <f t="shared" si="15"/>
        <v>#DIV/0!</v>
      </c>
    </row>
    <row r="246" spans="1:14" x14ac:dyDescent="0.25">
      <c r="A246" s="3" t="s">
        <v>13</v>
      </c>
      <c r="B246" s="4">
        <v>147124410.20999998</v>
      </c>
      <c r="C246" s="4">
        <v>207631909.31</v>
      </c>
      <c r="D246" s="4">
        <v>337612144.29999995</v>
      </c>
      <c r="E246" s="4">
        <v>29915624.140000001</v>
      </c>
      <c r="F246" s="4">
        <v>303330103.94999993</v>
      </c>
      <c r="G246" s="4">
        <v>288510000.42000002</v>
      </c>
      <c r="H246" s="4">
        <v>1575056289.7100003</v>
      </c>
      <c r="I246" s="4">
        <v>175064222.34</v>
      </c>
      <c r="K246" s="48">
        <f t="shared" si="12"/>
        <v>2.0617251992177077</v>
      </c>
      <c r="L246" s="48">
        <f t="shared" si="13"/>
        <v>1.3895263082575948</v>
      </c>
      <c r="M246" s="48">
        <f t="shared" si="14"/>
        <v>4.6652832734311103</v>
      </c>
      <c r="N246" s="48">
        <f t="shared" si="15"/>
        <v>5.8519328067744603</v>
      </c>
    </row>
    <row r="247" spans="1:14" x14ac:dyDescent="0.25">
      <c r="A247" s="5">
        <v>2010</v>
      </c>
      <c r="B247" s="4">
        <v>1877419</v>
      </c>
      <c r="C247" s="4">
        <v>11407690</v>
      </c>
      <c r="D247" s="4">
        <v>7295575.9699999997</v>
      </c>
      <c r="E247" s="4"/>
      <c r="F247" s="4">
        <v>4455084.38</v>
      </c>
      <c r="G247" s="4">
        <v>17550022.879999999</v>
      </c>
      <c r="H247" s="4">
        <v>28272115.719999999</v>
      </c>
      <c r="I247" s="4"/>
      <c r="K247" s="48">
        <f t="shared" si="12"/>
        <v>2.3729835375054797</v>
      </c>
      <c r="L247" s="48">
        <f t="shared" si="13"/>
        <v>1.5384379203852838</v>
      </c>
      <c r="M247" s="48">
        <f t="shared" si="14"/>
        <v>3.8752410825762396</v>
      </c>
      <c r="N247" s="48" t="e">
        <f t="shared" si="15"/>
        <v>#DIV/0!</v>
      </c>
    </row>
    <row r="248" spans="1:14" x14ac:dyDescent="0.25">
      <c r="A248" s="5">
        <v>2014</v>
      </c>
      <c r="B248" s="4">
        <v>22461454.66</v>
      </c>
      <c r="C248" s="4">
        <v>50649024</v>
      </c>
      <c r="D248" s="4">
        <v>30222501.690000001</v>
      </c>
      <c r="E248" s="4">
        <v>6874519.54</v>
      </c>
      <c r="F248" s="4">
        <v>52699985.729999997</v>
      </c>
      <c r="G248" s="4">
        <v>94916196.980000004</v>
      </c>
      <c r="H248" s="4">
        <v>154701909.62</v>
      </c>
      <c r="I248" s="4">
        <v>40956180.799999997</v>
      </c>
      <c r="K248" s="48">
        <f t="shared" si="12"/>
        <v>2.3462409949721392</v>
      </c>
      <c r="L248" s="48">
        <f t="shared" si="13"/>
        <v>1.8739985390439113</v>
      </c>
      <c r="M248" s="48">
        <f t="shared" si="14"/>
        <v>5.1187658522387531</v>
      </c>
      <c r="N248" s="48">
        <f t="shared" si="15"/>
        <v>5.9576790147577352</v>
      </c>
    </row>
    <row r="249" spans="1:14" x14ac:dyDescent="0.25">
      <c r="A249" s="5">
        <v>2015</v>
      </c>
      <c r="B249" s="4"/>
      <c r="C249" s="4">
        <v>3897077</v>
      </c>
      <c r="D249" s="4">
        <v>3283808.38</v>
      </c>
      <c r="E249" s="4"/>
      <c r="F249" s="4"/>
      <c r="G249" s="4">
        <v>7708635.7199999997</v>
      </c>
      <c r="H249" s="4">
        <v>18030756.059999999</v>
      </c>
      <c r="I249" s="4"/>
      <c r="K249" s="48" t="e">
        <f t="shared" si="12"/>
        <v>#DIV/0!</v>
      </c>
      <c r="L249" s="48">
        <f t="shared" si="13"/>
        <v>1.9780557889926218</v>
      </c>
      <c r="M249" s="48">
        <f t="shared" si="14"/>
        <v>5.4908063971747341</v>
      </c>
      <c r="N249" s="48" t="e">
        <f t="shared" si="15"/>
        <v>#DIV/0!</v>
      </c>
    </row>
    <row r="250" spans="1:14" x14ac:dyDescent="0.25">
      <c r="A250" s="5">
        <v>2016</v>
      </c>
      <c r="B250" s="4">
        <v>13266736.84</v>
      </c>
      <c r="C250" s="4">
        <v>33900253</v>
      </c>
      <c r="D250" s="4">
        <v>28553760.469999999</v>
      </c>
      <c r="E250" s="4">
        <v>3209665.67</v>
      </c>
      <c r="F250" s="4">
        <v>28042517.739999998</v>
      </c>
      <c r="G250" s="4">
        <v>54319649.259999998</v>
      </c>
      <c r="H250" s="4">
        <v>124858316.20999999</v>
      </c>
      <c r="I250" s="4">
        <v>17629629.789999999</v>
      </c>
      <c r="K250" s="48">
        <f t="shared" si="12"/>
        <v>2.11374643804271</v>
      </c>
      <c r="L250" s="48">
        <f t="shared" si="13"/>
        <v>1.60233757724463</v>
      </c>
      <c r="M250" s="48">
        <f t="shared" si="14"/>
        <v>4.3727451009887943</v>
      </c>
      <c r="N250" s="48">
        <f t="shared" si="15"/>
        <v>5.4926685837656102</v>
      </c>
    </row>
    <row r="251" spans="1:14" x14ac:dyDescent="0.25">
      <c r="A251" s="5">
        <v>2017</v>
      </c>
      <c r="B251" s="4">
        <v>7129725.7999999998</v>
      </c>
      <c r="C251" s="4">
        <v>9464102</v>
      </c>
      <c r="D251" s="4">
        <v>25498754.449999999</v>
      </c>
      <c r="E251" s="4"/>
      <c r="F251" s="4">
        <v>18675022.120000001</v>
      </c>
      <c r="G251" s="4">
        <v>8588312.4000000004</v>
      </c>
      <c r="H251" s="4">
        <v>120291367.20999999</v>
      </c>
      <c r="I251" s="4"/>
      <c r="K251" s="48">
        <f t="shared" si="12"/>
        <v>2.6193184203521547</v>
      </c>
      <c r="L251" s="48">
        <f t="shared" si="13"/>
        <v>0.90746194409147329</v>
      </c>
      <c r="M251" s="48">
        <f t="shared" si="14"/>
        <v>4.7175389466915707</v>
      </c>
      <c r="N251" s="48" t="e">
        <f t="shared" si="15"/>
        <v>#DIV/0!</v>
      </c>
    </row>
    <row r="252" spans="1:14" x14ac:dyDescent="0.25">
      <c r="A252" s="5">
        <v>2018</v>
      </c>
      <c r="B252" s="4">
        <v>18883952.579999998</v>
      </c>
      <c r="C252" s="4">
        <v>11949075</v>
      </c>
      <c r="D252" s="4">
        <v>32198118.949999999</v>
      </c>
      <c r="E252" s="4">
        <v>2299284.7999999998</v>
      </c>
      <c r="F252" s="4">
        <v>34596736.869999997</v>
      </c>
      <c r="G252" s="4">
        <v>13448890.869999999</v>
      </c>
      <c r="H252" s="4">
        <v>157915545.11000001</v>
      </c>
      <c r="I252" s="4">
        <v>14397229.119999999</v>
      </c>
      <c r="K252" s="48">
        <f t="shared" si="12"/>
        <v>1.8320707343144578</v>
      </c>
      <c r="L252" s="48">
        <f t="shared" si="13"/>
        <v>1.1255173199599131</v>
      </c>
      <c r="M252" s="48">
        <f t="shared" si="14"/>
        <v>4.9044959848500724</v>
      </c>
      <c r="N252" s="48">
        <f t="shared" si="15"/>
        <v>6.261611923846929</v>
      </c>
    </row>
    <row r="253" spans="1:14" x14ac:dyDescent="0.25">
      <c r="A253" s="5">
        <v>2019</v>
      </c>
      <c r="B253" s="4">
        <v>13523723.57</v>
      </c>
      <c r="C253" s="4">
        <v>23585055</v>
      </c>
      <c r="D253" s="4">
        <v>31197428.969999999</v>
      </c>
      <c r="E253" s="4"/>
      <c r="F253" s="4">
        <v>25282552.539999999</v>
      </c>
      <c r="G253" s="4">
        <v>29305305.260000002</v>
      </c>
      <c r="H253" s="4">
        <v>145572197.81999999</v>
      </c>
      <c r="I253" s="4"/>
      <c r="K253" s="48">
        <f t="shared" si="12"/>
        <v>1.8694964008348183</v>
      </c>
      <c r="L253" s="48">
        <f t="shared" si="13"/>
        <v>1.2425370752792395</v>
      </c>
      <c r="M253" s="48">
        <f t="shared" si="14"/>
        <v>4.6661600851783271</v>
      </c>
      <c r="N253" s="48" t="e">
        <f t="shared" si="15"/>
        <v>#DIV/0!</v>
      </c>
    </row>
    <row r="254" spans="1:14" x14ac:dyDescent="0.25">
      <c r="A254" s="5">
        <v>2020</v>
      </c>
      <c r="B254" s="4">
        <v>12640983.48</v>
      </c>
      <c r="C254" s="4">
        <v>15263551</v>
      </c>
      <c r="D254" s="4">
        <v>46408175.369999997</v>
      </c>
      <c r="E254" s="4">
        <v>4931095.34</v>
      </c>
      <c r="F254" s="4">
        <v>24210655.57</v>
      </c>
      <c r="G254" s="4">
        <v>16866236.719999999</v>
      </c>
      <c r="H254" s="4">
        <v>197357755.31</v>
      </c>
      <c r="I254" s="4">
        <v>26909653.039999999</v>
      </c>
      <c r="K254" s="48">
        <f t="shared" si="12"/>
        <v>1.9152509461233787</v>
      </c>
      <c r="L254" s="48">
        <f t="shared" si="13"/>
        <v>1.1050008428576024</v>
      </c>
      <c r="M254" s="48">
        <f t="shared" si="14"/>
        <v>4.2526506102969854</v>
      </c>
      <c r="N254" s="48">
        <f t="shared" si="15"/>
        <v>5.457135014550337</v>
      </c>
    </row>
    <row r="255" spans="1:14" x14ac:dyDescent="0.25">
      <c r="A255" s="5">
        <v>2021</v>
      </c>
      <c r="B255" s="4">
        <v>18394311.780000001</v>
      </c>
      <c r="C255" s="4">
        <v>16695509.300000001</v>
      </c>
      <c r="D255" s="4">
        <v>39771255.689999998</v>
      </c>
      <c r="E255" s="4">
        <v>3710827.51</v>
      </c>
      <c r="F255" s="4">
        <v>33171179.829999998</v>
      </c>
      <c r="G255" s="4">
        <v>14563717</v>
      </c>
      <c r="H255" s="4">
        <v>168783430.16999999</v>
      </c>
      <c r="I255" s="4">
        <v>20860811.649999999</v>
      </c>
      <c r="K255" s="48">
        <f t="shared" si="12"/>
        <v>1.803339001031111</v>
      </c>
      <c r="L255" s="48">
        <f t="shared" si="13"/>
        <v>0.87231343101345216</v>
      </c>
      <c r="M255" s="48">
        <f t="shared" si="14"/>
        <v>4.2438546945963926</v>
      </c>
      <c r="N255" s="48">
        <f t="shared" si="15"/>
        <v>5.6216063920470392</v>
      </c>
    </row>
    <row r="256" spans="1:14" x14ac:dyDescent="0.25">
      <c r="A256" s="5">
        <v>2022</v>
      </c>
      <c r="B256" s="4">
        <v>11152511.890000001</v>
      </c>
      <c r="C256" s="4">
        <v>13441948.32</v>
      </c>
      <c r="D256" s="4">
        <v>33992126.369999997</v>
      </c>
      <c r="E256" s="4">
        <v>3339947.18</v>
      </c>
      <c r="F256" s="4">
        <v>25180801.18</v>
      </c>
      <c r="G256" s="4">
        <v>10105918.560000001</v>
      </c>
      <c r="H256" s="4">
        <v>165377846</v>
      </c>
      <c r="I256" s="4">
        <v>19481994.530000001</v>
      </c>
      <c r="K256" s="48">
        <f t="shared" si="12"/>
        <v>2.2578591646764878</v>
      </c>
      <c r="L256" s="48">
        <f t="shared" si="13"/>
        <v>0.75181947731219967</v>
      </c>
      <c r="M256" s="48">
        <f t="shared" si="14"/>
        <v>4.8651809598459081</v>
      </c>
      <c r="N256" s="48">
        <f t="shared" si="15"/>
        <v>5.8330247396307628</v>
      </c>
    </row>
    <row r="257" spans="1:14" x14ac:dyDescent="0.25">
      <c r="A257" s="5">
        <v>2023</v>
      </c>
      <c r="B257" s="4">
        <v>11562746.689999999</v>
      </c>
      <c r="C257" s="4">
        <v>11770373.689999999</v>
      </c>
      <c r="D257" s="4">
        <v>30332627.510000002</v>
      </c>
      <c r="E257" s="4">
        <v>3329481.05</v>
      </c>
      <c r="F257" s="4">
        <v>24865494.719999999</v>
      </c>
      <c r="G257" s="4">
        <v>13419465.130000001</v>
      </c>
      <c r="H257" s="4">
        <v>152610133.11000001</v>
      </c>
      <c r="I257" s="4">
        <v>21258158.739999998</v>
      </c>
      <c r="K257" s="48">
        <f t="shared" si="12"/>
        <v>2.1504833917623425</v>
      </c>
      <c r="L257" s="48">
        <f t="shared" si="13"/>
        <v>1.140105274771442</v>
      </c>
      <c r="M257" s="48">
        <f t="shared" si="14"/>
        <v>5.0312203603096304</v>
      </c>
      <c r="N257" s="48">
        <f t="shared" si="15"/>
        <v>6.3848264701791893</v>
      </c>
    </row>
    <row r="258" spans="1:14" x14ac:dyDescent="0.25">
      <c r="A258" s="5">
        <v>2024</v>
      </c>
      <c r="B258" s="4">
        <v>2984715.56</v>
      </c>
      <c r="C258" s="4"/>
      <c r="D258" s="4">
        <v>6208359.7000000002</v>
      </c>
      <c r="E258" s="4"/>
      <c r="F258" s="4">
        <v>5775360.3099999996</v>
      </c>
      <c r="G258" s="4"/>
      <c r="H258" s="4">
        <v>33288259.210000001</v>
      </c>
      <c r="I258" s="4"/>
      <c r="K258" s="48">
        <f t="shared" si="12"/>
        <v>1.9349784573776938</v>
      </c>
      <c r="L258" s="48" t="e">
        <f t="shared" si="13"/>
        <v>#DIV/0!</v>
      </c>
      <c r="M258" s="48">
        <f t="shared" si="14"/>
        <v>5.3618444836564478</v>
      </c>
      <c r="N258" s="48" t="e">
        <f t="shared" si="15"/>
        <v>#DIV/0!</v>
      </c>
    </row>
    <row r="259" spans="1:14" x14ac:dyDescent="0.25">
      <c r="A259" s="5">
        <v>2025</v>
      </c>
      <c r="B259" s="4">
        <v>13246128.359999999</v>
      </c>
      <c r="C259" s="4">
        <v>5608251</v>
      </c>
      <c r="D259" s="4">
        <v>22649650.780000001</v>
      </c>
      <c r="E259" s="4">
        <v>2220803.0499999998</v>
      </c>
      <c r="F259" s="4">
        <v>26374712.960000001</v>
      </c>
      <c r="G259" s="4">
        <v>7717649.6399999997</v>
      </c>
      <c r="H259" s="4">
        <v>107996658.16</v>
      </c>
      <c r="I259" s="4">
        <v>13570564.67</v>
      </c>
      <c r="K259" s="48">
        <f t="shared" si="12"/>
        <v>1.9911261799066549</v>
      </c>
      <c r="L259" s="48">
        <f t="shared" si="13"/>
        <v>1.3761241499355146</v>
      </c>
      <c r="M259" s="48">
        <f t="shared" si="14"/>
        <v>4.7681378935591692</v>
      </c>
      <c r="N259" s="48">
        <f t="shared" si="15"/>
        <v>6.1106565348061821</v>
      </c>
    </row>
    <row r="260" spans="1:14" x14ac:dyDescent="0.25">
      <c r="A260" s="3" t="s">
        <v>94</v>
      </c>
      <c r="B260" s="4">
        <v>5915030.21</v>
      </c>
      <c r="C260" s="4"/>
      <c r="D260" s="4">
        <v>3340809.74</v>
      </c>
      <c r="E260" s="4"/>
      <c r="F260" s="4">
        <v>16412559.699999999</v>
      </c>
      <c r="G260" s="4"/>
      <c r="H260" s="4">
        <v>15559663.450000001</v>
      </c>
      <c r="I260" s="4"/>
      <c r="K260" s="48">
        <f t="shared" si="12"/>
        <v>2.7747211962253022</v>
      </c>
      <c r="L260" s="48" t="e">
        <f t="shared" si="13"/>
        <v>#DIV/0!</v>
      </c>
      <c r="M260" s="48">
        <f t="shared" si="14"/>
        <v>4.6574527318038772</v>
      </c>
      <c r="N260" s="48" t="e">
        <f t="shared" si="15"/>
        <v>#DIV/0!</v>
      </c>
    </row>
    <row r="261" spans="1:14" x14ac:dyDescent="0.25">
      <c r="A261" s="5">
        <v>2018</v>
      </c>
      <c r="B261" s="4">
        <v>2123874.96</v>
      </c>
      <c r="C261" s="4"/>
      <c r="D261" s="4">
        <v>1314027.8400000001</v>
      </c>
      <c r="E261" s="4"/>
      <c r="F261" s="4">
        <v>4573887.08</v>
      </c>
      <c r="G261" s="4"/>
      <c r="H261" s="4">
        <v>6493539.5700000003</v>
      </c>
      <c r="I261" s="4"/>
      <c r="K261" s="48">
        <f t="shared" si="12"/>
        <v>2.1535576086833288</v>
      </c>
      <c r="L261" s="48" t="e">
        <f t="shared" si="13"/>
        <v>#DIV/0!</v>
      </c>
      <c r="M261" s="48">
        <f t="shared" si="14"/>
        <v>4.9417062350825081</v>
      </c>
      <c r="N261" s="48" t="e">
        <f t="shared" si="15"/>
        <v>#DIV/0!</v>
      </c>
    </row>
    <row r="262" spans="1:14" x14ac:dyDescent="0.25">
      <c r="A262" s="5">
        <v>2020</v>
      </c>
      <c r="B262" s="4">
        <v>3791155.25</v>
      </c>
      <c r="C262" s="4"/>
      <c r="D262" s="4">
        <v>2026781.9</v>
      </c>
      <c r="E262" s="4"/>
      <c r="F262" s="4">
        <v>11838672.619999999</v>
      </c>
      <c r="G262" s="4"/>
      <c r="H262" s="4">
        <v>9066123.8800000008</v>
      </c>
      <c r="I262" s="4"/>
      <c r="K262" s="48">
        <f t="shared" si="12"/>
        <v>3.1227084725691463</v>
      </c>
      <c r="L262" s="48" t="e">
        <f t="shared" si="13"/>
        <v>#DIV/0!</v>
      </c>
      <c r="M262" s="48">
        <f t="shared" si="14"/>
        <v>4.4731620506380096</v>
      </c>
      <c r="N262" s="48" t="e">
        <f t="shared" si="15"/>
        <v>#DIV/0!</v>
      </c>
    </row>
    <row r="263" spans="1:14" x14ac:dyDescent="0.25">
      <c r="A263" s="3" t="s">
        <v>14</v>
      </c>
      <c r="B263" s="4">
        <v>20006154.813000001</v>
      </c>
      <c r="C263" s="4">
        <v>50841841.765000001</v>
      </c>
      <c r="D263" s="4">
        <v>132881565.82199998</v>
      </c>
      <c r="E263" s="4">
        <v>15270640</v>
      </c>
      <c r="F263" s="4">
        <v>19392062</v>
      </c>
      <c r="G263" s="4">
        <v>717579182</v>
      </c>
      <c r="H263" s="4">
        <v>294483224</v>
      </c>
      <c r="I263" s="4">
        <v>2085324</v>
      </c>
      <c r="K263" s="48">
        <f t="shared" ref="K263:K326" si="16">F263/B263</f>
        <v>0.96930480550910447</v>
      </c>
      <c r="L263" s="48">
        <f t="shared" ref="L263:L326" si="17">G263/C263</f>
        <v>14.113949398544177</v>
      </c>
      <c r="M263" s="48">
        <f t="shared" ref="M263:M326" si="18">H263/D263</f>
        <v>2.2161330066991511</v>
      </c>
      <c r="N263" s="48">
        <f t="shared" ref="N263:N326" si="19">I263/E263</f>
        <v>0.13655773431892834</v>
      </c>
    </row>
    <row r="264" spans="1:14" x14ac:dyDescent="0.25">
      <c r="A264" s="5">
        <v>2010</v>
      </c>
      <c r="B264" s="4"/>
      <c r="C264" s="4">
        <v>2752037</v>
      </c>
      <c r="D264" s="4">
        <v>3148598</v>
      </c>
      <c r="E264" s="4"/>
      <c r="F264" s="4"/>
      <c r="G264" s="4">
        <v>42819593</v>
      </c>
      <c r="H264" s="4">
        <v>11768856</v>
      </c>
      <c r="I264" s="4"/>
      <c r="K264" s="48" t="e">
        <f t="shared" si="16"/>
        <v>#DIV/0!</v>
      </c>
      <c r="L264" s="48">
        <f t="shared" si="17"/>
        <v>15.559235940505161</v>
      </c>
      <c r="M264" s="48">
        <f t="shared" si="18"/>
        <v>3.7378083832867834</v>
      </c>
      <c r="N264" s="48" t="e">
        <f t="shared" si="19"/>
        <v>#DIV/0!</v>
      </c>
    </row>
    <row r="265" spans="1:14" x14ac:dyDescent="0.25">
      <c r="A265" s="5">
        <v>2011</v>
      </c>
      <c r="B265" s="4"/>
      <c r="C265" s="4">
        <v>3208166</v>
      </c>
      <c r="D265" s="4">
        <v>2696958</v>
      </c>
      <c r="E265" s="4"/>
      <c r="F265" s="4"/>
      <c r="G265" s="4">
        <v>67716945</v>
      </c>
      <c r="H265" s="4">
        <v>12275485</v>
      </c>
      <c r="I265" s="4"/>
      <c r="K265" s="48" t="e">
        <f t="shared" si="16"/>
        <v>#DIV/0!</v>
      </c>
      <c r="L265" s="48">
        <f t="shared" si="17"/>
        <v>21.107681148668743</v>
      </c>
      <c r="M265" s="48">
        <f t="shared" si="18"/>
        <v>4.5516040665075241</v>
      </c>
      <c r="N265" s="48" t="e">
        <f t="shared" si="19"/>
        <v>#DIV/0!</v>
      </c>
    </row>
    <row r="266" spans="1:14" x14ac:dyDescent="0.25">
      <c r="A266" s="5">
        <v>2012</v>
      </c>
      <c r="B266" s="4"/>
      <c r="C266" s="4">
        <v>2139270</v>
      </c>
      <c r="D266" s="4">
        <v>1502187</v>
      </c>
      <c r="E266" s="4"/>
      <c r="F266" s="4"/>
      <c r="G266" s="4">
        <v>59530538</v>
      </c>
      <c r="H266" s="4">
        <v>11554301</v>
      </c>
      <c r="I266" s="4"/>
      <c r="K266" s="48" t="e">
        <f t="shared" si="16"/>
        <v>#DIV/0!</v>
      </c>
      <c r="L266" s="48">
        <f t="shared" si="17"/>
        <v>27.82750096995704</v>
      </c>
      <c r="M266" s="48">
        <f t="shared" si="18"/>
        <v>7.6916529034001755</v>
      </c>
      <c r="N266" s="48" t="e">
        <f t="shared" si="19"/>
        <v>#DIV/0!</v>
      </c>
    </row>
    <row r="267" spans="1:14" x14ac:dyDescent="0.25">
      <c r="A267" s="5">
        <v>2013</v>
      </c>
      <c r="B267" s="4"/>
      <c r="C267" s="4">
        <v>2442491</v>
      </c>
      <c r="D267" s="4">
        <v>2039065</v>
      </c>
      <c r="E267" s="4"/>
      <c r="F267" s="4"/>
      <c r="G267" s="4">
        <v>48954474</v>
      </c>
      <c r="H267" s="4">
        <v>12287747</v>
      </c>
      <c r="I267" s="4"/>
      <c r="K267" s="48" t="e">
        <f t="shared" si="16"/>
        <v>#DIV/0!</v>
      </c>
      <c r="L267" s="48">
        <f t="shared" si="17"/>
        <v>20.042847240788195</v>
      </c>
      <c r="M267" s="48">
        <f t="shared" si="18"/>
        <v>6.0261673855419025</v>
      </c>
      <c r="N267" s="48" t="e">
        <f t="shared" si="19"/>
        <v>#DIV/0!</v>
      </c>
    </row>
    <row r="268" spans="1:14" x14ac:dyDescent="0.25">
      <c r="A268" s="5">
        <v>2014</v>
      </c>
      <c r="B268" s="4"/>
      <c r="C268" s="4">
        <v>2207347</v>
      </c>
      <c r="D268" s="4">
        <v>2753587</v>
      </c>
      <c r="E268" s="4"/>
      <c r="F268" s="4"/>
      <c r="G268" s="4">
        <v>40037622</v>
      </c>
      <c r="H268" s="4">
        <v>14842024</v>
      </c>
      <c r="I268" s="4"/>
      <c r="K268" s="48" t="e">
        <f t="shared" si="16"/>
        <v>#DIV/0!</v>
      </c>
      <c r="L268" s="48">
        <f t="shared" si="17"/>
        <v>18.138345262434949</v>
      </c>
      <c r="M268" s="48">
        <f t="shared" si="18"/>
        <v>5.3900690263282041</v>
      </c>
      <c r="N268" s="48" t="e">
        <f t="shared" si="19"/>
        <v>#DIV/0!</v>
      </c>
    </row>
    <row r="269" spans="1:14" x14ac:dyDescent="0.25">
      <c r="A269" s="5">
        <v>2015</v>
      </c>
      <c r="B269" s="4">
        <v>18357444</v>
      </c>
      <c r="C269" s="4">
        <v>4817341</v>
      </c>
      <c r="D269" s="4">
        <v>85048797</v>
      </c>
      <c r="E269" s="4">
        <v>15270640</v>
      </c>
      <c r="F269" s="4">
        <v>4884987</v>
      </c>
      <c r="G269" s="4">
        <v>45940616</v>
      </c>
      <c r="H269" s="4">
        <v>11791776</v>
      </c>
      <c r="I269" s="4">
        <v>2085324</v>
      </c>
      <c r="K269" s="48">
        <f t="shared" si="16"/>
        <v>0.26610387589906309</v>
      </c>
      <c r="L269" s="48">
        <f t="shared" si="17"/>
        <v>9.5365090409833968</v>
      </c>
      <c r="M269" s="48">
        <f t="shared" si="18"/>
        <v>0.13864718157036365</v>
      </c>
      <c r="N269" s="48">
        <f t="shared" si="19"/>
        <v>0.13655773431892834</v>
      </c>
    </row>
    <row r="270" spans="1:14" x14ac:dyDescent="0.25">
      <c r="A270" s="5">
        <v>2016</v>
      </c>
      <c r="B270" s="4"/>
      <c r="C270" s="4">
        <v>2340833.7400000002</v>
      </c>
      <c r="D270" s="4">
        <v>2251567.5890000002</v>
      </c>
      <c r="E270" s="4"/>
      <c r="F270" s="4"/>
      <c r="G270" s="4">
        <v>30733246</v>
      </c>
      <c r="H270" s="4">
        <v>10414470</v>
      </c>
      <c r="I270" s="4"/>
      <c r="K270" s="48" t="e">
        <f t="shared" si="16"/>
        <v>#DIV/0!</v>
      </c>
      <c r="L270" s="48">
        <f t="shared" si="17"/>
        <v>13.12918789354087</v>
      </c>
      <c r="M270" s="48">
        <f t="shared" si="18"/>
        <v>4.6254307669375496</v>
      </c>
      <c r="N270" s="48" t="e">
        <f t="shared" si="19"/>
        <v>#DIV/0!</v>
      </c>
    </row>
    <row r="271" spans="1:14" x14ac:dyDescent="0.25">
      <c r="A271" s="5">
        <v>2017</v>
      </c>
      <c r="B271" s="4"/>
      <c r="C271" s="4">
        <v>2976055.15</v>
      </c>
      <c r="D271" s="4">
        <v>2753429.72</v>
      </c>
      <c r="E271" s="4"/>
      <c r="F271" s="4"/>
      <c r="G271" s="4">
        <v>33605423</v>
      </c>
      <c r="H271" s="4">
        <v>14599320</v>
      </c>
      <c r="I271" s="4"/>
      <c r="K271" s="48" t="e">
        <f t="shared" si="16"/>
        <v>#DIV/0!</v>
      </c>
      <c r="L271" s="48">
        <f t="shared" si="17"/>
        <v>11.291935567793494</v>
      </c>
      <c r="M271" s="48">
        <f t="shared" si="18"/>
        <v>5.3022308482963565</v>
      </c>
      <c r="N271" s="48" t="e">
        <f t="shared" si="19"/>
        <v>#DIV/0!</v>
      </c>
    </row>
    <row r="272" spans="1:14" x14ac:dyDescent="0.25">
      <c r="A272" s="5">
        <v>2018</v>
      </c>
      <c r="B272" s="4"/>
      <c r="C272" s="4">
        <v>3067383.2570000002</v>
      </c>
      <c r="D272" s="4">
        <v>3236745.7659999998</v>
      </c>
      <c r="E272" s="4"/>
      <c r="F272" s="4"/>
      <c r="G272" s="4">
        <v>41592678</v>
      </c>
      <c r="H272" s="4">
        <v>19369988</v>
      </c>
      <c r="I272" s="4"/>
      <c r="K272" s="48" t="e">
        <f t="shared" si="16"/>
        <v>#DIV/0!</v>
      </c>
      <c r="L272" s="48">
        <f t="shared" si="17"/>
        <v>13.559661286238805</v>
      </c>
      <c r="M272" s="48">
        <f t="shared" si="18"/>
        <v>5.9844020508096962</v>
      </c>
      <c r="N272" s="48" t="e">
        <f t="shared" si="19"/>
        <v>#DIV/0!</v>
      </c>
    </row>
    <row r="273" spans="1:14" x14ac:dyDescent="0.25">
      <c r="A273" s="5">
        <v>2019</v>
      </c>
      <c r="B273" s="4"/>
      <c r="C273" s="4">
        <v>2894788.5109999999</v>
      </c>
      <c r="D273" s="4">
        <v>3848208.0019999999</v>
      </c>
      <c r="E273" s="4"/>
      <c r="F273" s="4"/>
      <c r="G273" s="4">
        <v>37419136</v>
      </c>
      <c r="H273" s="4">
        <v>22242340</v>
      </c>
      <c r="I273" s="4"/>
      <c r="K273" s="48" t="e">
        <f t="shared" si="16"/>
        <v>#DIV/0!</v>
      </c>
      <c r="L273" s="48">
        <f t="shared" si="17"/>
        <v>12.926379891936776</v>
      </c>
      <c r="M273" s="48">
        <f t="shared" si="18"/>
        <v>5.7799214565429304</v>
      </c>
      <c r="N273" s="48" t="e">
        <f t="shared" si="19"/>
        <v>#DIV/0!</v>
      </c>
    </row>
    <row r="274" spans="1:14" x14ac:dyDescent="0.25">
      <c r="A274" s="5">
        <v>2020</v>
      </c>
      <c r="B274" s="4"/>
      <c r="C274" s="4">
        <v>3328195.5589999999</v>
      </c>
      <c r="D274" s="4">
        <v>3689472.4240000001</v>
      </c>
      <c r="E274" s="4"/>
      <c r="F274" s="4"/>
      <c r="G274" s="4">
        <v>40564825</v>
      </c>
      <c r="H274" s="4">
        <v>21663567</v>
      </c>
      <c r="I274" s="4"/>
      <c r="K274" s="48" t="e">
        <f t="shared" si="16"/>
        <v>#DIV/0!</v>
      </c>
      <c r="L274" s="48">
        <f t="shared" si="17"/>
        <v>12.188233618155609</v>
      </c>
      <c r="M274" s="48">
        <f t="shared" si="18"/>
        <v>5.8717248729326723</v>
      </c>
      <c r="N274" s="48" t="e">
        <f t="shared" si="19"/>
        <v>#DIV/0!</v>
      </c>
    </row>
    <row r="275" spans="1:14" x14ac:dyDescent="0.25">
      <c r="A275" s="5">
        <v>2021</v>
      </c>
      <c r="B275" s="4"/>
      <c r="C275" s="4">
        <v>4824927.0329999998</v>
      </c>
      <c r="D275" s="4">
        <v>3776335.77</v>
      </c>
      <c r="E275" s="4"/>
      <c r="F275" s="4"/>
      <c r="G275" s="4">
        <v>56383173</v>
      </c>
      <c r="H275" s="4">
        <v>23345000</v>
      </c>
      <c r="I275" s="4"/>
      <c r="K275" s="48" t="e">
        <f t="shared" si="16"/>
        <v>#DIV/0!</v>
      </c>
      <c r="L275" s="48">
        <f t="shared" si="17"/>
        <v>11.685808430753113</v>
      </c>
      <c r="M275" s="48">
        <f t="shared" si="18"/>
        <v>6.1819185109167343</v>
      </c>
      <c r="N275" s="48" t="e">
        <f t="shared" si="19"/>
        <v>#DIV/0!</v>
      </c>
    </row>
    <row r="276" spans="1:14" x14ac:dyDescent="0.25">
      <c r="A276" s="5">
        <v>2022</v>
      </c>
      <c r="B276" s="4"/>
      <c r="C276" s="4">
        <v>3725115.7349999999</v>
      </c>
      <c r="D276" s="4">
        <v>3647817.0060000001</v>
      </c>
      <c r="E276" s="4"/>
      <c r="F276" s="4"/>
      <c r="G276" s="4">
        <v>52606434</v>
      </c>
      <c r="H276" s="4">
        <v>21499418</v>
      </c>
      <c r="I276" s="4"/>
      <c r="K276" s="48" t="e">
        <f t="shared" si="16"/>
        <v>#DIV/0!</v>
      </c>
      <c r="L276" s="48">
        <f t="shared" si="17"/>
        <v>14.122093846837219</v>
      </c>
      <c r="M276" s="48">
        <f t="shared" si="18"/>
        <v>5.8937764599039211</v>
      </c>
      <c r="N276" s="48" t="e">
        <f t="shared" si="19"/>
        <v>#DIV/0!</v>
      </c>
    </row>
    <row r="277" spans="1:14" x14ac:dyDescent="0.25">
      <c r="A277" s="5">
        <v>2023</v>
      </c>
      <c r="B277" s="4"/>
      <c r="C277" s="4">
        <v>3350997.7510000002</v>
      </c>
      <c r="D277" s="4">
        <v>3692073.8420000002</v>
      </c>
      <c r="E277" s="4"/>
      <c r="F277" s="4"/>
      <c r="G277" s="4">
        <v>55462876</v>
      </c>
      <c r="H277" s="4">
        <v>25864396</v>
      </c>
      <c r="I277" s="4"/>
      <c r="K277" s="48" t="e">
        <f t="shared" si="16"/>
        <v>#DIV/0!</v>
      </c>
      <c r="L277" s="48">
        <f t="shared" si="17"/>
        <v>16.551152856921149</v>
      </c>
      <c r="M277" s="48">
        <f t="shared" si="18"/>
        <v>7.0053842655512089</v>
      </c>
      <c r="N277" s="48" t="e">
        <f t="shared" si="19"/>
        <v>#DIV/0!</v>
      </c>
    </row>
    <row r="278" spans="1:14" x14ac:dyDescent="0.25">
      <c r="A278" s="5">
        <v>2024</v>
      </c>
      <c r="B278" s="4"/>
      <c r="C278" s="4">
        <v>3290989.0019999999</v>
      </c>
      <c r="D278" s="4">
        <v>4723755.4819999998</v>
      </c>
      <c r="E278" s="4"/>
      <c r="F278" s="4"/>
      <c r="G278" s="4">
        <v>28026698</v>
      </c>
      <c r="H278" s="4">
        <v>32997466</v>
      </c>
      <c r="I278" s="4"/>
      <c r="K278" s="48" t="e">
        <f t="shared" si="16"/>
        <v>#DIV/0!</v>
      </c>
      <c r="L278" s="48">
        <f t="shared" si="17"/>
        <v>8.5161931513498264</v>
      </c>
      <c r="M278" s="48">
        <f t="shared" si="18"/>
        <v>6.985430580760954</v>
      </c>
      <c r="N278" s="48" t="e">
        <f t="shared" si="19"/>
        <v>#DIV/0!</v>
      </c>
    </row>
    <row r="279" spans="1:14" x14ac:dyDescent="0.25">
      <c r="A279" s="5">
        <v>2025</v>
      </c>
      <c r="B279" s="4">
        <v>1648710.8130000001</v>
      </c>
      <c r="C279" s="4">
        <v>3475904.0269999998</v>
      </c>
      <c r="D279" s="4">
        <v>4072968.2209999999</v>
      </c>
      <c r="E279" s="4"/>
      <c r="F279" s="4">
        <v>14507075</v>
      </c>
      <c r="G279" s="4">
        <v>36184905</v>
      </c>
      <c r="H279" s="4">
        <v>27967070</v>
      </c>
      <c r="I279" s="4"/>
      <c r="K279" s="48">
        <f t="shared" si="16"/>
        <v>8.7990415818301546</v>
      </c>
      <c r="L279" s="48">
        <f t="shared" si="17"/>
        <v>10.410214067743016</v>
      </c>
      <c r="M279" s="48">
        <f t="shared" si="18"/>
        <v>6.8665082766428984</v>
      </c>
      <c r="N279" s="48" t="e">
        <f t="shared" si="19"/>
        <v>#DIV/0!</v>
      </c>
    </row>
    <row r="280" spans="1:14" x14ac:dyDescent="0.25">
      <c r="A280" s="3" t="s">
        <v>119</v>
      </c>
      <c r="B280" s="4"/>
      <c r="C280" s="4"/>
      <c r="D280" s="4">
        <v>25578959.787</v>
      </c>
      <c r="E280" s="4"/>
      <c r="F280" s="4"/>
      <c r="G280" s="4"/>
      <c r="H280" s="4">
        <v>136457563.19</v>
      </c>
      <c r="I280" s="4"/>
      <c r="K280" s="48" t="e">
        <f t="shared" si="16"/>
        <v>#DIV/0!</v>
      </c>
      <c r="L280" s="48" t="e">
        <f t="shared" si="17"/>
        <v>#DIV/0!</v>
      </c>
      <c r="M280" s="48">
        <f t="shared" si="18"/>
        <v>5.3347581108185587</v>
      </c>
      <c r="N280" s="48" t="e">
        <f t="shared" si="19"/>
        <v>#DIV/0!</v>
      </c>
    </row>
    <row r="281" spans="1:14" x14ac:dyDescent="0.25">
      <c r="A281" s="5">
        <v>2010</v>
      </c>
      <c r="B281" s="4"/>
      <c r="C281" s="4"/>
      <c r="D281" s="4">
        <v>1730300</v>
      </c>
      <c r="E281" s="4"/>
      <c r="F281" s="4"/>
      <c r="G281" s="4"/>
      <c r="H281" s="4">
        <v>8325990.8720000004</v>
      </c>
      <c r="I281" s="4"/>
      <c r="K281" s="48" t="e">
        <f t="shared" si="16"/>
        <v>#DIV/0!</v>
      </c>
      <c r="L281" s="48" t="e">
        <f t="shared" si="17"/>
        <v>#DIV/0!</v>
      </c>
      <c r="M281" s="48">
        <f t="shared" si="18"/>
        <v>4.8118770571577185</v>
      </c>
      <c r="N281" s="48" t="e">
        <f t="shared" si="19"/>
        <v>#DIV/0!</v>
      </c>
    </row>
    <row r="282" spans="1:14" x14ac:dyDescent="0.25">
      <c r="A282" s="5">
        <v>2011</v>
      </c>
      <c r="B282" s="4"/>
      <c r="C282" s="4"/>
      <c r="D282" s="4">
        <v>1572500</v>
      </c>
      <c r="E282" s="4"/>
      <c r="F282" s="4"/>
      <c r="G282" s="4"/>
      <c r="H282" s="4">
        <v>8401794.4700000007</v>
      </c>
      <c r="I282" s="4"/>
      <c r="K282" s="48" t="e">
        <f t="shared" si="16"/>
        <v>#DIV/0!</v>
      </c>
      <c r="L282" s="48" t="e">
        <f t="shared" si="17"/>
        <v>#DIV/0!</v>
      </c>
      <c r="M282" s="48">
        <f t="shared" si="18"/>
        <v>5.3429535580286176</v>
      </c>
      <c r="N282" s="48" t="e">
        <f t="shared" si="19"/>
        <v>#DIV/0!</v>
      </c>
    </row>
    <row r="283" spans="1:14" x14ac:dyDescent="0.25">
      <c r="A283" s="5">
        <v>2012</v>
      </c>
      <c r="B283" s="4"/>
      <c r="C283" s="4"/>
      <c r="D283" s="4">
        <v>1428300</v>
      </c>
      <c r="E283" s="4"/>
      <c r="F283" s="4"/>
      <c r="G283" s="4"/>
      <c r="H283" s="4">
        <v>8198521.4129999997</v>
      </c>
      <c r="I283" s="4"/>
      <c r="K283" s="48" t="e">
        <f t="shared" si="16"/>
        <v>#DIV/0!</v>
      </c>
      <c r="L283" s="48" t="e">
        <f t="shared" si="17"/>
        <v>#DIV/0!</v>
      </c>
      <c r="M283" s="48">
        <f t="shared" si="18"/>
        <v>5.7400555996639362</v>
      </c>
      <c r="N283" s="48" t="e">
        <f t="shared" si="19"/>
        <v>#DIV/0!</v>
      </c>
    </row>
    <row r="284" spans="1:14" x14ac:dyDescent="0.25">
      <c r="A284" s="5">
        <v>2013</v>
      </c>
      <c r="B284" s="4"/>
      <c r="C284" s="4"/>
      <c r="D284" s="4">
        <v>1935267</v>
      </c>
      <c r="E284" s="4"/>
      <c r="F284" s="4"/>
      <c r="G284" s="4"/>
      <c r="H284" s="4">
        <v>11093106.878</v>
      </c>
      <c r="I284" s="4"/>
      <c r="K284" s="48" t="e">
        <f t="shared" si="16"/>
        <v>#DIV/0!</v>
      </c>
      <c r="L284" s="48" t="e">
        <f t="shared" si="17"/>
        <v>#DIV/0!</v>
      </c>
      <c r="M284" s="48">
        <f t="shared" si="18"/>
        <v>5.7320808332907038</v>
      </c>
      <c r="N284" s="48" t="e">
        <f t="shared" si="19"/>
        <v>#DIV/0!</v>
      </c>
    </row>
    <row r="285" spans="1:14" x14ac:dyDescent="0.25">
      <c r="A285" s="5">
        <v>2014</v>
      </c>
      <c r="B285" s="4"/>
      <c r="C285" s="4"/>
      <c r="D285" s="4">
        <v>1874566</v>
      </c>
      <c r="E285" s="4"/>
      <c r="F285" s="4"/>
      <c r="G285" s="4"/>
      <c r="H285" s="4">
        <v>10058667.163000001</v>
      </c>
      <c r="I285" s="4"/>
      <c r="K285" s="48" t="e">
        <f t="shared" si="16"/>
        <v>#DIV/0!</v>
      </c>
      <c r="L285" s="48" t="e">
        <f t="shared" si="17"/>
        <v>#DIV/0!</v>
      </c>
      <c r="M285" s="48">
        <f t="shared" si="18"/>
        <v>5.3658645057042538</v>
      </c>
      <c r="N285" s="48" t="e">
        <f t="shared" si="19"/>
        <v>#DIV/0!</v>
      </c>
    </row>
    <row r="286" spans="1:14" x14ac:dyDescent="0.25">
      <c r="A286" s="5">
        <v>2015</v>
      </c>
      <c r="B286" s="4"/>
      <c r="C286" s="4"/>
      <c r="D286" s="4">
        <v>1819350</v>
      </c>
      <c r="E286" s="4"/>
      <c r="F286" s="4"/>
      <c r="G286" s="4"/>
      <c r="H286" s="4">
        <v>7823547.557</v>
      </c>
      <c r="I286" s="4"/>
      <c r="K286" s="48" t="e">
        <f t="shared" si="16"/>
        <v>#DIV/0!</v>
      </c>
      <c r="L286" s="48" t="e">
        <f t="shared" si="17"/>
        <v>#DIV/0!</v>
      </c>
      <c r="M286" s="48">
        <f t="shared" si="18"/>
        <v>4.3001882853766453</v>
      </c>
      <c r="N286" s="48" t="e">
        <f t="shared" si="19"/>
        <v>#DIV/0!</v>
      </c>
    </row>
    <row r="287" spans="1:14" x14ac:dyDescent="0.25">
      <c r="A287" s="5">
        <v>2016</v>
      </c>
      <c r="B287" s="4"/>
      <c r="C287" s="4"/>
      <c r="D287" s="4">
        <v>1680720</v>
      </c>
      <c r="E287" s="4"/>
      <c r="F287" s="4"/>
      <c r="G287" s="4"/>
      <c r="H287" s="4">
        <v>7813996.5109999999</v>
      </c>
      <c r="I287" s="4"/>
      <c r="K287" s="48" t="e">
        <f t="shared" si="16"/>
        <v>#DIV/0!</v>
      </c>
      <c r="L287" s="48" t="e">
        <f t="shared" si="17"/>
        <v>#DIV/0!</v>
      </c>
      <c r="M287" s="48">
        <f t="shared" si="18"/>
        <v>4.6491958868818122</v>
      </c>
      <c r="N287" s="48" t="e">
        <f t="shared" si="19"/>
        <v>#DIV/0!</v>
      </c>
    </row>
    <row r="288" spans="1:14" x14ac:dyDescent="0.25">
      <c r="A288" s="5">
        <v>2017</v>
      </c>
      <c r="B288" s="4"/>
      <c r="C288" s="4"/>
      <c r="D288" s="4">
        <v>1670376.6329999999</v>
      </c>
      <c r="E288" s="4"/>
      <c r="F288" s="4"/>
      <c r="G288" s="4"/>
      <c r="H288" s="4">
        <v>8555391.2899999991</v>
      </c>
      <c r="I288" s="4"/>
      <c r="K288" s="48" t="e">
        <f t="shared" si="16"/>
        <v>#DIV/0!</v>
      </c>
      <c r="L288" s="48" t="e">
        <f t="shared" si="17"/>
        <v>#DIV/0!</v>
      </c>
      <c r="M288" s="48">
        <f t="shared" si="18"/>
        <v>5.1218336756989338</v>
      </c>
      <c r="N288" s="48" t="e">
        <f t="shared" si="19"/>
        <v>#DIV/0!</v>
      </c>
    </row>
    <row r="289" spans="1:14" x14ac:dyDescent="0.25">
      <c r="A289" s="5">
        <v>2018</v>
      </c>
      <c r="B289" s="4"/>
      <c r="C289" s="4"/>
      <c r="D289" s="4">
        <v>1937082</v>
      </c>
      <c r="E289" s="4"/>
      <c r="F289" s="4"/>
      <c r="G289" s="4"/>
      <c r="H289" s="4">
        <v>10830690.952</v>
      </c>
      <c r="I289" s="4"/>
      <c r="K289" s="48" t="e">
        <f t="shared" si="16"/>
        <v>#DIV/0!</v>
      </c>
      <c r="L289" s="48" t="e">
        <f t="shared" si="17"/>
        <v>#DIV/0!</v>
      </c>
      <c r="M289" s="48">
        <f t="shared" si="18"/>
        <v>5.5912403047470365</v>
      </c>
      <c r="N289" s="48" t="e">
        <f t="shared" si="19"/>
        <v>#DIV/0!</v>
      </c>
    </row>
    <row r="290" spans="1:14" x14ac:dyDescent="0.25">
      <c r="A290" s="5">
        <v>2019</v>
      </c>
      <c r="B290" s="4"/>
      <c r="C290" s="4"/>
      <c r="D290" s="4">
        <v>1758547</v>
      </c>
      <c r="E290" s="4"/>
      <c r="F290" s="4"/>
      <c r="G290" s="4"/>
      <c r="H290" s="4">
        <v>9097441.977</v>
      </c>
      <c r="I290" s="4"/>
      <c r="K290" s="48" t="e">
        <f t="shared" si="16"/>
        <v>#DIV/0!</v>
      </c>
      <c r="L290" s="48" t="e">
        <f t="shared" si="17"/>
        <v>#DIV/0!</v>
      </c>
      <c r="M290" s="48">
        <f t="shared" si="18"/>
        <v>5.1732720120645057</v>
      </c>
      <c r="N290" s="48" t="e">
        <f t="shared" si="19"/>
        <v>#DIV/0!</v>
      </c>
    </row>
    <row r="291" spans="1:14" x14ac:dyDescent="0.25">
      <c r="A291" s="5">
        <v>2020</v>
      </c>
      <c r="B291" s="4"/>
      <c r="C291" s="4"/>
      <c r="D291" s="4">
        <v>1734843</v>
      </c>
      <c r="E291" s="4"/>
      <c r="F291" s="4"/>
      <c r="G291" s="4"/>
      <c r="H291" s="4">
        <v>8524031.6980000008</v>
      </c>
      <c r="I291" s="4"/>
      <c r="K291" s="48" t="e">
        <f t="shared" si="16"/>
        <v>#DIV/0!</v>
      </c>
      <c r="L291" s="48" t="e">
        <f t="shared" si="17"/>
        <v>#DIV/0!</v>
      </c>
      <c r="M291" s="48">
        <f t="shared" si="18"/>
        <v>4.9134311854156261</v>
      </c>
      <c r="N291" s="48" t="e">
        <f t="shared" si="19"/>
        <v>#DIV/0!</v>
      </c>
    </row>
    <row r="292" spans="1:14" x14ac:dyDescent="0.25">
      <c r="A292" s="5">
        <v>2021</v>
      </c>
      <c r="B292" s="4"/>
      <c r="C292" s="4"/>
      <c r="D292" s="4">
        <v>1145384.1540000001</v>
      </c>
      <c r="E292" s="4"/>
      <c r="F292" s="4"/>
      <c r="G292" s="4"/>
      <c r="H292" s="4">
        <v>6302850.8289999999</v>
      </c>
      <c r="I292" s="4"/>
      <c r="K292" s="48" t="e">
        <f t="shared" si="16"/>
        <v>#DIV/0!</v>
      </c>
      <c r="L292" s="48" t="e">
        <f t="shared" si="17"/>
        <v>#DIV/0!</v>
      </c>
      <c r="M292" s="48">
        <f t="shared" si="18"/>
        <v>5.5028269834087471</v>
      </c>
      <c r="N292" s="48" t="e">
        <f t="shared" si="19"/>
        <v>#DIV/0!</v>
      </c>
    </row>
    <row r="293" spans="1:14" x14ac:dyDescent="0.25">
      <c r="A293" s="5">
        <v>2022</v>
      </c>
      <c r="B293" s="4"/>
      <c r="C293" s="4"/>
      <c r="D293" s="4">
        <v>1659321</v>
      </c>
      <c r="E293" s="4"/>
      <c r="F293" s="4"/>
      <c r="G293" s="4"/>
      <c r="H293" s="4">
        <v>8775616.5260000005</v>
      </c>
      <c r="I293" s="4"/>
      <c r="K293" s="48" t="e">
        <f t="shared" si="16"/>
        <v>#DIV/0!</v>
      </c>
      <c r="L293" s="48" t="e">
        <f t="shared" si="17"/>
        <v>#DIV/0!</v>
      </c>
      <c r="M293" s="48">
        <f t="shared" si="18"/>
        <v>5.2886792404845115</v>
      </c>
      <c r="N293" s="48" t="e">
        <f t="shared" si="19"/>
        <v>#DIV/0!</v>
      </c>
    </row>
    <row r="294" spans="1:14" x14ac:dyDescent="0.25">
      <c r="A294" s="5">
        <v>2023</v>
      </c>
      <c r="B294" s="4"/>
      <c r="C294" s="4"/>
      <c r="D294" s="4">
        <v>1685571</v>
      </c>
      <c r="E294" s="4"/>
      <c r="F294" s="4"/>
      <c r="G294" s="4"/>
      <c r="H294" s="4">
        <v>10333528.291999999</v>
      </c>
      <c r="I294" s="4"/>
      <c r="K294" s="48" t="e">
        <f t="shared" si="16"/>
        <v>#DIV/0!</v>
      </c>
      <c r="L294" s="48" t="e">
        <f t="shared" si="17"/>
        <v>#DIV/0!</v>
      </c>
      <c r="M294" s="48">
        <f t="shared" si="18"/>
        <v>6.1305802555929114</v>
      </c>
      <c r="N294" s="48" t="e">
        <f t="shared" si="19"/>
        <v>#DIV/0!</v>
      </c>
    </row>
    <row r="295" spans="1:14" x14ac:dyDescent="0.25">
      <c r="A295" s="5">
        <v>2024</v>
      </c>
      <c r="B295" s="4"/>
      <c r="C295" s="4"/>
      <c r="D295" s="4">
        <v>1946832</v>
      </c>
      <c r="E295" s="4"/>
      <c r="F295" s="4"/>
      <c r="G295" s="4"/>
      <c r="H295" s="4">
        <v>12322386.762</v>
      </c>
      <c r="I295" s="4"/>
      <c r="K295" s="48" t="e">
        <f t="shared" si="16"/>
        <v>#DIV/0!</v>
      </c>
      <c r="L295" s="48" t="e">
        <f t="shared" si="17"/>
        <v>#DIV/0!</v>
      </c>
      <c r="M295" s="48">
        <f t="shared" si="18"/>
        <v>6.3294556294533892</v>
      </c>
      <c r="N295" s="48" t="e">
        <f t="shared" si="19"/>
        <v>#DIV/0!</v>
      </c>
    </row>
    <row r="296" spans="1:14" x14ac:dyDescent="0.25">
      <c r="A296" s="3" t="s">
        <v>15</v>
      </c>
      <c r="B296" s="4"/>
      <c r="C296" s="4"/>
      <c r="D296" s="4">
        <v>98961323.111000001</v>
      </c>
      <c r="E296" s="4">
        <v>8728276.1860000007</v>
      </c>
      <c r="F296" s="4"/>
      <c r="G296" s="4"/>
      <c r="H296" s="4">
        <v>591269040.87899995</v>
      </c>
      <c r="I296" s="4">
        <v>47094939</v>
      </c>
      <c r="K296" s="48" t="e">
        <f t="shared" si="16"/>
        <v>#DIV/0!</v>
      </c>
      <c r="L296" s="48" t="e">
        <f t="shared" si="17"/>
        <v>#DIV/0!</v>
      </c>
      <c r="M296" s="48">
        <f t="shared" si="18"/>
        <v>5.9747487431610313</v>
      </c>
      <c r="N296" s="48">
        <f t="shared" si="19"/>
        <v>5.3956747009838484</v>
      </c>
    </row>
    <row r="297" spans="1:14" x14ac:dyDescent="0.25">
      <c r="A297" s="5">
        <v>2010</v>
      </c>
      <c r="B297" s="4"/>
      <c r="C297" s="4"/>
      <c r="D297" s="4">
        <v>1653300</v>
      </c>
      <c r="E297" s="4"/>
      <c r="F297" s="4"/>
      <c r="G297" s="4"/>
      <c r="H297" s="4">
        <v>12313097.976</v>
      </c>
      <c r="I297" s="4"/>
      <c r="K297" s="48" t="e">
        <f t="shared" si="16"/>
        <v>#DIV/0!</v>
      </c>
      <c r="L297" s="48" t="e">
        <f t="shared" si="17"/>
        <v>#DIV/0!</v>
      </c>
      <c r="M297" s="48">
        <f t="shared" si="18"/>
        <v>7.4475884449283249</v>
      </c>
      <c r="N297" s="48" t="e">
        <f t="shared" si="19"/>
        <v>#DIV/0!</v>
      </c>
    </row>
    <row r="298" spans="1:14" x14ac:dyDescent="0.25">
      <c r="A298" s="5">
        <v>2011</v>
      </c>
      <c r="B298" s="4"/>
      <c r="C298" s="4"/>
      <c r="D298" s="4">
        <v>2514100</v>
      </c>
      <c r="E298" s="4"/>
      <c r="F298" s="4"/>
      <c r="G298" s="4"/>
      <c r="H298" s="4">
        <v>17223711.723999999</v>
      </c>
      <c r="I298" s="4"/>
      <c r="K298" s="48" t="e">
        <f t="shared" si="16"/>
        <v>#DIV/0!</v>
      </c>
      <c r="L298" s="48" t="e">
        <f t="shared" si="17"/>
        <v>#DIV/0!</v>
      </c>
      <c r="M298" s="48">
        <f t="shared" si="18"/>
        <v>6.8508459186189885</v>
      </c>
      <c r="N298" s="48" t="e">
        <f t="shared" si="19"/>
        <v>#DIV/0!</v>
      </c>
    </row>
    <row r="299" spans="1:14" x14ac:dyDescent="0.25">
      <c r="A299" s="5">
        <v>2012</v>
      </c>
      <c r="B299" s="4"/>
      <c r="C299" s="4"/>
      <c r="D299" s="4">
        <v>2480300</v>
      </c>
      <c r="E299" s="4"/>
      <c r="F299" s="4"/>
      <c r="G299" s="4"/>
      <c r="H299" s="4">
        <v>21137019.179000001</v>
      </c>
      <c r="I299" s="4"/>
      <c r="K299" s="48" t="e">
        <f t="shared" si="16"/>
        <v>#DIV/0!</v>
      </c>
      <c r="L299" s="48" t="e">
        <f t="shared" si="17"/>
        <v>#DIV/0!</v>
      </c>
      <c r="M299" s="48">
        <f t="shared" si="18"/>
        <v>8.5219607220900695</v>
      </c>
      <c r="N299" s="48" t="e">
        <f t="shared" si="19"/>
        <v>#DIV/0!</v>
      </c>
    </row>
    <row r="300" spans="1:14" x14ac:dyDescent="0.25">
      <c r="A300" s="5">
        <v>2013</v>
      </c>
      <c r="B300" s="4"/>
      <c r="C300" s="4"/>
      <c r="D300" s="4">
        <v>3189529</v>
      </c>
      <c r="E300" s="4"/>
      <c r="F300" s="4"/>
      <c r="G300" s="4"/>
      <c r="H300" s="4">
        <v>21629699</v>
      </c>
      <c r="I300" s="4"/>
      <c r="K300" s="48" t="e">
        <f t="shared" si="16"/>
        <v>#DIV/0!</v>
      </c>
      <c r="L300" s="48" t="e">
        <f t="shared" si="17"/>
        <v>#DIV/0!</v>
      </c>
      <c r="M300" s="48">
        <f t="shared" si="18"/>
        <v>6.7814711827357579</v>
      </c>
      <c r="N300" s="48" t="e">
        <f t="shared" si="19"/>
        <v>#DIV/0!</v>
      </c>
    </row>
    <row r="301" spans="1:14" x14ac:dyDescent="0.25">
      <c r="A301" s="5">
        <v>2014</v>
      </c>
      <c r="B301" s="4"/>
      <c r="C301" s="4"/>
      <c r="D301" s="4">
        <v>5534204</v>
      </c>
      <c r="E301" s="4"/>
      <c r="F301" s="4"/>
      <c r="G301" s="4"/>
      <c r="H301" s="4">
        <v>30026251</v>
      </c>
      <c r="I301" s="4"/>
      <c r="K301" s="48" t="e">
        <f t="shared" si="16"/>
        <v>#DIV/0!</v>
      </c>
      <c r="L301" s="48" t="e">
        <f t="shared" si="17"/>
        <v>#DIV/0!</v>
      </c>
      <c r="M301" s="48">
        <f t="shared" si="18"/>
        <v>5.4255771923116676</v>
      </c>
      <c r="N301" s="48" t="e">
        <f t="shared" si="19"/>
        <v>#DIV/0!</v>
      </c>
    </row>
    <row r="302" spans="1:14" x14ac:dyDescent="0.25">
      <c r="A302" s="5">
        <v>2015</v>
      </c>
      <c r="B302" s="4"/>
      <c r="C302" s="4"/>
      <c r="D302" s="4">
        <v>5262253</v>
      </c>
      <c r="E302" s="4">
        <v>2499836</v>
      </c>
      <c r="F302" s="4"/>
      <c r="G302" s="4"/>
      <c r="H302" s="4">
        <v>25748389</v>
      </c>
      <c r="I302" s="4">
        <v>8077285</v>
      </c>
      <c r="K302" s="48" t="e">
        <f t="shared" si="16"/>
        <v>#DIV/0!</v>
      </c>
      <c r="L302" s="48" t="e">
        <f t="shared" si="17"/>
        <v>#DIV/0!</v>
      </c>
      <c r="M302" s="48">
        <f t="shared" si="18"/>
        <v>4.8930351695366987</v>
      </c>
      <c r="N302" s="48">
        <f t="shared" si="19"/>
        <v>3.2311259618630981</v>
      </c>
    </row>
    <row r="303" spans="1:14" x14ac:dyDescent="0.25">
      <c r="A303" s="5">
        <v>2016</v>
      </c>
      <c r="B303" s="4"/>
      <c r="C303" s="4"/>
      <c r="D303" s="4">
        <v>5397815</v>
      </c>
      <c r="E303" s="4">
        <v>1675307</v>
      </c>
      <c r="F303" s="4"/>
      <c r="G303" s="4"/>
      <c r="H303" s="4">
        <v>27636379</v>
      </c>
      <c r="I303" s="4">
        <v>7817642</v>
      </c>
      <c r="K303" s="48" t="e">
        <f t="shared" si="16"/>
        <v>#DIV/0!</v>
      </c>
      <c r="L303" s="48" t="e">
        <f t="shared" si="17"/>
        <v>#DIV/0!</v>
      </c>
      <c r="M303" s="48">
        <f t="shared" si="18"/>
        <v>5.1199196341482622</v>
      </c>
      <c r="N303" s="48">
        <f t="shared" si="19"/>
        <v>4.6663936818744265</v>
      </c>
    </row>
    <row r="304" spans="1:14" x14ac:dyDescent="0.25">
      <c r="A304" s="5">
        <v>2017</v>
      </c>
      <c r="B304" s="4"/>
      <c r="C304" s="4"/>
      <c r="D304" s="4">
        <v>5914270.4800000004</v>
      </c>
      <c r="E304" s="4"/>
      <c r="F304" s="4"/>
      <c r="G304" s="4"/>
      <c r="H304" s="4">
        <v>33259299</v>
      </c>
      <c r="I304" s="4"/>
      <c r="K304" s="48" t="e">
        <f t="shared" si="16"/>
        <v>#DIV/0!</v>
      </c>
      <c r="L304" s="48" t="e">
        <f t="shared" si="17"/>
        <v>#DIV/0!</v>
      </c>
      <c r="M304" s="48">
        <f t="shared" si="18"/>
        <v>5.6235674564549161</v>
      </c>
      <c r="N304" s="48" t="e">
        <f t="shared" si="19"/>
        <v>#DIV/0!</v>
      </c>
    </row>
    <row r="305" spans="1:14" x14ac:dyDescent="0.25">
      <c r="A305" s="5">
        <v>2018</v>
      </c>
      <c r="B305" s="4"/>
      <c r="C305" s="4"/>
      <c r="D305" s="4">
        <v>7526146.2580000004</v>
      </c>
      <c r="E305" s="4"/>
      <c r="F305" s="4"/>
      <c r="G305" s="4"/>
      <c r="H305" s="4">
        <v>44668604</v>
      </c>
      <c r="I305" s="4"/>
      <c r="K305" s="48" t="e">
        <f t="shared" si="16"/>
        <v>#DIV/0!</v>
      </c>
      <c r="L305" s="48" t="e">
        <f t="shared" si="17"/>
        <v>#DIV/0!</v>
      </c>
      <c r="M305" s="48">
        <f t="shared" si="18"/>
        <v>5.935123032258244</v>
      </c>
      <c r="N305" s="48" t="e">
        <f t="shared" si="19"/>
        <v>#DIV/0!</v>
      </c>
    </row>
    <row r="306" spans="1:14" x14ac:dyDescent="0.25">
      <c r="A306" s="5">
        <v>2019</v>
      </c>
      <c r="B306" s="4"/>
      <c r="C306" s="4"/>
      <c r="D306" s="4">
        <v>7951088.3550000004</v>
      </c>
      <c r="E306" s="4"/>
      <c r="F306" s="4"/>
      <c r="G306" s="4"/>
      <c r="H306" s="4">
        <v>44335220</v>
      </c>
      <c r="I306" s="4"/>
      <c r="K306" s="48" t="e">
        <f t="shared" si="16"/>
        <v>#DIV/0!</v>
      </c>
      <c r="L306" s="48" t="e">
        <f t="shared" si="17"/>
        <v>#DIV/0!</v>
      </c>
      <c r="M306" s="48">
        <f t="shared" si="18"/>
        <v>5.5759938791423478</v>
      </c>
      <c r="N306" s="48" t="e">
        <f t="shared" si="19"/>
        <v>#DIV/0!</v>
      </c>
    </row>
    <row r="307" spans="1:14" x14ac:dyDescent="0.25">
      <c r="A307" s="5">
        <v>2020</v>
      </c>
      <c r="B307" s="4"/>
      <c r="C307" s="4"/>
      <c r="D307" s="4">
        <v>8110143.9060000004</v>
      </c>
      <c r="E307" s="4"/>
      <c r="F307" s="4"/>
      <c r="G307" s="4"/>
      <c r="H307" s="4">
        <v>44022043</v>
      </c>
      <c r="I307" s="4"/>
      <c r="K307" s="48" t="e">
        <f t="shared" si="16"/>
        <v>#DIV/0!</v>
      </c>
      <c r="L307" s="48" t="e">
        <f t="shared" si="17"/>
        <v>#DIV/0!</v>
      </c>
      <c r="M307" s="48">
        <f t="shared" si="18"/>
        <v>5.4280224260178498</v>
      </c>
      <c r="N307" s="48" t="e">
        <f t="shared" si="19"/>
        <v>#DIV/0!</v>
      </c>
    </row>
    <row r="308" spans="1:14" x14ac:dyDescent="0.25">
      <c r="A308" s="5">
        <v>2021</v>
      </c>
      <c r="B308" s="4"/>
      <c r="C308" s="4"/>
      <c r="D308" s="4">
        <v>7801123.2920000004</v>
      </c>
      <c r="E308" s="4"/>
      <c r="F308" s="4"/>
      <c r="G308" s="4"/>
      <c r="H308" s="4">
        <v>45950571</v>
      </c>
      <c r="I308" s="4"/>
      <c r="K308" s="48" t="e">
        <f t="shared" si="16"/>
        <v>#DIV/0!</v>
      </c>
      <c r="L308" s="48" t="e">
        <f t="shared" si="17"/>
        <v>#DIV/0!</v>
      </c>
      <c r="M308" s="48">
        <f t="shared" si="18"/>
        <v>5.8902505805954899</v>
      </c>
      <c r="N308" s="48" t="e">
        <f t="shared" si="19"/>
        <v>#DIV/0!</v>
      </c>
    </row>
    <row r="309" spans="1:14" x14ac:dyDescent="0.25">
      <c r="A309" s="5">
        <v>2022</v>
      </c>
      <c r="B309" s="4"/>
      <c r="C309" s="4"/>
      <c r="D309" s="4">
        <v>7968859.9460000005</v>
      </c>
      <c r="E309" s="4"/>
      <c r="F309" s="4"/>
      <c r="G309" s="4"/>
      <c r="H309" s="4">
        <v>46518373</v>
      </c>
      <c r="I309" s="4"/>
      <c r="K309" s="48" t="e">
        <f t="shared" si="16"/>
        <v>#DIV/0!</v>
      </c>
      <c r="L309" s="48" t="e">
        <f t="shared" si="17"/>
        <v>#DIV/0!</v>
      </c>
      <c r="M309" s="48">
        <f t="shared" si="18"/>
        <v>5.8375192079200833</v>
      </c>
      <c r="N309" s="48" t="e">
        <f t="shared" si="19"/>
        <v>#DIV/0!</v>
      </c>
    </row>
    <row r="310" spans="1:14" x14ac:dyDescent="0.25">
      <c r="A310" s="5">
        <v>2023</v>
      </c>
      <c r="B310" s="4"/>
      <c r="C310" s="4"/>
      <c r="D310" s="4">
        <v>8216027.2769999998</v>
      </c>
      <c r="E310" s="4">
        <v>2264214.608</v>
      </c>
      <c r="F310" s="4"/>
      <c r="G310" s="4"/>
      <c r="H310" s="4">
        <v>53391564</v>
      </c>
      <c r="I310" s="4">
        <v>14329219</v>
      </c>
      <c r="K310" s="48" t="e">
        <f t="shared" si="16"/>
        <v>#DIV/0!</v>
      </c>
      <c r="L310" s="48" t="e">
        <f t="shared" si="17"/>
        <v>#DIV/0!</v>
      </c>
      <c r="M310" s="48">
        <f t="shared" si="18"/>
        <v>6.4984647932541186</v>
      </c>
      <c r="N310" s="48">
        <f t="shared" si="19"/>
        <v>6.3285604418289312</v>
      </c>
    </row>
    <row r="311" spans="1:14" x14ac:dyDescent="0.25">
      <c r="A311" s="5">
        <v>2024</v>
      </c>
      <c r="B311" s="4"/>
      <c r="C311" s="4"/>
      <c r="D311" s="4">
        <v>9393754.0209999997</v>
      </c>
      <c r="E311" s="4"/>
      <c r="F311" s="4"/>
      <c r="G311" s="4"/>
      <c r="H311" s="4">
        <v>59206094</v>
      </c>
      <c r="I311" s="4"/>
      <c r="K311" s="48" t="e">
        <f t="shared" si="16"/>
        <v>#DIV/0!</v>
      </c>
      <c r="L311" s="48" t="e">
        <f t="shared" si="17"/>
        <v>#DIV/0!</v>
      </c>
      <c r="M311" s="48">
        <f t="shared" si="18"/>
        <v>6.3027085729137813</v>
      </c>
      <c r="N311" s="48" t="e">
        <f t="shared" si="19"/>
        <v>#DIV/0!</v>
      </c>
    </row>
    <row r="312" spans="1:14" x14ac:dyDescent="0.25">
      <c r="A312" s="5">
        <v>2025</v>
      </c>
      <c r="B312" s="4"/>
      <c r="C312" s="4"/>
      <c r="D312" s="4">
        <v>10048408.575999999</v>
      </c>
      <c r="E312" s="4">
        <v>2288918.5780000002</v>
      </c>
      <c r="F312" s="4"/>
      <c r="G312" s="4"/>
      <c r="H312" s="4">
        <v>64202726</v>
      </c>
      <c r="I312" s="4">
        <v>16870793</v>
      </c>
      <c r="K312" s="48" t="e">
        <f t="shared" si="16"/>
        <v>#DIV/0!</v>
      </c>
      <c r="L312" s="48" t="e">
        <f t="shared" si="17"/>
        <v>#DIV/0!</v>
      </c>
      <c r="M312" s="48">
        <f t="shared" si="18"/>
        <v>6.3893427018228763</v>
      </c>
      <c r="N312" s="48">
        <f t="shared" si="19"/>
        <v>7.3706392014788387</v>
      </c>
    </row>
    <row r="313" spans="1:14" x14ac:dyDescent="0.25">
      <c r="A313" s="3" t="s">
        <v>93</v>
      </c>
      <c r="B313" s="4">
        <v>6514130</v>
      </c>
      <c r="C313" s="4"/>
      <c r="D313" s="4"/>
      <c r="E313" s="4"/>
      <c r="F313" s="4">
        <v>6815641.5949999997</v>
      </c>
      <c r="G313" s="4"/>
      <c r="H313" s="4"/>
      <c r="I313" s="4"/>
      <c r="K313" s="48">
        <f t="shared" si="16"/>
        <v>1.0462857810636264</v>
      </c>
      <c r="L313" s="48" t="e">
        <f t="shared" si="17"/>
        <v>#DIV/0!</v>
      </c>
      <c r="M313" s="48" t="e">
        <f t="shared" si="18"/>
        <v>#DIV/0!</v>
      </c>
      <c r="N313" s="48" t="e">
        <f t="shared" si="19"/>
        <v>#DIV/0!</v>
      </c>
    </row>
    <row r="314" spans="1:14" x14ac:dyDescent="0.25">
      <c r="A314" s="5">
        <v>2015</v>
      </c>
      <c r="B314" s="4">
        <v>6514130</v>
      </c>
      <c r="C314" s="4"/>
      <c r="D314" s="4"/>
      <c r="E314" s="4"/>
      <c r="F314" s="4">
        <v>6815641.5949999997</v>
      </c>
      <c r="G314" s="4"/>
      <c r="H314" s="4"/>
      <c r="I314" s="4"/>
      <c r="K314" s="48">
        <f t="shared" si="16"/>
        <v>1.0462857810636264</v>
      </c>
      <c r="L314" s="48" t="e">
        <f t="shared" si="17"/>
        <v>#DIV/0!</v>
      </c>
      <c r="M314" s="48" t="e">
        <f t="shared" si="18"/>
        <v>#DIV/0!</v>
      </c>
      <c r="N314" s="48" t="e">
        <f t="shared" si="19"/>
        <v>#DIV/0!</v>
      </c>
    </row>
    <row r="315" spans="1:14" x14ac:dyDescent="0.25">
      <c r="A315" s="3" t="s">
        <v>77</v>
      </c>
      <c r="B315" s="4">
        <v>914615</v>
      </c>
      <c r="C315" s="4">
        <v>1279561</v>
      </c>
      <c r="D315" s="4">
        <v>120453514.973</v>
      </c>
      <c r="E315" s="4"/>
      <c r="F315" s="4">
        <v>10839998.047</v>
      </c>
      <c r="G315" s="4">
        <v>6189403.1359999999</v>
      </c>
      <c r="H315" s="4">
        <v>611958020.45599997</v>
      </c>
      <c r="I315" s="4"/>
      <c r="K315" s="48">
        <f t="shared" si="16"/>
        <v>11.85197929948667</v>
      </c>
      <c r="L315" s="48">
        <f t="shared" si="17"/>
        <v>4.8371301844929624</v>
      </c>
      <c r="M315" s="48">
        <f t="shared" si="18"/>
        <v>5.0804496705071003</v>
      </c>
      <c r="N315" s="48" t="e">
        <f t="shared" si="19"/>
        <v>#DIV/0!</v>
      </c>
    </row>
    <row r="316" spans="1:14" x14ac:dyDescent="0.25">
      <c r="A316" s="5">
        <v>2010</v>
      </c>
      <c r="B316" s="4"/>
      <c r="C316" s="4"/>
      <c r="D316" s="4">
        <v>7443200</v>
      </c>
      <c r="E316" s="4"/>
      <c r="F316" s="4"/>
      <c r="G316" s="4"/>
      <c r="H316" s="4">
        <v>30740638.131999999</v>
      </c>
      <c r="I316" s="4"/>
      <c r="K316" s="48" t="e">
        <f t="shared" si="16"/>
        <v>#DIV/0!</v>
      </c>
      <c r="L316" s="48" t="e">
        <f t="shared" si="17"/>
        <v>#DIV/0!</v>
      </c>
      <c r="M316" s="48">
        <f t="shared" si="18"/>
        <v>4.1300298436156488</v>
      </c>
      <c r="N316" s="48" t="e">
        <f t="shared" si="19"/>
        <v>#DIV/0!</v>
      </c>
    </row>
    <row r="317" spans="1:14" x14ac:dyDescent="0.25">
      <c r="A317" s="5">
        <v>2011</v>
      </c>
      <c r="B317" s="4"/>
      <c r="C317" s="4"/>
      <c r="D317" s="4">
        <v>7992600</v>
      </c>
      <c r="E317" s="4"/>
      <c r="F317" s="4"/>
      <c r="G317" s="4"/>
      <c r="H317" s="4">
        <v>37470847.898000002</v>
      </c>
      <c r="I317" s="4"/>
      <c r="K317" s="48" t="e">
        <f t="shared" si="16"/>
        <v>#DIV/0!</v>
      </c>
      <c r="L317" s="48" t="e">
        <f t="shared" si="17"/>
        <v>#DIV/0!</v>
      </c>
      <c r="M317" s="48">
        <f t="shared" si="18"/>
        <v>4.6881925653729706</v>
      </c>
      <c r="N317" s="48" t="e">
        <f t="shared" si="19"/>
        <v>#DIV/0!</v>
      </c>
    </row>
    <row r="318" spans="1:14" x14ac:dyDescent="0.25">
      <c r="A318" s="5">
        <v>2012</v>
      </c>
      <c r="B318" s="4"/>
      <c r="C318" s="4"/>
      <c r="D318" s="4">
        <v>6532600</v>
      </c>
      <c r="E318" s="4"/>
      <c r="F318" s="4"/>
      <c r="G318" s="4"/>
      <c r="H318" s="4">
        <v>36058691.138999999</v>
      </c>
      <c r="I318" s="4"/>
      <c r="K318" s="48" t="e">
        <f t="shared" si="16"/>
        <v>#DIV/0!</v>
      </c>
      <c r="L318" s="48" t="e">
        <f t="shared" si="17"/>
        <v>#DIV/0!</v>
      </c>
      <c r="M318" s="48">
        <f t="shared" si="18"/>
        <v>5.5198069894069741</v>
      </c>
      <c r="N318" s="48" t="e">
        <f t="shared" si="19"/>
        <v>#DIV/0!</v>
      </c>
    </row>
    <row r="319" spans="1:14" x14ac:dyDescent="0.25">
      <c r="A319" s="5">
        <v>2013</v>
      </c>
      <c r="B319" s="4"/>
      <c r="C319" s="4"/>
      <c r="D319" s="4">
        <v>9833200</v>
      </c>
      <c r="E319" s="4"/>
      <c r="F319" s="4"/>
      <c r="G319" s="4"/>
      <c r="H319" s="4">
        <v>60741789.509000003</v>
      </c>
      <c r="I319" s="4"/>
      <c r="K319" s="48" t="e">
        <f t="shared" si="16"/>
        <v>#DIV/0!</v>
      </c>
      <c r="L319" s="48" t="e">
        <f t="shared" si="17"/>
        <v>#DIV/0!</v>
      </c>
      <c r="M319" s="48">
        <f t="shared" si="18"/>
        <v>6.1772148953545134</v>
      </c>
      <c r="N319" s="48" t="e">
        <f t="shared" si="19"/>
        <v>#DIV/0!</v>
      </c>
    </row>
    <row r="320" spans="1:14" x14ac:dyDescent="0.25">
      <c r="A320" s="5">
        <v>2014</v>
      </c>
      <c r="B320" s="4"/>
      <c r="C320" s="4"/>
      <c r="D320" s="4">
        <v>8195052</v>
      </c>
      <c r="E320" s="4"/>
      <c r="F320" s="4"/>
      <c r="G320" s="4"/>
      <c r="H320" s="4">
        <v>43749404.627999999</v>
      </c>
      <c r="I320" s="4"/>
      <c r="K320" s="48" t="e">
        <f t="shared" si="16"/>
        <v>#DIV/0!</v>
      </c>
      <c r="L320" s="48" t="e">
        <f t="shared" si="17"/>
        <v>#DIV/0!</v>
      </c>
      <c r="M320" s="48">
        <f t="shared" si="18"/>
        <v>5.3385145851423514</v>
      </c>
      <c r="N320" s="48" t="e">
        <f t="shared" si="19"/>
        <v>#DIV/0!</v>
      </c>
    </row>
    <row r="321" spans="1:14" x14ac:dyDescent="0.25">
      <c r="A321" s="5">
        <v>2015</v>
      </c>
      <c r="B321" s="4"/>
      <c r="C321" s="4"/>
      <c r="D321" s="4">
        <v>6966819</v>
      </c>
      <c r="E321" s="4"/>
      <c r="F321" s="4"/>
      <c r="G321" s="4"/>
      <c r="H321" s="4">
        <v>31856670.324000001</v>
      </c>
      <c r="I321" s="4"/>
      <c r="K321" s="48" t="e">
        <f t="shared" si="16"/>
        <v>#DIV/0!</v>
      </c>
      <c r="L321" s="48" t="e">
        <f t="shared" si="17"/>
        <v>#DIV/0!</v>
      </c>
      <c r="M321" s="48">
        <f t="shared" si="18"/>
        <v>4.5726278124923301</v>
      </c>
      <c r="N321" s="48" t="e">
        <f t="shared" si="19"/>
        <v>#DIV/0!</v>
      </c>
    </row>
    <row r="322" spans="1:14" x14ac:dyDescent="0.25">
      <c r="A322" s="5">
        <v>2016</v>
      </c>
      <c r="B322" s="4"/>
      <c r="C322" s="4"/>
      <c r="D322" s="4">
        <v>8184941</v>
      </c>
      <c r="E322" s="4"/>
      <c r="F322" s="4"/>
      <c r="G322" s="4"/>
      <c r="H322" s="4">
        <v>36697191.604999997</v>
      </c>
      <c r="I322" s="4"/>
      <c r="K322" s="48" t="e">
        <f t="shared" si="16"/>
        <v>#DIV/0!</v>
      </c>
      <c r="L322" s="48" t="e">
        <f t="shared" si="17"/>
        <v>#DIV/0!</v>
      </c>
      <c r="M322" s="48">
        <f t="shared" si="18"/>
        <v>4.4835010545586087</v>
      </c>
      <c r="N322" s="48" t="e">
        <f t="shared" si="19"/>
        <v>#DIV/0!</v>
      </c>
    </row>
    <row r="323" spans="1:14" x14ac:dyDescent="0.25">
      <c r="A323" s="5">
        <v>2017</v>
      </c>
      <c r="B323" s="4"/>
      <c r="C323" s="4"/>
      <c r="D323" s="4">
        <v>8455385</v>
      </c>
      <c r="E323" s="4"/>
      <c r="F323" s="4"/>
      <c r="G323" s="4"/>
      <c r="H323" s="4">
        <v>41109135.612999998</v>
      </c>
      <c r="I323" s="4"/>
      <c r="K323" s="48" t="e">
        <f t="shared" si="16"/>
        <v>#DIV/0!</v>
      </c>
      <c r="L323" s="48" t="e">
        <f t="shared" si="17"/>
        <v>#DIV/0!</v>
      </c>
      <c r="M323" s="48">
        <f t="shared" si="18"/>
        <v>4.8618880882419901</v>
      </c>
      <c r="N323" s="48" t="e">
        <f t="shared" si="19"/>
        <v>#DIV/0!</v>
      </c>
    </row>
    <row r="324" spans="1:14" x14ac:dyDescent="0.25">
      <c r="A324" s="5">
        <v>2018</v>
      </c>
      <c r="B324" s="4"/>
      <c r="C324" s="4"/>
      <c r="D324" s="4">
        <v>7307138</v>
      </c>
      <c r="E324" s="4"/>
      <c r="F324" s="4"/>
      <c r="G324" s="4"/>
      <c r="H324" s="4">
        <v>39450383.762000002</v>
      </c>
      <c r="I324" s="4"/>
      <c r="K324" s="48" t="e">
        <f t="shared" si="16"/>
        <v>#DIV/0!</v>
      </c>
      <c r="L324" s="48" t="e">
        <f t="shared" si="17"/>
        <v>#DIV/0!</v>
      </c>
      <c r="M324" s="48">
        <f t="shared" si="18"/>
        <v>5.3988830869213089</v>
      </c>
      <c r="N324" s="48" t="e">
        <f t="shared" si="19"/>
        <v>#DIV/0!</v>
      </c>
    </row>
    <row r="325" spans="1:14" x14ac:dyDescent="0.25">
      <c r="A325" s="5">
        <v>2019</v>
      </c>
      <c r="B325" s="4"/>
      <c r="C325" s="4"/>
      <c r="D325" s="4">
        <v>6981782</v>
      </c>
      <c r="E325" s="4"/>
      <c r="F325" s="4"/>
      <c r="G325" s="4"/>
      <c r="H325" s="4">
        <v>33631458.539999999</v>
      </c>
      <c r="I325" s="4"/>
      <c r="K325" s="48" t="e">
        <f t="shared" si="16"/>
        <v>#DIV/0!</v>
      </c>
      <c r="L325" s="48" t="e">
        <f t="shared" si="17"/>
        <v>#DIV/0!</v>
      </c>
      <c r="M325" s="48">
        <f t="shared" si="18"/>
        <v>4.817030743727031</v>
      </c>
      <c r="N325" s="48" t="e">
        <f t="shared" si="19"/>
        <v>#DIV/0!</v>
      </c>
    </row>
    <row r="326" spans="1:14" x14ac:dyDescent="0.25">
      <c r="A326" s="5">
        <v>2020</v>
      </c>
      <c r="B326" s="4"/>
      <c r="C326" s="4"/>
      <c r="D326" s="4">
        <v>6917453</v>
      </c>
      <c r="E326" s="4"/>
      <c r="F326" s="4"/>
      <c r="G326" s="4"/>
      <c r="H326" s="4">
        <v>32673642.513</v>
      </c>
      <c r="I326" s="4"/>
      <c r="K326" s="48" t="e">
        <f t="shared" si="16"/>
        <v>#DIV/0!</v>
      </c>
      <c r="L326" s="48" t="e">
        <f t="shared" si="17"/>
        <v>#DIV/0!</v>
      </c>
      <c r="M326" s="48">
        <f t="shared" si="18"/>
        <v>4.7233631385713792</v>
      </c>
      <c r="N326" s="48" t="e">
        <f t="shared" si="19"/>
        <v>#DIV/0!</v>
      </c>
    </row>
    <row r="327" spans="1:14" x14ac:dyDescent="0.25">
      <c r="A327" s="5">
        <v>2021</v>
      </c>
      <c r="B327" s="4"/>
      <c r="C327" s="4"/>
      <c r="D327" s="4">
        <v>6437934</v>
      </c>
      <c r="E327" s="4"/>
      <c r="F327" s="4"/>
      <c r="G327" s="4"/>
      <c r="H327" s="4">
        <v>32120950.679000001</v>
      </c>
      <c r="I327" s="4"/>
      <c r="K327" s="48" t="e">
        <f t="shared" ref="K327:K390" si="20">F327/B327</f>
        <v>#DIV/0!</v>
      </c>
      <c r="L327" s="48" t="e">
        <f t="shared" ref="L327:L390" si="21">G327/C327</f>
        <v>#DIV/0!</v>
      </c>
      <c r="M327" s="48">
        <f t="shared" ref="M327:M390" si="22">H327/D327</f>
        <v>4.9893258736420725</v>
      </c>
      <c r="N327" s="48" t="e">
        <f t="shared" ref="N327:N390" si="23">I327/E327</f>
        <v>#DIV/0!</v>
      </c>
    </row>
    <row r="328" spans="1:14" x14ac:dyDescent="0.25">
      <c r="A328" s="5">
        <v>2022</v>
      </c>
      <c r="B328" s="4"/>
      <c r="C328" s="4"/>
      <c r="D328" s="4">
        <v>6661517</v>
      </c>
      <c r="E328" s="4"/>
      <c r="F328" s="4"/>
      <c r="G328" s="4"/>
      <c r="H328" s="4">
        <v>31855267.306000002</v>
      </c>
      <c r="I328" s="4"/>
      <c r="K328" s="48" t="e">
        <f t="shared" si="20"/>
        <v>#DIV/0!</v>
      </c>
      <c r="L328" s="48" t="e">
        <f t="shared" si="21"/>
        <v>#DIV/0!</v>
      </c>
      <c r="M328" s="48">
        <f t="shared" si="22"/>
        <v>4.7819839393939851</v>
      </c>
      <c r="N328" s="48" t="e">
        <f t="shared" si="23"/>
        <v>#DIV/0!</v>
      </c>
    </row>
    <row r="329" spans="1:14" x14ac:dyDescent="0.25">
      <c r="A329" s="5">
        <v>2023</v>
      </c>
      <c r="B329" s="4"/>
      <c r="C329" s="4"/>
      <c r="D329" s="4">
        <v>6901308</v>
      </c>
      <c r="E329" s="4"/>
      <c r="F329" s="4"/>
      <c r="G329" s="4"/>
      <c r="H329" s="4">
        <v>37750376.931999996</v>
      </c>
      <c r="I329" s="4"/>
      <c r="K329" s="48" t="e">
        <f t="shared" si="20"/>
        <v>#DIV/0!</v>
      </c>
      <c r="L329" s="48" t="e">
        <f t="shared" si="21"/>
        <v>#DIV/0!</v>
      </c>
      <c r="M329" s="48">
        <f t="shared" si="22"/>
        <v>5.470032192737956</v>
      </c>
      <c r="N329" s="48" t="e">
        <f t="shared" si="23"/>
        <v>#DIV/0!</v>
      </c>
    </row>
    <row r="330" spans="1:14" x14ac:dyDescent="0.25">
      <c r="A330" s="5">
        <v>2024</v>
      </c>
      <c r="B330" s="4"/>
      <c r="C330" s="4"/>
      <c r="D330" s="4">
        <v>8260234.7170000002</v>
      </c>
      <c r="E330" s="4"/>
      <c r="F330" s="4"/>
      <c r="G330" s="4"/>
      <c r="H330" s="4">
        <v>45528322.748999998</v>
      </c>
      <c r="I330" s="4"/>
      <c r="K330" s="48" t="e">
        <f t="shared" si="20"/>
        <v>#DIV/0!</v>
      </c>
      <c r="L330" s="48" t="e">
        <f t="shared" si="21"/>
        <v>#DIV/0!</v>
      </c>
      <c r="M330" s="48">
        <f t="shared" si="22"/>
        <v>5.5117468581492366</v>
      </c>
      <c r="N330" s="48" t="e">
        <f t="shared" si="23"/>
        <v>#DIV/0!</v>
      </c>
    </row>
    <row r="331" spans="1:14" x14ac:dyDescent="0.25">
      <c r="A331" s="5">
        <v>2025</v>
      </c>
      <c r="B331" s="4">
        <v>914615</v>
      </c>
      <c r="C331" s="4">
        <v>1279561</v>
      </c>
      <c r="D331" s="4">
        <v>7382351.2560000001</v>
      </c>
      <c r="E331" s="4"/>
      <c r="F331" s="4">
        <v>10839998.047</v>
      </c>
      <c r="G331" s="4">
        <v>6189403.1359999999</v>
      </c>
      <c r="H331" s="4">
        <v>40523249.126999997</v>
      </c>
      <c r="I331" s="4"/>
      <c r="K331" s="48">
        <f t="shared" si="20"/>
        <v>11.85197929948667</v>
      </c>
      <c r="L331" s="48">
        <f t="shared" si="21"/>
        <v>4.8371301844929624</v>
      </c>
      <c r="M331" s="48">
        <f t="shared" si="22"/>
        <v>5.4892063140540435</v>
      </c>
      <c r="N331" s="48" t="e">
        <f t="shared" si="23"/>
        <v>#DIV/0!</v>
      </c>
    </row>
    <row r="332" spans="1:14" x14ac:dyDescent="0.25">
      <c r="A332" s="3" t="s">
        <v>118</v>
      </c>
      <c r="B332" s="4"/>
      <c r="C332" s="4"/>
      <c r="D332" s="4">
        <v>151003534.53500003</v>
      </c>
      <c r="E332" s="4"/>
      <c r="F332" s="4"/>
      <c r="G332" s="4"/>
      <c r="H332" s="4">
        <v>283826590.13299996</v>
      </c>
      <c r="I332" s="4"/>
      <c r="K332" s="48" t="e">
        <f t="shared" si="20"/>
        <v>#DIV/0!</v>
      </c>
      <c r="L332" s="48" t="e">
        <f t="shared" si="21"/>
        <v>#DIV/0!</v>
      </c>
      <c r="M332" s="48">
        <f t="shared" si="22"/>
        <v>1.8796022954496725</v>
      </c>
      <c r="N332" s="48" t="e">
        <f t="shared" si="23"/>
        <v>#DIV/0!</v>
      </c>
    </row>
    <row r="333" spans="1:14" x14ac:dyDescent="0.25">
      <c r="A333" s="5">
        <v>2002</v>
      </c>
      <c r="B333" s="4"/>
      <c r="C333" s="4"/>
      <c r="D333" s="4">
        <v>15126314.988</v>
      </c>
      <c r="E333" s="4"/>
      <c r="F333" s="4"/>
      <c r="G333" s="4"/>
      <c r="H333" s="4">
        <v>6663352.0070000002</v>
      </c>
      <c r="I333" s="4"/>
      <c r="K333" s="48" t="e">
        <f t="shared" si="20"/>
        <v>#DIV/0!</v>
      </c>
      <c r="L333" s="48" t="e">
        <f t="shared" si="21"/>
        <v>#DIV/0!</v>
      </c>
      <c r="M333" s="48">
        <f t="shared" si="22"/>
        <v>0.44051389993439694</v>
      </c>
      <c r="N333" s="48" t="e">
        <f t="shared" si="23"/>
        <v>#DIV/0!</v>
      </c>
    </row>
    <row r="334" spans="1:14" x14ac:dyDescent="0.25">
      <c r="A334" s="5">
        <v>2003</v>
      </c>
      <c r="B334" s="4"/>
      <c r="C334" s="4"/>
      <c r="D334" s="4">
        <v>9522258.2929999996</v>
      </c>
      <c r="E334" s="4"/>
      <c r="F334" s="4"/>
      <c r="G334" s="4"/>
      <c r="H334" s="4">
        <v>4165425.5639999998</v>
      </c>
      <c r="I334" s="4"/>
      <c r="K334" s="48" t="e">
        <f t="shared" si="20"/>
        <v>#DIV/0!</v>
      </c>
      <c r="L334" s="48" t="e">
        <f t="shared" si="21"/>
        <v>#DIV/0!</v>
      </c>
      <c r="M334" s="48">
        <f t="shared" si="22"/>
        <v>0.43744093426473074</v>
      </c>
      <c r="N334" s="48" t="e">
        <f t="shared" si="23"/>
        <v>#DIV/0!</v>
      </c>
    </row>
    <row r="335" spans="1:14" x14ac:dyDescent="0.25">
      <c r="A335" s="5">
        <v>2004</v>
      </c>
      <c r="B335" s="4"/>
      <c r="C335" s="4"/>
      <c r="D335" s="4">
        <v>8249241.7470000004</v>
      </c>
      <c r="E335" s="4"/>
      <c r="F335" s="4"/>
      <c r="G335" s="4"/>
      <c r="H335" s="4">
        <v>3740405.65</v>
      </c>
      <c r="I335" s="4"/>
      <c r="K335" s="48" t="e">
        <f t="shared" si="20"/>
        <v>#DIV/0!</v>
      </c>
      <c r="L335" s="48" t="e">
        <f t="shared" si="21"/>
        <v>#DIV/0!</v>
      </c>
      <c r="M335" s="48">
        <f t="shared" si="22"/>
        <v>0.45342417699908871</v>
      </c>
      <c r="N335" s="48" t="e">
        <f t="shared" si="23"/>
        <v>#DIV/0!</v>
      </c>
    </row>
    <row r="336" spans="1:14" x14ac:dyDescent="0.25">
      <c r="A336" s="5">
        <v>2005</v>
      </c>
      <c r="B336" s="4"/>
      <c r="C336" s="4"/>
      <c r="D336" s="4">
        <v>10302671.82</v>
      </c>
      <c r="E336" s="4"/>
      <c r="F336" s="4"/>
      <c r="G336" s="4"/>
      <c r="H336" s="4">
        <v>4774052.47</v>
      </c>
      <c r="I336" s="4"/>
      <c r="K336" s="48" t="e">
        <f t="shared" si="20"/>
        <v>#DIV/0!</v>
      </c>
      <c r="L336" s="48" t="e">
        <f t="shared" si="21"/>
        <v>#DIV/0!</v>
      </c>
      <c r="M336" s="48">
        <f t="shared" si="22"/>
        <v>0.46338003902370245</v>
      </c>
      <c r="N336" s="48" t="e">
        <f t="shared" si="23"/>
        <v>#DIV/0!</v>
      </c>
    </row>
    <row r="337" spans="1:14" x14ac:dyDescent="0.25">
      <c r="A337" s="5">
        <v>2006</v>
      </c>
      <c r="B337" s="4"/>
      <c r="C337" s="4"/>
      <c r="D337" s="4">
        <v>14413239.609999999</v>
      </c>
      <c r="E337" s="4"/>
      <c r="F337" s="4"/>
      <c r="G337" s="4"/>
      <c r="H337" s="4">
        <v>6819588.7319999998</v>
      </c>
      <c r="I337" s="4"/>
      <c r="K337" s="48" t="e">
        <f t="shared" si="20"/>
        <v>#DIV/0!</v>
      </c>
      <c r="L337" s="48" t="e">
        <f t="shared" si="21"/>
        <v>#DIV/0!</v>
      </c>
      <c r="M337" s="48">
        <f t="shared" si="22"/>
        <v>0.4731475307791681</v>
      </c>
      <c r="N337" s="48" t="e">
        <f t="shared" si="23"/>
        <v>#DIV/0!</v>
      </c>
    </row>
    <row r="338" spans="1:14" x14ac:dyDescent="0.25">
      <c r="A338" s="5">
        <v>2007</v>
      </c>
      <c r="B338" s="4"/>
      <c r="C338" s="4"/>
      <c r="D338" s="4">
        <v>14542095.890000001</v>
      </c>
      <c r="E338" s="4"/>
      <c r="F338" s="4"/>
      <c r="G338" s="4"/>
      <c r="H338" s="4">
        <v>7734631.7300000004</v>
      </c>
      <c r="I338" s="4"/>
      <c r="K338" s="48" t="e">
        <f t="shared" si="20"/>
        <v>#DIV/0!</v>
      </c>
      <c r="L338" s="48" t="e">
        <f t="shared" si="21"/>
        <v>#DIV/0!</v>
      </c>
      <c r="M338" s="48">
        <f t="shared" si="22"/>
        <v>0.53187874626234499</v>
      </c>
      <c r="N338" s="48" t="e">
        <f t="shared" si="23"/>
        <v>#DIV/0!</v>
      </c>
    </row>
    <row r="339" spans="1:14" x14ac:dyDescent="0.25">
      <c r="A339" s="5">
        <v>2008</v>
      </c>
      <c r="B339" s="4"/>
      <c r="C339" s="4"/>
      <c r="D339" s="4">
        <v>14285362.847999999</v>
      </c>
      <c r="E339" s="4"/>
      <c r="F339" s="4"/>
      <c r="G339" s="4"/>
      <c r="H339" s="4">
        <v>10373669.09</v>
      </c>
      <c r="I339" s="4"/>
      <c r="K339" s="48" t="e">
        <f t="shared" si="20"/>
        <v>#DIV/0!</v>
      </c>
      <c r="L339" s="48" t="e">
        <f t="shared" si="21"/>
        <v>#DIV/0!</v>
      </c>
      <c r="M339" s="48">
        <f t="shared" si="22"/>
        <v>0.7261747006623881</v>
      </c>
      <c r="N339" s="48" t="e">
        <f t="shared" si="23"/>
        <v>#DIV/0!</v>
      </c>
    </row>
    <row r="340" spans="1:14" x14ac:dyDescent="0.25">
      <c r="A340" s="5">
        <v>2009</v>
      </c>
      <c r="B340" s="4"/>
      <c r="C340" s="4"/>
      <c r="D340" s="4">
        <v>9509862.5170000009</v>
      </c>
      <c r="E340" s="4"/>
      <c r="F340" s="4"/>
      <c r="G340" s="4"/>
      <c r="H340" s="4">
        <v>9593724.568</v>
      </c>
      <c r="I340" s="4"/>
      <c r="K340" s="48" t="e">
        <f t="shared" si="20"/>
        <v>#DIV/0!</v>
      </c>
      <c r="L340" s="48" t="e">
        <f t="shared" si="21"/>
        <v>#DIV/0!</v>
      </c>
      <c r="M340" s="48">
        <f t="shared" si="22"/>
        <v>1.0088184293779312</v>
      </c>
      <c r="N340" s="48" t="e">
        <f t="shared" si="23"/>
        <v>#DIV/0!</v>
      </c>
    </row>
    <row r="341" spans="1:14" x14ac:dyDescent="0.25">
      <c r="A341" s="5">
        <v>2014</v>
      </c>
      <c r="B341" s="4"/>
      <c r="C341" s="4"/>
      <c r="D341" s="4">
        <v>2776928.415</v>
      </c>
      <c r="E341" s="4"/>
      <c r="F341" s="4"/>
      <c r="G341" s="4"/>
      <c r="H341" s="4">
        <v>12288077.335000001</v>
      </c>
      <c r="I341" s="4"/>
      <c r="K341" s="48" t="e">
        <f t="shared" si="20"/>
        <v>#DIV/0!</v>
      </c>
      <c r="L341" s="48" t="e">
        <f t="shared" si="21"/>
        <v>#DIV/0!</v>
      </c>
      <c r="M341" s="48">
        <f t="shared" si="22"/>
        <v>4.4250608941246332</v>
      </c>
      <c r="N341" s="48" t="e">
        <f t="shared" si="23"/>
        <v>#DIV/0!</v>
      </c>
    </row>
    <row r="342" spans="1:14" x14ac:dyDescent="0.25">
      <c r="A342" s="5">
        <v>2015</v>
      </c>
      <c r="B342" s="4"/>
      <c r="C342" s="4"/>
      <c r="D342" s="4">
        <v>3418759.9440000001</v>
      </c>
      <c r="E342" s="4"/>
      <c r="F342" s="4"/>
      <c r="G342" s="4"/>
      <c r="H342" s="4">
        <v>13055921.666999999</v>
      </c>
      <c r="I342" s="4"/>
      <c r="K342" s="48" t="e">
        <f t="shared" si="20"/>
        <v>#DIV/0!</v>
      </c>
      <c r="L342" s="48" t="e">
        <f t="shared" si="21"/>
        <v>#DIV/0!</v>
      </c>
      <c r="M342" s="48">
        <f t="shared" si="22"/>
        <v>3.8189056502529324</v>
      </c>
      <c r="N342" s="48" t="e">
        <f t="shared" si="23"/>
        <v>#DIV/0!</v>
      </c>
    </row>
    <row r="343" spans="1:14" x14ac:dyDescent="0.25">
      <c r="A343" s="5">
        <v>2016</v>
      </c>
      <c r="B343" s="4"/>
      <c r="C343" s="4"/>
      <c r="D343" s="4">
        <v>3710172.3969999999</v>
      </c>
      <c r="E343" s="4"/>
      <c r="F343" s="4"/>
      <c r="G343" s="4"/>
      <c r="H343" s="4">
        <v>13763819.802999999</v>
      </c>
      <c r="I343" s="4"/>
      <c r="K343" s="48" t="e">
        <f t="shared" si="20"/>
        <v>#DIV/0!</v>
      </c>
      <c r="L343" s="48" t="e">
        <f t="shared" si="21"/>
        <v>#DIV/0!</v>
      </c>
      <c r="M343" s="48">
        <f t="shared" si="22"/>
        <v>3.709752089722099</v>
      </c>
      <c r="N343" s="48" t="e">
        <f t="shared" si="23"/>
        <v>#DIV/0!</v>
      </c>
    </row>
    <row r="344" spans="1:14" x14ac:dyDescent="0.25">
      <c r="A344" s="5">
        <v>2017</v>
      </c>
      <c r="B344" s="4"/>
      <c r="C344" s="4"/>
      <c r="D344" s="4">
        <v>4479746.148</v>
      </c>
      <c r="E344" s="4"/>
      <c r="F344" s="4"/>
      <c r="G344" s="4"/>
      <c r="H344" s="4">
        <v>17041042.287</v>
      </c>
      <c r="I344" s="4"/>
      <c r="K344" s="48" t="e">
        <f t="shared" si="20"/>
        <v>#DIV/0!</v>
      </c>
      <c r="L344" s="48" t="e">
        <f t="shared" si="21"/>
        <v>#DIV/0!</v>
      </c>
      <c r="M344" s="48">
        <f t="shared" si="22"/>
        <v>3.8040196305784066</v>
      </c>
      <c r="N344" s="48" t="e">
        <f t="shared" si="23"/>
        <v>#DIV/0!</v>
      </c>
    </row>
    <row r="345" spans="1:14" x14ac:dyDescent="0.25">
      <c r="A345" s="5">
        <v>2018</v>
      </c>
      <c r="B345" s="4"/>
      <c r="C345" s="4"/>
      <c r="D345" s="4">
        <v>4830829.2439999999</v>
      </c>
      <c r="E345" s="4"/>
      <c r="F345" s="4"/>
      <c r="G345" s="4"/>
      <c r="H345" s="4">
        <v>19884026.612</v>
      </c>
      <c r="I345" s="4"/>
      <c r="K345" s="48" t="e">
        <f t="shared" si="20"/>
        <v>#DIV/0!</v>
      </c>
      <c r="L345" s="48" t="e">
        <f t="shared" si="21"/>
        <v>#DIV/0!</v>
      </c>
      <c r="M345" s="48">
        <f t="shared" si="22"/>
        <v>4.1160690241114226</v>
      </c>
      <c r="N345" s="48" t="e">
        <f t="shared" si="23"/>
        <v>#DIV/0!</v>
      </c>
    </row>
    <row r="346" spans="1:14" x14ac:dyDescent="0.25">
      <c r="A346" s="5">
        <v>2019</v>
      </c>
      <c r="B346" s="4"/>
      <c r="C346" s="4"/>
      <c r="D346" s="4">
        <v>5063988.193</v>
      </c>
      <c r="E346" s="4"/>
      <c r="F346" s="4"/>
      <c r="G346" s="4"/>
      <c r="H346" s="4">
        <v>19564802.408</v>
      </c>
      <c r="I346" s="4"/>
      <c r="K346" s="48" t="e">
        <f t="shared" si="20"/>
        <v>#DIV/0!</v>
      </c>
      <c r="L346" s="48" t="e">
        <f t="shared" si="21"/>
        <v>#DIV/0!</v>
      </c>
      <c r="M346" s="48">
        <f t="shared" si="22"/>
        <v>3.8635165925237773</v>
      </c>
      <c r="N346" s="48" t="e">
        <f t="shared" si="23"/>
        <v>#DIV/0!</v>
      </c>
    </row>
    <row r="347" spans="1:14" x14ac:dyDescent="0.25">
      <c r="A347" s="5">
        <v>2020</v>
      </c>
      <c r="B347" s="4"/>
      <c r="C347" s="4"/>
      <c r="D347" s="4">
        <v>6426738.8370000003</v>
      </c>
      <c r="E347" s="4"/>
      <c r="F347" s="4"/>
      <c r="G347" s="4"/>
      <c r="H347" s="4">
        <v>25631466.135000002</v>
      </c>
      <c r="I347" s="4"/>
      <c r="K347" s="48" t="e">
        <f t="shared" si="20"/>
        <v>#DIV/0!</v>
      </c>
      <c r="L347" s="48" t="e">
        <f t="shared" si="21"/>
        <v>#DIV/0!</v>
      </c>
      <c r="M347" s="48">
        <f t="shared" si="22"/>
        <v>3.9882538850706997</v>
      </c>
      <c r="N347" s="48" t="e">
        <f t="shared" si="23"/>
        <v>#DIV/0!</v>
      </c>
    </row>
    <row r="348" spans="1:14" x14ac:dyDescent="0.25">
      <c r="A348" s="5">
        <v>2021</v>
      </c>
      <c r="B348" s="4"/>
      <c r="C348" s="4"/>
      <c r="D348" s="4">
        <v>6101980.4280000003</v>
      </c>
      <c r="E348" s="4"/>
      <c r="F348" s="4"/>
      <c r="G348" s="4"/>
      <c r="H348" s="4">
        <v>23178627.539999999</v>
      </c>
      <c r="I348" s="4"/>
      <c r="K348" s="48" t="e">
        <f t="shared" si="20"/>
        <v>#DIV/0!</v>
      </c>
      <c r="L348" s="48" t="e">
        <f t="shared" si="21"/>
        <v>#DIV/0!</v>
      </c>
      <c r="M348" s="48">
        <f t="shared" si="22"/>
        <v>3.7985417707406643</v>
      </c>
      <c r="N348" s="48" t="e">
        <f t="shared" si="23"/>
        <v>#DIV/0!</v>
      </c>
    </row>
    <row r="349" spans="1:14" x14ac:dyDescent="0.25">
      <c r="A349" s="5">
        <v>2022</v>
      </c>
      <c r="B349" s="4"/>
      <c r="C349" s="4"/>
      <c r="D349" s="4">
        <v>5615841.4469999997</v>
      </c>
      <c r="E349" s="4"/>
      <c r="F349" s="4"/>
      <c r="G349" s="4"/>
      <c r="H349" s="4">
        <v>26862150.397999998</v>
      </c>
      <c r="I349" s="4"/>
      <c r="K349" s="48" t="e">
        <f t="shared" si="20"/>
        <v>#DIV/0!</v>
      </c>
      <c r="L349" s="48" t="e">
        <f t="shared" si="21"/>
        <v>#DIV/0!</v>
      </c>
      <c r="M349" s="48">
        <f t="shared" si="22"/>
        <v>4.7832814817715059</v>
      </c>
      <c r="N349" s="48" t="e">
        <f t="shared" si="23"/>
        <v>#DIV/0!</v>
      </c>
    </row>
    <row r="350" spans="1:14" x14ac:dyDescent="0.25">
      <c r="A350" s="5">
        <v>2023</v>
      </c>
      <c r="B350" s="4"/>
      <c r="C350" s="4"/>
      <c r="D350" s="4">
        <v>6160035.1699999999</v>
      </c>
      <c r="E350" s="4"/>
      <c r="F350" s="4"/>
      <c r="G350" s="4"/>
      <c r="H350" s="4">
        <v>28752671.715999998</v>
      </c>
      <c r="I350" s="4"/>
      <c r="K350" s="48" t="e">
        <f t="shared" si="20"/>
        <v>#DIV/0!</v>
      </c>
      <c r="L350" s="48" t="e">
        <f t="shared" si="21"/>
        <v>#DIV/0!</v>
      </c>
      <c r="M350" s="48">
        <f t="shared" si="22"/>
        <v>4.667614862984621</v>
      </c>
      <c r="N350" s="48" t="e">
        <f t="shared" si="23"/>
        <v>#DIV/0!</v>
      </c>
    </row>
    <row r="351" spans="1:14" x14ac:dyDescent="0.25">
      <c r="A351" s="5">
        <v>2024</v>
      </c>
      <c r="B351" s="4"/>
      <c r="C351" s="4"/>
      <c r="D351" s="4">
        <v>6467466.5990000004</v>
      </c>
      <c r="E351" s="4"/>
      <c r="F351" s="4"/>
      <c r="G351" s="4"/>
      <c r="H351" s="4">
        <v>29939134.421</v>
      </c>
      <c r="I351" s="4"/>
      <c r="K351" s="48" t="e">
        <f t="shared" si="20"/>
        <v>#DIV/0!</v>
      </c>
      <c r="L351" s="48" t="e">
        <f t="shared" si="21"/>
        <v>#DIV/0!</v>
      </c>
      <c r="M351" s="48">
        <f t="shared" si="22"/>
        <v>4.6291904198823675</v>
      </c>
      <c r="N351" s="48" t="e">
        <f t="shared" si="23"/>
        <v>#DIV/0!</v>
      </c>
    </row>
    <row r="352" spans="1:14" x14ac:dyDescent="0.25">
      <c r="A352" s="3" t="s">
        <v>17</v>
      </c>
      <c r="B352" s="4">
        <v>1116207332.9850001</v>
      </c>
      <c r="C352" s="4">
        <v>206934941.67899999</v>
      </c>
      <c r="D352" s="4"/>
      <c r="E352" s="4">
        <v>2583825216.6349998</v>
      </c>
      <c r="F352" s="4">
        <v>1620662690.3770003</v>
      </c>
      <c r="G352" s="4">
        <v>739173665.09499991</v>
      </c>
      <c r="H352" s="4"/>
      <c r="I352" s="4">
        <v>12105644722.404003</v>
      </c>
      <c r="K352" s="48">
        <f t="shared" si="20"/>
        <v>1.4519369676984366</v>
      </c>
      <c r="L352" s="48">
        <f t="shared" si="21"/>
        <v>3.5720099230105622</v>
      </c>
      <c r="M352" s="48" t="e">
        <f t="shared" si="22"/>
        <v>#DIV/0!</v>
      </c>
      <c r="N352" s="48">
        <f t="shared" si="23"/>
        <v>4.6851639361928594</v>
      </c>
    </row>
    <row r="353" spans="1:14" x14ac:dyDescent="0.25">
      <c r="A353" s="5">
        <v>2010</v>
      </c>
      <c r="B353" s="4">
        <v>144722496.44999999</v>
      </c>
      <c r="C353" s="4">
        <v>40787248.539999999</v>
      </c>
      <c r="D353" s="4"/>
      <c r="E353" s="4">
        <v>83569308.709999993</v>
      </c>
      <c r="F353" s="4">
        <v>207727374.88</v>
      </c>
      <c r="G353" s="4">
        <v>56624555.799999997</v>
      </c>
      <c r="H353" s="4"/>
      <c r="I353" s="4">
        <v>322810975.30000001</v>
      </c>
      <c r="K353" s="48">
        <f t="shared" si="20"/>
        <v>1.4353495826529463</v>
      </c>
      <c r="L353" s="48">
        <f t="shared" si="21"/>
        <v>1.388290650311172</v>
      </c>
      <c r="M353" s="48" t="e">
        <f t="shared" si="22"/>
        <v>#DIV/0!</v>
      </c>
      <c r="N353" s="48">
        <f t="shared" si="23"/>
        <v>3.8627934140296665</v>
      </c>
    </row>
    <row r="354" spans="1:14" x14ac:dyDescent="0.25">
      <c r="A354" s="5">
        <v>2011</v>
      </c>
      <c r="B354" s="4">
        <v>161838599.81</v>
      </c>
      <c r="C354" s="4">
        <v>6719066.1100000003</v>
      </c>
      <c r="D354" s="4"/>
      <c r="E354" s="4">
        <v>122576885.97</v>
      </c>
      <c r="F354" s="4">
        <v>273410449.62</v>
      </c>
      <c r="G354" s="4">
        <v>28208992.52</v>
      </c>
      <c r="H354" s="4"/>
      <c r="I354" s="4">
        <v>557832807.15999997</v>
      </c>
      <c r="K354" s="48">
        <f t="shared" si="20"/>
        <v>1.689401971723596</v>
      </c>
      <c r="L354" s="48">
        <f t="shared" si="21"/>
        <v>4.1983501960215124</v>
      </c>
      <c r="M354" s="48" t="e">
        <f t="shared" si="22"/>
        <v>#DIV/0!</v>
      </c>
      <c r="N354" s="48">
        <f t="shared" si="23"/>
        <v>4.5508808838276931</v>
      </c>
    </row>
    <row r="355" spans="1:14" x14ac:dyDescent="0.25">
      <c r="A355" s="5">
        <v>2012</v>
      </c>
      <c r="B355" s="4">
        <v>81380031.738999993</v>
      </c>
      <c r="C355" s="4">
        <v>8053342.5970000001</v>
      </c>
      <c r="D355" s="4"/>
      <c r="E355" s="4">
        <v>154395076.646</v>
      </c>
      <c r="F355" s="4">
        <v>167025264.70300001</v>
      </c>
      <c r="G355" s="4">
        <v>41978268.489</v>
      </c>
      <c r="H355" s="4"/>
      <c r="I355" s="4">
        <v>834126333.77900004</v>
      </c>
      <c r="K355" s="48">
        <f t="shared" si="20"/>
        <v>2.0524109063840044</v>
      </c>
      <c r="L355" s="48">
        <f t="shared" si="21"/>
        <v>5.2125273429491976</v>
      </c>
      <c r="M355" s="48" t="e">
        <f t="shared" si="22"/>
        <v>#DIV/0!</v>
      </c>
      <c r="N355" s="48">
        <f t="shared" si="23"/>
        <v>5.4025448990935176</v>
      </c>
    </row>
    <row r="356" spans="1:14" x14ac:dyDescent="0.25">
      <c r="A356" s="5">
        <v>2013</v>
      </c>
      <c r="B356" s="4">
        <v>48913371.75</v>
      </c>
      <c r="C356" s="4">
        <v>12273749.68</v>
      </c>
      <c r="D356" s="4"/>
      <c r="E356" s="4">
        <v>176287091.34999999</v>
      </c>
      <c r="F356" s="4">
        <v>95277116.939999998</v>
      </c>
      <c r="G356" s="4">
        <v>61887221.039999999</v>
      </c>
      <c r="H356" s="4"/>
      <c r="I356" s="4">
        <v>1030175200.29</v>
      </c>
      <c r="K356" s="48">
        <f t="shared" si="20"/>
        <v>1.9478746512705905</v>
      </c>
      <c r="L356" s="48">
        <f t="shared" si="21"/>
        <v>5.0422423997162698</v>
      </c>
      <c r="M356" s="48" t="e">
        <f t="shared" si="22"/>
        <v>#DIV/0!</v>
      </c>
      <c r="N356" s="48">
        <f t="shared" si="23"/>
        <v>5.8437358765236667</v>
      </c>
    </row>
    <row r="357" spans="1:14" x14ac:dyDescent="0.25">
      <c r="A357" s="5">
        <v>2014</v>
      </c>
      <c r="B357" s="4">
        <v>70915484.25</v>
      </c>
      <c r="C357" s="4">
        <v>18239868.09</v>
      </c>
      <c r="D357" s="4"/>
      <c r="E357" s="4">
        <v>195656544.74000001</v>
      </c>
      <c r="F357" s="4">
        <v>111646342.88</v>
      </c>
      <c r="G357" s="4">
        <v>61363186.810000002</v>
      </c>
      <c r="H357" s="4"/>
      <c r="I357" s="4">
        <v>1003479726.74</v>
      </c>
      <c r="K357" s="48">
        <f t="shared" si="20"/>
        <v>1.5743577592505829</v>
      </c>
      <c r="L357" s="48">
        <f t="shared" si="21"/>
        <v>3.3642341330112111</v>
      </c>
      <c r="M357" s="48" t="e">
        <f t="shared" si="22"/>
        <v>#DIV/0!</v>
      </c>
      <c r="N357" s="48">
        <f t="shared" si="23"/>
        <v>5.1287818052469607</v>
      </c>
    </row>
    <row r="358" spans="1:14" x14ac:dyDescent="0.25">
      <c r="A358" s="5">
        <v>2015</v>
      </c>
      <c r="B358" s="4">
        <v>54633093.788999997</v>
      </c>
      <c r="C358" s="4"/>
      <c r="D358" s="4"/>
      <c r="E358" s="4">
        <v>174695661.40700001</v>
      </c>
      <c r="F358" s="4">
        <v>70499605.704999998</v>
      </c>
      <c r="G358" s="4"/>
      <c r="H358" s="4"/>
      <c r="I358" s="4">
        <v>706849928.00399995</v>
      </c>
      <c r="K358" s="48">
        <f t="shared" si="20"/>
        <v>1.290419429243354</v>
      </c>
      <c r="L358" s="48" t="e">
        <f t="shared" si="21"/>
        <v>#DIV/0!</v>
      </c>
      <c r="M358" s="48" t="e">
        <f t="shared" si="22"/>
        <v>#DIV/0!</v>
      </c>
      <c r="N358" s="48">
        <f t="shared" si="23"/>
        <v>4.0461790654159699</v>
      </c>
    </row>
    <row r="359" spans="1:14" x14ac:dyDescent="0.25">
      <c r="A359" s="5">
        <v>2016</v>
      </c>
      <c r="B359" s="4">
        <v>47463369.035999998</v>
      </c>
      <c r="C359" s="4">
        <v>12387101.572000001</v>
      </c>
      <c r="D359" s="4"/>
      <c r="E359" s="4">
        <v>180780696.169</v>
      </c>
      <c r="F359" s="4">
        <v>66524311.034999996</v>
      </c>
      <c r="G359" s="4">
        <v>54653669.696000002</v>
      </c>
      <c r="H359" s="4"/>
      <c r="I359" s="4">
        <v>741362552.35300004</v>
      </c>
      <c r="K359" s="48">
        <f t="shared" si="20"/>
        <v>1.4015926889754216</v>
      </c>
      <c r="L359" s="48">
        <f t="shared" si="21"/>
        <v>4.4121435009090435</v>
      </c>
      <c r="M359" s="48" t="e">
        <f t="shared" si="22"/>
        <v>#DIV/0!</v>
      </c>
      <c r="N359" s="48">
        <f t="shared" si="23"/>
        <v>4.100894443176327</v>
      </c>
    </row>
    <row r="360" spans="1:14" x14ac:dyDescent="0.25">
      <c r="A360" s="5">
        <v>2017</v>
      </c>
      <c r="B360" s="4">
        <v>44402795.942000002</v>
      </c>
      <c r="C360" s="4">
        <v>24456636.809999999</v>
      </c>
      <c r="D360" s="4"/>
      <c r="E360" s="4">
        <v>218567946.50999999</v>
      </c>
      <c r="F360" s="4">
        <v>69723284.709999993</v>
      </c>
      <c r="G360" s="4">
        <v>74584676.810000002</v>
      </c>
      <c r="H360" s="4"/>
      <c r="I360" s="4">
        <v>1055478196.13</v>
      </c>
      <c r="K360" s="48">
        <f t="shared" si="20"/>
        <v>1.5702453692572473</v>
      </c>
      <c r="L360" s="48">
        <f t="shared" si="21"/>
        <v>3.0496702138334615</v>
      </c>
      <c r="M360" s="48" t="e">
        <f t="shared" si="22"/>
        <v>#DIV/0!</v>
      </c>
      <c r="N360" s="48">
        <f t="shared" si="23"/>
        <v>4.829062142841285</v>
      </c>
    </row>
    <row r="361" spans="1:14" x14ac:dyDescent="0.25">
      <c r="A361" s="5">
        <v>2018</v>
      </c>
      <c r="B361" s="4">
        <v>62816966.090000004</v>
      </c>
      <c r="C361" s="4">
        <v>31138788.629999999</v>
      </c>
      <c r="D361" s="4"/>
      <c r="E361" s="4">
        <v>225588242.88999999</v>
      </c>
      <c r="F361" s="4">
        <v>102223332.537</v>
      </c>
      <c r="G361" s="4">
        <v>92663500.620000005</v>
      </c>
      <c r="H361" s="4"/>
      <c r="I361" s="4">
        <v>1126407614.404</v>
      </c>
      <c r="K361" s="48">
        <f t="shared" si="20"/>
        <v>1.6273204342683656</v>
      </c>
      <c r="L361" s="48">
        <f t="shared" si="21"/>
        <v>2.9758222685234883</v>
      </c>
      <c r="M361" s="48" t="e">
        <f t="shared" si="22"/>
        <v>#DIV/0!</v>
      </c>
      <c r="N361" s="48">
        <f t="shared" si="23"/>
        <v>4.9932017731671072</v>
      </c>
    </row>
    <row r="362" spans="1:14" x14ac:dyDescent="0.25">
      <c r="A362" s="5">
        <v>2019</v>
      </c>
      <c r="B362" s="4">
        <v>181419504.09</v>
      </c>
      <c r="C362" s="4">
        <v>12944829.539999999</v>
      </c>
      <c r="D362" s="4"/>
      <c r="E362" s="4">
        <v>239017037.162</v>
      </c>
      <c r="F362" s="4">
        <v>112397945.67399999</v>
      </c>
      <c r="G362" s="4">
        <v>63043572.210000001</v>
      </c>
      <c r="H362" s="4"/>
      <c r="I362" s="4">
        <v>1066210956.51</v>
      </c>
      <c r="K362" s="48">
        <f t="shared" si="20"/>
        <v>0.61954719939175196</v>
      </c>
      <c r="L362" s="48">
        <f t="shared" si="21"/>
        <v>4.8701739961266419</v>
      </c>
      <c r="M362" s="48" t="e">
        <f t="shared" si="22"/>
        <v>#DIV/0!</v>
      </c>
      <c r="N362" s="48">
        <f t="shared" si="23"/>
        <v>4.4608157191210926</v>
      </c>
    </row>
    <row r="363" spans="1:14" x14ac:dyDescent="0.25">
      <c r="A363" s="5">
        <v>2020</v>
      </c>
      <c r="B363" s="4">
        <v>62665284.740000002</v>
      </c>
      <c r="C363" s="4">
        <v>9867217.9199999999</v>
      </c>
      <c r="D363" s="4"/>
      <c r="E363" s="4">
        <v>247460177.21000001</v>
      </c>
      <c r="F363" s="4">
        <v>93156763.708000004</v>
      </c>
      <c r="G363" s="4">
        <v>50890976.189999998</v>
      </c>
      <c r="H363" s="4"/>
      <c r="I363" s="4">
        <v>1033422014.7</v>
      </c>
      <c r="K363" s="48">
        <f t="shared" si="20"/>
        <v>1.4865768837484741</v>
      </c>
      <c r="L363" s="48">
        <f t="shared" si="21"/>
        <v>5.1575810529985739</v>
      </c>
      <c r="M363" s="48" t="e">
        <f t="shared" si="22"/>
        <v>#DIV/0!</v>
      </c>
      <c r="N363" s="48">
        <f t="shared" si="23"/>
        <v>4.1761144211216497</v>
      </c>
    </row>
    <row r="364" spans="1:14" x14ac:dyDescent="0.25">
      <c r="A364" s="5">
        <v>2021</v>
      </c>
      <c r="B364" s="4">
        <v>85726515.355000004</v>
      </c>
      <c r="C364" s="4">
        <v>8643439.1899999995</v>
      </c>
      <c r="D364" s="4"/>
      <c r="E364" s="4">
        <v>259124532.01100001</v>
      </c>
      <c r="F364" s="4">
        <v>137223017.74599999</v>
      </c>
      <c r="G364" s="4">
        <v>59833371.18</v>
      </c>
      <c r="H364" s="4"/>
      <c r="I364" s="4">
        <v>1135871160.96</v>
      </c>
      <c r="K364" s="48">
        <f t="shared" si="20"/>
        <v>1.6007068195615914</v>
      </c>
      <c r="L364" s="48">
        <f t="shared" si="21"/>
        <v>6.9224032083460525</v>
      </c>
      <c r="M364" s="48" t="e">
        <f t="shared" si="22"/>
        <v>#DIV/0!</v>
      </c>
      <c r="N364" s="48">
        <f t="shared" si="23"/>
        <v>4.3834952721179699</v>
      </c>
    </row>
    <row r="365" spans="1:14" x14ac:dyDescent="0.25">
      <c r="A365" s="5">
        <v>2022</v>
      </c>
      <c r="B365" s="4">
        <v>5007028.8499999996</v>
      </c>
      <c r="C365" s="4"/>
      <c r="D365" s="4"/>
      <c r="E365" s="4">
        <v>18211850.34</v>
      </c>
      <c r="F365" s="4">
        <v>9064256.8320000004</v>
      </c>
      <c r="G365" s="4"/>
      <c r="H365" s="4"/>
      <c r="I365" s="4">
        <v>81325619.116999999</v>
      </c>
      <c r="K365" s="48">
        <f t="shared" si="20"/>
        <v>1.8103064918429621</v>
      </c>
      <c r="L365" s="48" t="e">
        <f t="shared" si="21"/>
        <v>#DIV/0!</v>
      </c>
      <c r="M365" s="48" t="e">
        <f t="shared" si="22"/>
        <v>#DIV/0!</v>
      </c>
      <c r="N365" s="48">
        <f t="shared" si="23"/>
        <v>4.4655330237575406</v>
      </c>
    </row>
    <row r="366" spans="1:14" x14ac:dyDescent="0.25">
      <c r="A366" s="5">
        <v>2024</v>
      </c>
      <c r="B366" s="4">
        <v>64302791.093999997</v>
      </c>
      <c r="C366" s="4">
        <v>21423653</v>
      </c>
      <c r="D366" s="4"/>
      <c r="E366" s="4">
        <v>287894165.51999998</v>
      </c>
      <c r="F366" s="4">
        <v>104763623.40700001</v>
      </c>
      <c r="G366" s="4">
        <v>93441673.730000004</v>
      </c>
      <c r="H366" s="4"/>
      <c r="I366" s="4">
        <v>1410291636.957</v>
      </c>
      <c r="K366" s="48">
        <f t="shared" si="20"/>
        <v>1.6292235783957338</v>
      </c>
      <c r="L366" s="48">
        <f t="shared" si="21"/>
        <v>4.361612547122566</v>
      </c>
      <c r="M366" s="48" t="e">
        <f t="shared" si="22"/>
        <v>#DIV/0!</v>
      </c>
      <c r="N366" s="48">
        <f t="shared" si="23"/>
        <v>4.8986461202147122</v>
      </c>
    </row>
    <row r="367" spans="1:14" x14ac:dyDescent="0.25">
      <c r="A367" s="3" t="s">
        <v>117</v>
      </c>
      <c r="B367" s="4"/>
      <c r="C367" s="4"/>
      <c r="D367" s="4">
        <v>555689449.19500005</v>
      </c>
      <c r="E367" s="4"/>
      <c r="F367" s="4"/>
      <c r="G367" s="4"/>
      <c r="H367" s="4">
        <v>1873535010.2800002</v>
      </c>
      <c r="I367" s="4"/>
      <c r="K367" s="48" t="e">
        <f t="shared" si="20"/>
        <v>#DIV/0!</v>
      </c>
      <c r="L367" s="48" t="e">
        <f t="shared" si="21"/>
        <v>#DIV/0!</v>
      </c>
      <c r="M367" s="48">
        <f t="shared" si="22"/>
        <v>3.3715504460163821</v>
      </c>
      <c r="N367" s="48" t="e">
        <f t="shared" si="23"/>
        <v>#DIV/0!</v>
      </c>
    </row>
    <row r="368" spans="1:14" x14ac:dyDescent="0.25">
      <c r="A368" s="5">
        <v>2010</v>
      </c>
      <c r="B368" s="4"/>
      <c r="C368" s="4"/>
      <c r="D368" s="4">
        <v>58808742.158</v>
      </c>
      <c r="E368" s="4"/>
      <c r="F368" s="4"/>
      <c r="G368" s="4"/>
      <c r="H368" s="4">
        <v>96757708.510000005</v>
      </c>
      <c r="I368" s="4"/>
      <c r="K368" s="48" t="e">
        <f t="shared" si="20"/>
        <v>#DIV/0!</v>
      </c>
      <c r="L368" s="48" t="e">
        <f t="shared" si="21"/>
        <v>#DIV/0!</v>
      </c>
      <c r="M368" s="48">
        <f t="shared" si="22"/>
        <v>1.6452946442901881</v>
      </c>
      <c r="N368" s="48" t="e">
        <f t="shared" si="23"/>
        <v>#DIV/0!</v>
      </c>
    </row>
    <row r="369" spans="1:14" x14ac:dyDescent="0.25">
      <c r="A369" s="5">
        <v>2015</v>
      </c>
      <c r="B369" s="4"/>
      <c r="C369" s="4"/>
      <c r="D369" s="4">
        <v>85972929.305000007</v>
      </c>
      <c r="E369" s="4"/>
      <c r="F369" s="4"/>
      <c r="G369" s="4"/>
      <c r="H369" s="4">
        <v>171129205.08500001</v>
      </c>
      <c r="I369" s="4"/>
      <c r="K369" s="48" t="e">
        <f t="shared" si="20"/>
        <v>#DIV/0!</v>
      </c>
      <c r="L369" s="48" t="e">
        <f t="shared" si="21"/>
        <v>#DIV/0!</v>
      </c>
      <c r="M369" s="48">
        <f t="shared" si="22"/>
        <v>1.9905010387385682</v>
      </c>
      <c r="N369" s="48" t="e">
        <f t="shared" si="23"/>
        <v>#DIV/0!</v>
      </c>
    </row>
    <row r="370" spans="1:14" x14ac:dyDescent="0.25">
      <c r="A370" s="5">
        <v>2016</v>
      </c>
      <c r="B370" s="4"/>
      <c r="C370" s="4"/>
      <c r="D370" s="4">
        <v>123386907.40000001</v>
      </c>
      <c r="E370" s="4"/>
      <c r="F370" s="4"/>
      <c r="G370" s="4"/>
      <c r="H370" s="4">
        <v>196453709.83000001</v>
      </c>
      <c r="I370" s="4"/>
      <c r="K370" s="48" t="e">
        <f t="shared" si="20"/>
        <v>#DIV/0!</v>
      </c>
      <c r="L370" s="48" t="e">
        <f t="shared" si="21"/>
        <v>#DIV/0!</v>
      </c>
      <c r="M370" s="48">
        <f t="shared" si="22"/>
        <v>1.5921763011137762</v>
      </c>
      <c r="N370" s="48" t="e">
        <f t="shared" si="23"/>
        <v>#DIV/0!</v>
      </c>
    </row>
    <row r="371" spans="1:14" x14ac:dyDescent="0.25">
      <c r="A371" s="5">
        <v>2017</v>
      </c>
      <c r="B371" s="4"/>
      <c r="C371" s="4"/>
      <c r="D371" s="4">
        <v>30068034.260000002</v>
      </c>
      <c r="E371" s="4"/>
      <c r="F371" s="4"/>
      <c r="G371" s="4"/>
      <c r="H371" s="4">
        <v>82723533.048999995</v>
      </c>
      <c r="I371" s="4"/>
      <c r="K371" s="48" t="e">
        <f t="shared" si="20"/>
        <v>#DIV/0!</v>
      </c>
      <c r="L371" s="48" t="e">
        <f t="shared" si="21"/>
        <v>#DIV/0!</v>
      </c>
      <c r="M371" s="48">
        <f t="shared" si="22"/>
        <v>2.7512118794891913</v>
      </c>
      <c r="N371" s="48" t="e">
        <f t="shared" si="23"/>
        <v>#DIV/0!</v>
      </c>
    </row>
    <row r="372" spans="1:14" x14ac:dyDescent="0.25">
      <c r="A372" s="5">
        <v>2018</v>
      </c>
      <c r="B372" s="4"/>
      <c r="C372" s="4"/>
      <c r="D372" s="4">
        <v>33027795.859999999</v>
      </c>
      <c r="E372" s="4"/>
      <c r="F372" s="4"/>
      <c r="G372" s="4"/>
      <c r="H372" s="4">
        <v>179382973.76300001</v>
      </c>
      <c r="I372" s="4"/>
      <c r="K372" s="48" t="e">
        <f t="shared" si="20"/>
        <v>#DIV/0!</v>
      </c>
      <c r="L372" s="48" t="e">
        <f t="shared" si="21"/>
        <v>#DIV/0!</v>
      </c>
      <c r="M372" s="48">
        <f t="shared" si="22"/>
        <v>5.4312729351779403</v>
      </c>
      <c r="N372" s="48" t="e">
        <f t="shared" si="23"/>
        <v>#DIV/0!</v>
      </c>
    </row>
    <row r="373" spans="1:14" x14ac:dyDescent="0.25">
      <c r="A373" s="5">
        <v>2019</v>
      </c>
      <c r="B373" s="4"/>
      <c r="C373" s="4"/>
      <c r="D373" s="4">
        <v>31876720.791999999</v>
      </c>
      <c r="E373" s="4"/>
      <c r="F373" s="4"/>
      <c r="G373" s="4"/>
      <c r="H373" s="4">
        <v>154630458.73300001</v>
      </c>
      <c r="I373" s="4"/>
      <c r="K373" s="48" t="e">
        <f t="shared" si="20"/>
        <v>#DIV/0!</v>
      </c>
      <c r="L373" s="48" t="e">
        <f t="shared" si="21"/>
        <v>#DIV/0!</v>
      </c>
      <c r="M373" s="48">
        <f t="shared" si="22"/>
        <v>4.8508897681786367</v>
      </c>
      <c r="N373" s="48" t="e">
        <f t="shared" si="23"/>
        <v>#DIV/0!</v>
      </c>
    </row>
    <row r="374" spans="1:14" x14ac:dyDescent="0.25">
      <c r="A374" s="5">
        <v>2020</v>
      </c>
      <c r="B374" s="4"/>
      <c r="C374" s="4"/>
      <c r="D374" s="4">
        <v>36597563.553999998</v>
      </c>
      <c r="E374" s="4"/>
      <c r="F374" s="4"/>
      <c r="G374" s="4"/>
      <c r="H374" s="4">
        <v>175796959.014</v>
      </c>
      <c r="I374" s="4"/>
      <c r="K374" s="48" t="e">
        <f t="shared" si="20"/>
        <v>#DIV/0!</v>
      </c>
      <c r="L374" s="48" t="e">
        <f t="shared" si="21"/>
        <v>#DIV/0!</v>
      </c>
      <c r="M374" s="48">
        <f t="shared" si="22"/>
        <v>4.8035153693936534</v>
      </c>
      <c r="N374" s="48" t="e">
        <f t="shared" si="23"/>
        <v>#DIV/0!</v>
      </c>
    </row>
    <row r="375" spans="1:14" x14ac:dyDescent="0.25">
      <c r="A375" s="5">
        <v>2021</v>
      </c>
      <c r="B375" s="4"/>
      <c r="C375" s="4"/>
      <c r="D375" s="4">
        <v>46785525.391999997</v>
      </c>
      <c r="E375" s="4"/>
      <c r="F375" s="4"/>
      <c r="G375" s="4"/>
      <c r="H375" s="4">
        <v>230269300.63</v>
      </c>
      <c r="I375" s="4"/>
      <c r="K375" s="48" t="e">
        <f t="shared" si="20"/>
        <v>#DIV/0!</v>
      </c>
      <c r="L375" s="48" t="e">
        <f t="shared" si="21"/>
        <v>#DIV/0!</v>
      </c>
      <c r="M375" s="48">
        <f t="shared" si="22"/>
        <v>4.921806449765219</v>
      </c>
      <c r="N375" s="48" t="e">
        <f t="shared" si="23"/>
        <v>#DIV/0!</v>
      </c>
    </row>
    <row r="376" spans="1:14" x14ac:dyDescent="0.25">
      <c r="A376" s="5">
        <v>2022</v>
      </c>
      <c r="B376" s="4"/>
      <c r="C376" s="4"/>
      <c r="D376" s="4">
        <v>49105176.454999998</v>
      </c>
      <c r="E376" s="4"/>
      <c r="F376" s="4"/>
      <c r="G376" s="4"/>
      <c r="H376" s="4">
        <v>255047297.009</v>
      </c>
      <c r="I376" s="4"/>
      <c r="K376" s="48" t="e">
        <f t="shared" si="20"/>
        <v>#DIV/0!</v>
      </c>
      <c r="L376" s="48" t="e">
        <f t="shared" si="21"/>
        <v>#DIV/0!</v>
      </c>
      <c r="M376" s="48">
        <f t="shared" si="22"/>
        <v>5.193898391602878</v>
      </c>
      <c r="N376" s="48" t="e">
        <f t="shared" si="23"/>
        <v>#DIV/0!</v>
      </c>
    </row>
    <row r="377" spans="1:14" x14ac:dyDescent="0.25">
      <c r="A377" s="5">
        <v>2023</v>
      </c>
      <c r="B377" s="4"/>
      <c r="C377" s="4"/>
      <c r="D377" s="4">
        <v>14092802.283</v>
      </c>
      <c r="E377" s="4"/>
      <c r="F377" s="4"/>
      <c r="G377" s="4"/>
      <c r="H377" s="4">
        <v>79432008.076000005</v>
      </c>
      <c r="I377" s="4"/>
      <c r="K377" s="48" t="e">
        <f t="shared" si="20"/>
        <v>#DIV/0!</v>
      </c>
      <c r="L377" s="48" t="e">
        <f t="shared" si="21"/>
        <v>#DIV/0!</v>
      </c>
      <c r="M377" s="48">
        <f t="shared" si="22"/>
        <v>5.636352975150869</v>
      </c>
      <c r="N377" s="48" t="e">
        <f t="shared" si="23"/>
        <v>#DIV/0!</v>
      </c>
    </row>
    <row r="378" spans="1:14" x14ac:dyDescent="0.25">
      <c r="A378" s="5">
        <v>2024</v>
      </c>
      <c r="B378" s="4"/>
      <c r="C378" s="4"/>
      <c r="D378" s="4">
        <v>23730254.197999999</v>
      </c>
      <c r="E378" s="4"/>
      <c r="F378" s="4"/>
      <c r="G378" s="4"/>
      <c r="H378" s="4">
        <v>132221928.317</v>
      </c>
      <c r="I378" s="4"/>
      <c r="K378" s="48" t="e">
        <f t="shared" si="20"/>
        <v>#DIV/0!</v>
      </c>
      <c r="L378" s="48" t="e">
        <f t="shared" si="21"/>
        <v>#DIV/0!</v>
      </c>
      <c r="M378" s="48">
        <f t="shared" si="22"/>
        <v>5.5718715532404097</v>
      </c>
      <c r="N378" s="48" t="e">
        <f t="shared" si="23"/>
        <v>#DIV/0!</v>
      </c>
    </row>
    <row r="379" spans="1:14" x14ac:dyDescent="0.25">
      <c r="A379" s="5">
        <v>2025</v>
      </c>
      <c r="B379" s="4"/>
      <c r="C379" s="4"/>
      <c r="D379" s="4">
        <v>22236997.537999999</v>
      </c>
      <c r="E379" s="4"/>
      <c r="F379" s="4"/>
      <c r="G379" s="4"/>
      <c r="H379" s="4">
        <v>119689928.264</v>
      </c>
      <c r="I379" s="4"/>
      <c r="K379" s="48" t="e">
        <f t="shared" si="20"/>
        <v>#DIV/0!</v>
      </c>
      <c r="L379" s="48" t="e">
        <f t="shared" si="21"/>
        <v>#DIV/0!</v>
      </c>
      <c r="M379" s="48">
        <f t="shared" si="22"/>
        <v>5.382468026965701</v>
      </c>
      <c r="N379" s="48" t="e">
        <f t="shared" si="23"/>
        <v>#DIV/0!</v>
      </c>
    </row>
    <row r="380" spans="1:14" x14ac:dyDescent="0.25">
      <c r="A380" s="3" t="s">
        <v>18</v>
      </c>
      <c r="B380" s="4">
        <v>372064642.50999999</v>
      </c>
      <c r="C380" s="4">
        <v>38032429.990000002</v>
      </c>
      <c r="D380" s="4">
        <v>2737433.43</v>
      </c>
      <c r="E380" s="4">
        <v>383872874.95999998</v>
      </c>
      <c r="F380" s="4">
        <v>676345928.36000001</v>
      </c>
      <c r="G380" s="4">
        <v>63241189.43</v>
      </c>
      <c r="H380" s="4">
        <v>13915986.530000001</v>
      </c>
      <c r="I380" s="4">
        <v>1820653102.6999996</v>
      </c>
      <c r="K380" s="48">
        <f t="shared" si="20"/>
        <v>1.8178183333876501</v>
      </c>
      <c r="L380" s="48">
        <f t="shared" si="21"/>
        <v>1.6628227396100703</v>
      </c>
      <c r="M380" s="48">
        <f t="shared" si="22"/>
        <v>5.0835890208296322</v>
      </c>
      <c r="N380" s="48">
        <f t="shared" si="23"/>
        <v>4.7428542662456001</v>
      </c>
    </row>
    <row r="381" spans="1:14" x14ac:dyDescent="0.25">
      <c r="A381" s="5">
        <v>2002</v>
      </c>
      <c r="B381" s="4"/>
      <c r="C381" s="4">
        <v>5958606.7599999998</v>
      </c>
      <c r="D381" s="4"/>
      <c r="E381" s="4"/>
      <c r="F381" s="4"/>
      <c r="G381" s="4">
        <v>4972543.6900000004</v>
      </c>
      <c r="H381" s="4"/>
      <c r="I381" s="4"/>
      <c r="K381" s="48" t="e">
        <f t="shared" si="20"/>
        <v>#DIV/0!</v>
      </c>
      <c r="L381" s="48">
        <f t="shared" si="21"/>
        <v>0.83451449143792811</v>
      </c>
      <c r="M381" s="48" t="e">
        <f t="shared" si="22"/>
        <v>#DIV/0!</v>
      </c>
      <c r="N381" s="48" t="e">
        <f t="shared" si="23"/>
        <v>#DIV/0!</v>
      </c>
    </row>
    <row r="382" spans="1:14" x14ac:dyDescent="0.25">
      <c r="A382" s="5">
        <v>2003</v>
      </c>
      <c r="B382" s="4"/>
      <c r="C382" s="4">
        <v>7581431.8099999996</v>
      </c>
      <c r="D382" s="4"/>
      <c r="E382" s="4"/>
      <c r="F382" s="4"/>
      <c r="G382" s="4">
        <v>8458787.0299999993</v>
      </c>
      <c r="H382" s="4"/>
      <c r="I382" s="4"/>
      <c r="K382" s="48" t="e">
        <f t="shared" si="20"/>
        <v>#DIV/0!</v>
      </c>
      <c r="L382" s="48">
        <f t="shared" si="21"/>
        <v>1.115724211730396</v>
      </c>
      <c r="M382" s="48" t="e">
        <f t="shared" si="22"/>
        <v>#DIV/0!</v>
      </c>
      <c r="N382" s="48" t="e">
        <f t="shared" si="23"/>
        <v>#DIV/0!</v>
      </c>
    </row>
    <row r="383" spans="1:14" x14ac:dyDescent="0.25">
      <c r="A383" s="5">
        <v>2004</v>
      </c>
      <c r="B383" s="4">
        <v>4217102.5199999996</v>
      </c>
      <c r="C383" s="4"/>
      <c r="D383" s="4"/>
      <c r="E383" s="4">
        <v>9626123.7899999991</v>
      </c>
      <c r="F383" s="4">
        <v>5672233.3399999999</v>
      </c>
      <c r="G383" s="4"/>
      <c r="H383" s="4"/>
      <c r="I383" s="4">
        <v>31073370.359999999</v>
      </c>
      <c r="K383" s="48">
        <f t="shared" si="20"/>
        <v>1.3450546466676843</v>
      </c>
      <c r="L383" s="48" t="e">
        <f t="shared" si="21"/>
        <v>#DIV/0!</v>
      </c>
      <c r="M383" s="48" t="e">
        <f t="shared" si="22"/>
        <v>#DIV/0!</v>
      </c>
      <c r="N383" s="48">
        <f t="shared" si="23"/>
        <v>3.2280252194845298</v>
      </c>
    </row>
    <row r="384" spans="1:14" x14ac:dyDescent="0.25">
      <c r="A384" s="5">
        <v>2005</v>
      </c>
      <c r="B384" s="4">
        <v>23308580.300000001</v>
      </c>
      <c r="C384" s="4"/>
      <c r="D384" s="4"/>
      <c r="E384" s="4">
        <v>14122955.83</v>
      </c>
      <c r="F384" s="4">
        <v>32330677.899999999</v>
      </c>
      <c r="G384" s="4"/>
      <c r="H384" s="4"/>
      <c r="I384" s="4">
        <v>51958957.579999998</v>
      </c>
      <c r="K384" s="48">
        <f t="shared" si="20"/>
        <v>1.3870719487793084</v>
      </c>
      <c r="L384" s="48" t="e">
        <f t="shared" si="21"/>
        <v>#DIV/0!</v>
      </c>
      <c r="M384" s="48" t="e">
        <f t="shared" si="22"/>
        <v>#DIV/0!</v>
      </c>
      <c r="N384" s="48">
        <f t="shared" si="23"/>
        <v>3.6790427022103063</v>
      </c>
    </row>
    <row r="385" spans="1:14" x14ac:dyDescent="0.25">
      <c r="A385" s="5">
        <v>2006</v>
      </c>
      <c r="B385" s="4">
        <v>11610014.119999999</v>
      </c>
      <c r="C385" s="4"/>
      <c r="D385" s="4"/>
      <c r="E385" s="4">
        <v>12405962.699999999</v>
      </c>
      <c r="F385" s="4">
        <v>20585264.690000001</v>
      </c>
      <c r="G385" s="4"/>
      <c r="H385" s="4"/>
      <c r="I385" s="4">
        <v>49215390.649999999</v>
      </c>
      <c r="K385" s="48">
        <f t="shared" si="20"/>
        <v>1.7730611244080039</v>
      </c>
      <c r="L385" s="48" t="e">
        <f t="shared" si="21"/>
        <v>#DIV/0!</v>
      </c>
      <c r="M385" s="48" t="e">
        <f t="shared" si="22"/>
        <v>#DIV/0!</v>
      </c>
      <c r="N385" s="48">
        <f t="shared" si="23"/>
        <v>3.9670754974944429</v>
      </c>
    </row>
    <row r="386" spans="1:14" x14ac:dyDescent="0.25">
      <c r="A386" s="5">
        <v>2007</v>
      </c>
      <c r="B386" s="4">
        <v>26323589.719999999</v>
      </c>
      <c r="C386" s="4"/>
      <c r="D386" s="4"/>
      <c r="E386" s="4">
        <v>19160306.300000001</v>
      </c>
      <c r="F386" s="4">
        <v>48620566.880000003</v>
      </c>
      <c r="G386" s="4"/>
      <c r="H386" s="4"/>
      <c r="I386" s="4">
        <v>92834156.170000002</v>
      </c>
      <c r="K386" s="48">
        <f t="shared" si="20"/>
        <v>1.8470340632554125</v>
      </c>
      <c r="L386" s="48" t="e">
        <f t="shared" si="21"/>
        <v>#DIV/0!</v>
      </c>
      <c r="M386" s="48" t="e">
        <f t="shared" si="22"/>
        <v>#DIV/0!</v>
      </c>
      <c r="N386" s="48">
        <f t="shared" si="23"/>
        <v>4.8451290243726426</v>
      </c>
    </row>
    <row r="387" spans="1:14" x14ac:dyDescent="0.25">
      <c r="A387" s="5">
        <v>2008</v>
      </c>
      <c r="B387" s="4">
        <v>8148906.5800000001</v>
      </c>
      <c r="C387" s="4"/>
      <c r="D387" s="4"/>
      <c r="E387" s="4">
        <v>19033629</v>
      </c>
      <c r="F387" s="4">
        <v>17249544.949999999</v>
      </c>
      <c r="G387" s="4"/>
      <c r="H387" s="4"/>
      <c r="I387" s="4">
        <v>106356922.42</v>
      </c>
      <c r="K387" s="48">
        <f t="shared" si="20"/>
        <v>2.1167925758697308</v>
      </c>
      <c r="L387" s="48" t="e">
        <f t="shared" si="21"/>
        <v>#DIV/0!</v>
      </c>
      <c r="M387" s="48" t="e">
        <f t="shared" si="22"/>
        <v>#DIV/0!</v>
      </c>
      <c r="N387" s="48">
        <f t="shared" si="23"/>
        <v>5.58784257169245</v>
      </c>
    </row>
    <row r="388" spans="1:14" x14ac:dyDescent="0.25">
      <c r="A388" s="5">
        <v>2009</v>
      </c>
      <c r="B388" s="4">
        <v>30570609</v>
      </c>
      <c r="C388" s="4"/>
      <c r="D388" s="4"/>
      <c r="E388" s="4">
        <v>18189631.800000001</v>
      </c>
      <c r="F388" s="4">
        <v>57352117.990000002</v>
      </c>
      <c r="G388" s="4"/>
      <c r="H388" s="4"/>
      <c r="I388" s="4">
        <v>73686141.439999998</v>
      </c>
      <c r="K388" s="48">
        <f t="shared" si="20"/>
        <v>1.8760541535171904</v>
      </c>
      <c r="L388" s="48" t="e">
        <f t="shared" si="21"/>
        <v>#DIV/0!</v>
      </c>
      <c r="M388" s="48" t="e">
        <f t="shared" si="22"/>
        <v>#DIV/0!</v>
      </c>
      <c r="N388" s="48">
        <f t="shared" si="23"/>
        <v>4.0509968673472541</v>
      </c>
    </row>
    <row r="389" spans="1:14" x14ac:dyDescent="0.25">
      <c r="A389" s="5">
        <v>2010</v>
      </c>
      <c r="B389" s="4">
        <v>16761216</v>
      </c>
      <c r="C389" s="4"/>
      <c r="D389" s="4"/>
      <c r="E389" s="4">
        <v>14221857</v>
      </c>
      <c r="F389" s="4">
        <v>26819670.579999998</v>
      </c>
      <c r="G389" s="4"/>
      <c r="H389" s="4"/>
      <c r="I389" s="4">
        <v>65022103.740000002</v>
      </c>
      <c r="K389" s="48">
        <f t="shared" si="20"/>
        <v>1.6001029149675059</v>
      </c>
      <c r="L389" s="48" t="e">
        <f t="shared" si="21"/>
        <v>#DIV/0!</v>
      </c>
      <c r="M389" s="48" t="e">
        <f t="shared" si="22"/>
        <v>#DIV/0!</v>
      </c>
      <c r="N389" s="48">
        <f t="shared" si="23"/>
        <v>4.5719840763410859</v>
      </c>
    </row>
    <row r="390" spans="1:14" x14ac:dyDescent="0.25">
      <c r="A390" s="5">
        <v>2011</v>
      </c>
      <c r="B390" s="4">
        <v>11348763.1</v>
      </c>
      <c r="C390" s="4"/>
      <c r="D390" s="4"/>
      <c r="E390" s="4">
        <v>14306126.32</v>
      </c>
      <c r="F390" s="4">
        <v>22425617.73</v>
      </c>
      <c r="G390" s="4"/>
      <c r="H390" s="4"/>
      <c r="I390" s="4">
        <v>67705622.980000004</v>
      </c>
      <c r="K390" s="48">
        <f t="shared" si="20"/>
        <v>1.9760406955714849</v>
      </c>
      <c r="L390" s="48" t="e">
        <f t="shared" si="21"/>
        <v>#DIV/0!</v>
      </c>
      <c r="M390" s="48" t="e">
        <f t="shared" si="22"/>
        <v>#DIV/0!</v>
      </c>
      <c r="N390" s="48">
        <f t="shared" si="23"/>
        <v>4.7326314241575913</v>
      </c>
    </row>
    <row r="391" spans="1:14" x14ac:dyDescent="0.25">
      <c r="A391" s="5">
        <v>2012</v>
      </c>
      <c r="B391" s="4">
        <v>13153851.51</v>
      </c>
      <c r="C391" s="4"/>
      <c r="D391" s="4">
        <v>1093804.8700000001</v>
      </c>
      <c r="E391" s="4">
        <v>17475405</v>
      </c>
      <c r="F391" s="4">
        <v>32831109.649999999</v>
      </c>
      <c r="G391" s="4"/>
      <c r="H391" s="4">
        <v>5455043.2599999998</v>
      </c>
      <c r="I391" s="4">
        <v>96976519.75</v>
      </c>
      <c r="K391" s="48">
        <f t="shared" ref="K391:K454" si="24">F391/B391</f>
        <v>2.4959312962473907</v>
      </c>
      <c r="L391" s="48" t="e">
        <f t="shared" ref="L391:L454" si="25">G391/C391</f>
        <v>#DIV/0!</v>
      </c>
      <c r="M391" s="48">
        <f t="shared" ref="M391:M454" si="26">H391/D391</f>
        <v>4.9872179303791171</v>
      </c>
      <c r="N391" s="48">
        <f t="shared" ref="N391:N454" si="27">I391/E391</f>
        <v>5.5493145795476559</v>
      </c>
    </row>
    <row r="392" spans="1:14" x14ac:dyDescent="0.25">
      <c r="A392" s="5">
        <v>2013</v>
      </c>
      <c r="B392" s="4">
        <v>18830795.300000001</v>
      </c>
      <c r="C392" s="4"/>
      <c r="D392" s="4">
        <v>732789.23</v>
      </c>
      <c r="E392" s="4">
        <v>19451900</v>
      </c>
      <c r="F392" s="4">
        <v>47814281.490000002</v>
      </c>
      <c r="G392" s="4"/>
      <c r="H392" s="4">
        <v>3747431.97</v>
      </c>
      <c r="I392" s="4">
        <v>106606803.88</v>
      </c>
      <c r="K392" s="48">
        <f t="shared" si="24"/>
        <v>2.5391535900769946</v>
      </c>
      <c r="L392" s="48" t="e">
        <f t="shared" si="25"/>
        <v>#DIV/0!</v>
      </c>
      <c r="M392" s="48">
        <f t="shared" si="26"/>
        <v>5.1139288305315302</v>
      </c>
      <c r="N392" s="48">
        <f t="shared" si="27"/>
        <v>5.4805342347020085</v>
      </c>
    </row>
    <row r="393" spans="1:14" x14ac:dyDescent="0.25">
      <c r="A393" s="5">
        <v>2014</v>
      </c>
      <c r="B393" s="4">
        <v>16924718.100000001</v>
      </c>
      <c r="C393" s="4"/>
      <c r="D393" s="4"/>
      <c r="E393" s="4">
        <v>20059350.300000001</v>
      </c>
      <c r="F393" s="4">
        <v>36350119.32</v>
      </c>
      <c r="G393" s="4"/>
      <c r="H393" s="4"/>
      <c r="I393" s="4">
        <v>97831294.709999993</v>
      </c>
      <c r="K393" s="48">
        <f t="shared" si="24"/>
        <v>2.1477533099945694</v>
      </c>
      <c r="L393" s="48" t="e">
        <f t="shared" si="25"/>
        <v>#DIV/0!</v>
      </c>
      <c r="M393" s="48" t="e">
        <f t="shared" si="26"/>
        <v>#DIV/0!</v>
      </c>
      <c r="N393" s="48">
        <f t="shared" si="27"/>
        <v>4.877091892153655</v>
      </c>
    </row>
    <row r="394" spans="1:14" x14ac:dyDescent="0.25">
      <c r="A394" s="5">
        <v>2015</v>
      </c>
      <c r="B394" s="4">
        <v>15565174.84</v>
      </c>
      <c r="C394" s="4"/>
      <c r="D394" s="4"/>
      <c r="E394" s="4">
        <v>17681894.899999999</v>
      </c>
      <c r="F394" s="4">
        <v>19221136.18</v>
      </c>
      <c r="G394" s="4"/>
      <c r="H394" s="4"/>
      <c r="I394" s="4">
        <v>73625371.489999995</v>
      </c>
      <c r="K394" s="48">
        <f t="shared" si="24"/>
        <v>1.234880839925085</v>
      </c>
      <c r="L394" s="48" t="e">
        <f t="shared" si="25"/>
        <v>#DIV/0!</v>
      </c>
      <c r="M394" s="48" t="e">
        <f t="shared" si="26"/>
        <v>#DIV/0!</v>
      </c>
      <c r="N394" s="48">
        <f t="shared" si="27"/>
        <v>4.1638846914535161</v>
      </c>
    </row>
    <row r="395" spans="1:14" x14ac:dyDescent="0.25">
      <c r="A395" s="5">
        <v>2016</v>
      </c>
      <c r="B395" s="4">
        <v>13491447.67</v>
      </c>
      <c r="C395" s="4">
        <v>4425280</v>
      </c>
      <c r="D395" s="4"/>
      <c r="E395" s="4">
        <v>18431277</v>
      </c>
      <c r="F395" s="4">
        <v>22277944.670000002</v>
      </c>
      <c r="G395" s="4">
        <v>8735767.8399999999</v>
      </c>
      <c r="H395" s="4"/>
      <c r="I395" s="4">
        <v>77300718.049999997</v>
      </c>
      <c r="K395" s="48">
        <f t="shared" si="24"/>
        <v>1.6512642093656063</v>
      </c>
      <c r="L395" s="48">
        <f t="shared" si="25"/>
        <v>1.9740599103333574</v>
      </c>
      <c r="M395" s="48" t="e">
        <f t="shared" si="26"/>
        <v>#DIV/0!</v>
      </c>
      <c r="N395" s="48">
        <f t="shared" si="27"/>
        <v>4.1939968701029233</v>
      </c>
    </row>
    <row r="396" spans="1:14" x14ac:dyDescent="0.25">
      <c r="A396" s="5">
        <v>2017</v>
      </c>
      <c r="B396" s="4">
        <v>18336787.129999999</v>
      </c>
      <c r="C396" s="4">
        <v>4368037</v>
      </c>
      <c r="D396" s="4">
        <v>910839.33</v>
      </c>
      <c r="E396" s="4">
        <v>19020943.699999999</v>
      </c>
      <c r="F396" s="4">
        <v>36468768.780000001</v>
      </c>
      <c r="G396" s="4">
        <v>9859805.9000000004</v>
      </c>
      <c r="H396" s="4">
        <v>4713511.3</v>
      </c>
      <c r="I396" s="4">
        <v>88788545.239999995</v>
      </c>
      <c r="K396" s="48">
        <f t="shared" si="24"/>
        <v>1.9888308961352927</v>
      </c>
      <c r="L396" s="48">
        <f t="shared" si="25"/>
        <v>2.2572624499288811</v>
      </c>
      <c r="M396" s="48">
        <f t="shared" si="26"/>
        <v>5.1749097176117766</v>
      </c>
      <c r="N396" s="48">
        <f t="shared" si="27"/>
        <v>4.6679358627195766</v>
      </c>
    </row>
    <row r="397" spans="1:14" x14ac:dyDescent="0.25">
      <c r="A397" s="5">
        <v>2018</v>
      </c>
      <c r="B397" s="4">
        <v>16726275.289999999</v>
      </c>
      <c r="C397" s="4">
        <v>2054537</v>
      </c>
      <c r="D397" s="4"/>
      <c r="E397" s="4">
        <v>16910375.699999999</v>
      </c>
      <c r="F397" s="4">
        <v>28499961.5</v>
      </c>
      <c r="G397" s="4">
        <v>4351791.46</v>
      </c>
      <c r="H397" s="4"/>
      <c r="I397" s="4">
        <v>84919604.359999999</v>
      </c>
      <c r="K397" s="48">
        <f t="shared" si="24"/>
        <v>1.7039036489516013</v>
      </c>
      <c r="L397" s="48">
        <f t="shared" si="25"/>
        <v>2.1181373029543882</v>
      </c>
      <c r="M397" s="48" t="e">
        <f t="shared" si="26"/>
        <v>#DIV/0!</v>
      </c>
      <c r="N397" s="48">
        <f t="shared" si="27"/>
        <v>5.021745576001603</v>
      </c>
    </row>
    <row r="398" spans="1:14" x14ac:dyDescent="0.25">
      <c r="A398" s="5">
        <v>2019</v>
      </c>
      <c r="B398" s="4">
        <v>15838428.800000001</v>
      </c>
      <c r="C398" s="4">
        <v>2334353.42</v>
      </c>
      <c r="D398" s="4"/>
      <c r="E398" s="4">
        <v>16950672.550000001</v>
      </c>
      <c r="F398" s="4">
        <v>23146281.219999999</v>
      </c>
      <c r="G398" s="4">
        <v>3993657.09</v>
      </c>
      <c r="H398" s="4"/>
      <c r="I398" s="4">
        <v>77623180.359999999</v>
      </c>
      <c r="K398" s="48">
        <f t="shared" si="24"/>
        <v>1.46140008660455</v>
      </c>
      <c r="L398" s="48">
        <f t="shared" si="25"/>
        <v>1.7108193882655522</v>
      </c>
      <c r="M398" s="48" t="e">
        <f t="shared" si="26"/>
        <v>#DIV/0!</v>
      </c>
      <c r="N398" s="48">
        <f t="shared" si="27"/>
        <v>4.5793569624468971</v>
      </c>
    </row>
    <row r="399" spans="1:14" x14ac:dyDescent="0.25">
      <c r="A399" s="5">
        <v>2020</v>
      </c>
      <c r="B399" s="4">
        <v>5122657</v>
      </c>
      <c r="C399" s="4">
        <v>3844639</v>
      </c>
      <c r="D399" s="4"/>
      <c r="E399" s="4">
        <v>16789612.100000001</v>
      </c>
      <c r="F399" s="4">
        <v>9345614.9499999993</v>
      </c>
      <c r="G399" s="4">
        <v>6522559.04</v>
      </c>
      <c r="H399" s="4"/>
      <c r="I399" s="4">
        <v>74951906.859999999</v>
      </c>
      <c r="K399" s="48">
        <f t="shared" si="24"/>
        <v>1.8243686723510864</v>
      </c>
      <c r="L399" s="48">
        <f t="shared" si="25"/>
        <v>1.696533547102862</v>
      </c>
      <c r="M399" s="48" t="e">
        <f t="shared" si="26"/>
        <v>#DIV/0!</v>
      </c>
      <c r="N399" s="48">
        <f t="shared" si="27"/>
        <v>4.4641833541824347</v>
      </c>
    </row>
    <row r="400" spans="1:14" x14ac:dyDescent="0.25">
      <c r="A400" s="5">
        <v>2021</v>
      </c>
      <c r="B400" s="4">
        <v>5676950.7800000003</v>
      </c>
      <c r="C400" s="4">
        <v>3292328</v>
      </c>
      <c r="D400" s="4"/>
      <c r="E400" s="4">
        <v>16546589</v>
      </c>
      <c r="F400" s="4">
        <v>10237073.24</v>
      </c>
      <c r="G400" s="4">
        <v>6727619.6100000003</v>
      </c>
      <c r="H400" s="4"/>
      <c r="I400" s="4">
        <v>80367170.760000005</v>
      </c>
      <c r="K400" s="48">
        <f t="shared" si="24"/>
        <v>1.8032696841525195</v>
      </c>
      <c r="L400" s="48">
        <f t="shared" si="25"/>
        <v>2.0434232585574708</v>
      </c>
      <c r="M400" s="48" t="e">
        <f t="shared" si="26"/>
        <v>#DIV/0!</v>
      </c>
      <c r="N400" s="48">
        <f t="shared" si="27"/>
        <v>4.8570234481559922</v>
      </c>
    </row>
    <row r="401" spans="1:14" x14ac:dyDescent="0.25">
      <c r="A401" s="5">
        <v>2022</v>
      </c>
      <c r="B401" s="4">
        <v>12872359.279999999</v>
      </c>
      <c r="C401" s="4">
        <v>2596498</v>
      </c>
      <c r="D401" s="4"/>
      <c r="E401" s="4">
        <v>18903609.5</v>
      </c>
      <c r="F401" s="4">
        <v>23776404.780000001</v>
      </c>
      <c r="G401" s="4">
        <v>5927386.4400000004</v>
      </c>
      <c r="H401" s="4"/>
      <c r="I401" s="4">
        <v>98818762.319999993</v>
      </c>
      <c r="K401" s="48">
        <f t="shared" si="24"/>
        <v>1.847089897260854</v>
      </c>
      <c r="L401" s="48">
        <f t="shared" si="25"/>
        <v>2.282838823677122</v>
      </c>
      <c r="M401" s="48" t="e">
        <f t="shared" si="26"/>
        <v>#DIV/0!</v>
      </c>
      <c r="N401" s="48">
        <f t="shared" si="27"/>
        <v>5.2275075995407114</v>
      </c>
    </row>
    <row r="402" spans="1:14" x14ac:dyDescent="0.25">
      <c r="A402" s="5">
        <v>2023</v>
      </c>
      <c r="B402" s="4">
        <v>13852207.289999999</v>
      </c>
      <c r="C402" s="4">
        <v>1576719</v>
      </c>
      <c r="D402" s="4"/>
      <c r="E402" s="4">
        <v>18212504.780000001</v>
      </c>
      <c r="F402" s="4">
        <v>25545654.879999999</v>
      </c>
      <c r="G402" s="4">
        <v>3691271.33</v>
      </c>
      <c r="H402" s="4"/>
      <c r="I402" s="4">
        <v>97051324.299999997</v>
      </c>
      <c r="K402" s="48">
        <f t="shared" si="24"/>
        <v>1.8441577104063103</v>
      </c>
      <c r="L402" s="48">
        <f t="shared" si="25"/>
        <v>2.3411091830567146</v>
      </c>
      <c r="M402" s="48" t="e">
        <f t="shared" si="26"/>
        <v>#DIV/0!</v>
      </c>
      <c r="N402" s="48">
        <f t="shared" si="27"/>
        <v>5.3288290365516646</v>
      </c>
    </row>
    <row r="403" spans="1:14" x14ac:dyDescent="0.25">
      <c r="A403" s="5">
        <v>2024</v>
      </c>
      <c r="B403" s="4">
        <v>11182196.619999999</v>
      </c>
      <c r="C403" s="4"/>
      <c r="D403" s="4"/>
      <c r="E403" s="4">
        <v>20461011.390000001</v>
      </c>
      <c r="F403" s="4">
        <v>16046106.029999999</v>
      </c>
      <c r="G403" s="4"/>
      <c r="H403" s="4"/>
      <c r="I403" s="4">
        <v>100614248.56</v>
      </c>
      <c r="K403" s="48">
        <f t="shared" si="24"/>
        <v>1.4349690472532579</v>
      </c>
      <c r="L403" s="48" t="e">
        <f t="shared" si="25"/>
        <v>#DIV/0!</v>
      </c>
      <c r="M403" s="48" t="e">
        <f t="shared" si="26"/>
        <v>#DIV/0!</v>
      </c>
      <c r="N403" s="48">
        <f t="shared" si="27"/>
        <v>4.9173643786334846</v>
      </c>
    </row>
    <row r="404" spans="1:14" x14ac:dyDescent="0.25">
      <c r="A404" s="5">
        <v>2025</v>
      </c>
      <c r="B404" s="4">
        <v>62202011.560000002</v>
      </c>
      <c r="C404" s="4"/>
      <c r="D404" s="4"/>
      <c r="E404" s="4">
        <v>25911136.300000001</v>
      </c>
      <c r="F404" s="4">
        <v>113729777.61</v>
      </c>
      <c r="G404" s="4"/>
      <c r="H404" s="4"/>
      <c r="I404" s="4">
        <v>127324986.72</v>
      </c>
      <c r="K404" s="48">
        <f t="shared" si="24"/>
        <v>1.8283938856269362</v>
      </c>
      <c r="L404" s="48" t="e">
        <f t="shared" si="25"/>
        <v>#DIV/0!</v>
      </c>
      <c r="M404" s="48" t="e">
        <f t="shared" si="26"/>
        <v>#DIV/0!</v>
      </c>
      <c r="N404" s="48">
        <f t="shared" si="27"/>
        <v>4.9139098048741303</v>
      </c>
    </row>
    <row r="405" spans="1:14" x14ac:dyDescent="0.25">
      <c r="A405" s="3" t="s">
        <v>19</v>
      </c>
      <c r="B405" s="4"/>
      <c r="C405" s="4">
        <v>4257179.9000000004</v>
      </c>
      <c r="D405" s="4">
        <v>94176271.799999997</v>
      </c>
      <c r="E405" s="4">
        <v>3214028.6</v>
      </c>
      <c r="F405" s="4"/>
      <c r="G405" s="4">
        <v>613939.91200000001</v>
      </c>
      <c r="H405" s="4">
        <v>1336197.6340000001</v>
      </c>
      <c r="I405" s="4">
        <v>97493.43</v>
      </c>
      <c r="K405" s="48" t="e">
        <f t="shared" si="24"/>
        <v>#DIV/0!</v>
      </c>
      <c r="L405" s="48">
        <f t="shared" si="25"/>
        <v>0.14421281844349587</v>
      </c>
      <c r="M405" s="48">
        <f t="shared" si="26"/>
        <v>1.4188262164780238E-2</v>
      </c>
      <c r="N405" s="48">
        <f t="shared" si="27"/>
        <v>3.0333715760961177E-2</v>
      </c>
    </row>
    <row r="406" spans="1:14" x14ac:dyDescent="0.25">
      <c r="A406" s="5">
        <v>2014</v>
      </c>
      <c r="B406" s="4"/>
      <c r="C406" s="4">
        <v>4257179.9000000004</v>
      </c>
      <c r="D406" s="4">
        <v>94176271.799999997</v>
      </c>
      <c r="E406" s="4">
        <v>3214028.6</v>
      </c>
      <c r="F406" s="4"/>
      <c r="G406" s="4">
        <v>613939.91200000001</v>
      </c>
      <c r="H406" s="4">
        <v>1336197.6340000001</v>
      </c>
      <c r="I406" s="4">
        <v>97493.43</v>
      </c>
      <c r="K406" s="48" t="e">
        <f t="shared" si="24"/>
        <v>#DIV/0!</v>
      </c>
      <c r="L406" s="48">
        <f t="shared" si="25"/>
        <v>0.14421281844349587</v>
      </c>
      <c r="M406" s="48">
        <f t="shared" si="26"/>
        <v>1.4188262164780238E-2</v>
      </c>
      <c r="N406" s="48">
        <f t="shared" si="27"/>
        <v>3.0333715760961177E-2</v>
      </c>
    </row>
    <row r="407" spans="1:14" x14ac:dyDescent="0.25">
      <c r="A407" s="3" t="s">
        <v>116</v>
      </c>
      <c r="B407" s="4"/>
      <c r="C407" s="4"/>
      <c r="D407" s="4">
        <v>1864508.98</v>
      </c>
      <c r="E407" s="4"/>
      <c r="F407" s="4"/>
      <c r="G407" s="4"/>
      <c r="H407" s="4">
        <v>3812790.88</v>
      </c>
      <c r="I407" s="4"/>
      <c r="K407" s="48" t="e">
        <f t="shared" si="24"/>
        <v>#DIV/0!</v>
      </c>
      <c r="L407" s="48" t="e">
        <f t="shared" si="25"/>
        <v>#DIV/0!</v>
      </c>
      <c r="M407" s="48">
        <f t="shared" si="26"/>
        <v>2.0449302850769859</v>
      </c>
      <c r="N407" s="48" t="e">
        <f t="shared" si="27"/>
        <v>#DIV/0!</v>
      </c>
    </row>
    <row r="408" spans="1:14" x14ac:dyDescent="0.25">
      <c r="A408" s="5">
        <v>2016</v>
      </c>
      <c r="B408" s="4"/>
      <c r="C408" s="4"/>
      <c r="D408" s="4">
        <v>954320.88</v>
      </c>
      <c r="E408" s="4"/>
      <c r="F408" s="4"/>
      <c r="G408" s="4"/>
      <c r="H408" s="4">
        <v>2174811.4589999998</v>
      </c>
      <c r="I408" s="4"/>
      <c r="K408" s="48" t="e">
        <f t="shared" si="24"/>
        <v>#DIV/0!</v>
      </c>
      <c r="L408" s="48" t="e">
        <f t="shared" si="25"/>
        <v>#DIV/0!</v>
      </c>
      <c r="M408" s="48">
        <f t="shared" si="26"/>
        <v>2.2789100653440588</v>
      </c>
      <c r="N408" s="48" t="e">
        <f t="shared" si="27"/>
        <v>#DIV/0!</v>
      </c>
    </row>
    <row r="409" spans="1:14" x14ac:dyDescent="0.25">
      <c r="A409" s="5">
        <v>2017</v>
      </c>
      <c r="B409" s="4"/>
      <c r="C409" s="4"/>
      <c r="D409" s="4">
        <v>910188.1</v>
      </c>
      <c r="E409" s="4"/>
      <c r="F409" s="4"/>
      <c r="G409" s="4"/>
      <c r="H409" s="4">
        <v>1637979.4210000001</v>
      </c>
      <c r="I409" s="4"/>
      <c r="K409" s="48" t="e">
        <f t="shared" si="24"/>
        <v>#DIV/0!</v>
      </c>
      <c r="L409" s="48" t="e">
        <f t="shared" si="25"/>
        <v>#DIV/0!</v>
      </c>
      <c r="M409" s="48">
        <f t="shared" si="26"/>
        <v>1.7996054013450629</v>
      </c>
      <c r="N409" s="48" t="e">
        <f t="shared" si="27"/>
        <v>#DIV/0!</v>
      </c>
    </row>
    <row r="410" spans="1:14" x14ac:dyDescent="0.25">
      <c r="A410" s="3" t="s">
        <v>20</v>
      </c>
      <c r="B410" s="4">
        <v>175321437.23300001</v>
      </c>
      <c r="C410" s="4">
        <v>479138452.12599993</v>
      </c>
      <c r="D410" s="4">
        <v>27138835.400000002</v>
      </c>
      <c r="E410" s="4">
        <v>201530037.60500002</v>
      </c>
      <c r="F410" s="4">
        <v>320340588.49400002</v>
      </c>
      <c r="G410" s="4">
        <v>1444810104.0839999</v>
      </c>
      <c r="H410" s="4">
        <v>75483385.902999997</v>
      </c>
      <c r="I410" s="4">
        <v>167718315.75099999</v>
      </c>
      <c r="K410" s="48">
        <f t="shared" si="24"/>
        <v>1.8271615470974685</v>
      </c>
      <c r="L410" s="48">
        <f t="shared" si="25"/>
        <v>3.0154334257106452</v>
      </c>
      <c r="M410" s="48">
        <f t="shared" si="26"/>
        <v>2.781378964515183</v>
      </c>
      <c r="N410" s="48">
        <f t="shared" si="27"/>
        <v>0.83222490177731623</v>
      </c>
    </row>
    <row r="411" spans="1:14" x14ac:dyDescent="0.25">
      <c r="A411" s="5">
        <v>2014</v>
      </c>
      <c r="B411" s="4">
        <v>77946760.290000007</v>
      </c>
      <c r="C411" s="4">
        <v>4711579.49</v>
      </c>
      <c r="D411" s="4">
        <v>1375127.18</v>
      </c>
      <c r="E411" s="4">
        <v>13049515.93</v>
      </c>
      <c r="F411" s="4">
        <v>139652184.086</v>
      </c>
      <c r="G411" s="4">
        <v>13882246.25</v>
      </c>
      <c r="H411" s="4">
        <v>4610317.4689999996</v>
      </c>
      <c r="I411" s="4">
        <v>9299498.3660000004</v>
      </c>
      <c r="K411" s="48">
        <f t="shared" si="24"/>
        <v>1.791635515914012</v>
      </c>
      <c r="L411" s="48">
        <f t="shared" si="25"/>
        <v>2.9464102811942583</v>
      </c>
      <c r="M411" s="48">
        <f t="shared" si="26"/>
        <v>3.352648057614569</v>
      </c>
      <c r="N411" s="48">
        <f t="shared" si="27"/>
        <v>0.71263167276734385</v>
      </c>
    </row>
    <row r="412" spans="1:14" x14ac:dyDescent="0.25">
      <c r="A412" s="5">
        <v>2015</v>
      </c>
      <c r="B412" s="4">
        <v>51910138.883000001</v>
      </c>
      <c r="C412" s="4">
        <v>66704993.479999997</v>
      </c>
      <c r="D412" s="4">
        <v>2218240.46</v>
      </c>
      <c r="E412" s="4">
        <v>11616132.34</v>
      </c>
      <c r="F412" s="4">
        <v>65590611.564000003</v>
      </c>
      <c r="G412" s="4">
        <v>208661995.206</v>
      </c>
      <c r="H412" s="4">
        <v>7357731.9390000002</v>
      </c>
      <c r="I412" s="4">
        <v>22634553.405000001</v>
      </c>
      <c r="K412" s="48">
        <f t="shared" si="24"/>
        <v>1.2635414386356074</v>
      </c>
      <c r="L412" s="48">
        <f t="shared" si="25"/>
        <v>3.128131558375201</v>
      </c>
      <c r="M412" s="48">
        <f t="shared" si="26"/>
        <v>3.316922611266409</v>
      </c>
      <c r="N412" s="48">
        <f t="shared" si="27"/>
        <v>1.948544725774018</v>
      </c>
    </row>
    <row r="413" spans="1:14" x14ac:dyDescent="0.25">
      <c r="A413" s="5">
        <v>2016</v>
      </c>
      <c r="B413" s="4">
        <v>19291646.100000001</v>
      </c>
      <c r="C413" s="4">
        <v>56535074.140000001</v>
      </c>
      <c r="D413" s="4">
        <v>2395909.1</v>
      </c>
      <c r="E413" s="4">
        <v>18263822.166000001</v>
      </c>
      <c r="F413" s="4">
        <v>45564890.439999998</v>
      </c>
      <c r="G413" s="4">
        <v>144517920.09400001</v>
      </c>
      <c r="H413" s="4">
        <v>6364947.5839999998</v>
      </c>
      <c r="I413" s="4">
        <v>7392132.5310000004</v>
      </c>
      <c r="K413" s="48">
        <f t="shared" si="24"/>
        <v>2.3618974868090699</v>
      </c>
      <c r="L413" s="48">
        <f t="shared" si="25"/>
        <v>2.556252420154693</v>
      </c>
      <c r="M413" s="48">
        <f t="shared" si="26"/>
        <v>2.6565897612726626</v>
      </c>
      <c r="N413" s="48">
        <f t="shared" si="27"/>
        <v>0.40474181492859812</v>
      </c>
    </row>
    <row r="414" spans="1:14" x14ac:dyDescent="0.25">
      <c r="A414" s="5">
        <v>2017</v>
      </c>
      <c r="B414" s="4">
        <v>19211253.359999999</v>
      </c>
      <c r="C414" s="4">
        <v>66895567.990000002</v>
      </c>
      <c r="D414" s="4">
        <v>2332154.4700000002</v>
      </c>
      <c r="E414" s="4">
        <v>11976435.948999999</v>
      </c>
      <c r="F414" s="4">
        <v>47101728.210000001</v>
      </c>
      <c r="G414" s="4">
        <v>184628802.42699999</v>
      </c>
      <c r="H414" s="4">
        <v>5745327.2010000004</v>
      </c>
      <c r="I414" s="4">
        <v>9625540.8469999991</v>
      </c>
      <c r="K414" s="48">
        <f t="shared" si="24"/>
        <v>2.4517779932084558</v>
      </c>
      <c r="L414" s="48">
        <f t="shared" si="25"/>
        <v>2.7599556738138395</v>
      </c>
      <c r="M414" s="48">
        <f t="shared" si="26"/>
        <v>2.4635277272178286</v>
      </c>
      <c r="N414" s="48">
        <f t="shared" si="27"/>
        <v>0.80370661923038189</v>
      </c>
    </row>
    <row r="415" spans="1:14" x14ac:dyDescent="0.25">
      <c r="A415" s="5">
        <v>2018</v>
      </c>
      <c r="B415" s="4"/>
      <c r="C415" s="4">
        <v>47452252.909999996</v>
      </c>
      <c r="D415" s="4">
        <v>2557677.2200000002</v>
      </c>
      <c r="E415" s="4">
        <v>16333534.1</v>
      </c>
      <c r="F415" s="4"/>
      <c r="G415" s="4">
        <v>132075831.632</v>
      </c>
      <c r="H415" s="4">
        <v>6317384.6140000001</v>
      </c>
      <c r="I415" s="4">
        <v>13706474.482999999</v>
      </c>
      <c r="K415" s="48" t="e">
        <f t="shared" si="24"/>
        <v>#DIV/0!</v>
      </c>
      <c r="L415" s="48">
        <f t="shared" si="25"/>
        <v>2.7833416441259544</v>
      </c>
      <c r="M415" s="48">
        <f t="shared" si="26"/>
        <v>2.4699694568965196</v>
      </c>
      <c r="N415" s="48">
        <f t="shared" si="27"/>
        <v>0.83916159228516252</v>
      </c>
    </row>
    <row r="416" spans="1:14" x14ac:dyDescent="0.25">
      <c r="A416" s="5">
        <v>2019</v>
      </c>
      <c r="B416" s="4"/>
      <c r="C416" s="4">
        <v>39985468.649999999</v>
      </c>
      <c r="D416" s="4">
        <v>2055955.28</v>
      </c>
      <c r="E416" s="4">
        <v>19069560.530000001</v>
      </c>
      <c r="F416" s="4"/>
      <c r="G416" s="4">
        <v>137159438.664</v>
      </c>
      <c r="H416" s="4">
        <v>5456888.6639999999</v>
      </c>
      <c r="I416" s="4">
        <v>14861107.802999999</v>
      </c>
      <c r="K416" s="48" t="e">
        <f t="shared" si="24"/>
        <v>#DIV/0!</v>
      </c>
      <c r="L416" s="48">
        <f t="shared" si="25"/>
        <v>3.4302321141858121</v>
      </c>
      <c r="M416" s="48">
        <f t="shared" si="26"/>
        <v>2.6541864587638306</v>
      </c>
      <c r="N416" s="48">
        <f t="shared" si="27"/>
        <v>0.77931045026552581</v>
      </c>
    </row>
    <row r="417" spans="1:14" x14ac:dyDescent="0.25">
      <c r="A417" s="5">
        <v>2020</v>
      </c>
      <c r="B417" s="4">
        <v>3863869.6</v>
      </c>
      <c r="C417" s="4">
        <v>33547663.359999999</v>
      </c>
      <c r="D417" s="4">
        <v>2408802.9300000002</v>
      </c>
      <c r="E417" s="4">
        <v>22552351.370000001</v>
      </c>
      <c r="F417" s="4">
        <v>13234243.498</v>
      </c>
      <c r="G417" s="4">
        <v>104729144.294</v>
      </c>
      <c r="H417" s="4">
        <v>6497216.7000000002</v>
      </c>
      <c r="I417" s="4">
        <v>17561426.644000001</v>
      </c>
      <c r="K417" s="48">
        <f t="shared" si="24"/>
        <v>3.4251268464132432</v>
      </c>
      <c r="L417" s="48">
        <f t="shared" si="25"/>
        <v>3.1218014551461151</v>
      </c>
      <c r="M417" s="48">
        <f t="shared" si="26"/>
        <v>2.6972803042879061</v>
      </c>
      <c r="N417" s="48">
        <f t="shared" si="27"/>
        <v>0.77869603731701709</v>
      </c>
    </row>
    <row r="418" spans="1:14" x14ac:dyDescent="0.25">
      <c r="A418" s="5">
        <v>2021</v>
      </c>
      <c r="B418" s="4"/>
      <c r="C418" s="4">
        <v>21061822.715</v>
      </c>
      <c r="D418" s="4">
        <v>2410938.8199999998</v>
      </c>
      <c r="E418" s="4">
        <v>21446735.120000001</v>
      </c>
      <c r="F418" s="4"/>
      <c r="G418" s="4">
        <v>94364077.457000002</v>
      </c>
      <c r="H418" s="4">
        <v>5938805.3200000003</v>
      </c>
      <c r="I418" s="4">
        <v>16556878.073000001</v>
      </c>
      <c r="K418" s="48" t="e">
        <f t="shared" si="24"/>
        <v>#DIV/0!</v>
      </c>
      <c r="L418" s="48">
        <f t="shared" si="25"/>
        <v>4.480337658041103</v>
      </c>
      <c r="M418" s="48">
        <f t="shared" si="26"/>
        <v>2.4632749992386787</v>
      </c>
      <c r="N418" s="48">
        <f t="shared" si="27"/>
        <v>0.77199993287369884</v>
      </c>
    </row>
    <row r="419" spans="1:14" x14ac:dyDescent="0.25">
      <c r="A419" s="5">
        <v>2022</v>
      </c>
      <c r="B419" s="4">
        <v>1748501</v>
      </c>
      <c r="C419" s="4">
        <v>33956803.700000003</v>
      </c>
      <c r="D419" s="4">
        <v>1580187.02</v>
      </c>
      <c r="E419" s="4">
        <v>22974488.420000002</v>
      </c>
      <c r="F419" s="4">
        <v>4778514.227</v>
      </c>
      <c r="G419" s="4">
        <v>126202314.221</v>
      </c>
      <c r="H419" s="4">
        <v>4502593.2340000002</v>
      </c>
      <c r="I419" s="4">
        <v>17710321.197999999</v>
      </c>
      <c r="K419" s="48">
        <f t="shared" si="24"/>
        <v>2.7329204999024879</v>
      </c>
      <c r="L419" s="48">
        <f t="shared" si="25"/>
        <v>3.7165545772790147</v>
      </c>
      <c r="M419" s="48">
        <f t="shared" si="26"/>
        <v>2.8494052773576133</v>
      </c>
      <c r="N419" s="48">
        <f t="shared" si="27"/>
        <v>0.77086901236863303</v>
      </c>
    </row>
    <row r="420" spans="1:14" x14ac:dyDescent="0.25">
      <c r="A420" s="5">
        <v>2023</v>
      </c>
      <c r="B420" s="4">
        <v>1349268</v>
      </c>
      <c r="C420" s="4">
        <v>25398972.920000002</v>
      </c>
      <c r="D420" s="4">
        <v>2482163.7599999998</v>
      </c>
      <c r="E420" s="4">
        <v>15309248.550000001</v>
      </c>
      <c r="F420" s="4">
        <v>4418416.4689999996</v>
      </c>
      <c r="G420" s="4">
        <v>78570371.895999998</v>
      </c>
      <c r="H420" s="4">
        <v>7660670.352</v>
      </c>
      <c r="I420" s="4">
        <v>13047474.593</v>
      </c>
      <c r="K420" s="48">
        <f t="shared" si="24"/>
        <v>3.2746766906203955</v>
      </c>
      <c r="L420" s="48">
        <f t="shared" si="25"/>
        <v>3.093446815486427</v>
      </c>
      <c r="M420" s="48">
        <f t="shared" si="26"/>
        <v>3.0862872448028975</v>
      </c>
      <c r="N420" s="48">
        <f t="shared" si="27"/>
        <v>0.85226094216100501</v>
      </c>
    </row>
    <row r="421" spans="1:14" x14ac:dyDescent="0.25">
      <c r="A421" s="5">
        <v>2024</v>
      </c>
      <c r="B421" s="4"/>
      <c r="C421" s="4">
        <v>49153353.270000003</v>
      </c>
      <c r="D421" s="4">
        <v>3210572.96</v>
      </c>
      <c r="E421" s="4">
        <v>19930372.649999999</v>
      </c>
      <c r="F421" s="4"/>
      <c r="G421" s="4">
        <v>128970623.42200001</v>
      </c>
      <c r="H421" s="4">
        <v>8895182.0869999994</v>
      </c>
      <c r="I421" s="4">
        <v>16728908.562999999</v>
      </c>
      <c r="K421" s="48" t="e">
        <f t="shared" si="24"/>
        <v>#DIV/0!</v>
      </c>
      <c r="L421" s="48">
        <f t="shared" si="25"/>
        <v>2.6238418102130838</v>
      </c>
      <c r="M421" s="48">
        <f t="shared" si="26"/>
        <v>2.7705902335264168</v>
      </c>
      <c r="N421" s="48">
        <f t="shared" si="27"/>
        <v>0.83936757514666949</v>
      </c>
    </row>
    <row r="422" spans="1:14" x14ac:dyDescent="0.25">
      <c r="A422" s="5">
        <v>2025</v>
      </c>
      <c r="B422" s="4"/>
      <c r="C422" s="4">
        <v>33734899.501000002</v>
      </c>
      <c r="D422" s="4">
        <v>2111106.2000000002</v>
      </c>
      <c r="E422" s="4">
        <v>9007840.4800000004</v>
      </c>
      <c r="F422" s="4"/>
      <c r="G422" s="4">
        <v>91047338.520999998</v>
      </c>
      <c r="H422" s="4">
        <v>6136320.7390000001</v>
      </c>
      <c r="I422" s="4">
        <v>8593999.2449999992</v>
      </c>
      <c r="K422" s="48" t="e">
        <f t="shared" si="24"/>
        <v>#DIV/0!</v>
      </c>
      <c r="L422" s="48">
        <f t="shared" si="25"/>
        <v>2.6989064697910568</v>
      </c>
      <c r="M422" s="48">
        <f t="shared" si="26"/>
        <v>2.9066850066566996</v>
      </c>
      <c r="N422" s="48">
        <f t="shared" si="27"/>
        <v>0.95405766388527324</v>
      </c>
    </row>
    <row r="423" spans="1:14" x14ac:dyDescent="0.25">
      <c r="A423" s="3" t="s">
        <v>115</v>
      </c>
      <c r="B423" s="4"/>
      <c r="C423" s="4"/>
      <c r="D423" s="4">
        <v>117488503.42299999</v>
      </c>
      <c r="E423" s="4"/>
      <c r="F423" s="4"/>
      <c r="G423" s="4"/>
      <c r="H423" s="4">
        <v>611197490.0259999</v>
      </c>
      <c r="I423" s="4"/>
      <c r="K423" s="48" t="e">
        <f t="shared" si="24"/>
        <v>#DIV/0!</v>
      </c>
      <c r="L423" s="48" t="e">
        <f t="shared" si="25"/>
        <v>#DIV/0!</v>
      </c>
      <c r="M423" s="48">
        <f t="shared" si="26"/>
        <v>5.2021897651166231</v>
      </c>
      <c r="N423" s="48" t="e">
        <f t="shared" si="27"/>
        <v>#DIV/0!</v>
      </c>
    </row>
    <row r="424" spans="1:14" x14ac:dyDescent="0.25">
      <c r="A424" s="5">
        <v>2010</v>
      </c>
      <c r="B424" s="4"/>
      <c r="C424" s="4"/>
      <c r="D424" s="4">
        <v>7220200</v>
      </c>
      <c r="E424" s="4"/>
      <c r="F424" s="4"/>
      <c r="G424" s="4"/>
      <c r="H424" s="4">
        <v>27100330.311999999</v>
      </c>
      <c r="I424" s="4"/>
      <c r="K424" s="48" t="e">
        <f t="shared" si="24"/>
        <v>#DIV/0!</v>
      </c>
      <c r="L424" s="48" t="e">
        <f t="shared" si="25"/>
        <v>#DIV/0!</v>
      </c>
      <c r="M424" s="48">
        <f t="shared" si="26"/>
        <v>3.7534043810420763</v>
      </c>
      <c r="N424" s="48" t="e">
        <f t="shared" si="27"/>
        <v>#DIV/0!</v>
      </c>
    </row>
    <row r="425" spans="1:14" x14ac:dyDescent="0.25">
      <c r="A425" s="5">
        <v>2011</v>
      </c>
      <c r="B425" s="4"/>
      <c r="C425" s="4"/>
      <c r="D425" s="4">
        <v>7038200</v>
      </c>
      <c r="E425" s="4"/>
      <c r="F425" s="4"/>
      <c r="G425" s="4"/>
      <c r="H425" s="4">
        <v>32210354.155999999</v>
      </c>
      <c r="I425" s="4"/>
      <c r="K425" s="48" t="e">
        <f t="shared" si="24"/>
        <v>#DIV/0!</v>
      </c>
      <c r="L425" s="48" t="e">
        <f t="shared" si="25"/>
        <v>#DIV/0!</v>
      </c>
      <c r="M425" s="48">
        <f t="shared" si="26"/>
        <v>4.5765045261572563</v>
      </c>
      <c r="N425" s="48" t="e">
        <f t="shared" si="27"/>
        <v>#DIV/0!</v>
      </c>
    </row>
    <row r="426" spans="1:14" x14ac:dyDescent="0.25">
      <c r="A426" s="5">
        <v>2012</v>
      </c>
      <c r="B426" s="4"/>
      <c r="C426" s="4"/>
      <c r="D426" s="4">
        <v>6505700</v>
      </c>
      <c r="E426" s="4"/>
      <c r="F426" s="4"/>
      <c r="G426" s="4"/>
      <c r="H426" s="4">
        <v>37217396.089000002</v>
      </c>
      <c r="I426" s="4"/>
      <c r="K426" s="48" t="e">
        <f t="shared" si="24"/>
        <v>#DIV/0!</v>
      </c>
      <c r="L426" s="48" t="e">
        <f t="shared" si="25"/>
        <v>#DIV/0!</v>
      </c>
      <c r="M426" s="48">
        <f t="shared" si="26"/>
        <v>5.720736598521297</v>
      </c>
      <c r="N426" s="48" t="e">
        <f t="shared" si="27"/>
        <v>#DIV/0!</v>
      </c>
    </row>
    <row r="427" spans="1:14" x14ac:dyDescent="0.25">
      <c r="A427" s="5">
        <v>2013</v>
      </c>
      <c r="B427" s="4"/>
      <c r="C427" s="4"/>
      <c r="D427" s="4">
        <v>8018102</v>
      </c>
      <c r="E427" s="4"/>
      <c r="F427" s="4"/>
      <c r="G427" s="4"/>
      <c r="H427" s="4">
        <v>50328236.156999998</v>
      </c>
      <c r="I427" s="4"/>
      <c r="K427" s="48" t="e">
        <f t="shared" si="24"/>
        <v>#DIV/0!</v>
      </c>
      <c r="L427" s="48" t="e">
        <f t="shared" si="25"/>
        <v>#DIV/0!</v>
      </c>
      <c r="M427" s="48">
        <f t="shared" si="26"/>
        <v>6.2768266301675881</v>
      </c>
      <c r="N427" s="48" t="e">
        <f t="shared" si="27"/>
        <v>#DIV/0!</v>
      </c>
    </row>
    <row r="428" spans="1:14" x14ac:dyDescent="0.25">
      <c r="A428" s="5">
        <v>2014</v>
      </c>
      <c r="B428" s="4"/>
      <c r="C428" s="4"/>
      <c r="D428" s="4">
        <v>7462968</v>
      </c>
      <c r="E428" s="4"/>
      <c r="F428" s="4"/>
      <c r="G428" s="4"/>
      <c r="H428" s="4">
        <v>41716320.888999999</v>
      </c>
      <c r="I428" s="4"/>
      <c r="K428" s="48" t="e">
        <f t="shared" si="24"/>
        <v>#DIV/0!</v>
      </c>
      <c r="L428" s="48" t="e">
        <f t="shared" si="25"/>
        <v>#DIV/0!</v>
      </c>
      <c r="M428" s="48">
        <f t="shared" si="26"/>
        <v>5.5897761974860405</v>
      </c>
      <c r="N428" s="48" t="e">
        <f t="shared" si="27"/>
        <v>#DIV/0!</v>
      </c>
    </row>
    <row r="429" spans="1:14" x14ac:dyDescent="0.25">
      <c r="A429" s="5">
        <v>2015</v>
      </c>
      <c r="B429" s="4"/>
      <c r="C429" s="4"/>
      <c r="D429" s="4">
        <v>7481946</v>
      </c>
      <c r="E429" s="4"/>
      <c r="F429" s="4"/>
      <c r="G429" s="4"/>
      <c r="H429" s="4">
        <v>36466909.946000002</v>
      </c>
      <c r="I429" s="4"/>
      <c r="K429" s="48" t="e">
        <f t="shared" si="24"/>
        <v>#DIV/0!</v>
      </c>
      <c r="L429" s="48" t="e">
        <f t="shared" si="25"/>
        <v>#DIV/0!</v>
      </c>
      <c r="M429" s="48">
        <f t="shared" si="26"/>
        <v>4.8739873217475775</v>
      </c>
      <c r="N429" s="48" t="e">
        <f t="shared" si="27"/>
        <v>#DIV/0!</v>
      </c>
    </row>
    <row r="430" spans="1:14" x14ac:dyDescent="0.25">
      <c r="A430" s="5">
        <v>2016</v>
      </c>
      <c r="B430" s="4"/>
      <c r="C430" s="4"/>
      <c r="D430" s="4">
        <v>6602901</v>
      </c>
      <c r="E430" s="4"/>
      <c r="F430" s="4"/>
      <c r="G430" s="4"/>
      <c r="H430" s="4">
        <v>30787457.09</v>
      </c>
      <c r="I430" s="4"/>
      <c r="K430" s="48" t="e">
        <f t="shared" si="24"/>
        <v>#DIV/0!</v>
      </c>
      <c r="L430" s="48" t="e">
        <f t="shared" si="25"/>
        <v>#DIV/0!</v>
      </c>
      <c r="M430" s="48">
        <f t="shared" si="26"/>
        <v>4.6627167498043667</v>
      </c>
      <c r="N430" s="48" t="e">
        <f t="shared" si="27"/>
        <v>#DIV/0!</v>
      </c>
    </row>
    <row r="431" spans="1:14" x14ac:dyDescent="0.25">
      <c r="A431" s="5">
        <v>2017</v>
      </c>
      <c r="B431" s="4"/>
      <c r="C431" s="4"/>
      <c r="D431" s="4">
        <v>8009194</v>
      </c>
      <c r="E431" s="4"/>
      <c r="F431" s="4"/>
      <c r="G431" s="4"/>
      <c r="H431" s="4">
        <v>38722866.217</v>
      </c>
      <c r="I431" s="4"/>
      <c r="K431" s="48" t="e">
        <f t="shared" si="24"/>
        <v>#DIV/0!</v>
      </c>
      <c r="L431" s="48" t="e">
        <f t="shared" si="25"/>
        <v>#DIV/0!</v>
      </c>
      <c r="M431" s="48">
        <f t="shared" si="26"/>
        <v>4.8348018810631883</v>
      </c>
      <c r="N431" s="48" t="e">
        <f t="shared" si="27"/>
        <v>#DIV/0!</v>
      </c>
    </row>
    <row r="432" spans="1:14" x14ac:dyDescent="0.25">
      <c r="A432" s="5">
        <v>2018</v>
      </c>
      <c r="B432" s="4"/>
      <c r="C432" s="4"/>
      <c r="D432" s="4">
        <v>6631035</v>
      </c>
      <c r="E432" s="4"/>
      <c r="F432" s="4"/>
      <c r="G432" s="4"/>
      <c r="H432" s="4">
        <v>36393473.686999999</v>
      </c>
      <c r="I432" s="4"/>
      <c r="K432" s="48" t="e">
        <f t="shared" si="24"/>
        <v>#DIV/0!</v>
      </c>
      <c r="L432" s="48" t="e">
        <f t="shared" si="25"/>
        <v>#DIV/0!</v>
      </c>
      <c r="M432" s="48">
        <f t="shared" si="26"/>
        <v>5.4883549381054388</v>
      </c>
      <c r="N432" s="48" t="e">
        <f t="shared" si="27"/>
        <v>#DIV/0!</v>
      </c>
    </row>
    <row r="433" spans="1:14" x14ac:dyDescent="0.25">
      <c r="A433" s="5">
        <v>2019</v>
      </c>
      <c r="B433" s="4"/>
      <c r="C433" s="4"/>
      <c r="D433" s="4">
        <v>8598480.0800000001</v>
      </c>
      <c r="E433" s="4"/>
      <c r="F433" s="4"/>
      <c r="G433" s="4"/>
      <c r="H433" s="4">
        <v>43314849.586000003</v>
      </c>
      <c r="I433" s="4"/>
      <c r="K433" s="48" t="e">
        <f t="shared" si="24"/>
        <v>#DIV/0!</v>
      </c>
      <c r="L433" s="48" t="e">
        <f t="shared" si="25"/>
        <v>#DIV/0!</v>
      </c>
      <c r="M433" s="48">
        <f t="shared" si="26"/>
        <v>5.0375007190805752</v>
      </c>
      <c r="N433" s="48" t="e">
        <f t="shared" si="27"/>
        <v>#DIV/0!</v>
      </c>
    </row>
    <row r="434" spans="1:14" x14ac:dyDescent="0.25">
      <c r="A434" s="5">
        <v>2020</v>
      </c>
      <c r="B434" s="4"/>
      <c r="C434" s="4"/>
      <c r="D434" s="4">
        <v>8071932</v>
      </c>
      <c r="E434" s="4"/>
      <c r="F434" s="4"/>
      <c r="G434" s="4"/>
      <c r="H434" s="4">
        <v>38744941.913999997</v>
      </c>
      <c r="I434" s="4"/>
      <c r="K434" s="48" t="e">
        <f t="shared" si="24"/>
        <v>#DIV/0!</v>
      </c>
      <c r="L434" s="48" t="e">
        <f t="shared" si="25"/>
        <v>#DIV/0!</v>
      </c>
      <c r="M434" s="48">
        <f t="shared" si="26"/>
        <v>4.7999589087222239</v>
      </c>
      <c r="N434" s="48" t="e">
        <f t="shared" si="27"/>
        <v>#DIV/0!</v>
      </c>
    </row>
    <row r="435" spans="1:14" x14ac:dyDescent="0.25">
      <c r="A435" s="5">
        <v>2021</v>
      </c>
      <c r="B435" s="4"/>
      <c r="C435" s="4"/>
      <c r="D435" s="4">
        <v>7073657</v>
      </c>
      <c r="E435" s="4"/>
      <c r="F435" s="4"/>
      <c r="G435" s="4"/>
      <c r="H435" s="4">
        <v>34639245.829999998</v>
      </c>
      <c r="I435" s="4"/>
      <c r="K435" s="48" t="e">
        <f t="shared" si="24"/>
        <v>#DIV/0!</v>
      </c>
      <c r="L435" s="48" t="e">
        <f t="shared" si="25"/>
        <v>#DIV/0!</v>
      </c>
      <c r="M435" s="48">
        <f t="shared" si="26"/>
        <v>4.8969360304012479</v>
      </c>
      <c r="N435" s="48" t="e">
        <f t="shared" si="27"/>
        <v>#DIV/0!</v>
      </c>
    </row>
    <row r="436" spans="1:14" x14ac:dyDescent="0.25">
      <c r="A436" s="5">
        <v>2022</v>
      </c>
      <c r="B436" s="4"/>
      <c r="C436" s="4"/>
      <c r="D436" s="4">
        <v>8023489</v>
      </c>
      <c r="E436" s="4"/>
      <c r="F436" s="4"/>
      <c r="G436" s="4"/>
      <c r="H436" s="4">
        <v>42060595.097999997</v>
      </c>
      <c r="I436" s="4"/>
      <c r="K436" s="48" t="e">
        <f t="shared" si="24"/>
        <v>#DIV/0!</v>
      </c>
      <c r="L436" s="48" t="e">
        <f t="shared" si="25"/>
        <v>#DIV/0!</v>
      </c>
      <c r="M436" s="48">
        <f t="shared" si="26"/>
        <v>5.2421826836180614</v>
      </c>
      <c r="N436" s="48" t="e">
        <f t="shared" si="27"/>
        <v>#DIV/0!</v>
      </c>
    </row>
    <row r="437" spans="1:14" x14ac:dyDescent="0.25">
      <c r="A437" s="5">
        <v>2023</v>
      </c>
      <c r="B437" s="4"/>
      <c r="C437" s="4"/>
      <c r="D437" s="4">
        <v>6081891</v>
      </c>
      <c r="E437" s="4"/>
      <c r="F437" s="4"/>
      <c r="G437" s="4"/>
      <c r="H437" s="4">
        <v>36419941.335000001</v>
      </c>
      <c r="I437" s="4"/>
      <c r="K437" s="48" t="e">
        <f t="shared" si="24"/>
        <v>#DIV/0!</v>
      </c>
      <c r="L437" s="48" t="e">
        <f t="shared" si="25"/>
        <v>#DIV/0!</v>
      </c>
      <c r="M437" s="48">
        <f t="shared" si="26"/>
        <v>5.9882594632162922</v>
      </c>
      <c r="N437" s="48" t="e">
        <f t="shared" si="27"/>
        <v>#DIV/0!</v>
      </c>
    </row>
    <row r="438" spans="1:14" x14ac:dyDescent="0.25">
      <c r="A438" s="5">
        <v>2024</v>
      </c>
      <c r="B438" s="4"/>
      <c r="C438" s="4"/>
      <c r="D438" s="4">
        <v>7420539.3430000003</v>
      </c>
      <c r="E438" s="4"/>
      <c r="F438" s="4"/>
      <c r="G438" s="4"/>
      <c r="H438" s="4">
        <v>43152629.044</v>
      </c>
      <c r="I438" s="4"/>
      <c r="K438" s="48" t="e">
        <f t="shared" si="24"/>
        <v>#DIV/0!</v>
      </c>
      <c r="L438" s="48" t="e">
        <f t="shared" si="25"/>
        <v>#DIV/0!</v>
      </c>
      <c r="M438" s="48">
        <f t="shared" si="26"/>
        <v>5.8152954993368597</v>
      </c>
      <c r="N438" s="48" t="e">
        <f t="shared" si="27"/>
        <v>#DIV/0!</v>
      </c>
    </row>
    <row r="439" spans="1:14" x14ac:dyDescent="0.25">
      <c r="A439" s="5">
        <v>2025</v>
      </c>
      <c r="B439" s="4"/>
      <c r="C439" s="4"/>
      <c r="D439" s="4">
        <v>7248269</v>
      </c>
      <c r="E439" s="4"/>
      <c r="F439" s="4"/>
      <c r="G439" s="4"/>
      <c r="H439" s="4">
        <v>41921942.675999999</v>
      </c>
      <c r="I439" s="4"/>
      <c r="K439" s="48" t="e">
        <f t="shared" si="24"/>
        <v>#DIV/0!</v>
      </c>
      <c r="L439" s="48" t="e">
        <f t="shared" si="25"/>
        <v>#DIV/0!</v>
      </c>
      <c r="M439" s="48">
        <f t="shared" si="26"/>
        <v>5.7837178333199279</v>
      </c>
      <c r="N439" s="48" t="e">
        <f t="shared" si="27"/>
        <v>#DIV/0!</v>
      </c>
    </row>
    <row r="440" spans="1:14" x14ac:dyDescent="0.25">
      <c r="A440" s="3" t="s">
        <v>21</v>
      </c>
      <c r="B440" s="4">
        <v>410798778.92699999</v>
      </c>
      <c r="C440" s="4">
        <v>2381917427.8989997</v>
      </c>
      <c r="D440" s="4">
        <v>2626105903.9419999</v>
      </c>
      <c r="E440" s="4">
        <v>260709150.25999999</v>
      </c>
      <c r="F440" s="4">
        <v>2374452441.098</v>
      </c>
      <c r="G440" s="4">
        <v>4220178411.9389997</v>
      </c>
      <c r="H440" s="4">
        <v>11843319848.965002</v>
      </c>
      <c r="I440" s="4">
        <v>1032146503.4960003</v>
      </c>
      <c r="K440" s="48">
        <f t="shared" si="24"/>
        <v>5.7800864143268216</v>
      </c>
      <c r="L440" s="48">
        <f t="shared" si="25"/>
        <v>1.7717568050465382</v>
      </c>
      <c r="M440" s="48">
        <f t="shared" si="26"/>
        <v>4.5098409135698638</v>
      </c>
      <c r="N440" s="48">
        <f t="shared" si="27"/>
        <v>3.9589960784524107</v>
      </c>
    </row>
    <row r="441" spans="1:14" x14ac:dyDescent="0.25">
      <c r="A441" s="5">
        <v>2000</v>
      </c>
      <c r="B441" s="4">
        <v>13538774.972999999</v>
      </c>
      <c r="C441" s="4">
        <v>143118854.417</v>
      </c>
      <c r="D441" s="4">
        <v>108933338.294</v>
      </c>
      <c r="E441" s="4">
        <v>62378667.708999999</v>
      </c>
      <c r="F441" s="4">
        <v>34185078.840999998</v>
      </c>
      <c r="G441" s="4">
        <v>98771684.297000095</v>
      </c>
      <c r="H441" s="4">
        <v>247294152.516</v>
      </c>
      <c r="I441" s="4">
        <v>153172974.71200001</v>
      </c>
      <c r="K441" s="48">
        <f t="shared" si="24"/>
        <v>2.5249757758123867</v>
      </c>
      <c r="L441" s="48">
        <f t="shared" si="25"/>
        <v>0.69013747139990911</v>
      </c>
      <c r="M441" s="48">
        <f t="shared" si="26"/>
        <v>2.2701420555806178</v>
      </c>
      <c r="N441" s="48">
        <f t="shared" si="27"/>
        <v>2.4555345655434735</v>
      </c>
    </row>
    <row r="442" spans="1:14" x14ac:dyDescent="0.25">
      <c r="A442" s="5">
        <v>2001</v>
      </c>
      <c r="B442" s="4">
        <v>15533501.385</v>
      </c>
      <c r="C442" s="4">
        <v>158325161.62200001</v>
      </c>
      <c r="D442" s="4">
        <v>103788030.781</v>
      </c>
      <c r="E442" s="4">
        <v>13591183.657</v>
      </c>
      <c r="F442" s="4">
        <v>39844535.417999998</v>
      </c>
      <c r="G442" s="4">
        <v>138772626.16800001</v>
      </c>
      <c r="H442" s="4">
        <v>257250895.79100001</v>
      </c>
      <c r="I442" s="4">
        <v>30494807.465999998</v>
      </c>
      <c r="K442" s="48">
        <f t="shared" si="24"/>
        <v>2.5650710957206382</v>
      </c>
      <c r="L442" s="48">
        <f t="shared" si="25"/>
        <v>0.87650392866371096</v>
      </c>
      <c r="M442" s="48">
        <f t="shared" si="26"/>
        <v>2.4786181398297975</v>
      </c>
      <c r="N442" s="48">
        <f t="shared" si="27"/>
        <v>2.2437197697857583</v>
      </c>
    </row>
    <row r="443" spans="1:14" x14ac:dyDescent="0.25">
      <c r="A443" s="5">
        <v>2002</v>
      </c>
      <c r="B443" s="4">
        <v>16285464.23</v>
      </c>
      <c r="C443" s="4">
        <v>126953280.785</v>
      </c>
      <c r="D443" s="4">
        <v>125324955.397</v>
      </c>
      <c r="E443" s="4">
        <v>15990521.412</v>
      </c>
      <c r="F443" s="4">
        <v>45168516.376000002</v>
      </c>
      <c r="G443" s="4">
        <v>145171450.44400001</v>
      </c>
      <c r="H443" s="4">
        <v>314371220.12199998</v>
      </c>
      <c r="I443" s="4">
        <v>43154333.847000003</v>
      </c>
      <c r="K443" s="48">
        <f t="shared" si="24"/>
        <v>2.7735479773916154</v>
      </c>
      <c r="L443" s="48">
        <f t="shared" si="25"/>
        <v>1.143502944912886</v>
      </c>
      <c r="M443" s="48">
        <f t="shared" si="26"/>
        <v>2.508448689458104</v>
      </c>
      <c r="N443" s="48">
        <f t="shared" si="27"/>
        <v>2.6987446334686163</v>
      </c>
    </row>
    <row r="444" spans="1:14" x14ac:dyDescent="0.25">
      <c r="A444" s="5">
        <v>2003</v>
      </c>
      <c r="B444" s="4">
        <v>17232206.324000001</v>
      </c>
      <c r="C444" s="4">
        <v>188584833.861</v>
      </c>
      <c r="D444" s="4">
        <v>116173552.097</v>
      </c>
      <c r="E444" s="4">
        <v>17353916.204</v>
      </c>
      <c r="F444" s="4">
        <v>50737328.850000001</v>
      </c>
      <c r="G444" s="4">
        <v>178281936.93399999</v>
      </c>
      <c r="H444" s="4">
        <v>332495196.50199997</v>
      </c>
      <c r="I444" s="4">
        <v>60147705.619999997</v>
      </c>
      <c r="K444" s="48">
        <f t="shared" si="24"/>
        <v>2.9443315554628686</v>
      </c>
      <c r="L444" s="48">
        <f t="shared" si="25"/>
        <v>0.94536730915173195</v>
      </c>
      <c r="M444" s="48">
        <f t="shared" si="26"/>
        <v>2.8620558681409736</v>
      </c>
      <c r="N444" s="48">
        <f t="shared" si="27"/>
        <v>3.4659442233641893</v>
      </c>
    </row>
    <row r="445" spans="1:14" x14ac:dyDescent="0.25">
      <c r="A445" s="5">
        <v>2004</v>
      </c>
      <c r="B445" s="4">
        <v>13239613.075999999</v>
      </c>
      <c r="C445" s="4">
        <v>174257577.80199999</v>
      </c>
      <c r="D445" s="4">
        <v>114666667.45999999</v>
      </c>
      <c r="E445" s="4">
        <v>16701865.676000001</v>
      </c>
      <c r="F445" s="4">
        <v>49301392.560999997</v>
      </c>
      <c r="G445" s="4">
        <v>190901874.00799999</v>
      </c>
      <c r="H445" s="4">
        <v>328324494.37199998</v>
      </c>
      <c r="I445" s="4">
        <v>65430668.475000001</v>
      </c>
      <c r="K445" s="48">
        <f t="shared" si="24"/>
        <v>3.723778956227255</v>
      </c>
      <c r="L445" s="48">
        <f t="shared" si="25"/>
        <v>1.095515480106765</v>
      </c>
      <c r="M445" s="48">
        <f t="shared" si="26"/>
        <v>2.8632949892481334</v>
      </c>
      <c r="N445" s="48">
        <f t="shared" si="27"/>
        <v>3.9175664410366795</v>
      </c>
    </row>
    <row r="446" spans="1:14" x14ac:dyDescent="0.25">
      <c r="A446" s="5">
        <v>2005</v>
      </c>
      <c r="B446" s="4">
        <v>14993371.854</v>
      </c>
      <c r="C446" s="4">
        <v>133888868.505</v>
      </c>
      <c r="D446" s="4">
        <v>115613190.691</v>
      </c>
      <c r="E446" s="4">
        <v>21042034.460000001</v>
      </c>
      <c r="F446" s="4">
        <v>53518343.302000001</v>
      </c>
      <c r="G446" s="4">
        <v>160746758.96799999</v>
      </c>
      <c r="H446" s="4">
        <v>347721395.10100001</v>
      </c>
      <c r="I446" s="4">
        <v>62949102.777000003</v>
      </c>
      <c r="K446" s="48">
        <f t="shared" si="24"/>
        <v>3.5694668166135113</v>
      </c>
      <c r="L446" s="48">
        <f t="shared" si="25"/>
        <v>1.2005983825458724</v>
      </c>
      <c r="M446" s="48">
        <f t="shared" si="26"/>
        <v>3.0076273565561982</v>
      </c>
      <c r="N446" s="48">
        <f t="shared" si="27"/>
        <v>2.9915882371860731</v>
      </c>
    </row>
    <row r="447" spans="1:14" x14ac:dyDescent="0.25">
      <c r="A447" s="5">
        <v>2006</v>
      </c>
      <c r="B447" s="4">
        <v>17317360.039000001</v>
      </c>
      <c r="C447" s="4">
        <v>124792501.502</v>
      </c>
      <c r="D447" s="4">
        <v>117213163.01800001</v>
      </c>
      <c r="E447" s="4">
        <v>16590807.484999999</v>
      </c>
      <c r="F447" s="4">
        <v>61016129.972999997</v>
      </c>
      <c r="G447" s="4">
        <v>177526388.45199999</v>
      </c>
      <c r="H447" s="4">
        <v>377709312.99299997</v>
      </c>
      <c r="I447" s="4">
        <v>61926487.535999998</v>
      </c>
      <c r="K447" s="48">
        <f t="shared" si="24"/>
        <v>3.5234082929261197</v>
      </c>
      <c r="L447" s="48">
        <f t="shared" si="25"/>
        <v>1.4225725609735842</v>
      </c>
      <c r="M447" s="48">
        <f t="shared" si="26"/>
        <v>3.2224137909749651</v>
      </c>
      <c r="N447" s="48">
        <f t="shared" si="27"/>
        <v>3.7325782721539427</v>
      </c>
    </row>
    <row r="448" spans="1:14" x14ac:dyDescent="0.25">
      <c r="A448" s="5">
        <v>2007</v>
      </c>
      <c r="B448" s="4">
        <v>16110823.718</v>
      </c>
      <c r="C448" s="4">
        <v>83378487.924999997</v>
      </c>
      <c r="D448" s="4">
        <v>111961967.277</v>
      </c>
      <c r="E448" s="4">
        <v>19970342.495000001</v>
      </c>
      <c r="F448" s="4">
        <v>73067885.642000005</v>
      </c>
      <c r="G448" s="4">
        <v>169645630.528</v>
      </c>
      <c r="H448" s="4">
        <v>447286885.30800003</v>
      </c>
      <c r="I448" s="4">
        <v>83025237.953999996</v>
      </c>
      <c r="K448" s="48">
        <f t="shared" si="24"/>
        <v>4.5353289764051032</v>
      </c>
      <c r="L448" s="48">
        <f t="shared" si="25"/>
        <v>2.0346450835208043</v>
      </c>
      <c r="M448" s="48">
        <f t="shared" si="26"/>
        <v>3.9949895146214067</v>
      </c>
      <c r="N448" s="48">
        <f t="shared" si="27"/>
        <v>4.1574268430692722</v>
      </c>
    </row>
    <row r="449" spans="1:14" x14ac:dyDescent="0.25">
      <c r="A449" s="5">
        <v>2008</v>
      </c>
      <c r="B449" s="4">
        <v>15582381.312000001</v>
      </c>
      <c r="C449" s="4">
        <v>143307735.38800001</v>
      </c>
      <c r="D449" s="4">
        <v>105276038.792</v>
      </c>
      <c r="E449" s="4">
        <v>12338295.266000001</v>
      </c>
      <c r="F449" s="4">
        <v>76201018.149000004</v>
      </c>
      <c r="G449" s="4">
        <v>293466332.14999998</v>
      </c>
      <c r="H449" s="4">
        <v>534098294.95700002</v>
      </c>
      <c r="I449" s="4">
        <v>79599303.354000002</v>
      </c>
      <c r="K449" s="48">
        <f t="shared" si="24"/>
        <v>4.8902036616391591</v>
      </c>
      <c r="L449" s="48">
        <f t="shared" si="25"/>
        <v>2.0478052448142559</v>
      </c>
      <c r="M449" s="48">
        <f t="shared" si="26"/>
        <v>5.0733129882693362</v>
      </c>
      <c r="N449" s="48">
        <f t="shared" si="27"/>
        <v>6.4514020484943062</v>
      </c>
    </row>
    <row r="450" spans="1:14" x14ac:dyDescent="0.25">
      <c r="A450" s="5">
        <v>2009</v>
      </c>
      <c r="B450" s="4">
        <v>15154892.736</v>
      </c>
      <c r="C450" s="4">
        <v>95172280.415000007</v>
      </c>
      <c r="D450" s="4">
        <v>106435636.12800001</v>
      </c>
      <c r="E450" s="4">
        <v>11157811.030999999</v>
      </c>
      <c r="F450" s="4">
        <v>70464977.038000003</v>
      </c>
      <c r="G450" s="4">
        <v>145740127.62900001</v>
      </c>
      <c r="H450" s="4">
        <v>505963993.43900001</v>
      </c>
      <c r="I450" s="4">
        <v>63875341.516000003</v>
      </c>
      <c r="K450" s="48">
        <f t="shared" si="24"/>
        <v>4.6496519814101047</v>
      </c>
      <c r="L450" s="48">
        <f t="shared" si="25"/>
        <v>1.5313295740471724</v>
      </c>
      <c r="M450" s="48">
        <f t="shared" si="26"/>
        <v>4.7537085495550127</v>
      </c>
      <c r="N450" s="48">
        <f t="shared" si="27"/>
        <v>5.7247197804778818</v>
      </c>
    </row>
    <row r="451" spans="1:14" x14ac:dyDescent="0.25">
      <c r="A451" s="5">
        <v>2010</v>
      </c>
      <c r="B451" s="4">
        <v>13708700</v>
      </c>
      <c r="C451" s="4">
        <v>80009500</v>
      </c>
      <c r="D451" s="4">
        <v>97952400</v>
      </c>
      <c r="E451" s="4">
        <v>3863700</v>
      </c>
      <c r="F451" s="4">
        <v>71374031.283000007</v>
      </c>
      <c r="G451" s="4">
        <v>140665368.85299999</v>
      </c>
      <c r="H451" s="4">
        <v>429653174.86000001</v>
      </c>
      <c r="I451" s="4">
        <v>24790214.427000001</v>
      </c>
      <c r="K451" s="48">
        <f t="shared" si="24"/>
        <v>5.2064770024145259</v>
      </c>
      <c r="L451" s="48">
        <f t="shared" si="25"/>
        <v>1.7581083352976832</v>
      </c>
      <c r="M451" s="48">
        <f t="shared" si="26"/>
        <v>4.3863465811965812</v>
      </c>
      <c r="N451" s="48">
        <f t="shared" si="27"/>
        <v>6.4161851145275257</v>
      </c>
    </row>
    <row r="452" spans="1:14" x14ac:dyDescent="0.25">
      <c r="A452" s="5">
        <v>2011</v>
      </c>
      <c r="B452" s="4">
        <v>14173200</v>
      </c>
      <c r="C452" s="4">
        <v>72799400</v>
      </c>
      <c r="D452" s="4">
        <v>107015800</v>
      </c>
      <c r="E452" s="4">
        <v>5446700</v>
      </c>
      <c r="F452" s="4">
        <v>72542005.241999999</v>
      </c>
      <c r="G452" s="4">
        <v>149036432.743</v>
      </c>
      <c r="H452" s="4">
        <v>553204851.39499998</v>
      </c>
      <c r="I452" s="4">
        <v>34763750.564000003</v>
      </c>
      <c r="K452" s="48">
        <f t="shared" si="24"/>
        <v>5.1182517174667685</v>
      </c>
      <c r="L452" s="48">
        <f t="shared" si="25"/>
        <v>2.0472206191671911</v>
      </c>
      <c r="M452" s="48">
        <f t="shared" si="26"/>
        <v>5.16937546974372</v>
      </c>
      <c r="N452" s="48">
        <f t="shared" si="27"/>
        <v>6.3825344821635124</v>
      </c>
    </row>
    <row r="453" spans="1:14" x14ac:dyDescent="0.25">
      <c r="A453" s="5">
        <v>2012</v>
      </c>
      <c r="B453" s="4">
        <v>16133000</v>
      </c>
      <c r="C453" s="4">
        <v>97053100</v>
      </c>
      <c r="D453" s="4">
        <v>100403000</v>
      </c>
      <c r="E453" s="4">
        <v>3567400</v>
      </c>
      <c r="F453" s="4">
        <v>86756415.957000002</v>
      </c>
      <c r="G453" s="4">
        <v>233644626.484</v>
      </c>
      <c r="H453" s="4">
        <v>549998406.58000004</v>
      </c>
      <c r="I453" s="4">
        <v>25076164.210999999</v>
      </c>
      <c r="K453" s="48">
        <f t="shared" si="24"/>
        <v>5.3775749059071467</v>
      </c>
      <c r="L453" s="48">
        <f t="shared" si="25"/>
        <v>2.4073896298418083</v>
      </c>
      <c r="M453" s="48">
        <f t="shared" si="26"/>
        <v>5.4779080961724258</v>
      </c>
      <c r="N453" s="48">
        <f t="shared" si="27"/>
        <v>7.0292549786959686</v>
      </c>
    </row>
    <row r="454" spans="1:14" x14ac:dyDescent="0.25">
      <c r="A454" s="5">
        <v>2013</v>
      </c>
      <c r="B454" s="4">
        <v>15100900</v>
      </c>
      <c r="C454" s="4">
        <v>81890900</v>
      </c>
      <c r="D454" s="4">
        <v>110010300</v>
      </c>
      <c r="E454" s="4">
        <v>4423000</v>
      </c>
      <c r="F454" s="4">
        <v>98554214.120000005</v>
      </c>
      <c r="G454" s="4">
        <v>242658475.33000001</v>
      </c>
      <c r="H454" s="4">
        <v>686023798.98399997</v>
      </c>
      <c r="I454" s="4">
        <v>31669098.385000002</v>
      </c>
      <c r="K454" s="48">
        <f t="shared" si="24"/>
        <v>6.5263801574740583</v>
      </c>
      <c r="L454" s="48">
        <f t="shared" si="25"/>
        <v>2.9631921902189378</v>
      </c>
      <c r="M454" s="48">
        <f t="shared" si="26"/>
        <v>6.2359960747675443</v>
      </c>
      <c r="N454" s="48">
        <f t="shared" si="27"/>
        <v>7.1600945930364013</v>
      </c>
    </row>
    <row r="455" spans="1:14" x14ac:dyDescent="0.25">
      <c r="A455" s="5">
        <v>2014</v>
      </c>
      <c r="B455" s="4">
        <v>17810196</v>
      </c>
      <c r="C455" s="4">
        <v>58773970</v>
      </c>
      <c r="D455" s="4">
        <v>114043025</v>
      </c>
      <c r="E455" s="4">
        <v>3509513</v>
      </c>
      <c r="F455" s="4">
        <v>114317924.737</v>
      </c>
      <c r="G455" s="4">
        <v>156006910.80000001</v>
      </c>
      <c r="H455" s="4">
        <v>636565156.59800005</v>
      </c>
      <c r="I455" s="4">
        <v>21622995.899999999</v>
      </c>
      <c r="K455" s="48">
        <f t="shared" ref="K455:K518" si="28">F455/B455</f>
        <v>6.418678645479253</v>
      </c>
      <c r="L455" s="48">
        <f t="shared" ref="L455:L518" si="29">G455/C455</f>
        <v>2.6543538032227536</v>
      </c>
      <c r="M455" s="48">
        <f t="shared" ref="M455:M518" si="30">H455/D455</f>
        <v>5.5817982432332016</v>
      </c>
      <c r="N455" s="48">
        <f t="shared" ref="N455:N518" si="31">I455/E455</f>
        <v>6.1612525441564108</v>
      </c>
    </row>
    <row r="456" spans="1:14" x14ac:dyDescent="0.25">
      <c r="A456" s="5">
        <v>2015</v>
      </c>
      <c r="B456" s="4">
        <v>19592723</v>
      </c>
      <c r="C456" s="4">
        <v>81175474</v>
      </c>
      <c r="D456" s="4">
        <v>102655517</v>
      </c>
      <c r="E456" s="4">
        <v>2171111</v>
      </c>
      <c r="F456" s="4">
        <v>122351007.274</v>
      </c>
      <c r="G456" s="4">
        <v>158056235.44499999</v>
      </c>
      <c r="H456" s="4">
        <v>474199658.602</v>
      </c>
      <c r="I456" s="4">
        <v>11988431.948999999</v>
      </c>
      <c r="K456" s="48">
        <f t="shared" si="28"/>
        <v>6.2447168407372473</v>
      </c>
      <c r="L456" s="48">
        <f t="shared" si="29"/>
        <v>1.9470934711757888</v>
      </c>
      <c r="M456" s="48">
        <f t="shared" si="30"/>
        <v>4.6193295057098585</v>
      </c>
      <c r="N456" s="48">
        <f t="shared" si="31"/>
        <v>5.5217959602249715</v>
      </c>
    </row>
    <row r="457" spans="1:14" x14ac:dyDescent="0.25">
      <c r="A457" s="5">
        <v>2016</v>
      </c>
      <c r="B457" s="4">
        <v>18643414</v>
      </c>
      <c r="C457" s="4">
        <v>90713541</v>
      </c>
      <c r="D457" s="4">
        <v>88692822</v>
      </c>
      <c r="E457" s="4">
        <v>2142963</v>
      </c>
      <c r="F457" s="4">
        <v>128972700.71600001</v>
      </c>
      <c r="G457" s="4">
        <v>193230981.833</v>
      </c>
      <c r="H457" s="4">
        <v>415530264.44599998</v>
      </c>
      <c r="I457" s="4">
        <v>11510588.353</v>
      </c>
      <c r="K457" s="48">
        <f t="shared" si="28"/>
        <v>6.9178692655755007</v>
      </c>
      <c r="L457" s="48">
        <f t="shared" si="29"/>
        <v>2.1301227986789755</v>
      </c>
      <c r="M457" s="48">
        <f t="shared" si="30"/>
        <v>4.6850495347413794</v>
      </c>
      <c r="N457" s="48">
        <f t="shared" si="31"/>
        <v>5.3713425537445119</v>
      </c>
    </row>
    <row r="458" spans="1:14" x14ac:dyDescent="0.25">
      <c r="A458" s="5">
        <v>2017</v>
      </c>
      <c r="B458" s="4">
        <v>22037533.298999999</v>
      </c>
      <c r="C458" s="4">
        <v>83565949</v>
      </c>
      <c r="D458" s="4">
        <v>100135428.398</v>
      </c>
      <c r="E458" s="4">
        <v>3524119.8339999998</v>
      </c>
      <c r="F458" s="4">
        <v>153998189.33000001</v>
      </c>
      <c r="G458" s="4">
        <v>226645314.42699999</v>
      </c>
      <c r="H458" s="4">
        <v>520490962.64600003</v>
      </c>
      <c r="I458" s="4">
        <v>20220061.059</v>
      </c>
      <c r="K458" s="48">
        <f t="shared" si="28"/>
        <v>6.9879957634363743</v>
      </c>
      <c r="L458" s="48">
        <f t="shared" si="29"/>
        <v>2.7121730458299464</v>
      </c>
      <c r="M458" s="48">
        <f t="shared" si="30"/>
        <v>5.1978702340718774</v>
      </c>
      <c r="N458" s="48">
        <f t="shared" si="31"/>
        <v>5.7376201750919238</v>
      </c>
    </row>
    <row r="459" spans="1:14" x14ac:dyDescent="0.25">
      <c r="A459" s="5">
        <v>2018</v>
      </c>
      <c r="B459" s="4">
        <v>17636799.576000001</v>
      </c>
      <c r="C459" s="4">
        <v>92652965.180999994</v>
      </c>
      <c r="D459" s="4">
        <v>102312919.131</v>
      </c>
      <c r="E459" s="4">
        <v>2949555.52</v>
      </c>
      <c r="F459" s="4">
        <v>146825720.93599999</v>
      </c>
      <c r="G459" s="4">
        <v>225838681.521</v>
      </c>
      <c r="H459" s="4">
        <v>555689388.62800002</v>
      </c>
      <c r="I459" s="4">
        <v>16840774.787999999</v>
      </c>
      <c r="K459" s="48">
        <f t="shared" si="28"/>
        <v>8.3249639654463792</v>
      </c>
      <c r="L459" s="48">
        <f t="shared" si="29"/>
        <v>2.4374684725935993</v>
      </c>
      <c r="M459" s="48">
        <f t="shared" si="30"/>
        <v>5.4312729354980407</v>
      </c>
      <c r="N459" s="48">
        <f t="shared" si="31"/>
        <v>5.709597488098817</v>
      </c>
    </row>
    <row r="460" spans="1:14" x14ac:dyDescent="0.25">
      <c r="A460" s="5">
        <v>2019</v>
      </c>
      <c r="B460" s="4">
        <v>19451272</v>
      </c>
      <c r="C460" s="4">
        <v>83481121</v>
      </c>
      <c r="D460" s="4">
        <v>96402281.088</v>
      </c>
      <c r="E460" s="4">
        <v>3008191.7239999999</v>
      </c>
      <c r="F460" s="4">
        <v>145513116.88999999</v>
      </c>
      <c r="G460" s="4">
        <v>217608678.26499999</v>
      </c>
      <c r="H460" s="4">
        <v>520390339.73500001</v>
      </c>
      <c r="I460" s="4">
        <v>17694948.848000001</v>
      </c>
      <c r="K460" s="48">
        <f t="shared" si="28"/>
        <v>7.4809049449311074</v>
      </c>
      <c r="L460" s="48">
        <f t="shared" si="29"/>
        <v>2.6066813149885708</v>
      </c>
      <c r="M460" s="48">
        <f t="shared" si="30"/>
        <v>5.3981123046244743</v>
      </c>
      <c r="N460" s="48">
        <f t="shared" si="31"/>
        <v>5.8822543479612346</v>
      </c>
    </row>
    <row r="461" spans="1:14" x14ac:dyDescent="0.25">
      <c r="A461" s="5">
        <v>2020</v>
      </c>
      <c r="B461" s="4">
        <v>18050116</v>
      </c>
      <c r="C461" s="4">
        <v>75138779</v>
      </c>
      <c r="D461" s="4">
        <v>100677675.404</v>
      </c>
      <c r="E461" s="4">
        <v>3104335.446</v>
      </c>
      <c r="F461" s="4">
        <v>130171917.832</v>
      </c>
      <c r="G461" s="4">
        <v>170879455.84200001</v>
      </c>
      <c r="H461" s="4">
        <v>555697847.98899996</v>
      </c>
      <c r="I461" s="4">
        <v>18984567.942000002</v>
      </c>
      <c r="K461" s="48">
        <f t="shared" si="28"/>
        <v>7.2116942534884538</v>
      </c>
      <c r="L461" s="48">
        <f t="shared" si="29"/>
        <v>2.2741846236548509</v>
      </c>
      <c r="M461" s="48">
        <f t="shared" si="30"/>
        <v>5.5195736866101868</v>
      </c>
      <c r="N461" s="48">
        <f t="shared" si="31"/>
        <v>6.115501456668289</v>
      </c>
    </row>
    <row r="462" spans="1:14" x14ac:dyDescent="0.25">
      <c r="A462" s="5">
        <v>2021</v>
      </c>
      <c r="B462" s="4">
        <v>17662372</v>
      </c>
      <c r="C462" s="4">
        <v>41511181.935999997</v>
      </c>
      <c r="D462" s="4">
        <v>94934396</v>
      </c>
      <c r="E462" s="4">
        <v>3825275.3319999999</v>
      </c>
      <c r="F462" s="4">
        <v>144341859.435</v>
      </c>
      <c r="G462" s="4">
        <v>124425502.29799999</v>
      </c>
      <c r="H462" s="4">
        <v>536005041.21799999</v>
      </c>
      <c r="I462" s="4">
        <v>22697824.833999999</v>
      </c>
      <c r="K462" s="48">
        <f t="shared" si="28"/>
        <v>8.1722805654302828</v>
      </c>
      <c r="L462" s="48">
        <f t="shared" si="29"/>
        <v>2.9973972432255342</v>
      </c>
      <c r="M462" s="48">
        <f t="shared" si="30"/>
        <v>5.6460573174974433</v>
      </c>
      <c r="N462" s="48">
        <f t="shared" si="31"/>
        <v>5.9336447350922343</v>
      </c>
    </row>
    <row r="463" spans="1:14" x14ac:dyDescent="0.25">
      <c r="A463" s="5">
        <v>2022</v>
      </c>
      <c r="B463" s="4">
        <v>16631036.58</v>
      </c>
      <c r="C463" s="4">
        <v>24560074.559999999</v>
      </c>
      <c r="D463" s="4">
        <v>98294209.951000005</v>
      </c>
      <c r="E463" s="4">
        <v>4337168.665</v>
      </c>
      <c r="F463" s="4">
        <v>154634197.49599999</v>
      </c>
      <c r="G463" s="4">
        <v>89065225.270999998</v>
      </c>
      <c r="H463" s="4">
        <v>549641450.528</v>
      </c>
      <c r="I463" s="4">
        <v>24151483.838</v>
      </c>
      <c r="K463" s="48">
        <f t="shared" si="28"/>
        <v>9.2979290107484083</v>
      </c>
      <c r="L463" s="48">
        <f t="shared" si="29"/>
        <v>3.626423244498489</v>
      </c>
      <c r="M463" s="48">
        <f t="shared" si="30"/>
        <v>5.5917988536862762</v>
      </c>
      <c r="N463" s="48">
        <f t="shared" si="31"/>
        <v>5.5684908066631529</v>
      </c>
    </row>
    <row r="464" spans="1:14" x14ac:dyDescent="0.25">
      <c r="A464" s="5">
        <v>2023</v>
      </c>
      <c r="B464" s="4">
        <v>14275917.505999999</v>
      </c>
      <c r="C464" s="4">
        <v>24216382</v>
      </c>
      <c r="D464" s="4">
        <v>95021790.450000003</v>
      </c>
      <c r="E464" s="4">
        <v>4054488.5920000002</v>
      </c>
      <c r="F464" s="4">
        <v>121917436.854</v>
      </c>
      <c r="G464" s="4">
        <v>98324323.778999999</v>
      </c>
      <c r="H464" s="4">
        <v>599495749.87</v>
      </c>
      <c r="I464" s="4">
        <v>23612458.204</v>
      </c>
      <c r="K464" s="48">
        <f t="shared" si="28"/>
        <v>8.5400771475990638</v>
      </c>
      <c r="L464" s="48">
        <f t="shared" si="29"/>
        <v>4.0602400382930863</v>
      </c>
      <c r="M464" s="48">
        <f t="shared" si="30"/>
        <v>6.3090344544228696</v>
      </c>
      <c r="N464" s="48">
        <f t="shared" si="31"/>
        <v>5.8237821289200955</v>
      </c>
    </row>
    <row r="465" spans="1:14" x14ac:dyDescent="0.25">
      <c r="A465" s="5">
        <v>2024</v>
      </c>
      <c r="B465" s="4">
        <v>14903209.319</v>
      </c>
      <c r="C465" s="4">
        <v>22595508</v>
      </c>
      <c r="D465" s="4">
        <v>92167799.584999993</v>
      </c>
      <c r="E465" s="4">
        <v>3666182.7519999999</v>
      </c>
      <c r="F465" s="4">
        <v>128676496.846</v>
      </c>
      <c r="G465" s="4">
        <v>95067389.469999999</v>
      </c>
      <c r="H465" s="4">
        <v>568217915.78499997</v>
      </c>
      <c r="I465" s="4">
        <v>22747176.936999999</v>
      </c>
      <c r="K465" s="48">
        <f t="shared" si="28"/>
        <v>8.6341467862194765</v>
      </c>
      <c r="L465" s="48">
        <f t="shared" si="29"/>
        <v>4.2073579168921542</v>
      </c>
      <c r="M465" s="48">
        <f t="shared" si="30"/>
        <v>6.1650372293088305</v>
      </c>
      <c r="N465" s="48">
        <f t="shared" si="31"/>
        <v>6.2045943903344183</v>
      </c>
    </row>
    <row r="466" spans="1:14" x14ac:dyDescent="0.25">
      <c r="A466" s="3" t="s">
        <v>76</v>
      </c>
      <c r="B466" s="4"/>
      <c r="C466" s="4">
        <v>4642633.38</v>
      </c>
      <c r="D466" s="4"/>
      <c r="E466" s="4"/>
      <c r="F466" s="4"/>
      <c r="G466" s="4">
        <v>45350872.545000002</v>
      </c>
      <c r="H466" s="4"/>
      <c r="I466" s="4"/>
      <c r="K466" s="48" t="e">
        <f t="shared" si="28"/>
        <v>#DIV/0!</v>
      </c>
      <c r="L466" s="48">
        <f t="shared" si="29"/>
        <v>9.7683510268906915</v>
      </c>
      <c r="M466" s="48" t="e">
        <f t="shared" si="30"/>
        <v>#DIV/0!</v>
      </c>
      <c r="N466" s="48" t="e">
        <f t="shared" si="31"/>
        <v>#DIV/0!</v>
      </c>
    </row>
    <row r="467" spans="1:14" x14ac:dyDescent="0.25">
      <c r="A467" s="5">
        <v>2015</v>
      </c>
      <c r="B467" s="4"/>
      <c r="C467" s="4">
        <v>1464023</v>
      </c>
      <c r="D467" s="4"/>
      <c r="E467" s="4"/>
      <c r="F467" s="4"/>
      <c r="G467" s="4">
        <v>11475192.773</v>
      </c>
      <c r="H467" s="4"/>
      <c r="I467" s="4"/>
      <c r="K467" s="48" t="e">
        <f t="shared" si="28"/>
        <v>#DIV/0!</v>
      </c>
      <c r="L467" s="48">
        <f t="shared" si="29"/>
        <v>7.8381232897297375</v>
      </c>
      <c r="M467" s="48" t="e">
        <f t="shared" si="30"/>
        <v>#DIV/0!</v>
      </c>
      <c r="N467" s="48" t="e">
        <f t="shared" si="31"/>
        <v>#DIV/0!</v>
      </c>
    </row>
    <row r="468" spans="1:14" x14ac:dyDescent="0.25">
      <c r="A468" s="5">
        <v>2021</v>
      </c>
      <c r="B468" s="4"/>
      <c r="C468" s="4">
        <v>1685335.25</v>
      </c>
      <c r="D468" s="4"/>
      <c r="E468" s="4"/>
      <c r="F468" s="4"/>
      <c r="G468" s="4">
        <v>15195853.166999999</v>
      </c>
      <c r="H468" s="4"/>
      <c r="I468" s="4"/>
      <c r="K468" s="48" t="e">
        <f t="shared" si="28"/>
        <v>#DIV/0!</v>
      </c>
      <c r="L468" s="48">
        <f t="shared" si="29"/>
        <v>9.0165165458919816</v>
      </c>
      <c r="M468" s="48" t="e">
        <f t="shared" si="30"/>
        <v>#DIV/0!</v>
      </c>
      <c r="N468" s="48" t="e">
        <f t="shared" si="31"/>
        <v>#DIV/0!</v>
      </c>
    </row>
    <row r="469" spans="1:14" x14ac:dyDescent="0.25">
      <c r="A469" s="5">
        <v>2022</v>
      </c>
      <c r="B469" s="4"/>
      <c r="C469" s="4">
        <v>1493275.13</v>
      </c>
      <c r="D469" s="4"/>
      <c r="E469" s="4"/>
      <c r="F469" s="4"/>
      <c r="G469" s="4">
        <v>18679826.605</v>
      </c>
      <c r="H469" s="4"/>
      <c r="I469" s="4"/>
      <c r="K469" s="48" t="e">
        <f t="shared" si="28"/>
        <v>#DIV/0!</v>
      </c>
      <c r="L469" s="48">
        <f t="shared" si="29"/>
        <v>12.509300014257922</v>
      </c>
      <c r="M469" s="48" t="e">
        <f t="shared" si="30"/>
        <v>#DIV/0!</v>
      </c>
      <c r="N469" s="48" t="e">
        <f t="shared" si="31"/>
        <v>#DIV/0!</v>
      </c>
    </row>
    <row r="470" spans="1:14" x14ac:dyDescent="0.25">
      <c r="A470" s="3" t="s">
        <v>22</v>
      </c>
      <c r="B470" s="4">
        <v>26758461.315000001</v>
      </c>
      <c r="C470" s="4">
        <v>5638559.1359999999</v>
      </c>
      <c r="D470" s="4">
        <v>1453454478.8549998</v>
      </c>
      <c r="E470" s="4">
        <v>268339032.50200003</v>
      </c>
      <c r="F470" s="4">
        <v>273426762.16499996</v>
      </c>
      <c r="G470" s="4">
        <v>64114077.718999997</v>
      </c>
      <c r="H470" s="4">
        <v>6751784531.5909996</v>
      </c>
      <c r="I470" s="4">
        <v>1251653190.7819998</v>
      </c>
      <c r="K470" s="48">
        <f t="shared" si="28"/>
        <v>10.218329034178247</v>
      </c>
      <c r="L470" s="48">
        <f t="shared" si="29"/>
        <v>11.37064916277221</v>
      </c>
      <c r="M470" s="48">
        <f t="shared" si="30"/>
        <v>4.6453360802258565</v>
      </c>
      <c r="N470" s="48">
        <f t="shared" si="31"/>
        <v>4.6644469837710654</v>
      </c>
    </row>
    <row r="471" spans="1:14" x14ac:dyDescent="0.25">
      <c r="A471" s="5">
        <v>2008</v>
      </c>
      <c r="B471" s="4"/>
      <c r="C471" s="4"/>
      <c r="D471" s="4">
        <v>83091403</v>
      </c>
      <c r="E471" s="4">
        <v>25574371</v>
      </c>
      <c r="F471" s="4"/>
      <c r="G471" s="4"/>
      <c r="H471" s="4">
        <v>353240049.48699999</v>
      </c>
      <c r="I471" s="4">
        <v>128406528.499</v>
      </c>
      <c r="K471" s="48" t="e">
        <f t="shared" si="28"/>
        <v>#DIV/0!</v>
      </c>
      <c r="L471" s="48" t="e">
        <f t="shared" si="29"/>
        <v>#DIV/0!</v>
      </c>
      <c r="M471" s="48">
        <f t="shared" si="30"/>
        <v>4.2512225902239251</v>
      </c>
      <c r="N471" s="48">
        <f t="shared" si="31"/>
        <v>5.020906613851813</v>
      </c>
    </row>
    <row r="472" spans="1:14" x14ac:dyDescent="0.25">
      <c r="A472" s="5">
        <v>2009</v>
      </c>
      <c r="B472" s="4"/>
      <c r="C472" s="4"/>
      <c r="D472" s="4">
        <v>71195506.527999997</v>
      </c>
      <c r="E472" s="4">
        <v>17558909.956999999</v>
      </c>
      <c r="F472" s="4"/>
      <c r="G472" s="4"/>
      <c r="H472" s="4">
        <v>265903893.05500001</v>
      </c>
      <c r="I472" s="4">
        <v>72772637.187000006</v>
      </c>
      <c r="K472" s="48" t="e">
        <f t="shared" si="28"/>
        <v>#DIV/0!</v>
      </c>
      <c r="L472" s="48" t="e">
        <f t="shared" si="29"/>
        <v>#DIV/0!</v>
      </c>
      <c r="M472" s="48">
        <f t="shared" si="30"/>
        <v>3.7348409474469357</v>
      </c>
      <c r="N472" s="48">
        <f t="shared" si="31"/>
        <v>4.1444849005554936</v>
      </c>
    </row>
    <row r="473" spans="1:14" x14ac:dyDescent="0.25">
      <c r="A473" s="5">
        <v>2010</v>
      </c>
      <c r="B473" s="4"/>
      <c r="C473" s="4"/>
      <c r="D473" s="4">
        <v>66223660</v>
      </c>
      <c r="E473" s="4">
        <v>14514393.637</v>
      </c>
      <c r="F473" s="4"/>
      <c r="G473" s="4"/>
      <c r="H473" s="4">
        <v>227177790.55500001</v>
      </c>
      <c r="I473" s="4">
        <v>52872734.556999996</v>
      </c>
      <c r="K473" s="48" t="e">
        <f t="shared" si="28"/>
        <v>#DIV/0!</v>
      </c>
      <c r="L473" s="48" t="e">
        <f t="shared" si="29"/>
        <v>#DIV/0!</v>
      </c>
      <c r="M473" s="48">
        <f t="shared" si="30"/>
        <v>3.4304626255178285</v>
      </c>
      <c r="N473" s="48">
        <f t="shared" si="31"/>
        <v>3.6427794284300763</v>
      </c>
    </row>
    <row r="474" spans="1:14" x14ac:dyDescent="0.25">
      <c r="A474" s="5">
        <v>2011</v>
      </c>
      <c r="B474" s="4"/>
      <c r="C474" s="4"/>
      <c r="D474" s="4">
        <v>73024358.009000003</v>
      </c>
      <c r="E474" s="4">
        <v>14665309</v>
      </c>
      <c r="F474" s="4"/>
      <c r="G474" s="4"/>
      <c r="H474" s="4">
        <v>299689038.171</v>
      </c>
      <c r="I474" s="4">
        <v>60017546.487000003</v>
      </c>
      <c r="K474" s="48" t="e">
        <f t="shared" si="28"/>
        <v>#DIV/0!</v>
      </c>
      <c r="L474" s="48" t="e">
        <f t="shared" si="29"/>
        <v>#DIV/0!</v>
      </c>
      <c r="M474" s="48">
        <f t="shared" si="30"/>
        <v>4.1039599161428351</v>
      </c>
      <c r="N474" s="48">
        <f t="shared" si="31"/>
        <v>4.092484276124015</v>
      </c>
    </row>
    <row r="475" spans="1:14" x14ac:dyDescent="0.25">
      <c r="A475" s="5">
        <v>2012</v>
      </c>
      <c r="B475" s="4"/>
      <c r="C475" s="4"/>
      <c r="D475" s="4">
        <v>74284855.716999993</v>
      </c>
      <c r="E475" s="4">
        <v>13323622</v>
      </c>
      <c r="F475" s="4"/>
      <c r="G475" s="4"/>
      <c r="H475" s="4">
        <v>365154725.42400002</v>
      </c>
      <c r="I475" s="4">
        <v>65188666.236000001</v>
      </c>
      <c r="K475" s="48" t="e">
        <f t="shared" si="28"/>
        <v>#DIV/0!</v>
      </c>
      <c r="L475" s="48" t="e">
        <f t="shared" si="29"/>
        <v>#DIV/0!</v>
      </c>
      <c r="M475" s="48">
        <f t="shared" si="30"/>
        <v>4.9156011935341866</v>
      </c>
      <c r="N475" s="48">
        <f t="shared" si="31"/>
        <v>4.8927135756328122</v>
      </c>
    </row>
    <row r="476" spans="1:14" x14ac:dyDescent="0.25">
      <c r="A476" s="5">
        <v>2013</v>
      </c>
      <c r="B476" s="4"/>
      <c r="C476" s="4"/>
      <c r="D476" s="4">
        <v>78181846.316</v>
      </c>
      <c r="E476" s="4">
        <v>13867066.237</v>
      </c>
      <c r="F476" s="4"/>
      <c r="G476" s="4"/>
      <c r="H476" s="4">
        <v>432036552.58399999</v>
      </c>
      <c r="I476" s="4">
        <v>79366678.806999996</v>
      </c>
      <c r="K476" s="48" t="e">
        <f t="shared" si="28"/>
        <v>#DIV/0!</v>
      </c>
      <c r="L476" s="48" t="e">
        <f t="shared" si="29"/>
        <v>#DIV/0!</v>
      </c>
      <c r="M476" s="48">
        <f t="shared" si="30"/>
        <v>5.5260469398198806</v>
      </c>
      <c r="N476" s="48">
        <f t="shared" si="31"/>
        <v>5.7233936472614833</v>
      </c>
    </row>
    <row r="477" spans="1:14" x14ac:dyDescent="0.25">
      <c r="A477" s="5">
        <v>2014</v>
      </c>
      <c r="B477" s="4"/>
      <c r="C477" s="4"/>
      <c r="D477" s="4">
        <v>76609744.541999996</v>
      </c>
      <c r="E477" s="4">
        <v>12431389.078</v>
      </c>
      <c r="F477" s="4"/>
      <c r="G477" s="4"/>
      <c r="H477" s="4">
        <v>372974224.278</v>
      </c>
      <c r="I477" s="4">
        <v>67750411.604000106</v>
      </c>
      <c r="K477" s="48" t="e">
        <f t="shared" si="28"/>
        <v>#DIV/0!</v>
      </c>
      <c r="L477" s="48" t="e">
        <f t="shared" si="29"/>
        <v>#DIV/0!</v>
      </c>
      <c r="M477" s="48">
        <f t="shared" si="30"/>
        <v>4.8684958618224234</v>
      </c>
      <c r="N477" s="48">
        <f t="shared" si="31"/>
        <v>5.4499469993983976</v>
      </c>
    </row>
    <row r="478" spans="1:14" x14ac:dyDescent="0.25">
      <c r="A478" s="5">
        <v>2015</v>
      </c>
      <c r="B478" s="4">
        <v>2006682</v>
      </c>
      <c r="C478" s="4"/>
      <c r="D478" s="4">
        <v>78522498.137999997</v>
      </c>
      <c r="E478" s="4">
        <v>14411669.534</v>
      </c>
      <c r="F478" s="4">
        <v>18728350.245999999</v>
      </c>
      <c r="G478" s="4"/>
      <c r="H478" s="4">
        <v>327312434.45499998</v>
      </c>
      <c r="I478" s="4">
        <v>59468073.689999998</v>
      </c>
      <c r="K478" s="48">
        <f t="shared" si="28"/>
        <v>9.3329935914110944</v>
      </c>
      <c r="L478" s="48" t="e">
        <f t="shared" si="29"/>
        <v>#DIV/0!</v>
      </c>
      <c r="M478" s="48">
        <f t="shared" si="30"/>
        <v>4.1683904895608661</v>
      </c>
      <c r="N478" s="48">
        <f t="shared" si="31"/>
        <v>4.1263833832508414</v>
      </c>
    </row>
    <row r="479" spans="1:14" x14ac:dyDescent="0.25">
      <c r="A479" s="5">
        <v>2016</v>
      </c>
      <c r="B479" s="4"/>
      <c r="C479" s="4"/>
      <c r="D479" s="4">
        <v>69052646.392000005</v>
      </c>
      <c r="E479" s="4">
        <v>14802359</v>
      </c>
      <c r="F479" s="4"/>
      <c r="G479" s="4"/>
      <c r="H479" s="4">
        <v>273648571.79299998</v>
      </c>
      <c r="I479" s="4">
        <v>58793744.722000003</v>
      </c>
      <c r="K479" s="48" t="e">
        <f t="shared" si="28"/>
        <v>#DIV/0!</v>
      </c>
      <c r="L479" s="48" t="e">
        <f t="shared" si="29"/>
        <v>#DIV/0!</v>
      </c>
      <c r="M479" s="48">
        <f t="shared" si="30"/>
        <v>3.9628976743272673</v>
      </c>
      <c r="N479" s="48">
        <f t="shared" si="31"/>
        <v>3.9719172276527006</v>
      </c>
    </row>
    <row r="480" spans="1:14" x14ac:dyDescent="0.25">
      <c r="A480" s="5">
        <v>2017</v>
      </c>
      <c r="B480" s="4">
        <v>4349493.1639999999</v>
      </c>
      <c r="C480" s="4">
        <v>2208146.341</v>
      </c>
      <c r="D480" s="4">
        <v>84444389.923999995</v>
      </c>
      <c r="E480" s="4">
        <v>13614570.354</v>
      </c>
      <c r="F480" s="4">
        <v>34296927.575999998</v>
      </c>
      <c r="G480" s="4">
        <v>23210468.669</v>
      </c>
      <c r="H480" s="4">
        <v>383365531.56099999</v>
      </c>
      <c r="I480" s="4">
        <v>59791542.136</v>
      </c>
      <c r="K480" s="48">
        <f t="shared" si="28"/>
        <v>7.8852699114162803</v>
      </c>
      <c r="L480" s="48">
        <f t="shared" si="29"/>
        <v>10.51129095841026</v>
      </c>
      <c r="M480" s="48">
        <f t="shared" si="30"/>
        <v>4.5398579101113672</v>
      </c>
      <c r="N480" s="48">
        <f t="shared" si="31"/>
        <v>4.3917318417935292</v>
      </c>
    </row>
    <row r="481" spans="1:14" x14ac:dyDescent="0.25">
      <c r="A481" s="5">
        <v>2018</v>
      </c>
      <c r="B481" s="4">
        <v>3016709.6860000002</v>
      </c>
      <c r="C481" s="4"/>
      <c r="D481" s="4">
        <v>93201501.224999994</v>
      </c>
      <c r="E481" s="4">
        <v>15022082</v>
      </c>
      <c r="F481" s="4">
        <v>27414068.34</v>
      </c>
      <c r="G481" s="4"/>
      <c r="H481" s="4">
        <v>466586687.49599999</v>
      </c>
      <c r="I481" s="4">
        <v>75554558.494000003</v>
      </c>
      <c r="K481" s="48">
        <f t="shared" si="28"/>
        <v>9.08740687485564</v>
      </c>
      <c r="L481" s="48" t="e">
        <f t="shared" si="29"/>
        <v>#DIV/0!</v>
      </c>
      <c r="M481" s="48">
        <f t="shared" si="30"/>
        <v>5.0062142922955912</v>
      </c>
      <c r="N481" s="48">
        <f t="shared" si="31"/>
        <v>5.0295663739553547</v>
      </c>
    </row>
    <row r="482" spans="1:14" x14ac:dyDescent="0.25">
      <c r="A482" s="5">
        <v>2019</v>
      </c>
      <c r="B482" s="4">
        <v>2424115.182</v>
      </c>
      <c r="C482" s="4">
        <v>1329216.9450000001</v>
      </c>
      <c r="D482" s="4">
        <v>79123684.502000004</v>
      </c>
      <c r="E482" s="4">
        <v>14585768</v>
      </c>
      <c r="F482" s="4">
        <v>25936275.916999999</v>
      </c>
      <c r="G482" s="4">
        <v>17173613.177999999</v>
      </c>
      <c r="H482" s="4">
        <v>356691331.02399999</v>
      </c>
      <c r="I482" s="4">
        <v>67566871.231999993</v>
      </c>
      <c r="K482" s="48">
        <f t="shared" si="28"/>
        <v>10.699275393177253</v>
      </c>
      <c r="L482" s="48">
        <f t="shared" si="29"/>
        <v>12.92009798897049</v>
      </c>
      <c r="M482" s="48">
        <f t="shared" si="30"/>
        <v>4.5080222599465012</v>
      </c>
      <c r="N482" s="48">
        <f t="shared" si="31"/>
        <v>4.6323835146699164</v>
      </c>
    </row>
    <row r="483" spans="1:14" x14ac:dyDescent="0.25">
      <c r="A483" s="5">
        <v>2020</v>
      </c>
      <c r="B483" s="4">
        <v>3239203.8560000001</v>
      </c>
      <c r="C483" s="4">
        <v>1296272.311</v>
      </c>
      <c r="D483" s="4">
        <v>103397173.081</v>
      </c>
      <c r="E483" s="4">
        <v>13772966.705</v>
      </c>
      <c r="F483" s="4">
        <v>24332794.363000002</v>
      </c>
      <c r="G483" s="4">
        <v>14969024.744999999</v>
      </c>
      <c r="H483" s="4">
        <v>464377361.01200002</v>
      </c>
      <c r="I483" s="4">
        <v>62674536.270000003</v>
      </c>
      <c r="K483" s="48">
        <f t="shared" si="28"/>
        <v>7.5119675836172508</v>
      </c>
      <c r="L483" s="48">
        <f t="shared" si="29"/>
        <v>11.547747042017932</v>
      </c>
      <c r="M483" s="48">
        <f t="shared" si="30"/>
        <v>4.4911997801739982</v>
      </c>
      <c r="N483" s="48">
        <f t="shared" si="31"/>
        <v>4.550547286754659</v>
      </c>
    </row>
    <row r="484" spans="1:14" x14ac:dyDescent="0.25">
      <c r="A484" s="5">
        <v>2021</v>
      </c>
      <c r="B484" s="4">
        <v>3031809.199</v>
      </c>
      <c r="C484" s="4"/>
      <c r="D484" s="4">
        <v>77646520.332000002</v>
      </c>
      <c r="E484" s="4">
        <v>13488127</v>
      </c>
      <c r="F484" s="4">
        <v>30864322.25</v>
      </c>
      <c r="G484" s="4"/>
      <c r="H484" s="4">
        <v>365397191.88700002</v>
      </c>
      <c r="I484" s="4">
        <v>60701969.745999999</v>
      </c>
      <c r="K484" s="48">
        <f t="shared" si="28"/>
        <v>10.180166436654446</v>
      </c>
      <c r="L484" s="48" t="e">
        <f t="shared" si="29"/>
        <v>#DIV/0!</v>
      </c>
      <c r="M484" s="48">
        <f t="shared" si="30"/>
        <v>4.7059055618286481</v>
      </c>
      <c r="N484" s="48">
        <f t="shared" si="31"/>
        <v>4.5004002220619661</v>
      </c>
    </row>
    <row r="485" spans="1:14" x14ac:dyDescent="0.25">
      <c r="A485" s="5">
        <v>2022</v>
      </c>
      <c r="B485" s="4">
        <v>2409261.048</v>
      </c>
      <c r="C485" s="4"/>
      <c r="D485" s="4">
        <v>94501955.783999994</v>
      </c>
      <c r="E485" s="4">
        <v>14875089</v>
      </c>
      <c r="F485" s="4">
        <v>33597167.795999996</v>
      </c>
      <c r="G485" s="4"/>
      <c r="H485" s="4">
        <v>462138320.38300002</v>
      </c>
      <c r="I485" s="4">
        <v>66442611.011</v>
      </c>
      <c r="K485" s="48">
        <f t="shared" si="28"/>
        <v>13.945009331342494</v>
      </c>
      <c r="L485" s="48" t="e">
        <f t="shared" si="29"/>
        <v>#DIV/0!</v>
      </c>
      <c r="M485" s="48">
        <f t="shared" si="30"/>
        <v>4.8902513873818059</v>
      </c>
      <c r="N485" s="48">
        <f t="shared" si="31"/>
        <v>4.4667034268500849</v>
      </c>
    </row>
    <row r="486" spans="1:14" x14ac:dyDescent="0.25">
      <c r="A486" s="5">
        <v>2023</v>
      </c>
      <c r="B486" s="4">
        <v>2032779</v>
      </c>
      <c r="C486" s="4"/>
      <c r="D486" s="4">
        <v>80907040.883000001</v>
      </c>
      <c r="E486" s="4">
        <v>15175957</v>
      </c>
      <c r="F486" s="4">
        <v>26769205.348000001</v>
      </c>
      <c r="G486" s="4"/>
      <c r="H486" s="4">
        <v>441565749.59200001</v>
      </c>
      <c r="I486" s="4">
        <v>77212224.841999993</v>
      </c>
      <c r="K486" s="48">
        <f t="shared" si="28"/>
        <v>13.168773067805207</v>
      </c>
      <c r="L486" s="48" t="e">
        <f t="shared" si="29"/>
        <v>#DIV/0!</v>
      </c>
      <c r="M486" s="48">
        <f t="shared" si="30"/>
        <v>5.4576924921843331</v>
      </c>
      <c r="N486" s="48">
        <f t="shared" si="31"/>
        <v>5.0877993949244846</v>
      </c>
    </row>
    <row r="487" spans="1:14" x14ac:dyDescent="0.25">
      <c r="A487" s="5">
        <v>2024</v>
      </c>
      <c r="B487" s="4">
        <v>2194709.3859999999</v>
      </c>
      <c r="C487" s="4"/>
      <c r="D487" s="4">
        <v>85414302.371000007</v>
      </c>
      <c r="E487" s="4">
        <v>15267653</v>
      </c>
      <c r="F487" s="4">
        <v>25829106.291999999</v>
      </c>
      <c r="G487" s="4"/>
      <c r="H487" s="4">
        <v>450111937.77100003</v>
      </c>
      <c r="I487" s="4">
        <v>78791696.251000002</v>
      </c>
      <c r="K487" s="48">
        <f t="shared" si="28"/>
        <v>11.76880477058296</v>
      </c>
      <c r="L487" s="48" t="e">
        <f t="shared" si="29"/>
        <v>#DIV/0!</v>
      </c>
      <c r="M487" s="48">
        <f t="shared" si="30"/>
        <v>5.2697490382339378</v>
      </c>
      <c r="N487" s="48">
        <f t="shared" si="31"/>
        <v>5.1606947217755081</v>
      </c>
    </row>
    <row r="488" spans="1:14" x14ac:dyDescent="0.25">
      <c r="A488" s="5">
        <v>2025</v>
      </c>
      <c r="B488" s="4">
        <v>2053698.794</v>
      </c>
      <c r="C488" s="4">
        <v>804923.53899999999</v>
      </c>
      <c r="D488" s="4">
        <v>84631392.111000001</v>
      </c>
      <c r="E488" s="4">
        <v>11387730</v>
      </c>
      <c r="F488" s="4">
        <v>25658544.037</v>
      </c>
      <c r="G488" s="4">
        <v>8760971.1270000003</v>
      </c>
      <c r="H488" s="4">
        <v>444413141.06300002</v>
      </c>
      <c r="I488" s="4">
        <v>58280159.011</v>
      </c>
      <c r="K488" s="48">
        <f t="shared" si="28"/>
        <v>12.493820472584842</v>
      </c>
      <c r="L488" s="48">
        <f t="shared" si="29"/>
        <v>10.884227758930033</v>
      </c>
      <c r="M488" s="48">
        <f t="shared" si="30"/>
        <v>5.2511618913242151</v>
      </c>
      <c r="N488" s="48">
        <f t="shared" si="31"/>
        <v>5.1178030222880242</v>
      </c>
    </row>
    <row r="489" spans="1:14" x14ac:dyDescent="0.25">
      <c r="A489" s="3" t="s">
        <v>23</v>
      </c>
      <c r="B489" s="4">
        <v>91936319.247999996</v>
      </c>
      <c r="C489" s="4">
        <v>276798722.65600002</v>
      </c>
      <c r="D489" s="4">
        <v>6675487.5719999997</v>
      </c>
      <c r="E489" s="4">
        <v>420761972.27800006</v>
      </c>
      <c r="F489" s="4">
        <v>125663076.07100001</v>
      </c>
      <c r="G489" s="4">
        <v>842587238.06799996</v>
      </c>
      <c r="H489" s="4">
        <v>11695203.472000001</v>
      </c>
      <c r="I489" s="4">
        <v>2024306689.2560003</v>
      </c>
      <c r="K489" s="48">
        <f t="shared" si="28"/>
        <v>1.3668491092407282</v>
      </c>
      <c r="L489" s="48">
        <f t="shared" si="29"/>
        <v>3.0440430865540904</v>
      </c>
      <c r="M489" s="48">
        <f t="shared" si="30"/>
        <v>1.751962436579906</v>
      </c>
      <c r="N489" s="48">
        <f t="shared" si="31"/>
        <v>4.81104953067985</v>
      </c>
    </row>
    <row r="490" spans="1:14" x14ac:dyDescent="0.25">
      <c r="A490" s="5">
        <v>2010</v>
      </c>
      <c r="B490" s="4"/>
      <c r="C490" s="4">
        <v>8769836.0999999996</v>
      </c>
      <c r="D490" s="4"/>
      <c r="E490" s="4">
        <v>26388409.199999999</v>
      </c>
      <c r="F490" s="4"/>
      <c r="G490" s="4">
        <v>14119780.286</v>
      </c>
      <c r="H490" s="4"/>
      <c r="I490" s="4">
        <v>107315280.977</v>
      </c>
      <c r="K490" s="48" t="e">
        <f t="shared" si="28"/>
        <v>#DIV/0!</v>
      </c>
      <c r="L490" s="48">
        <f t="shared" si="29"/>
        <v>1.6100392441769809</v>
      </c>
      <c r="M490" s="48" t="e">
        <f t="shared" si="30"/>
        <v>#DIV/0!</v>
      </c>
      <c r="N490" s="48">
        <f t="shared" si="31"/>
        <v>4.0667582560073381</v>
      </c>
    </row>
    <row r="491" spans="1:14" x14ac:dyDescent="0.25">
      <c r="A491" s="5">
        <v>2011</v>
      </c>
      <c r="B491" s="4">
        <v>3839572.48</v>
      </c>
      <c r="C491" s="4">
        <v>4484124.6500000004</v>
      </c>
      <c r="D491" s="4"/>
      <c r="E491" s="4">
        <v>26847652.489999998</v>
      </c>
      <c r="F491" s="4">
        <v>3145096.5419999999</v>
      </c>
      <c r="G491" s="4">
        <v>12654623.060000001</v>
      </c>
      <c r="H491" s="4"/>
      <c r="I491" s="4">
        <v>124111272.96699999</v>
      </c>
      <c r="K491" s="48">
        <f t="shared" si="28"/>
        <v>0.8191267539244369</v>
      </c>
      <c r="L491" s="48">
        <f t="shared" si="29"/>
        <v>2.8220943991822351</v>
      </c>
      <c r="M491" s="48" t="e">
        <f t="shared" si="30"/>
        <v>#DIV/0!</v>
      </c>
      <c r="N491" s="48">
        <f t="shared" si="31"/>
        <v>4.6227979527531495</v>
      </c>
    </row>
    <row r="492" spans="1:14" x14ac:dyDescent="0.25">
      <c r="A492" s="5">
        <v>2012</v>
      </c>
      <c r="B492" s="4"/>
      <c r="C492" s="4">
        <v>15703058.800000001</v>
      </c>
      <c r="D492" s="4">
        <v>717461.93</v>
      </c>
      <c r="E492" s="4">
        <v>27438684.780000001</v>
      </c>
      <c r="F492" s="4"/>
      <c r="G492" s="4">
        <v>38890339.780000001</v>
      </c>
      <c r="H492" s="4">
        <v>1375991.966</v>
      </c>
      <c r="I492" s="4">
        <v>136628212.45300001</v>
      </c>
      <c r="K492" s="48" t="e">
        <f t="shared" si="28"/>
        <v>#DIV/0!</v>
      </c>
      <c r="L492" s="48">
        <f t="shared" si="29"/>
        <v>2.4766091928535605</v>
      </c>
      <c r="M492" s="48">
        <f t="shared" si="30"/>
        <v>1.9178605978438465</v>
      </c>
      <c r="N492" s="48">
        <f t="shared" si="31"/>
        <v>4.9794009278676512</v>
      </c>
    </row>
    <row r="493" spans="1:14" x14ac:dyDescent="0.25">
      <c r="A493" s="5">
        <v>2013</v>
      </c>
      <c r="B493" s="4">
        <v>2483177.6</v>
      </c>
      <c r="C493" s="4">
        <v>6111049.79</v>
      </c>
      <c r="D493" s="4">
        <v>856904.64</v>
      </c>
      <c r="E493" s="4">
        <v>24290693.32</v>
      </c>
      <c r="F493" s="4">
        <v>3033808.39</v>
      </c>
      <c r="G493" s="4">
        <v>24327491.033</v>
      </c>
      <c r="H493" s="4">
        <v>3227450.5260000001</v>
      </c>
      <c r="I493" s="4">
        <v>155899659.42399999</v>
      </c>
      <c r="K493" s="48">
        <f t="shared" si="28"/>
        <v>1.2217444253685279</v>
      </c>
      <c r="L493" s="48">
        <f t="shared" si="29"/>
        <v>3.9809021148557848</v>
      </c>
      <c r="M493" s="48">
        <f t="shared" si="30"/>
        <v>3.7664057064739431</v>
      </c>
      <c r="N493" s="48">
        <f t="shared" si="31"/>
        <v>6.4180819118752099</v>
      </c>
    </row>
    <row r="494" spans="1:14" x14ac:dyDescent="0.25">
      <c r="A494" s="5">
        <v>2014</v>
      </c>
      <c r="B494" s="4">
        <v>2938348.92</v>
      </c>
      <c r="C494" s="4">
        <v>2073026.89</v>
      </c>
      <c r="D494" s="4">
        <v>887057.35</v>
      </c>
      <c r="E494" s="4">
        <v>22548227.190000001</v>
      </c>
      <c r="F494" s="4">
        <v>2887934.0109999999</v>
      </c>
      <c r="G494" s="4">
        <v>412540897.48100001</v>
      </c>
      <c r="H494" s="4">
        <v>1523754.0249999999</v>
      </c>
      <c r="I494" s="4">
        <v>141053782.98699999</v>
      </c>
      <c r="K494" s="48">
        <f t="shared" si="28"/>
        <v>0.98284243622095091</v>
      </c>
      <c r="L494" s="48">
        <f t="shared" si="29"/>
        <v>199.00412265322811</v>
      </c>
      <c r="M494" s="48">
        <f t="shared" si="30"/>
        <v>1.7177626959519583</v>
      </c>
      <c r="N494" s="48">
        <f t="shared" si="31"/>
        <v>6.2556484728678123</v>
      </c>
    </row>
    <row r="495" spans="1:14" x14ac:dyDescent="0.25">
      <c r="A495" s="5">
        <v>2015</v>
      </c>
      <c r="B495" s="4">
        <v>3931610.91</v>
      </c>
      <c r="C495" s="4">
        <v>11624653.74</v>
      </c>
      <c r="D495" s="4">
        <v>1536392.28</v>
      </c>
      <c r="E495" s="4">
        <v>62779608.859999999</v>
      </c>
      <c r="F495" s="4">
        <v>2507249.96</v>
      </c>
      <c r="G495" s="4">
        <v>24454534.943</v>
      </c>
      <c r="H495" s="4">
        <v>3118127.2620000001</v>
      </c>
      <c r="I495" s="4">
        <v>196762396.748</v>
      </c>
      <c r="K495" s="48">
        <f t="shared" si="28"/>
        <v>0.63771568891083374</v>
      </c>
      <c r="L495" s="48">
        <f t="shared" si="29"/>
        <v>2.1036785688379567</v>
      </c>
      <c r="M495" s="48">
        <f t="shared" si="30"/>
        <v>2.0295124510779239</v>
      </c>
      <c r="N495" s="48">
        <f t="shared" si="31"/>
        <v>3.1341768501104355</v>
      </c>
    </row>
    <row r="496" spans="1:14" x14ac:dyDescent="0.25">
      <c r="A496" s="5">
        <v>2016</v>
      </c>
      <c r="B496" s="4">
        <v>2713515.65</v>
      </c>
      <c r="C496" s="4">
        <v>12252428.609999999</v>
      </c>
      <c r="D496" s="4"/>
      <c r="E496" s="4">
        <v>33455557.739999998</v>
      </c>
      <c r="F496" s="4">
        <v>2373286.102</v>
      </c>
      <c r="G496" s="4">
        <v>18376899.022999998</v>
      </c>
      <c r="H496" s="4"/>
      <c r="I496" s="4">
        <v>163747894.419</v>
      </c>
      <c r="K496" s="48">
        <f t="shared" si="28"/>
        <v>0.87461669955726995</v>
      </c>
      <c r="L496" s="48">
        <f t="shared" si="29"/>
        <v>1.4998576696869241</v>
      </c>
      <c r="M496" s="48" t="e">
        <f t="shared" si="30"/>
        <v>#DIV/0!</v>
      </c>
      <c r="N496" s="48">
        <f t="shared" si="31"/>
        <v>4.8944900483072926</v>
      </c>
    </row>
    <row r="497" spans="1:14" x14ac:dyDescent="0.25">
      <c r="A497" s="5">
        <v>2017</v>
      </c>
      <c r="B497" s="4"/>
      <c r="C497" s="4">
        <v>28553618.449999999</v>
      </c>
      <c r="D497" s="4"/>
      <c r="E497" s="4">
        <v>28262586.559999999</v>
      </c>
      <c r="F497" s="4"/>
      <c r="G497" s="4">
        <v>48309267.189999998</v>
      </c>
      <c r="H497" s="4"/>
      <c r="I497" s="4">
        <v>140529507.27000001</v>
      </c>
      <c r="K497" s="48" t="e">
        <f t="shared" si="28"/>
        <v>#DIV/0!</v>
      </c>
      <c r="L497" s="48">
        <f t="shared" si="29"/>
        <v>1.6918789916099057</v>
      </c>
      <c r="M497" s="48" t="e">
        <f t="shared" si="30"/>
        <v>#DIV/0!</v>
      </c>
      <c r="N497" s="48">
        <f t="shared" si="31"/>
        <v>4.9722804730438659</v>
      </c>
    </row>
    <row r="498" spans="1:14" x14ac:dyDescent="0.25">
      <c r="A498" s="5">
        <v>2018</v>
      </c>
      <c r="B498" s="4"/>
      <c r="C498" s="4">
        <v>36845620.899999999</v>
      </c>
      <c r="D498" s="4"/>
      <c r="E498" s="4">
        <v>28662281.469999999</v>
      </c>
      <c r="F498" s="4"/>
      <c r="G498" s="4">
        <v>48921105.229000002</v>
      </c>
      <c r="H498" s="4"/>
      <c r="I498" s="4">
        <v>153562686.54100001</v>
      </c>
      <c r="K498" s="48" t="e">
        <f t="shared" si="28"/>
        <v>#DIV/0!</v>
      </c>
      <c r="L498" s="48">
        <f t="shared" si="29"/>
        <v>1.3277318724462044</v>
      </c>
      <c r="M498" s="48" t="e">
        <f t="shared" si="30"/>
        <v>#DIV/0!</v>
      </c>
      <c r="N498" s="48">
        <f t="shared" si="31"/>
        <v>5.3576574740475467</v>
      </c>
    </row>
    <row r="499" spans="1:14" x14ac:dyDescent="0.25">
      <c r="A499" s="5">
        <v>2019</v>
      </c>
      <c r="B499" s="4"/>
      <c r="C499" s="4">
        <v>29312893.359999999</v>
      </c>
      <c r="D499" s="4"/>
      <c r="E499" s="4">
        <v>29731253.16</v>
      </c>
      <c r="F499" s="4"/>
      <c r="G499" s="4">
        <v>38738742.840000004</v>
      </c>
      <c r="H499" s="4"/>
      <c r="I499" s="4">
        <v>145761816.796</v>
      </c>
      <c r="K499" s="48" t="e">
        <f t="shared" si="28"/>
        <v>#DIV/0!</v>
      </c>
      <c r="L499" s="48">
        <f t="shared" si="29"/>
        <v>1.3215598461823082</v>
      </c>
      <c r="M499" s="48" t="e">
        <f t="shared" si="30"/>
        <v>#DIV/0!</v>
      </c>
      <c r="N499" s="48">
        <f t="shared" si="31"/>
        <v>4.9026462494391545</v>
      </c>
    </row>
    <row r="500" spans="1:14" x14ac:dyDescent="0.25">
      <c r="A500" s="5">
        <v>2020</v>
      </c>
      <c r="B500" s="4">
        <v>12301143.439999999</v>
      </c>
      <c r="C500" s="4">
        <v>21409955.719999999</v>
      </c>
      <c r="D500" s="4">
        <v>1523631.48</v>
      </c>
      <c r="E500" s="4">
        <v>26654674.940000001</v>
      </c>
      <c r="F500" s="4">
        <v>17268731.912</v>
      </c>
      <c r="G500" s="4">
        <v>26898958.032000002</v>
      </c>
      <c r="H500" s="4">
        <v>1268369.67</v>
      </c>
      <c r="I500" s="4">
        <v>124061376.052</v>
      </c>
      <c r="K500" s="48">
        <f t="shared" si="28"/>
        <v>1.4038314402421115</v>
      </c>
      <c r="L500" s="48">
        <f t="shared" si="29"/>
        <v>1.2563761636775586</v>
      </c>
      <c r="M500" s="48">
        <f t="shared" si="30"/>
        <v>0.83246486217257731</v>
      </c>
      <c r="N500" s="48">
        <f t="shared" si="31"/>
        <v>4.6543946355100436</v>
      </c>
    </row>
    <row r="501" spans="1:14" x14ac:dyDescent="0.25">
      <c r="A501" s="5">
        <v>2021</v>
      </c>
      <c r="B501" s="4">
        <v>32589126.278999999</v>
      </c>
      <c r="C501" s="4">
        <v>14920135.66</v>
      </c>
      <c r="D501" s="4">
        <v>1154039.892</v>
      </c>
      <c r="E501" s="4">
        <v>31099863.618000001</v>
      </c>
      <c r="F501" s="4">
        <v>44806365.002999999</v>
      </c>
      <c r="G501" s="4">
        <v>22267963.686000001</v>
      </c>
      <c r="H501" s="4">
        <v>1181510.023</v>
      </c>
      <c r="I501" s="4">
        <v>152816162.405</v>
      </c>
      <c r="K501" s="48">
        <f t="shared" si="28"/>
        <v>1.3748869674935909</v>
      </c>
      <c r="L501" s="48">
        <f t="shared" si="29"/>
        <v>1.4924772933331358</v>
      </c>
      <c r="M501" s="48">
        <f t="shared" si="30"/>
        <v>1.0238034501150504</v>
      </c>
      <c r="N501" s="48">
        <f t="shared" si="31"/>
        <v>4.9137245192468608</v>
      </c>
    </row>
    <row r="502" spans="1:14" x14ac:dyDescent="0.25">
      <c r="A502" s="5">
        <v>2022</v>
      </c>
      <c r="B502" s="4">
        <v>20938153.844999999</v>
      </c>
      <c r="C502" s="4">
        <v>46809368.986000001</v>
      </c>
      <c r="D502" s="4"/>
      <c r="E502" s="4">
        <v>26566642.75</v>
      </c>
      <c r="F502" s="4">
        <v>32033524.340999998</v>
      </c>
      <c r="G502" s="4">
        <v>59364733.585000001</v>
      </c>
      <c r="H502" s="4"/>
      <c r="I502" s="4">
        <v>141585187.706</v>
      </c>
      <c r="K502" s="48">
        <f t="shared" si="28"/>
        <v>1.5299115947917996</v>
      </c>
      <c r="L502" s="48">
        <f t="shared" si="29"/>
        <v>1.2682233251799468</v>
      </c>
      <c r="M502" s="48" t="e">
        <f t="shared" si="30"/>
        <v>#DIV/0!</v>
      </c>
      <c r="N502" s="48">
        <f t="shared" si="31"/>
        <v>5.3294346989327437</v>
      </c>
    </row>
    <row r="503" spans="1:14" x14ac:dyDescent="0.25">
      <c r="A503" s="5">
        <v>2023</v>
      </c>
      <c r="B503" s="4">
        <v>10201670.124</v>
      </c>
      <c r="C503" s="4">
        <v>37928951</v>
      </c>
      <c r="D503" s="4"/>
      <c r="E503" s="4">
        <v>26035836.199999999</v>
      </c>
      <c r="F503" s="4">
        <v>17607079.809999999</v>
      </c>
      <c r="G503" s="4">
        <v>52721901.899999999</v>
      </c>
      <c r="H503" s="4"/>
      <c r="I503" s="4">
        <v>140471452.51100001</v>
      </c>
      <c r="K503" s="48">
        <f t="shared" si="28"/>
        <v>1.725901700014624</v>
      </c>
      <c r="L503" s="48">
        <f t="shared" si="29"/>
        <v>1.3900174012194537</v>
      </c>
      <c r="M503" s="48" t="e">
        <f t="shared" si="30"/>
        <v>#DIV/0!</v>
      </c>
      <c r="N503" s="48">
        <f t="shared" si="31"/>
        <v>5.3953117323345277</v>
      </c>
    </row>
    <row r="504" spans="1:14" x14ac:dyDescent="0.25">
      <c r="A504" s="3" t="s">
        <v>24</v>
      </c>
      <c r="B504" s="4"/>
      <c r="C504" s="4"/>
      <c r="D504" s="4">
        <v>106341540</v>
      </c>
      <c r="E504" s="4">
        <v>783283</v>
      </c>
      <c r="F504" s="4"/>
      <c r="G504" s="4"/>
      <c r="H504" s="4">
        <v>685247003.07000005</v>
      </c>
      <c r="I504" s="4">
        <v>7446144.3959999997</v>
      </c>
      <c r="K504" s="48" t="e">
        <f t="shared" si="28"/>
        <v>#DIV/0!</v>
      </c>
      <c r="L504" s="48" t="e">
        <f t="shared" si="29"/>
        <v>#DIV/0!</v>
      </c>
      <c r="M504" s="48">
        <f t="shared" si="30"/>
        <v>6.4438318560178844</v>
      </c>
      <c r="N504" s="48">
        <f t="shared" si="31"/>
        <v>9.5063270822933728</v>
      </c>
    </row>
    <row r="505" spans="1:14" x14ac:dyDescent="0.25">
      <c r="A505" s="5">
        <v>2010</v>
      </c>
      <c r="B505" s="4"/>
      <c r="C505" s="4"/>
      <c r="D505" s="4">
        <v>7540800</v>
      </c>
      <c r="E505" s="4"/>
      <c r="F505" s="4"/>
      <c r="G505" s="4"/>
      <c r="H505" s="4">
        <v>43911827.987000003</v>
      </c>
      <c r="I505" s="4"/>
      <c r="K505" s="48" t="e">
        <f t="shared" si="28"/>
        <v>#DIV/0!</v>
      </c>
      <c r="L505" s="48" t="e">
        <f t="shared" si="29"/>
        <v>#DIV/0!</v>
      </c>
      <c r="M505" s="48">
        <f t="shared" si="30"/>
        <v>5.8232320160990882</v>
      </c>
      <c r="N505" s="48" t="e">
        <f t="shared" si="31"/>
        <v>#DIV/0!</v>
      </c>
    </row>
    <row r="506" spans="1:14" x14ac:dyDescent="0.25">
      <c r="A506" s="5">
        <v>2011</v>
      </c>
      <c r="B506" s="4"/>
      <c r="C506" s="4"/>
      <c r="D506" s="4">
        <v>7215600</v>
      </c>
      <c r="E506" s="4"/>
      <c r="F506" s="4"/>
      <c r="G506" s="4"/>
      <c r="H506" s="4">
        <v>47373276.862999998</v>
      </c>
      <c r="I506" s="4"/>
      <c r="K506" s="48" t="e">
        <f t="shared" si="28"/>
        <v>#DIV/0!</v>
      </c>
      <c r="L506" s="48" t="e">
        <f t="shared" si="29"/>
        <v>#DIV/0!</v>
      </c>
      <c r="M506" s="48">
        <f t="shared" si="30"/>
        <v>6.5653967602139804</v>
      </c>
      <c r="N506" s="48" t="e">
        <f t="shared" si="31"/>
        <v>#DIV/0!</v>
      </c>
    </row>
    <row r="507" spans="1:14" x14ac:dyDescent="0.25">
      <c r="A507" s="5">
        <v>2012</v>
      </c>
      <c r="B507" s="4"/>
      <c r="C507" s="4"/>
      <c r="D507" s="4">
        <v>6776100</v>
      </c>
      <c r="E507" s="4"/>
      <c r="F507" s="4"/>
      <c r="G507" s="4"/>
      <c r="H507" s="4">
        <v>44471289.714000002</v>
      </c>
      <c r="I507" s="4"/>
      <c r="K507" s="48" t="e">
        <f t="shared" si="28"/>
        <v>#DIV/0!</v>
      </c>
      <c r="L507" s="48" t="e">
        <f t="shared" si="29"/>
        <v>#DIV/0!</v>
      </c>
      <c r="M507" s="48">
        <f t="shared" si="30"/>
        <v>6.562962428830744</v>
      </c>
      <c r="N507" s="48" t="e">
        <f t="shared" si="31"/>
        <v>#DIV/0!</v>
      </c>
    </row>
    <row r="508" spans="1:14" x14ac:dyDescent="0.25">
      <c r="A508" s="5">
        <v>2013</v>
      </c>
      <c r="B508" s="4"/>
      <c r="C508" s="4"/>
      <c r="D508" s="4">
        <v>6053898</v>
      </c>
      <c r="E508" s="4"/>
      <c r="F508" s="4"/>
      <c r="G508" s="4"/>
      <c r="H508" s="4">
        <v>43153317.623000003</v>
      </c>
      <c r="I508" s="4"/>
      <c r="K508" s="48" t="e">
        <f t="shared" si="28"/>
        <v>#DIV/0!</v>
      </c>
      <c r="L508" s="48" t="e">
        <f t="shared" si="29"/>
        <v>#DIV/0!</v>
      </c>
      <c r="M508" s="48">
        <f t="shared" si="30"/>
        <v>7.1281870991219218</v>
      </c>
      <c r="N508" s="48" t="e">
        <f t="shared" si="31"/>
        <v>#DIV/0!</v>
      </c>
    </row>
    <row r="509" spans="1:14" x14ac:dyDescent="0.25">
      <c r="A509" s="5">
        <v>2014</v>
      </c>
      <c r="B509" s="4"/>
      <c r="C509" s="4"/>
      <c r="D509" s="4">
        <v>6468506</v>
      </c>
      <c r="E509" s="4"/>
      <c r="F509" s="4"/>
      <c r="G509" s="4"/>
      <c r="H509" s="4">
        <v>43462025.294</v>
      </c>
      <c r="I509" s="4"/>
      <c r="K509" s="48" t="e">
        <f t="shared" si="28"/>
        <v>#DIV/0!</v>
      </c>
      <c r="L509" s="48" t="e">
        <f t="shared" si="29"/>
        <v>#DIV/0!</v>
      </c>
      <c r="M509" s="48">
        <f t="shared" si="30"/>
        <v>6.719020635367734</v>
      </c>
      <c r="N509" s="48" t="e">
        <f t="shared" si="31"/>
        <v>#DIV/0!</v>
      </c>
    </row>
    <row r="510" spans="1:14" x14ac:dyDescent="0.25">
      <c r="A510" s="5">
        <v>2015</v>
      </c>
      <c r="B510" s="4"/>
      <c r="C510" s="4"/>
      <c r="D510" s="4">
        <v>6263084</v>
      </c>
      <c r="E510" s="4"/>
      <c r="F510" s="4"/>
      <c r="G510" s="4"/>
      <c r="H510" s="4">
        <v>35177377.956</v>
      </c>
      <c r="I510" s="4"/>
      <c r="K510" s="48" t="e">
        <f t="shared" si="28"/>
        <v>#DIV/0!</v>
      </c>
      <c r="L510" s="48" t="e">
        <f t="shared" si="29"/>
        <v>#DIV/0!</v>
      </c>
      <c r="M510" s="48">
        <f t="shared" si="30"/>
        <v>5.6166224109400416</v>
      </c>
      <c r="N510" s="48" t="e">
        <f t="shared" si="31"/>
        <v>#DIV/0!</v>
      </c>
    </row>
    <row r="511" spans="1:14" x14ac:dyDescent="0.25">
      <c r="A511" s="5">
        <v>2016</v>
      </c>
      <c r="B511" s="4"/>
      <c r="C511" s="4"/>
      <c r="D511" s="4">
        <v>6853574</v>
      </c>
      <c r="E511" s="4"/>
      <c r="F511" s="4"/>
      <c r="G511" s="4"/>
      <c r="H511" s="4">
        <v>36319283.579000004</v>
      </c>
      <c r="I511" s="4"/>
      <c r="K511" s="48" t="e">
        <f t="shared" si="28"/>
        <v>#DIV/0!</v>
      </c>
      <c r="L511" s="48" t="e">
        <f t="shared" si="29"/>
        <v>#DIV/0!</v>
      </c>
      <c r="M511" s="48">
        <f t="shared" si="30"/>
        <v>5.2993202639965666</v>
      </c>
      <c r="N511" s="48" t="e">
        <f t="shared" si="31"/>
        <v>#DIV/0!</v>
      </c>
    </row>
    <row r="512" spans="1:14" x14ac:dyDescent="0.25">
      <c r="A512" s="5">
        <v>2017</v>
      </c>
      <c r="B512" s="4"/>
      <c r="C512" s="4"/>
      <c r="D512" s="4">
        <v>5830671</v>
      </c>
      <c r="E512" s="4"/>
      <c r="F512" s="4"/>
      <c r="G512" s="4"/>
      <c r="H512" s="4">
        <v>36177109.414999999</v>
      </c>
      <c r="I512" s="4"/>
      <c r="K512" s="48" t="e">
        <f t="shared" si="28"/>
        <v>#DIV/0!</v>
      </c>
      <c r="L512" s="48" t="e">
        <f t="shared" si="29"/>
        <v>#DIV/0!</v>
      </c>
      <c r="M512" s="48">
        <f t="shared" si="30"/>
        <v>6.2046219748979148</v>
      </c>
      <c r="N512" s="48" t="e">
        <f t="shared" si="31"/>
        <v>#DIV/0!</v>
      </c>
    </row>
    <row r="513" spans="1:14" x14ac:dyDescent="0.25">
      <c r="A513" s="5">
        <v>2018</v>
      </c>
      <c r="B513" s="4"/>
      <c r="C513" s="4"/>
      <c r="D513" s="4">
        <v>5868678</v>
      </c>
      <c r="E513" s="4"/>
      <c r="F513" s="4"/>
      <c r="G513" s="4"/>
      <c r="H513" s="4">
        <v>38540933.630999997</v>
      </c>
      <c r="I513" s="4"/>
      <c r="K513" s="48" t="e">
        <f t="shared" si="28"/>
        <v>#DIV/0!</v>
      </c>
      <c r="L513" s="48" t="e">
        <f t="shared" si="29"/>
        <v>#DIV/0!</v>
      </c>
      <c r="M513" s="48">
        <f t="shared" si="30"/>
        <v>6.5672258097990719</v>
      </c>
      <c r="N513" s="48" t="e">
        <f t="shared" si="31"/>
        <v>#DIV/0!</v>
      </c>
    </row>
    <row r="514" spans="1:14" x14ac:dyDescent="0.25">
      <c r="A514" s="5">
        <v>2019</v>
      </c>
      <c r="B514" s="4"/>
      <c r="C514" s="4"/>
      <c r="D514" s="4">
        <v>7195161</v>
      </c>
      <c r="E514" s="4"/>
      <c r="F514" s="4"/>
      <c r="G514" s="4"/>
      <c r="H514" s="4">
        <v>43855420.528999999</v>
      </c>
      <c r="I514" s="4"/>
      <c r="K514" s="48" t="e">
        <f t="shared" si="28"/>
        <v>#DIV/0!</v>
      </c>
      <c r="L514" s="48" t="e">
        <f t="shared" si="29"/>
        <v>#DIV/0!</v>
      </c>
      <c r="M514" s="48">
        <f t="shared" si="30"/>
        <v>6.0951270623409259</v>
      </c>
      <c r="N514" s="48" t="e">
        <f t="shared" si="31"/>
        <v>#DIV/0!</v>
      </c>
    </row>
    <row r="515" spans="1:14" x14ac:dyDescent="0.25">
      <c r="A515" s="5">
        <v>2020</v>
      </c>
      <c r="B515" s="4"/>
      <c r="C515" s="4"/>
      <c r="D515" s="4">
        <v>7061295</v>
      </c>
      <c r="E515" s="4"/>
      <c r="F515" s="4"/>
      <c r="G515" s="4"/>
      <c r="H515" s="4">
        <v>43535219.648999996</v>
      </c>
      <c r="I515" s="4"/>
      <c r="K515" s="48" t="e">
        <f t="shared" si="28"/>
        <v>#DIV/0!</v>
      </c>
      <c r="L515" s="48" t="e">
        <f t="shared" si="29"/>
        <v>#DIV/0!</v>
      </c>
      <c r="M515" s="48">
        <f t="shared" si="30"/>
        <v>6.1653308138238092</v>
      </c>
      <c r="N515" s="48" t="e">
        <f t="shared" si="31"/>
        <v>#DIV/0!</v>
      </c>
    </row>
    <row r="516" spans="1:14" x14ac:dyDescent="0.25">
      <c r="A516" s="5">
        <v>2021</v>
      </c>
      <c r="B516" s="4"/>
      <c r="C516" s="4"/>
      <c r="D516" s="4">
        <v>6839255</v>
      </c>
      <c r="E516" s="4"/>
      <c r="F516" s="4"/>
      <c r="G516" s="4"/>
      <c r="H516" s="4">
        <v>44840809.299000002</v>
      </c>
      <c r="I516" s="4"/>
      <c r="K516" s="48" t="e">
        <f t="shared" si="28"/>
        <v>#DIV/0!</v>
      </c>
      <c r="L516" s="48" t="e">
        <f t="shared" si="29"/>
        <v>#DIV/0!</v>
      </c>
      <c r="M516" s="48">
        <f t="shared" si="30"/>
        <v>6.556387983632721</v>
      </c>
      <c r="N516" s="48" t="e">
        <f t="shared" si="31"/>
        <v>#DIV/0!</v>
      </c>
    </row>
    <row r="517" spans="1:14" x14ac:dyDescent="0.25">
      <c r="A517" s="5">
        <v>2022</v>
      </c>
      <c r="B517" s="4"/>
      <c r="C517" s="4"/>
      <c r="D517" s="4">
        <v>7415805</v>
      </c>
      <c r="E517" s="4"/>
      <c r="F517" s="4"/>
      <c r="G517" s="4"/>
      <c r="H517" s="4">
        <v>48139110.068999998</v>
      </c>
      <c r="I517" s="4"/>
      <c r="K517" s="48" t="e">
        <f t="shared" si="28"/>
        <v>#DIV/0!</v>
      </c>
      <c r="L517" s="48" t="e">
        <f t="shared" si="29"/>
        <v>#DIV/0!</v>
      </c>
      <c r="M517" s="48">
        <f t="shared" si="30"/>
        <v>6.4914206979552453</v>
      </c>
      <c r="N517" s="48" t="e">
        <f t="shared" si="31"/>
        <v>#DIV/0!</v>
      </c>
    </row>
    <row r="518" spans="1:14" x14ac:dyDescent="0.25">
      <c r="A518" s="5">
        <v>2023</v>
      </c>
      <c r="B518" s="4"/>
      <c r="C518" s="4"/>
      <c r="D518" s="4">
        <v>6237454</v>
      </c>
      <c r="E518" s="4"/>
      <c r="F518" s="4"/>
      <c r="G518" s="4"/>
      <c r="H518" s="4">
        <v>44725991.031000003</v>
      </c>
      <c r="I518" s="4"/>
      <c r="K518" s="48" t="e">
        <f t="shared" si="28"/>
        <v>#DIV/0!</v>
      </c>
      <c r="L518" s="48" t="e">
        <f t="shared" si="29"/>
        <v>#DIV/0!</v>
      </c>
      <c r="M518" s="48">
        <f t="shared" si="30"/>
        <v>7.170552445116229</v>
      </c>
      <c r="N518" s="48" t="e">
        <f t="shared" si="31"/>
        <v>#DIV/0!</v>
      </c>
    </row>
    <row r="519" spans="1:14" x14ac:dyDescent="0.25">
      <c r="A519" s="5">
        <v>2024</v>
      </c>
      <c r="B519" s="4"/>
      <c r="C519" s="4"/>
      <c r="D519" s="4">
        <v>6332178</v>
      </c>
      <c r="E519" s="4"/>
      <c r="F519" s="4"/>
      <c r="G519" s="4"/>
      <c r="H519" s="4">
        <v>47290171.109999999</v>
      </c>
      <c r="I519" s="4"/>
      <c r="K519" s="48" t="e">
        <f t="shared" ref="K519:K582" si="32">F519/B519</f>
        <v>#DIV/0!</v>
      </c>
      <c r="L519" s="48" t="e">
        <f t="shared" ref="L519:L582" si="33">G519/C519</f>
        <v>#DIV/0!</v>
      </c>
      <c r="M519" s="48">
        <f t="shared" ref="M519:M582" si="34">H519/D519</f>
        <v>7.4682314852804197</v>
      </c>
      <c r="N519" s="48" t="e">
        <f t="shared" ref="N519:N582" si="35">I519/E519</f>
        <v>#DIV/0!</v>
      </c>
    </row>
    <row r="520" spans="1:14" x14ac:dyDescent="0.25">
      <c r="A520" s="5">
        <v>2025</v>
      </c>
      <c r="B520" s="4"/>
      <c r="C520" s="4"/>
      <c r="D520" s="4">
        <v>6389481</v>
      </c>
      <c r="E520" s="4">
        <v>783283</v>
      </c>
      <c r="F520" s="4"/>
      <c r="G520" s="4"/>
      <c r="H520" s="4">
        <v>44273839.321000002</v>
      </c>
      <c r="I520" s="4">
        <v>7446144.3959999997</v>
      </c>
      <c r="K520" s="48" t="e">
        <f t="shared" si="32"/>
        <v>#DIV/0!</v>
      </c>
      <c r="L520" s="48" t="e">
        <f t="shared" si="33"/>
        <v>#DIV/0!</v>
      </c>
      <c r="M520" s="48">
        <f t="shared" si="34"/>
        <v>6.9291761445100164</v>
      </c>
      <c r="N520" s="48">
        <f t="shared" si="35"/>
        <v>9.5063270822933728</v>
      </c>
    </row>
    <row r="521" spans="1:14" x14ac:dyDescent="0.25">
      <c r="A521" s="3" t="s">
        <v>25</v>
      </c>
      <c r="B521" s="4">
        <v>176425645</v>
      </c>
      <c r="C521" s="4">
        <v>14188402</v>
      </c>
      <c r="D521" s="4">
        <v>14184327</v>
      </c>
      <c r="E521" s="4">
        <v>105956415</v>
      </c>
      <c r="F521" s="4">
        <v>401710646</v>
      </c>
      <c r="G521" s="4">
        <v>37698923</v>
      </c>
      <c r="H521" s="4">
        <v>59468689</v>
      </c>
      <c r="I521" s="4">
        <v>455063356</v>
      </c>
      <c r="K521" s="48">
        <f t="shared" si="32"/>
        <v>2.2769402146723059</v>
      </c>
      <c r="L521" s="48">
        <f t="shared" si="33"/>
        <v>2.6570238847193646</v>
      </c>
      <c r="M521" s="48">
        <f t="shared" si="34"/>
        <v>4.1925633130144275</v>
      </c>
      <c r="N521" s="48">
        <f t="shared" si="35"/>
        <v>4.2948164676957026</v>
      </c>
    </row>
    <row r="522" spans="1:14" x14ac:dyDescent="0.25">
      <c r="A522" s="5">
        <v>2010</v>
      </c>
      <c r="B522" s="4">
        <v>10551953</v>
      </c>
      <c r="C522" s="4"/>
      <c r="D522" s="4"/>
      <c r="E522" s="4">
        <v>23674709</v>
      </c>
      <c r="F522" s="4">
        <v>40258922</v>
      </c>
      <c r="G522" s="4"/>
      <c r="H522" s="4"/>
      <c r="I522" s="4">
        <v>47461921</v>
      </c>
      <c r="K522" s="48">
        <f t="shared" si="32"/>
        <v>3.8153052804537699</v>
      </c>
      <c r="L522" s="48" t="e">
        <f t="shared" si="33"/>
        <v>#DIV/0!</v>
      </c>
      <c r="M522" s="48" t="e">
        <f t="shared" si="34"/>
        <v>#DIV/0!</v>
      </c>
      <c r="N522" s="48">
        <f t="shared" si="35"/>
        <v>2.0047520330661719</v>
      </c>
    </row>
    <row r="523" spans="1:14" x14ac:dyDescent="0.25">
      <c r="A523" s="5">
        <v>2011</v>
      </c>
      <c r="B523" s="4">
        <v>16623698</v>
      </c>
      <c r="C523" s="4"/>
      <c r="D523" s="4">
        <v>2321540</v>
      </c>
      <c r="E523" s="4">
        <v>17413467</v>
      </c>
      <c r="F523" s="4">
        <v>25314230</v>
      </c>
      <c r="G523" s="4"/>
      <c r="H523" s="4">
        <v>7186821</v>
      </c>
      <c r="I523" s="4">
        <v>38632761</v>
      </c>
      <c r="K523" s="48">
        <f t="shared" si="32"/>
        <v>1.5227797088229105</v>
      </c>
      <c r="L523" s="48" t="e">
        <f t="shared" si="33"/>
        <v>#DIV/0!</v>
      </c>
      <c r="M523" s="48">
        <f t="shared" si="34"/>
        <v>3.0957127596336913</v>
      </c>
      <c r="N523" s="48">
        <f t="shared" si="35"/>
        <v>2.2185565344339526</v>
      </c>
    </row>
    <row r="524" spans="1:14" x14ac:dyDescent="0.25">
      <c r="A524" s="5">
        <v>2012</v>
      </c>
      <c r="B524" s="4">
        <v>13328645</v>
      </c>
      <c r="C524" s="4"/>
      <c r="D524" s="4"/>
      <c r="E524" s="4">
        <v>5336480</v>
      </c>
      <c r="F524" s="4">
        <v>36566765</v>
      </c>
      <c r="G524" s="4"/>
      <c r="H524" s="4"/>
      <c r="I524" s="4">
        <v>35849544</v>
      </c>
      <c r="K524" s="48">
        <f t="shared" si="32"/>
        <v>2.743472048359004</v>
      </c>
      <c r="L524" s="48" t="e">
        <f t="shared" si="33"/>
        <v>#DIV/0!</v>
      </c>
      <c r="M524" s="48" t="e">
        <f t="shared" si="34"/>
        <v>#DIV/0!</v>
      </c>
      <c r="N524" s="48">
        <f t="shared" si="35"/>
        <v>6.7178259826702247</v>
      </c>
    </row>
    <row r="525" spans="1:14" x14ac:dyDescent="0.25">
      <c r="A525" s="5">
        <v>2017</v>
      </c>
      <c r="B525" s="4">
        <v>11638819</v>
      </c>
      <c r="C525" s="4"/>
      <c r="D525" s="4"/>
      <c r="E525" s="4">
        <v>5399499</v>
      </c>
      <c r="F525" s="4">
        <v>26627921</v>
      </c>
      <c r="G525" s="4"/>
      <c r="H525" s="4"/>
      <c r="I525" s="4">
        <v>30702505</v>
      </c>
      <c r="K525" s="48">
        <f t="shared" si="32"/>
        <v>2.2878542058262097</v>
      </c>
      <c r="L525" s="48" t="e">
        <f t="shared" si="33"/>
        <v>#DIV/0!</v>
      </c>
      <c r="M525" s="48" t="e">
        <f t="shared" si="34"/>
        <v>#DIV/0!</v>
      </c>
      <c r="N525" s="48">
        <f t="shared" si="35"/>
        <v>5.6861766249053849</v>
      </c>
    </row>
    <row r="526" spans="1:14" x14ac:dyDescent="0.25">
      <c r="A526" s="5">
        <v>2019</v>
      </c>
      <c r="B526" s="4">
        <v>9412001</v>
      </c>
      <c r="C526" s="4"/>
      <c r="D526" s="4"/>
      <c r="E526" s="4">
        <v>6660976</v>
      </c>
      <c r="F526" s="4">
        <v>16754230</v>
      </c>
      <c r="G526" s="4"/>
      <c r="H526" s="4"/>
      <c r="I526" s="4">
        <v>35108187</v>
      </c>
      <c r="K526" s="48">
        <f t="shared" si="32"/>
        <v>1.7800922460590474</v>
      </c>
      <c r="L526" s="48" t="e">
        <f t="shared" si="33"/>
        <v>#DIV/0!</v>
      </c>
      <c r="M526" s="48" t="e">
        <f t="shared" si="34"/>
        <v>#DIV/0!</v>
      </c>
      <c r="N526" s="48">
        <f t="shared" si="35"/>
        <v>5.2707271426889992</v>
      </c>
    </row>
    <row r="527" spans="1:14" x14ac:dyDescent="0.25">
      <c r="A527" s="5">
        <v>2020</v>
      </c>
      <c r="B527" s="4">
        <v>16074620</v>
      </c>
      <c r="C527" s="4">
        <v>1113852</v>
      </c>
      <c r="D527" s="4"/>
      <c r="E527" s="4">
        <v>7540844</v>
      </c>
      <c r="F527" s="4">
        <v>35467703</v>
      </c>
      <c r="G527" s="4">
        <v>2647040</v>
      </c>
      <c r="H527" s="4"/>
      <c r="I527" s="4">
        <v>40157163</v>
      </c>
      <c r="K527" s="48">
        <f t="shared" si="32"/>
        <v>2.2064411475978902</v>
      </c>
      <c r="L527" s="48">
        <f t="shared" si="33"/>
        <v>2.3764737146407242</v>
      </c>
      <c r="M527" s="48" t="e">
        <f t="shared" si="34"/>
        <v>#DIV/0!</v>
      </c>
      <c r="N527" s="48">
        <f t="shared" si="35"/>
        <v>5.3252875938024973</v>
      </c>
    </row>
    <row r="528" spans="1:14" x14ac:dyDescent="0.25">
      <c r="A528" s="5">
        <v>2021</v>
      </c>
      <c r="B528" s="4">
        <v>21157312</v>
      </c>
      <c r="C528" s="4">
        <v>1674059</v>
      </c>
      <c r="D528" s="4">
        <v>2162582</v>
      </c>
      <c r="E528" s="4">
        <v>8218111</v>
      </c>
      <c r="F528" s="4">
        <v>43602193</v>
      </c>
      <c r="G528" s="4">
        <v>4015255</v>
      </c>
      <c r="H528" s="4">
        <v>8306691</v>
      </c>
      <c r="I528" s="4">
        <v>43977438</v>
      </c>
      <c r="K528" s="48">
        <f t="shared" si="32"/>
        <v>2.0608569273828357</v>
      </c>
      <c r="L528" s="48">
        <f t="shared" si="33"/>
        <v>2.3985146282180017</v>
      </c>
      <c r="M528" s="48">
        <f t="shared" si="34"/>
        <v>3.8410987421517429</v>
      </c>
      <c r="N528" s="48">
        <f t="shared" si="35"/>
        <v>5.351283038158039</v>
      </c>
    </row>
    <row r="529" spans="1:14" x14ac:dyDescent="0.25">
      <c r="A529" s="5">
        <v>2022</v>
      </c>
      <c r="B529" s="4">
        <v>21132631</v>
      </c>
      <c r="C529" s="4">
        <v>4376311</v>
      </c>
      <c r="D529" s="4">
        <v>2809601</v>
      </c>
      <c r="E529" s="4">
        <v>10427664</v>
      </c>
      <c r="F529" s="4">
        <v>51137370</v>
      </c>
      <c r="G529" s="4">
        <v>12495381</v>
      </c>
      <c r="H529" s="4">
        <v>12614350</v>
      </c>
      <c r="I529" s="4">
        <v>57757848</v>
      </c>
      <c r="K529" s="48">
        <f t="shared" si="32"/>
        <v>2.4198297883495909</v>
      </c>
      <c r="L529" s="48">
        <f t="shared" si="33"/>
        <v>2.8552314952022377</v>
      </c>
      <c r="M529" s="48">
        <f t="shared" si="34"/>
        <v>4.4897300364001866</v>
      </c>
      <c r="N529" s="48">
        <f t="shared" si="35"/>
        <v>5.5389057414968494</v>
      </c>
    </row>
    <row r="530" spans="1:14" x14ac:dyDescent="0.25">
      <c r="A530" s="5">
        <v>2023</v>
      </c>
      <c r="B530" s="4">
        <v>16074716</v>
      </c>
      <c r="C530" s="4">
        <v>2727104</v>
      </c>
      <c r="D530" s="4">
        <v>2389368</v>
      </c>
      <c r="E530" s="4">
        <v>6150100</v>
      </c>
      <c r="F530" s="4">
        <v>36172372</v>
      </c>
      <c r="G530" s="4">
        <v>7741172</v>
      </c>
      <c r="H530" s="4">
        <v>10862577</v>
      </c>
      <c r="I530" s="4">
        <v>35734700</v>
      </c>
      <c r="K530" s="48">
        <f t="shared" si="32"/>
        <v>2.250265074667571</v>
      </c>
      <c r="L530" s="48">
        <f t="shared" si="33"/>
        <v>2.83860534838422</v>
      </c>
      <c r="M530" s="48">
        <f t="shared" si="34"/>
        <v>4.5462134756973391</v>
      </c>
      <c r="N530" s="48">
        <f t="shared" si="35"/>
        <v>5.8104258467341996</v>
      </c>
    </row>
    <row r="531" spans="1:14" x14ac:dyDescent="0.25">
      <c r="A531" s="5">
        <v>2024</v>
      </c>
      <c r="B531" s="4">
        <v>23325599</v>
      </c>
      <c r="C531" s="4">
        <v>4297076</v>
      </c>
      <c r="D531" s="4">
        <v>2351822</v>
      </c>
      <c r="E531" s="4">
        <v>8445039</v>
      </c>
      <c r="F531" s="4">
        <v>52183363</v>
      </c>
      <c r="G531" s="4">
        <v>10800075</v>
      </c>
      <c r="H531" s="4">
        <v>10240455</v>
      </c>
      <c r="I531" s="4">
        <v>49100154</v>
      </c>
      <c r="K531" s="48">
        <f t="shared" si="32"/>
        <v>2.2371714012574766</v>
      </c>
      <c r="L531" s="48">
        <f t="shared" si="33"/>
        <v>2.5133544298495072</v>
      </c>
      <c r="M531" s="48">
        <f t="shared" si="34"/>
        <v>4.3542644809003406</v>
      </c>
      <c r="N531" s="48">
        <f t="shared" si="35"/>
        <v>5.8140825637394924</v>
      </c>
    </row>
    <row r="532" spans="1:14" x14ac:dyDescent="0.25">
      <c r="A532" s="5">
        <v>2025</v>
      </c>
      <c r="B532" s="4">
        <v>17105651</v>
      </c>
      <c r="C532" s="4"/>
      <c r="D532" s="4">
        <v>2149414</v>
      </c>
      <c r="E532" s="4">
        <v>6689526</v>
      </c>
      <c r="F532" s="4">
        <v>37625577</v>
      </c>
      <c r="G532" s="4"/>
      <c r="H532" s="4">
        <v>10257795</v>
      </c>
      <c r="I532" s="4">
        <v>40581135</v>
      </c>
      <c r="K532" s="48">
        <f t="shared" si="32"/>
        <v>2.1995992435482288</v>
      </c>
      <c r="L532" s="48" t="e">
        <f t="shared" si="33"/>
        <v>#DIV/0!</v>
      </c>
      <c r="M532" s="48">
        <f t="shared" si="34"/>
        <v>4.7723681896554133</v>
      </c>
      <c r="N532" s="48">
        <f t="shared" si="35"/>
        <v>6.0663692763881922</v>
      </c>
    </row>
    <row r="533" spans="1:14" x14ac:dyDescent="0.25">
      <c r="A533" s="3" t="s">
        <v>26</v>
      </c>
      <c r="B533" s="4"/>
      <c r="C533" s="4"/>
      <c r="D533" s="4">
        <v>36616595.935000002</v>
      </c>
      <c r="E533" s="4">
        <v>2058314.818</v>
      </c>
      <c r="F533" s="4"/>
      <c r="G533" s="4"/>
      <c r="H533" s="4">
        <v>192423647.45000002</v>
      </c>
      <c r="I533" s="4">
        <v>2739378.4649999999</v>
      </c>
      <c r="K533" s="48" t="e">
        <f t="shared" si="32"/>
        <v>#DIV/0!</v>
      </c>
      <c r="L533" s="48" t="e">
        <f t="shared" si="33"/>
        <v>#DIV/0!</v>
      </c>
      <c r="M533" s="48">
        <f t="shared" si="34"/>
        <v>5.2550938320858966</v>
      </c>
      <c r="N533" s="48">
        <f t="shared" si="35"/>
        <v>1.3308841004515375</v>
      </c>
    </row>
    <row r="534" spans="1:14" x14ac:dyDescent="0.25">
      <c r="A534" s="5">
        <v>2011</v>
      </c>
      <c r="B534" s="4"/>
      <c r="C534" s="4"/>
      <c r="D534" s="4">
        <v>1118500</v>
      </c>
      <c r="E534" s="4"/>
      <c r="F534" s="4"/>
      <c r="G534" s="4"/>
      <c r="H534" s="4">
        <v>7963814.7630000003</v>
      </c>
      <c r="I534" s="4"/>
      <c r="K534" s="48" t="e">
        <f t="shared" si="32"/>
        <v>#DIV/0!</v>
      </c>
      <c r="L534" s="48" t="e">
        <f t="shared" si="33"/>
        <v>#DIV/0!</v>
      </c>
      <c r="M534" s="48">
        <f t="shared" si="34"/>
        <v>7.1200847232901205</v>
      </c>
      <c r="N534" s="48" t="e">
        <f t="shared" si="35"/>
        <v>#DIV/0!</v>
      </c>
    </row>
    <row r="535" spans="1:14" x14ac:dyDescent="0.25">
      <c r="A535" s="5">
        <v>2012</v>
      </c>
      <c r="B535" s="4"/>
      <c r="C535" s="4"/>
      <c r="D535" s="4">
        <v>1348100</v>
      </c>
      <c r="E535" s="4"/>
      <c r="F535" s="4"/>
      <c r="G535" s="4"/>
      <c r="H535" s="4">
        <v>8873484.8359999992</v>
      </c>
      <c r="I535" s="4"/>
      <c r="K535" s="48" t="e">
        <f t="shared" si="32"/>
        <v>#DIV/0!</v>
      </c>
      <c r="L535" s="48" t="e">
        <f t="shared" si="33"/>
        <v>#DIV/0!</v>
      </c>
      <c r="M535" s="48">
        <f t="shared" si="34"/>
        <v>6.582215589347971</v>
      </c>
      <c r="N535" s="48" t="e">
        <f t="shared" si="35"/>
        <v>#DIV/0!</v>
      </c>
    </row>
    <row r="536" spans="1:14" x14ac:dyDescent="0.25">
      <c r="A536" s="5">
        <v>2017</v>
      </c>
      <c r="B536" s="4"/>
      <c r="C536" s="4"/>
      <c r="D536" s="4">
        <v>2748477</v>
      </c>
      <c r="E536" s="4"/>
      <c r="F536" s="4"/>
      <c r="G536" s="4"/>
      <c r="H536" s="4">
        <v>15202683</v>
      </c>
      <c r="I536" s="4"/>
      <c r="K536" s="48" t="e">
        <f t="shared" si="32"/>
        <v>#DIV/0!</v>
      </c>
      <c r="L536" s="48" t="e">
        <f t="shared" si="33"/>
        <v>#DIV/0!</v>
      </c>
      <c r="M536" s="48">
        <f t="shared" si="34"/>
        <v>5.5313117046276901</v>
      </c>
      <c r="N536" s="48" t="e">
        <f t="shared" si="35"/>
        <v>#DIV/0!</v>
      </c>
    </row>
    <row r="537" spans="1:14" x14ac:dyDescent="0.25">
      <c r="A537" s="5">
        <v>2018</v>
      </c>
      <c r="B537" s="4"/>
      <c r="C537" s="4"/>
      <c r="D537" s="4">
        <v>2770447</v>
      </c>
      <c r="E537" s="4"/>
      <c r="F537" s="4"/>
      <c r="G537" s="4"/>
      <c r="H537" s="4">
        <v>16903740</v>
      </c>
      <c r="I537" s="4"/>
      <c r="K537" s="48" t="e">
        <f t="shared" si="32"/>
        <v>#DIV/0!</v>
      </c>
      <c r="L537" s="48" t="e">
        <f t="shared" si="33"/>
        <v>#DIV/0!</v>
      </c>
      <c r="M537" s="48">
        <f t="shared" si="34"/>
        <v>6.1014486110003183</v>
      </c>
      <c r="N537" s="48" t="e">
        <f t="shared" si="35"/>
        <v>#DIV/0!</v>
      </c>
    </row>
    <row r="538" spans="1:14" x14ac:dyDescent="0.25">
      <c r="A538" s="5">
        <v>2019</v>
      </c>
      <c r="B538" s="4"/>
      <c r="C538" s="4"/>
      <c r="D538" s="4">
        <v>2871999</v>
      </c>
      <c r="E538" s="4"/>
      <c r="F538" s="4"/>
      <c r="G538" s="4"/>
      <c r="H538" s="4">
        <v>17754851</v>
      </c>
      <c r="I538" s="4"/>
      <c r="K538" s="48" t="e">
        <f t="shared" si="32"/>
        <v>#DIV/0!</v>
      </c>
      <c r="L538" s="48" t="e">
        <f t="shared" si="33"/>
        <v>#DIV/0!</v>
      </c>
      <c r="M538" s="48">
        <f t="shared" si="34"/>
        <v>6.1820533363695462</v>
      </c>
      <c r="N538" s="48" t="e">
        <f t="shared" si="35"/>
        <v>#DIV/0!</v>
      </c>
    </row>
    <row r="539" spans="1:14" x14ac:dyDescent="0.25">
      <c r="A539" s="5">
        <v>2020</v>
      </c>
      <c r="B539" s="4"/>
      <c r="C539" s="4"/>
      <c r="D539" s="4">
        <v>3289961</v>
      </c>
      <c r="E539" s="4"/>
      <c r="F539" s="4"/>
      <c r="G539" s="4"/>
      <c r="H539" s="4">
        <v>20243997</v>
      </c>
      <c r="I539" s="4"/>
      <c r="K539" s="48" t="e">
        <f t="shared" si="32"/>
        <v>#DIV/0!</v>
      </c>
      <c r="L539" s="48" t="e">
        <f t="shared" si="33"/>
        <v>#DIV/0!</v>
      </c>
      <c r="M539" s="48">
        <f t="shared" si="34"/>
        <v>6.1532635189292515</v>
      </c>
      <c r="N539" s="48" t="e">
        <f t="shared" si="35"/>
        <v>#DIV/0!</v>
      </c>
    </row>
    <row r="540" spans="1:14" x14ac:dyDescent="0.25">
      <c r="A540" s="5">
        <v>2021</v>
      </c>
      <c r="B540" s="4"/>
      <c r="C540" s="4"/>
      <c r="D540" s="4">
        <v>3352135</v>
      </c>
      <c r="E540" s="4"/>
      <c r="F540" s="4"/>
      <c r="G540" s="4"/>
      <c r="H540" s="4">
        <v>20702464</v>
      </c>
      <c r="I540" s="4"/>
      <c r="K540" s="48" t="e">
        <f t="shared" si="32"/>
        <v>#DIV/0!</v>
      </c>
      <c r="L540" s="48" t="e">
        <f t="shared" si="33"/>
        <v>#DIV/0!</v>
      </c>
      <c r="M540" s="48">
        <f t="shared" si="34"/>
        <v>6.1759040134123477</v>
      </c>
      <c r="N540" s="48" t="e">
        <f t="shared" si="35"/>
        <v>#DIV/0!</v>
      </c>
    </row>
    <row r="541" spans="1:14" x14ac:dyDescent="0.25">
      <c r="A541" s="5">
        <v>2022</v>
      </c>
      <c r="B541" s="4"/>
      <c r="C541" s="4"/>
      <c r="D541" s="4">
        <v>3853405.605</v>
      </c>
      <c r="E541" s="4"/>
      <c r="F541" s="4"/>
      <c r="G541" s="4"/>
      <c r="H541" s="4">
        <v>21825006</v>
      </c>
      <c r="I541" s="4"/>
      <c r="K541" s="48" t="e">
        <f t="shared" si="32"/>
        <v>#DIV/0!</v>
      </c>
      <c r="L541" s="48" t="e">
        <f t="shared" si="33"/>
        <v>#DIV/0!</v>
      </c>
      <c r="M541" s="48">
        <f t="shared" si="34"/>
        <v>5.6638226642118568</v>
      </c>
      <c r="N541" s="48" t="e">
        <f t="shared" si="35"/>
        <v>#DIV/0!</v>
      </c>
    </row>
    <row r="542" spans="1:14" x14ac:dyDescent="0.25">
      <c r="A542" s="5">
        <v>2023</v>
      </c>
      <c r="B542" s="4"/>
      <c r="C542" s="4"/>
      <c r="D542" s="4">
        <v>4268995.1399999997</v>
      </c>
      <c r="E542" s="4"/>
      <c r="F542" s="4"/>
      <c r="G542" s="4"/>
      <c r="H542" s="4">
        <v>22587717</v>
      </c>
      <c r="I542" s="4"/>
      <c r="K542" s="48" t="e">
        <f t="shared" si="32"/>
        <v>#DIV/0!</v>
      </c>
      <c r="L542" s="48" t="e">
        <f t="shared" si="33"/>
        <v>#DIV/0!</v>
      </c>
      <c r="M542" s="48">
        <f t="shared" si="34"/>
        <v>5.2911086237498042</v>
      </c>
      <c r="N542" s="48" t="e">
        <f t="shared" si="35"/>
        <v>#DIV/0!</v>
      </c>
    </row>
    <row r="543" spans="1:14" x14ac:dyDescent="0.25">
      <c r="A543" s="5">
        <v>2024</v>
      </c>
      <c r="B543" s="4"/>
      <c r="C543" s="4"/>
      <c r="D543" s="4">
        <v>3255910.39</v>
      </c>
      <c r="E543" s="4"/>
      <c r="F543" s="4"/>
      <c r="G543" s="4"/>
      <c r="H543" s="4">
        <v>20702182</v>
      </c>
      <c r="I543" s="4"/>
      <c r="K543" s="48" t="e">
        <f t="shared" si="32"/>
        <v>#DIV/0!</v>
      </c>
      <c r="L543" s="48" t="e">
        <f t="shared" si="33"/>
        <v>#DIV/0!</v>
      </c>
      <c r="M543" s="48">
        <f t="shared" si="34"/>
        <v>6.3583389959328702</v>
      </c>
      <c r="N543" s="48" t="e">
        <f t="shared" si="35"/>
        <v>#DIV/0!</v>
      </c>
    </row>
    <row r="544" spans="1:14" x14ac:dyDescent="0.25">
      <c r="A544" s="5">
        <v>2025</v>
      </c>
      <c r="B544" s="4"/>
      <c r="C544" s="4"/>
      <c r="D544" s="4">
        <v>7738665.7999999998</v>
      </c>
      <c r="E544" s="4">
        <v>2058314.818</v>
      </c>
      <c r="F544" s="4"/>
      <c r="G544" s="4"/>
      <c r="H544" s="4">
        <v>19663707.851</v>
      </c>
      <c r="I544" s="4">
        <v>2739378.4649999999</v>
      </c>
      <c r="K544" s="48" t="e">
        <f t="shared" si="32"/>
        <v>#DIV/0!</v>
      </c>
      <c r="L544" s="48" t="e">
        <f t="shared" si="33"/>
        <v>#DIV/0!</v>
      </c>
      <c r="M544" s="48">
        <f t="shared" si="34"/>
        <v>2.540968735334197</v>
      </c>
      <c r="N544" s="48">
        <f t="shared" si="35"/>
        <v>1.3308841004515375</v>
      </c>
    </row>
    <row r="545" spans="1:14" x14ac:dyDescent="0.25">
      <c r="A545" s="3" t="s">
        <v>27</v>
      </c>
      <c r="B545" s="4"/>
      <c r="C545" s="4">
        <v>531167262.35299999</v>
      </c>
      <c r="D545" s="4"/>
      <c r="E545" s="4">
        <v>733043.304</v>
      </c>
      <c r="F545" s="4"/>
      <c r="G545" s="4">
        <v>889008391.78799999</v>
      </c>
      <c r="H545" s="4"/>
      <c r="I545" s="4">
        <v>2607277.3650000002</v>
      </c>
      <c r="K545" s="48" t="e">
        <f t="shared" si="32"/>
        <v>#DIV/0!</v>
      </c>
      <c r="L545" s="48">
        <f t="shared" si="33"/>
        <v>1.6736882236488213</v>
      </c>
      <c r="M545" s="48" t="e">
        <f t="shared" si="34"/>
        <v>#DIV/0!</v>
      </c>
      <c r="N545" s="48">
        <f t="shared" si="35"/>
        <v>3.5567849140328551</v>
      </c>
    </row>
    <row r="546" spans="1:14" x14ac:dyDescent="0.25">
      <c r="A546" s="5">
        <v>2011</v>
      </c>
      <c r="B546" s="4"/>
      <c r="C546" s="4">
        <v>17171362</v>
      </c>
      <c r="D546" s="4"/>
      <c r="E546" s="4"/>
      <c r="F546" s="4"/>
      <c r="G546" s="4">
        <v>26586714.627999999</v>
      </c>
      <c r="H546" s="4"/>
      <c r="I546" s="4"/>
      <c r="K546" s="48" t="e">
        <f t="shared" si="32"/>
        <v>#DIV/0!</v>
      </c>
      <c r="L546" s="48">
        <f t="shared" si="33"/>
        <v>1.5483171706472671</v>
      </c>
      <c r="M546" s="48" t="e">
        <f t="shared" si="34"/>
        <v>#DIV/0!</v>
      </c>
      <c r="N546" s="48" t="e">
        <f t="shared" si="35"/>
        <v>#DIV/0!</v>
      </c>
    </row>
    <row r="547" spans="1:14" x14ac:dyDescent="0.25">
      <c r="A547" s="5">
        <v>2012</v>
      </c>
      <c r="B547" s="4"/>
      <c r="C547" s="4">
        <v>19698811</v>
      </c>
      <c r="D547" s="4"/>
      <c r="E547" s="4"/>
      <c r="F547" s="4"/>
      <c r="G547" s="4">
        <v>42710312.456</v>
      </c>
      <c r="H547" s="4"/>
      <c r="I547" s="4"/>
      <c r="K547" s="48" t="e">
        <f t="shared" si="32"/>
        <v>#DIV/0!</v>
      </c>
      <c r="L547" s="48">
        <f t="shared" si="33"/>
        <v>2.1681670257154098</v>
      </c>
      <c r="M547" s="48" t="e">
        <f t="shared" si="34"/>
        <v>#DIV/0!</v>
      </c>
      <c r="N547" s="48" t="e">
        <f t="shared" si="35"/>
        <v>#DIV/0!</v>
      </c>
    </row>
    <row r="548" spans="1:14" x14ac:dyDescent="0.25">
      <c r="A548" s="5">
        <v>2013</v>
      </c>
      <c r="B548" s="4"/>
      <c r="C548" s="4">
        <v>36605583</v>
      </c>
      <c r="D548" s="4"/>
      <c r="E548" s="4"/>
      <c r="F548" s="4"/>
      <c r="G548" s="4">
        <v>81163241.768999994</v>
      </c>
      <c r="H548" s="4"/>
      <c r="I548" s="4"/>
      <c r="K548" s="48" t="e">
        <f t="shared" si="32"/>
        <v>#DIV/0!</v>
      </c>
      <c r="L548" s="48">
        <f t="shared" si="33"/>
        <v>2.2172366922553861</v>
      </c>
      <c r="M548" s="48" t="e">
        <f t="shared" si="34"/>
        <v>#DIV/0!</v>
      </c>
      <c r="N548" s="48" t="e">
        <f t="shared" si="35"/>
        <v>#DIV/0!</v>
      </c>
    </row>
    <row r="549" spans="1:14" x14ac:dyDescent="0.25">
      <c r="A549" s="5">
        <v>2014</v>
      </c>
      <c r="B549" s="4"/>
      <c r="C549" s="4">
        <v>36260403</v>
      </c>
      <c r="D549" s="4"/>
      <c r="E549" s="4"/>
      <c r="F549" s="4"/>
      <c r="G549" s="4">
        <v>71253175.545000002</v>
      </c>
      <c r="H549" s="4"/>
      <c r="I549" s="4"/>
      <c r="K549" s="48" t="e">
        <f t="shared" si="32"/>
        <v>#DIV/0!</v>
      </c>
      <c r="L549" s="48">
        <f t="shared" si="33"/>
        <v>1.9650409165336635</v>
      </c>
      <c r="M549" s="48" t="e">
        <f t="shared" si="34"/>
        <v>#DIV/0!</v>
      </c>
      <c r="N549" s="48" t="e">
        <f t="shared" si="35"/>
        <v>#DIV/0!</v>
      </c>
    </row>
    <row r="550" spans="1:14" x14ac:dyDescent="0.25">
      <c r="A550" s="5">
        <v>2015</v>
      </c>
      <c r="B550" s="4"/>
      <c r="C550" s="4">
        <v>29350863</v>
      </c>
      <c r="D550" s="4"/>
      <c r="E550" s="4"/>
      <c r="F550" s="4"/>
      <c r="G550" s="4">
        <v>60215483.081</v>
      </c>
      <c r="H550" s="4"/>
      <c r="I550" s="4"/>
      <c r="K550" s="48" t="e">
        <f t="shared" si="32"/>
        <v>#DIV/0!</v>
      </c>
      <c r="L550" s="48">
        <f t="shared" si="33"/>
        <v>2.0515745339753724</v>
      </c>
      <c r="M550" s="48" t="e">
        <f t="shared" si="34"/>
        <v>#DIV/0!</v>
      </c>
      <c r="N550" s="48" t="e">
        <f t="shared" si="35"/>
        <v>#DIV/0!</v>
      </c>
    </row>
    <row r="551" spans="1:14" x14ac:dyDescent="0.25">
      <c r="A551" s="5">
        <v>2016</v>
      </c>
      <c r="B551" s="4"/>
      <c r="C551" s="4">
        <v>21468478</v>
      </c>
      <c r="D551" s="4"/>
      <c r="E551" s="4"/>
      <c r="F551" s="4"/>
      <c r="G551" s="4">
        <v>43688204.597999997</v>
      </c>
      <c r="H551" s="4"/>
      <c r="I551" s="4"/>
      <c r="K551" s="48" t="e">
        <f t="shared" si="32"/>
        <v>#DIV/0!</v>
      </c>
      <c r="L551" s="48">
        <f t="shared" si="33"/>
        <v>2.0349931000232062</v>
      </c>
      <c r="M551" s="48" t="e">
        <f t="shared" si="34"/>
        <v>#DIV/0!</v>
      </c>
      <c r="N551" s="48" t="e">
        <f t="shared" si="35"/>
        <v>#DIV/0!</v>
      </c>
    </row>
    <row r="552" spans="1:14" x14ac:dyDescent="0.25">
      <c r="A552" s="5">
        <v>2017</v>
      </c>
      <c r="B552" s="4"/>
      <c r="C552" s="4">
        <v>28025538</v>
      </c>
      <c r="D552" s="4"/>
      <c r="E552" s="4"/>
      <c r="F552" s="4"/>
      <c r="G552" s="4">
        <v>43312327.971000001</v>
      </c>
      <c r="H552" s="4"/>
      <c r="I552" s="4"/>
      <c r="K552" s="48" t="e">
        <f t="shared" si="32"/>
        <v>#DIV/0!</v>
      </c>
      <c r="L552" s="48">
        <f t="shared" si="33"/>
        <v>1.5454592868475889</v>
      </c>
      <c r="M552" s="48" t="e">
        <f t="shared" si="34"/>
        <v>#DIV/0!</v>
      </c>
      <c r="N552" s="48" t="e">
        <f t="shared" si="35"/>
        <v>#DIV/0!</v>
      </c>
    </row>
    <row r="553" spans="1:14" x14ac:dyDescent="0.25">
      <c r="A553" s="5">
        <v>2018</v>
      </c>
      <c r="B553" s="4"/>
      <c r="C553" s="4">
        <v>54841228</v>
      </c>
      <c r="D553" s="4"/>
      <c r="E553" s="4"/>
      <c r="F553" s="4"/>
      <c r="G553" s="4">
        <v>88159922.672000006</v>
      </c>
      <c r="H553" s="4"/>
      <c r="I553" s="4"/>
      <c r="K553" s="48" t="e">
        <f t="shared" si="32"/>
        <v>#DIV/0!</v>
      </c>
      <c r="L553" s="48">
        <f t="shared" si="33"/>
        <v>1.6075482969126804</v>
      </c>
      <c r="M553" s="48" t="e">
        <f t="shared" si="34"/>
        <v>#DIV/0!</v>
      </c>
      <c r="N553" s="48" t="e">
        <f t="shared" si="35"/>
        <v>#DIV/0!</v>
      </c>
    </row>
    <row r="554" spans="1:14" x14ac:dyDescent="0.25">
      <c r="A554" s="5">
        <v>2019</v>
      </c>
      <c r="B554" s="4"/>
      <c r="C554" s="4">
        <v>45672653</v>
      </c>
      <c r="D554" s="4"/>
      <c r="E554" s="4"/>
      <c r="F554" s="4"/>
      <c r="G554" s="4">
        <v>71243101.743000001</v>
      </c>
      <c r="H554" s="4"/>
      <c r="I554" s="4"/>
      <c r="K554" s="48" t="e">
        <f t="shared" si="32"/>
        <v>#DIV/0!</v>
      </c>
      <c r="L554" s="48">
        <f t="shared" si="33"/>
        <v>1.5598634426382019</v>
      </c>
      <c r="M554" s="48" t="e">
        <f t="shared" si="34"/>
        <v>#DIV/0!</v>
      </c>
      <c r="N554" s="48" t="e">
        <f t="shared" si="35"/>
        <v>#DIV/0!</v>
      </c>
    </row>
    <row r="555" spans="1:14" x14ac:dyDescent="0.25">
      <c r="A555" s="5">
        <v>2020</v>
      </c>
      <c r="B555" s="4"/>
      <c r="C555" s="4">
        <v>40352149</v>
      </c>
      <c r="D555" s="4"/>
      <c r="E555" s="4"/>
      <c r="F555" s="4"/>
      <c r="G555" s="4">
        <v>52794412.829999998</v>
      </c>
      <c r="H555" s="4"/>
      <c r="I555" s="4"/>
      <c r="K555" s="48" t="e">
        <f t="shared" si="32"/>
        <v>#DIV/0!</v>
      </c>
      <c r="L555" s="48">
        <f t="shared" si="33"/>
        <v>1.3083420372481276</v>
      </c>
      <c r="M555" s="48" t="e">
        <f t="shared" si="34"/>
        <v>#DIV/0!</v>
      </c>
      <c r="N555" s="48" t="e">
        <f t="shared" si="35"/>
        <v>#DIV/0!</v>
      </c>
    </row>
    <row r="556" spans="1:14" x14ac:dyDescent="0.25">
      <c r="A556" s="5">
        <v>2021</v>
      </c>
      <c r="B556" s="4"/>
      <c r="C556" s="4">
        <v>38689581.626000002</v>
      </c>
      <c r="D556" s="4"/>
      <c r="E556" s="4"/>
      <c r="F556" s="4"/>
      <c r="G556" s="4">
        <v>48596491.277999997</v>
      </c>
      <c r="H556" s="4"/>
      <c r="I556" s="4"/>
      <c r="K556" s="48" t="e">
        <f t="shared" si="32"/>
        <v>#DIV/0!</v>
      </c>
      <c r="L556" s="48">
        <f t="shared" si="33"/>
        <v>1.256061431414973</v>
      </c>
      <c r="M556" s="48" t="e">
        <f t="shared" si="34"/>
        <v>#DIV/0!</v>
      </c>
      <c r="N556" s="48" t="e">
        <f t="shared" si="35"/>
        <v>#DIV/0!</v>
      </c>
    </row>
    <row r="557" spans="1:14" x14ac:dyDescent="0.25">
      <c r="A557" s="5">
        <v>2022</v>
      </c>
      <c r="B557" s="4"/>
      <c r="C557" s="4">
        <v>36034176.803000003</v>
      </c>
      <c r="D557" s="4"/>
      <c r="E557" s="4"/>
      <c r="F557" s="4"/>
      <c r="G557" s="4">
        <v>56424948.152999997</v>
      </c>
      <c r="H557" s="4"/>
      <c r="I557" s="4"/>
      <c r="K557" s="48" t="e">
        <f t="shared" si="32"/>
        <v>#DIV/0!</v>
      </c>
      <c r="L557" s="48">
        <f t="shared" si="33"/>
        <v>1.5658731004589612</v>
      </c>
      <c r="M557" s="48" t="e">
        <f t="shared" si="34"/>
        <v>#DIV/0!</v>
      </c>
      <c r="N557" s="48" t="e">
        <f t="shared" si="35"/>
        <v>#DIV/0!</v>
      </c>
    </row>
    <row r="558" spans="1:14" x14ac:dyDescent="0.25">
      <c r="A558" s="5">
        <v>2023</v>
      </c>
      <c r="B558" s="4"/>
      <c r="C558" s="4">
        <v>51348178.667000003</v>
      </c>
      <c r="D558" s="4"/>
      <c r="E558" s="4"/>
      <c r="F558" s="4"/>
      <c r="G558" s="4">
        <v>87926288.022000104</v>
      </c>
      <c r="H558" s="4"/>
      <c r="I558" s="4"/>
      <c r="K558" s="48" t="e">
        <f t="shared" si="32"/>
        <v>#DIV/0!</v>
      </c>
      <c r="L558" s="48">
        <f t="shared" si="33"/>
        <v>1.7123545626070629</v>
      </c>
      <c r="M558" s="48" t="e">
        <f t="shared" si="34"/>
        <v>#DIV/0!</v>
      </c>
      <c r="N558" s="48" t="e">
        <f t="shared" si="35"/>
        <v>#DIV/0!</v>
      </c>
    </row>
    <row r="559" spans="1:14" x14ac:dyDescent="0.25">
      <c r="A559" s="5">
        <v>2024</v>
      </c>
      <c r="B559" s="4"/>
      <c r="C559" s="4">
        <v>46183719.158</v>
      </c>
      <c r="D559" s="4"/>
      <c r="E559" s="4"/>
      <c r="F559" s="4"/>
      <c r="G559" s="4">
        <v>72767073.019999996</v>
      </c>
      <c r="H559" s="4"/>
      <c r="I559" s="4"/>
      <c r="K559" s="48" t="e">
        <f t="shared" si="32"/>
        <v>#DIV/0!</v>
      </c>
      <c r="L559" s="48">
        <f t="shared" si="33"/>
        <v>1.5756001107458493</v>
      </c>
      <c r="M559" s="48" t="e">
        <f t="shared" si="34"/>
        <v>#DIV/0!</v>
      </c>
      <c r="N559" s="48" t="e">
        <f t="shared" si="35"/>
        <v>#DIV/0!</v>
      </c>
    </row>
    <row r="560" spans="1:14" x14ac:dyDescent="0.25">
      <c r="A560" s="5">
        <v>2025</v>
      </c>
      <c r="B560" s="4"/>
      <c r="C560" s="4">
        <v>29464538.098999999</v>
      </c>
      <c r="D560" s="4"/>
      <c r="E560" s="4">
        <v>733043.304</v>
      </c>
      <c r="F560" s="4"/>
      <c r="G560" s="4">
        <v>42166694.022</v>
      </c>
      <c r="H560" s="4"/>
      <c r="I560" s="4">
        <v>2607277.3650000002</v>
      </c>
      <c r="K560" s="48" t="e">
        <f t="shared" si="32"/>
        <v>#DIV/0!</v>
      </c>
      <c r="L560" s="48">
        <f t="shared" si="33"/>
        <v>1.4310997810425916</v>
      </c>
      <c r="M560" s="48" t="e">
        <f t="shared" si="34"/>
        <v>#DIV/0!</v>
      </c>
      <c r="N560" s="48">
        <f t="shared" si="35"/>
        <v>3.5567849140328551</v>
      </c>
    </row>
    <row r="561" spans="1:14" x14ac:dyDescent="0.25">
      <c r="A561" s="3" t="s">
        <v>28</v>
      </c>
      <c r="B561" s="4">
        <v>207657471.85500002</v>
      </c>
      <c r="C561" s="4">
        <v>1613447147.6719999</v>
      </c>
      <c r="D561" s="4">
        <v>4377775.3279999997</v>
      </c>
      <c r="E561" s="4">
        <v>1199614159.6789999</v>
      </c>
      <c r="F561" s="4">
        <v>382228896</v>
      </c>
      <c r="G561" s="4">
        <v>4712544122.6569996</v>
      </c>
      <c r="H561" s="4">
        <v>19046924</v>
      </c>
      <c r="I561" s="4">
        <v>4001166076.7010002</v>
      </c>
      <c r="K561" s="48">
        <f t="shared" si="32"/>
        <v>1.8406700832171217</v>
      </c>
      <c r="L561" s="48">
        <f t="shared" si="33"/>
        <v>2.9207923726888758</v>
      </c>
      <c r="M561" s="48">
        <f t="shared" si="34"/>
        <v>4.3508226377395314</v>
      </c>
      <c r="N561" s="48">
        <f t="shared" si="35"/>
        <v>3.3353774998551673</v>
      </c>
    </row>
    <row r="562" spans="1:14" x14ac:dyDescent="0.25">
      <c r="A562" s="5">
        <v>2012</v>
      </c>
      <c r="B562" s="4"/>
      <c r="C562" s="4">
        <v>11114023</v>
      </c>
      <c r="D562" s="4"/>
      <c r="E562" s="4">
        <v>5647670</v>
      </c>
      <c r="F562" s="4"/>
      <c r="G562" s="4">
        <v>33010015</v>
      </c>
      <c r="H562" s="4"/>
      <c r="I562" s="4">
        <v>29261076</v>
      </c>
      <c r="K562" s="48" t="e">
        <f t="shared" si="32"/>
        <v>#DIV/0!</v>
      </c>
      <c r="L562" s="48">
        <f t="shared" si="33"/>
        <v>2.9701229698732852</v>
      </c>
      <c r="M562" s="48" t="e">
        <f t="shared" si="34"/>
        <v>#DIV/0!</v>
      </c>
      <c r="N562" s="48">
        <f t="shared" si="35"/>
        <v>5.1810881301492477</v>
      </c>
    </row>
    <row r="563" spans="1:14" x14ac:dyDescent="0.25">
      <c r="A563" s="5">
        <v>2013</v>
      </c>
      <c r="B563" s="4">
        <v>3395856</v>
      </c>
      <c r="C563" s="4">
        <v>366040872</v>
      </c>
      <c r="D563" s="4"/>
      <c r="E563" s="4">
        <v>387685251</v>
      </c>
      <c r="F563" s="4">
        <v>10138736</v>
      </c>
      <c r="G563" s="4">
        <v>300692059</v>
      </c>
      <c r="H563" s="4"/>
      <c r="I563" s="4">
        <v>347659779</v>
      </c>
      <c r="K563" s="48">
        <f t="shared" si="32"/>
        <v>2.9856201205233672</v>
      </c>
      <c r="L563" s="48">
        <f t="shared" si="33"/>
        <v>0.82147126728514619</v>
      </c>
      <c r="M563" s="48" t="e">
        <f t="shared" si="34"/>
        <v>#DIV/0!</v>
      </c>
      <c r="N563" s="48">
        <f t="shared" si="35"/>
        <v>0.89675781604598626</v>
      </c>
    </row>
    <row r="564" spans="1:14" x14ac:dyDescent="0.25">
      <c r="A564" s="5">
        <v>2014</v>
      </c>
      <c r="B564" s="4">
        <v>5519525</v>
      </c>
      <c r="C564" s="4">
        <v>104121894</v>
      </c>
      <c r="D564" s="4">
        <v>1031783</v>
      </c>
      <c r="E564" s="4">
        <v>59556525</v>
      </c>
      <c r="F564" s="4">
        <v>9599601</v>
      </c>
      <c r="G564" s="4">
        <v>255347272</v>
      </c>
      <c r="H564" s="4">
        <v>4866293</v>
      </c>
      <c r="I564" s="4">
        <v>263240243</v>
      </c>
      <c r="K564" s="48">
        <f t="shared" si="32"/>
        <v>1.739207812266454</v>
      </c>
      <c r="L564" s="48">
        <f t="shared" si="33"/>
        <v>2.4523878906774401</v>
      </c>
      <c r="M564" s="48">
        <f t="shared" si="34"/>
        <v>4.7163919157419727</v>
      </c>
      <c r="N564" s="48">
        <f t="shared" si="35"/>
        <v>4.4200067582855107</v>
      </c>
    </row>
    <row r="565" spans="1:14" x14ac:dyDescent="0.25">
      <c r="A565" s="5">
        <v>2015</v>
      </c>
      <c r="B565" s="4">
        <v>9703051.6950000003</v>
      </c>
      <c r="C565" s="4">
        <v>90002096.332000002</v>
      </c>
      <c r="D565" s="4">
        <v>1047085.884</v>
      </c>
      <c r="E565" s="4">
        <v>65410255.870999999</v>
      </c>
      <c r="F565" s="4">
        <v>15672993</v>
      </c>
      <c r="G565" s="4">
        <v>237498315.09299999</v>
      </c>
      <c r="H565" s="4">
        <v>4572519</v>
      </c>
      <c r="I565" s="4">
        <v>294983735.45899999</v>
      </c>
      <c r="K565" s="48">
        <f t="shared" si="32"/>
        <v>1.6152642995889963</v>
      </c>
      <c r="L565" s="48">
        <f t="shared" si="33"/>
        <v>2.6388087030430434</v>
      </c>
      <c r="M565" s="48">
        <f t="shared" si="34"/>
        <v>4.3668996687572577</v>
      </c>
      <c r="N565" s="48">
        <f t="shared" si="35"/>
        <v>4.5097474628559384</v>
      </c>
    </row>
    <row r="566" spans="1:14" x14ac:dyDescent="0.25">
      <c r="A566" s="5">
        <v>2016</v>
      </c>
      <c r="B566" s="4">
        <v>13269219.16</v>
      </c>
      <c r="C566" s="4">
        <v>73733691.190000102</v>
      </c>
      <c r="D566" s="4">
        <v>1279025.4439999999</v>
      </c>
      <c r="E566" s="4">
        <v>60188933.156000003</v>
      </c>
      <c r="F566" s="4">
        <v>22974543</v>
      </c>
      <c r="G566" s="4">
        <v>230871616.46900001</v>
      </c>
      <c r="H566" s="4">
        <v>5530120</v>
      </c>
      <c r="I566" s="4">
        <v>278972503.91600001</v>
      </c>
      <c r="K566" s="48">
        <f t="shared" si="32"/>
        <v>1.7314163495962636</v>
      </c>
      <c r="L566" s="48">
        <f t="shared" si="33"/>
        <v>3.1311550085574891</v>
      </c>
      <c r="M566" s="48">
        <f t="shared" si="34"/>
        <v>4.3236981921995294</v>
      </c>
      <c r="N566" s="48">
        <f t="shared" si="35"/>
        <v>4.6349468131117773</v>
      </c>
    </row>
    <row r="567" spans="1:14" x14ac:dyDescent="0.25">
      <c r="A567" s="5">
        <v>2017</v>
      </c>
      <c r="B567" s="4">
        <v>5847551</v>
      </c>
      <c r="C567" s="4">
        <v>121307044.62</v>
      </c>
      <c r="D567" s="4"/>
      <c r="E567" s="4">
        <v>76844566.599999994</v>
      </c>
      <c r="F567" s="4">
        <v>9784762</v>
      </c>
      <c r="G567" s="4">
        <v>301166325.06</v>
      </c>
      <c r="H567" s="4"/>
      <c r="I567" s="4">
        <v>358988097.61000001</v>
      </c>
      <c r="K567" s="48">
        <f t="shared" si="32"/>
        <v>1.6733093905465724</v>
      </c>
      <c r="L567" s="48">
        <f t="shared" si="33"/>
        <v>2.4826779516673381</v>
      </c>
      <c r="M567" s="48" t="e">
        <f t="shared" si="34"/>
        <v>#DIV/0!</v>
      </c>
      <c r="N567" s="48">
        <f t="shared" si="35"/>
        <v>4.6716132772098948</v>
      </c>
    </row>
    <row r="568" spans="1:14" x14ac:dyDescent="0.25">
      <c r="A568" s="5">
        <v>2018</v>
      </c>
      <c r="B568" s="4">
        <v>15952700</v>
      </c>
      <c r="C568" s="4">
        <v>86200137.920000002</v>
      </c>
      <c r="D568" s="4"/>
      <c r="E568" s="4">
        <v>82233628.900000006</v>
      </c>
      <c r="F568" s="4">
        <v>29503938</v>
      </c>
      <c r="G568" s="4">
        <v>326630592.49000001</v>
      </c>
      <c r="H568" s="4"/>
      <c r="I568" s="4">
        <v>387288553.14999998</v>
      </c>
      <c r="K568" s="48">
        <f t="shared" si="32"/>
        <v>1.8494636017727406</v>
      </c>
      <c r="L568" s="48">
        <f t="shared" si="33"/>
        <v>3.7892119475857098</v>
      </c>
      <c r="M568" s="48" t="e">
        <f t="shared" si="34"/>
        <v>#DIV/0!</v>
      </c>
      <c r="N568" s="48">
        <f t="shared" si="35"/>
        <v>4.7096128230089569</v>
      </c>
    </row>
    <row r="569" spans="1:14" x14ac:dyDescent="0.25">
      <c r="A569" s="5">
        <v>2019</v>
      </c>
      <c r="B569" s="4">
        <v>27972115</v>
      </c>
      <c r="C569" s="4">
        <v>88526387.010000005</v>
      </c>
      <c r="D569" s="4">
        <v>1019881</v>
      </c>
      <c r="E569" s="4">
        <v>95571839.310000002</v>
      </c>
      <c r="F569" s="4">
        <v>47362432</v>
      </c>
      <c r="G569" s="4">
        <v>336479014.708</v>
      </c>
      <c r="H569" s="4">
        <v>4077992</v>
      </c>
      <c r="I569" s="4">
        <v>410937783.023</v>
      </c>
      <c r="K569" s="48">
        <f t="shared" si="32"/>
        <v>1.6932016760262856</v>
      </c>
      <c r="L569" s="48">
        <f t="shared" si="33"/>
        <v>3.8008894982915216</v>
      </c>
      <c r="M569" s="48">
        <f t="shared" si="34"/>
        <v>3.9984978639664823</v>
      </c>
      <c r="N569" s="48">
        <f t="shared" si="35"/>
        <v>4.2997789515180145</v>
      </c>
    </row>
    <row r="570" spans="1:14" x14ac:dyDescent="0.25">
      <c r="A570" s="5">
        <v>2020</v>
      </c>
      <c r="B570" s="4">
        <v>38201579</v>
      </c>
      <c r="C570" s="4">
        <v>113680675.86</v>
      </c>
      <c r="D570" s="4"/>
      <c r="E570" s="4">
        <v>81979358.708000004</v>
      </c>
      <c r="F570" s="4">
        <v>57836776</v>
      </c>
      <c r="G570" s="4">
        <v>384170803.33600003</v>
      </c>
      <c r="H570" s="4"/>
      <c r="I570" s="4">
        <v>339398042.51899999</v>
      </c>
      <c r="K570" s="48">
        <f t="shared" si="32"/>
        <v>1.5139891468884048</v>
      </c>
      <c r="L570" s="48">
        <f t="shared" si="33"/>
        <v>3.3793852862830791</v>
      </c>
      <c r="M570" s="48" t="e">
        <f t="shared" si="34"/>
        <v>#DIV/0!</v>
      </c>
      <c r="N570" s="48">
        <f t="shared" si="35"/>
        <v>4.1400426627865246</v>
      </c>
    </row>
    <row r="571" spans="1:14" x14ac:dyDescent="0.25">
      <c r="A571" s="5">
        <v>2021</v>
      </c>
      <c r="B571" s="4">
        <v>25591852</v>
      </c>
      <c r="C571" s="4">
        <v>109557679.19</v>
      </c>
      <c r="D571" s="4"/>
      <c r="E571" s="4">
        <v>65198697.553999998</v>
      </c>
      <c r="F571" s="4">
        <v>41318055</v>
      </c>
      <c r="G571" s="4">
        <v>456588707.66500002</v>
      </c>
      <c r="H571" s="4"/>
      <c r="I571" s="4">
        <v>276352138.98199999</v>
      </c>
      <c r="K571" s="48">
        <f t="shared" si="32"/>
        <v>1.6145003886393217</v>
      </c>
      <c r="L571" s="48">
        <f t="shared" si="33"/>
        <v>4.1675646202140042</v>
      </c>
      <c r="M571" s="48" t="e">
        <f t="shared" si="34"/>
        <v>#DIV/0!</v>
      </c>
      <c r="N571" s="48">
        <f t="shared" si="35"/>
        <v>4.2386144102512908</v>
      </c>
    </row>
    <row r="572" spans="1:14" x14ac:dyDescent="0.25">
      <c r="A572" s="5">
        <v>2022</v>
      </c>
      <c r="B572" s="4">
        <v>28830380</v>
      </c>
      <c r="C572" s="4">
        <v>120918814.06999999</v>
      </c>
      <c r="D572" s="4"/>
      <c r="E572" s="4">
        <v>72021136.049999997</v>
      </c>
      <c r="F572" s="4">
        <v>58406362</v>
      </c>
      <c r="G572" s="4">
        <v>614056270.23300004</v>
      </c>
      <c r="H572" s="4"/>
      <c r="I572" s="4">
        <v>332723145.11500001</v>
      </c>
      <c r="K572" s="48">
        <f t="shared" si="32"/>
        <v>2.025861677855096</v>
      </c>
      <c r="L572" s="48">
        <f t="shared" si="33"/>
        <v>5.0782525031838501</v>
      </c>
      <c r="M572" s="48" t="e">
        <f t="shared" si="34"/>
        <v>#DIV/0!</v>
      </c>
      <c r="N572" s="48">
        <f t="shared" si="35"/>
        <v>4.6197986225045113</v>
      </c>
    </row>
    <row r="573" spans="1:14" x14ac:dyDescent="0.25">
      <c r="A573" s="5">
        <v>2023</v>
      </c>
      <c r="B573" s="4">
        <v>16775234</v>
      </c>
      <c r="C573" s="4">
        <v>130600231.56</v>
      </c>
      <c r="D573" s="4"/>
      <c r="E573" s="4">
        <v>69623204.560000002</v>
      </c>
      <c r="F573" s="4">
        <v>43719980</v>
      </c>
      <c r="G573" s="4">
        <v>568614481.54299998</v>
      </c>
      <c r="H573" s="4"/>
      <c r="I573" s="4">
        <v>334614528.42699999</v>
      </c>
      <c r="K573" s="48">
        <f t="shared" si="32"/>
        <v>2.60622176715985</v>
      </c>
      <c r="L573" s="48">
        <f t="shared" si="33"/>
        <v>4.3538550793592483</v>
      </c>
      <c r="M573" s="48" t="e">
        <f t="shared" si="34"/>
        <v>#DIV/0!</v>
      </c>
      <c r="N573" s="48">
        <f t="shared" si="35"/>
        <v>4.8060776653656516</v>
      </c>
    </row>
    <row r="574" spans="1:14" x14ac:dyDescent="0.25">
      <c r="A574" s="5">
        <v>2024</v>
      </c>
      <c r="B574" s="4">
        <v>16598409</v>
      </c>
      <c r="C574" s="4">
        <v>197643600.91999999</v>
      </c>
      <c r="D574" s="4"/>
      <c r="E574" s="4">
        <v>77653092.969999999</v>
      </c>
      <c r="F574" s="4">
        <v>35910718</v>
      </c>
      <c r="G574" s="4">
        <v>667418650.05999994</v>
      </c>
      <c r="H574" s="4"/>
      <c r="I574" s="4">
        <v>346746450.5</v>
      </c>
      <c r="K574" s="48">
        <f t="shared" si="32"/>
        <v>2.163503622545992</v>
      </c>
      <c r="L574" s="48">
        <f t="shared" si="33"/>
        <v>3.3768796305737738</v>
      </c>
      <c r="M574" s="48" t="e">
        <f t="shared" si="34"/>
        <v>#DIV/0!</v>
      </c>
      <c r="N574" s="48">
        <f t="shared" si="35"/>
        <v>4.4653269720236359</v>
      </c>
    </row>
    <row r="575" spans="1:14" x14ac:dyDescent="0.25">
      <c r="A575" s="3" t="s">
        <v>92</v>
      </c>
      <c r="B575" s="4">
        <v>5749196</v>
      </c>
      <c r="C575" s="4"/>
      <c r="D575" s="4"/>
      <c r="E575" s="4"/>
      <c r="F575" s="4">
        <v>4469999.1100000003</v>
      </c>
      <c r="G575" s="4"/>
      <c r="H575" s="4"/>
      <c r="I575" s="4"/>
      <c r="K575" s="48">
        <f t="shared" si="32"/>
        <v>0.77749986432885576</v>
      </c>
      <c r="L575" s="48" t="e">
        <f t="shared" si="33"/>
        <v>#DIV/0!</v>
      </c>
      <c r="M575" s="48" t="e">
        <f t="shared" si="34"/>
        <v>#DIV/0!</v>
      </c>
      <c r="N575" s="48" t="e">
        <f t="shared" si="35"/>
        <v>#DIV/0!</v>
      </c>
    </row>
    <row r="576" spans="1:14" x14ac:dyDescent="0.25">
      <c r="A576" s="5">
        <v>2010</v>
      </c>
      <c r="B576" s="4">
        <v>5749196</v>
      </c>
      <c r="C576" s="4"/>
      <c r="D576" s="4"/>
      <c r="E576" s="4"/>
      <c r="F576" s="4">
        <v>4469999.1100000003</v>
      </c>
      <c r="G576" s="4"/>
      <c r="H576" s="4"/>
      <c r="I576" s="4"/>
      <c r="K576" s="48">
        <f t="shared" si="32"/>
        <v>0.77749986432885576</v>
      </c>
      <c r="L576" s="48" t="e">
        <f t="shared" si="33"/>
        <v>#DIV/0!</v>
      </c>
      <c r="M576" s="48" t="e">
        <f t="shared" si="34"/>
        <v>#DIV/0!</v>
      </c>
      <c r="N576" s="48" t="e">
        <f t="shared" si="35"/>
        <v>#DIV/0!</v>
      </c>
    </row>
    <row r="577" spans="1:14" x14ac:dyDescent="0.25">
      <c r="A577" s="3" t="s">
        <v>75</v>
      </c>
      <c r="B577" s="4">
        <v>427438</v>
      </c>
      <c r="C577" s="4">
        <v>41681008.115000002</v>
      </c>
      <c r="D577" s="4">
        <v>141797110.75</v>
      </c>
      <c r="E577" s="4"/>
      <c r="F577" s="4">
        <v>490701.22700000001</v>
      </c>
      <c r="G577" s="4">
        <v>117751522.48599999</v>
      </c>
      <c r="H577" s="4">
        <v>627948489.0589999</v>
      </c>
      <c r="I577" s="4"/>
      <c r="K577" s="48">
        <f t="shared" si="32"/>
        <v>1.1480056218679668</v>
      </c>
      <c r="L577" s="48">
        <f t="shared" si="33"/>
        <v>2.8250641673809231</v>
      </c>
      <c r="M577" s="48">
        <f t="shared" si="34"/>
        <v>4.428499887886467</v>
      </c>
      <c r="N577" s="48" t="e">
        <f t="shared" si="35"/>
        <v>#DIV/0!</v>
      </c>
    </row>
    <row r="578" spans="1:14" x14ac:dyDescent="0.25">
      <c r="A578" s="5">
        <v>2000</v>
      </c>
      <c r="B578" s="4"/>
      <c r="C578" s="4"/>
      <c r="D578" s="4">
        <v>3261236</v>
      </c>
      <c r="E578" s="4"/>
      <c r="F578" s="4"/>
      <c r="G578" s="4"/>
      <c r="H578" s="4">
        <v>9660920.4149999991</v>
      </c>
      <c r="I578" s="4"/>
      <c r="K578" s="48" t="e">
        <f t="shared" si="32"/>
        <v>#DIV/0!</v>
      </c>
      <c r="L578" s="48" t="e">
        <f t="shared" si="33"/>
        <v>#DIV/0!</v>
      </c>
      <c r="M578" s="48">
        <f t="shared" si="34"/>
        <v>2.9623493715266234</v>
      </c>
      <c r="N578" s="48" t="e">
        <f t="shared" si="35"/>
        <v>#DIV/0!</v>
      </c>
    </row>
    <row r="579" spans="1:14" x14ac:dyDescent="0.25">
      <c r="A579" s="5">
        <v>2001</v>
      </c>
      <c r="B579" s="4">
        <v>427438</v>
      </c>
      <c r="C579" s="4">
        <v>1903250</v>
      </c>
      <c r="D579" s="4">
        <v>4420958</v>
      </c>
      <c r="E579" s="4"/>
      <c r="F579" s="4">
        <v>490701.22700000001</v>
      </c>
      <c r="G579" s="4">
        <v>4417309.7340000002</v>
      </c>
      <c r="H579" s="4">
        <v>11773806.422</v>
      </c>
      <c r="I579" s="4"/>
      <c r="K579" s="48">
        <f t="shared" si="32"/>
        <v>1.1480056218679668</v>
      </c>
      <c r="L579" s="48">
        <f t="shared" si="33"/>
        <v>2.3209298484171814</v>
      </c>
      <c r="M579" s="48">
        <f t="shared" si="34"/>
        <v>2.663179885898034</v>
      </c>
      <c r="N579" s="48" t="e">
        <f t="shared" si="35"/>
        <v>#DIV/0!</v>
      </c>
    </row>
    <row r="580" spans="1:14" x14ac:dyDescent="0.25">
      <c r="A580" s="5">
        <v>2002</v>
      </c>
      <c r="B580" s="4"/>
      <c r="C580" s="4"/>
      <c r="D580" s="4">
        <v>4974953</v>
      </c>
      <c r="E580" s="4"/>
      <c r="F580" s="4"/>
      <c r="G580" s="4"/>
      <c r="H580" s="4">
        <v>14545715.969000001</v>
      </c>
      <c r="I580" s="4"/>
      <c r="K580" s="48" t="e">
        <f t="shared" si="32"/>
        <v>#DIV/0!</v>
      </c>
      <c r="L580" s="48" t="e">
        <f t="shared" si="33"/>
        <v>#DIV/0!</v>
      </c>
      <c r="M580" s="48">
        <f t="shared" si="34"/>
        <v>2.9237896255502314</v>
      </c>
      <c r="N580" s="48" t="e">
        <f t="shared" si="35"/>
        <v>#DIV/0!</v>
      </c>
    </row>
    <row r="581" spans="1:14" x14ac:dyDescent="0.25">
      <c r="A581" s="5">
        <v>2003</v>
      </c>
      <c r="B581" s="4"/>
      <c r="C581" s="4"/>
      <c r="D581" s="4">
        <v>4985435</v>
      </c>
      <c r="E581" s="4"/>
      <c r="F581" s="4"/>
      <c r="G581" s="4"/>
      <c r="H581" s="4">
        <v>16531839.168</v>
      </c>
      <c r="I581" s="4"/>
      <c r="K581" s="48" t="e">
        <f t="shared" si="32"/>
        <v>#DIV/0!</v>
      </c>
      <c r="L581" s="48" t="e">
        <f t="shared" si="33"/>
        <v>#DIV/0!</v>
      </c>
      <c r="M581" s="48">
        <f t="shared" si="34"/>
        <v>3.3160274214787675</v>
      </c>
      <c r="N581" s="48" t="e">
        <f t="shared" si="35"/>
        <v>#DIV/0!</v>
      </c>
    </row>
    <row r="582" spans="1:14" x14ac:dyDescent="0.25">
      <c r="A582" s="5">
        <v>2004</v>
      </c>
      <c r="B582" s="4"/>
      <c r="C582" s="4"/>
      <c r="D582" s="4">
        <v>3959362</v>
      </c>
      <c r="E582" s="4"/>
      <c r="F582" s="4"/>
      <c r="G582" s="4"/>
      <c r="H582" s="4">
        <v>14686469.755999999</v>
      </c>
      <c r="I582" s="4"/>
      <c r="K582" s="48" t="e">
        <f t="shared" si="32"/>
        <v>#DIV/0!</v>
      </c>
      <c r="L582" s="48" t="e">
        <f t="shared" si="33"/>
        <v>#DIV/0!</v>
      </c>
      <c r="M582" s="48">
        <f t="shared" si="34"/>
        <v>3.7093020936201335</v>
      </c>
      <c r="N582" s="48" t="e">
        <f t="shared" si="35"/>
        <v>#DIV/0!</v>
      </c>
    </row>
    <row r="583" spans="1:14" x14ac:dyDescent="0.25">
      <c r="A583" s="5">
        <v>2005</v>
      </c>
      <c r="B583" s="4"/>
      <c r="C583" s="4"/>
      <c r="D583" s="4">
        <v>6205681</v>
      </c>
      <c r="E583" s="4"/>
      <c r="F583" s="4"/>
      <c r="G583" s="4"/>
      <c r="H583" s="4">
        <v>20841270.723000001</v>
      </c>
      <c r="I583" s="4"/>
      <c r="K583" s="48" t="e">
        <f t="shared" ref="K583:K646" si="36">F583/B583</f>
        <v>#DIV/0!</v>
      </c>
      <c r="L583" s="48" t="e">
        <f t="shared" ref="L583:L646" si="37">G583/C583</f>
        <v>#DIV/0!</v>
      </c>
      <c r="M583" s="48">
        <f t="shared" ref="M583:M646" si="38">H583/D583</f>
        <v>3.3584179919979773</v>
      </c>
      <c r="N583" s="48" t="e">
        <f t="shared" ref="N583:N646" si="39">I583/E583</f>
        <v>#DIV/0!</v>
      </c>
    </row>
    <row r="584" spans="1:14" x14ac:dyDescent="0.25">
      <c r="A584" s="5">
        <v>2006</v>
      </c>
      <c r="B584" s="4"/>
      <c r="C584" s="4"/>
      <c r="D584" s="4">
        <v>6279861</v>
      </c>
      <c r="E584" s="4"/>
      <c r="F584" s="4"/>
      <c r="G584" s="4"/>
      <c r="H584" s="4">
        <v>19642646.767000001</v>
      </c>
      <c r="I584" s="4"/>
      <c r="K584" s="48" t="e">
        <f t="shared" si="36"/>
        <v>#DIV/0!</v>
      </c>
      <c r="L584" s="48" t="e">
        <f t="shared" si="37"/>
        <v>#DIV/0!</v>
      </c>
      <c r="M584" s="48">
        <f t="shared" si="38"/>
        <v>3.1278792264669555</v>
      </c>
      <c r="N584" s="48" t="e">
        <f t="shared" si="39"/>
        <v>#DIV/0!</v>
      </c>
    </row>
    <row r="585" spans="1:14" x14ac:dyDescent="0.25">
      <c r="A585" s="5">
        <v>2007</v>
      </c>
      <c r="B585" s="4"/>
      <c r="C585" s="4"/>
      <c r="D585" s="4">
        <v>5326296</v>
      </c>
      <c r="E585" s="4"/>
      <c r="F585" s="4"/>
      <c r="G585" s="4"/>
      <c r="H585" s="4">
        <v>19059300.296</v>
      </c>
      <c r="I585" s="4"/>
      <c r="K585" s="48" t="e">
        <f t="shared" si="36"/>
        <v>#DIV/0!</v>
      </c>
      <c r="L585" s="48" t="e">
        <f t="shared" si="37"/>
        <v>#DIV/0!</v>
      </c>
      <c r="M585" s="48">
        <f t="shared" si="38"/>
        <v>3.5783404256917004</v>
      </c>
      <c r="N585" s="48" t="e">
        <f t="shared" si="39"/>
        <v>#DIV/0!</v>
      </c>
    </row>
    <row r="586" spans="1:14" x14ac:dyDescent="0.25">
      <c r="A586" s="5">
        <v>2008</v>
      </c>
      <c r="B586" s="4"/>
      <c r="C586" s="4"/>
      <c r="D586" s="4">
        <v>5543862</v>
      </c>
      <c r="E586" s="4"/>
      <c r="F586" s="4"/>
      <c r="G586" s="4"/>
      <c r="H586" s="4">
        <v>26918598.952</v>
      </c>
      <c r="I586" s="4"/>
      <c r="K586" s="48" t="e">
        <f t="shared" si="36"/>
        <v>#DIV/0!</v>
      </c>
      <c r="L586" s="48" t="e">
        <f t="shared" si="37"/>
        <v>#DIV/0!</v>
      </c>
      <c r="M586" s="48">
        <f t="shared" si="38"/>
        <v>4.8555680051198964</v>
      </c>
      <c r="N586" s="48" t="e">
        <f t="shared" si="39"/>
        <v>#DIV/0!</v>
      </c>
    </row>
    <row r="587" spans="1:14" x14ac:dyDescent="0.25">
      <c r="A587" s="5">
        <v>2009</v>
      </c>
      <c r="B587" s="4"/>
      <c r="C587" s="4"/>
      <c r="D587" s="4">
        <v>5199342</v>
      </c>
      <c r="E587" s="4"/>
      <c r="F587" s="4"/>
      <c r="G587" s="4"/>
      <c r="H587" s="4">
        <v>24252753.112</v>
      </c>
      <c r="I587" s="4"/>
      <c r="K587" s="48" t="e">
        <f t="shared" si="36"/>
        <v>#DIV/0!</v>
      </c>
      <c r="L587" s="48" t="e">
        <f t="shared" si="37"/>
        <v>#DIV/0!</v>
      </c>
      <c r="M587" s="48">
        <f t="shared" si="38"/>
        <v>4.6645812320097431</v>
      </c>
      <c r="N587" s="48" t="e">
        <f t="shared" si="39"/>
        <v>#DIV/0!</v>
      </c>
    </row>
    <row r="588" spans="1:14" x14ac:dyDescent="0.25">
      <c r="A588" s="5">
        <v>2010</v>
      </c>
      <c r="B588" s="4"/>
      <c r="C588" s="4"/>
      <c r="D588" s="4">
        <v>4645528</v>
      </c>
      <c r="E588" s="4"/>
      <c r="F588" s="4"/>
      <c r="G588" s="4"/>
      <c r="H588" s="4">
        <v>20274039.804000001</v>
      </c>
      <c r="I588" s="4"/>
      <c r="K588" s="48" t="e">
        <f t="shared" si="36"/>
        <v>#DIV/0!</v>
      </c>
      <c r="L588" s="48" t="e">
        <f t="shared" si="37"/>
        <v>#DIV/0!</v>
      </c>
      <c r="M588" s="48">
        <f t="shared" si="38"/>
        <v>4.3642057057884491</v>
      </c>
      <c r="N588" s="48" t="e">
        <f t="shared" si="39"/>
        <v>#DIV/0!</v>
      </c>
    </row>
    <row r="589" spans="1:14" x14ac:dyDescent="0.25">
      <c r="A589" s="5">
        <v>2011</v>
      </c>
      <c r="B589" s="4"/>
      <c r="C589" s="4">
        <v>3165929</v>
      </c>
      <c r="D589" s="4">
        <v>6360264</v>
      </c>
      <c r="E589" s="4"/>
      <c r="F589" s="4"/>
      <c r="G589" s="4">
        <v>12235524.957</v>
      </c>
      <c r="H589" s="4">
        <v>33073335.484999999</v>
      </c>
      <c r="I589" s="4"/>
      <c r="K589" s="48" t="e">
        <f t="shared" si="36"/>
        <v>#DIV/0!</v>
      </c>
      <c r="L589" s="48">
        <f t="shared" si="37"/>
        <v>3.8647502698260134</v>
      </c>
      <c r="M589" s="48">
        <f t="shared" si="38"/>
        <v>5.1999941331051662</v>
      </c>
      <c r="N589" s="48" t="e">
        <f t="shared" si="39"/>
        <v>#DIV/0!</v>
      </c>
    </row>
    <row r="590" spans="1:14" x14ac:dyDescent="0.25">
      <c r="A590" s="5">
        <v>2012</v>
      </c>
      <c r="B590" s="4"/>
      <c r="C590" s="4">
        <v>3057271</v>
      </c>
      <c r="D590" s="4">
        <v>5671466</v>
      </c>
      <c r="E590" s="4"/>
      <c r="F590" s="4"/>
      <c r="G590" s="4">
        <v>9725802.6380000003</v>
      </c>
      <c r="H590" s="4">
        <v>33026806.616999999</v>
      </c>
      <c r="I590" s="4"/>
      <c r="K590" s="48" t="e">
        <f t="shared" si="36"/>
        <v>#DIV/0!</v>
      </c>
      <c r="L590" s="48">
        <f t="shared" si="37"/>
        <v>3.1812039685065536</v>
      </c>
      <c r="M590" s="48">
        <f t="shared" si="38"/>
        <v>5.8233279749891826</v>
      </c>
      <c r="N590" s="48" t="e">
        <f t="shared" si="39"/>
        <v>#DIV/0!</v>
      </c>
    </row>
    <row r="591" spans="1:14" x14ac:dyDescent="0.25">
      <c r="A591" s="5">
        <v>2013</v>
      </c>
      <c r="B591" s="4"/>
      <c r="C591" s="4">
        <v>1794824</v>
      </c>
      <c r="D591" s="4">
        <v>5856800</v>
      </c>
      <c r="E591" s="4"/>
      <c r="F591" s="4"/>
      <c r="G591" s="4">
        <v>4979734.1780000003</v>
      </c>
      <c r="H591" s="4">
        <v>37522766.571000002</v>
      </c>
      <c r="I591" s="4"/>
      <c r="K591" s="48" t="e">
        <f t="shared" si="36"/>
        <v>#DIV/0!</v>
      </c>
      <c r="L591" s="48">
        <f t="shared" si="37"/>
        <v>2.7744972086399557</v>
      </c>
      <c r="M591" s="48">
        <f t="shared" si="38"/>
        <v>6.4067010263283706</v>
      </c>
      <c r="N591" s="48" t="e">
        <f t="shared" si="39"/>
        <v>#DIV/0!</v>
      </c>
    </row>
    <row r="592" spans="1:14" x14ac:dyDescent="0.25">
      <c r="A592" s="5">
        <v>2014</v>
      </c>
      <c r="B592" s="4"/>
      <c r="C592" s="4">
        <v>6021761</v>
      </c>
      <c r="D592" s="4">
        <v>5573010</v>
      </c>
      <c r="E592" s="4"/>
      <c r="F592" s="4"/>
      <c r="G592" s="4">
        <v>12104468.056</v>
      </c>
      <c r="H592" s="4">
        <v>35960377.806999996</v>
      </c>
      <c r="I592" s="4"/>
      <c r="K592" s="48" t="e">
        <f t="shared" si="36"/>
        <v>#DIV/0!</v>
      </c>
      <c r="L592" s="48">
        <f t="shared" si="37"/>
        <v>2.0101209689325099</v>
      </c>
      <c r="M592" s="48">
        <f t="shared" si="38"/>
        <v>6.45259524153016</v>
      </c>
      <c r="N592" s="48" t="e">
        <f t="shared" si="39"/>
        <v>#DIV/0!</v>
      </c>
    </row>
    <row r="593" spans="1:14" x14ac:dyDescent="0.25">
      <c r="A593" s="5">
        <v>2015</v>
      </c>
      <c r="B593" s="4"/>
      <c r="C593" s="4">
        <v>2371786</v>
      </c>
      <c r="D593" s="4">
        <v>5490409</v>
      </c>
      <c r="E593" s="4"/>
      <c r="F593" s="4"/>
      <c r="G593" s="4">
        <v>7424799.307</v>
      </c>
      <c r="H593" s="4">
        <v>29214270.989</v>
      </c>
      <c r="I593" s="4"/>
      <c r="K593" s="48" t="e">
        <f t="shared" si="36"/>
        <v>#DIV/0!</v>
      </c>
      <c r="L593" s="48">
        <f t="shared" si="37"/>
        <v>3.1304676336735269</v>
      </c>
      <c r="M593" s="48">
        <f t="shared" si="38"/>
        <v>5.3209644288795239</v>
      </c>
      <c r="N593" s="48" t="e">
        <f t="shared" si="39"/>
        <v>#DIV/0!</v>
      </c>
    </row>
    <row r="594" spans="1:14" x14ac:dyDescent="0.25">
      <c r="A594" s="5">
        <v>2016</v>
      </c>
      <c r="B594" s="4"/>
      <c r="C594" s="4">
        <v>2078184</v>
      </c>
      <c r="D594" s="4">
        <v>7792828</v>
      </c>
      <c r="E594" s="4"/>
      <c r="F594" s="4"/>
      <c r="G594" s="4">
        <v>6598944.176</v>
      </c>
      <c r="H594" s="4">
        <v>28949572.868999999</v>
      </c>
      <c r="I594" s="4"/>
      <c r="K594" s="48" t="e">
        <f t="shared" si="36"/>
        <v>#DIV/0!</v>
      </c>
      <c r="L594" s="48">
        <f t="shared" si="37"/>
        <v>3.1753416328871746</v>
      </c>
      <c r="M594" s="48">
        <f t="shared" si="38"/>
        <v>3.7148995036205084</v>
      </c>
      <c r="N594" s="48" t="e">
        <f t="shared" si="39"/>
        <v>#DIV/0!</v>
      </c>
    </row>
    <row r="595" spans="1:14" x14ac:dyDescent="0.25">
      <c r="A595" s="5">
        <v>2017</v>
      </c>
      <c r="B595" s="4"/>
      <c r="C595" s="4">
        <v>1822809</v>
      </c>
      <c r="D595" s="4">
        <v>10347417.403999999</v>
      </c>
      <c r="E595" s="4"/>
      <c r="F595" s="4"/>
      <c r="G595" s="4">
        <v>6210798.0810000002</v>
      </c>
      <c r="H595" s="4">
        <v>31606964.129000001</v>
      </c>
      <c r="I595" s="4"/>
      <c r="K595" s="48" t="e">
        <f t="shared" si="36"/>
        <v>#DIV/0!</v>
      </c>
      <c r="L595" s="48">
        <f t="shared" si="37"/>
        <v>3.4072676188234752</v>
      </c>
      <c r="M595" s="48">
        <f t="shared" si="38"/>
        <v>3.0545751558047423</v>
      </c>
      <c r="N595" s="48" t="e">
        <f t="shared" si="39"/>
        <v>#DIV/0!</v>
      </c>
    </row>
    <row r="596" spans="1:14" x14ac:dyDescent="0.25">
      <c r="A596" s="5">
        <v>2018</v>
      </c>
      <c r="B596" s="4"/>
      <c r="C596" s="4">
        <v>2205567</v>
      </c>
      <c r="D596" s="4">
        <v>3726062</v>
      </c>
      <c r="E596" s="4"/>
      <c r="F596" s="4"/>
      <c r="G596" s="4">
        <v>6312821.4709999999</v>
      </c>
      <c r="H596" s="4">
        <v>23168919.715</v>
      </c>
      <c r="I596" s="4"/>
      <c r="K596" s="48" t="e">
        <f t="shared" si="36"/>
        <v>#DIV/0!</v>
      </c>
      <c r="L596" s="48">
        <f t="shared" si="37"/>
        <v>2.8622215833842271</v>
      </c>
      <c r="M596" s="48">
        <f t="shared" si="38"/>
        <v>6.2180714424505013</v>
      </c>
      <c r="N596" s="48" t="e">
        <f t="shared" si="39"/>
        <v>#DIV/0!</v>
      </c>
    </row>
    <row r="597" spans="1:14" x14ac:dyDescent="0.25">
      <c r="A597" s="5">
        <v>2019</v>
      </c>
      <c r="B597" s="4"/>
      <c r="C597" s="4">
        <v>2212459</v>
      </c>
      <c r="D597" s="4">
        <v>4140445.787</v>
      </c>
      <c r="E597" s="4"/>
      <c r="F597" s="4"/>
      <c r="G597" s="4">
        <v>5910195.7910000002</v>
      </c>
      <c r="H597" s="4">
        <v>24654825.136999998</v>
      </c>
      <c r="I597" s="4"/>
      <c r="K597" s="48" t="e">
        <f t="shared" si="36"/>
        <v>#DIV/0!</v>
      </c>
      <c r="L597" s="48">
        <f t="shared" si="37"/>
        <v>2.6713244362946389</v>
      </c>
      <c r="M597" s="48">
        <f t="shared" si="38"/>
        <v>5.9546305893945517</v>
      </c>
      <c r="N597" s="48" t="e">
        <f t="shared" si="39"/>
        <v>#DIV/0!</v>
      </c>
    </row>
    <row r="598" spans="1:14" x14ac:dyDescent="0.25">
      <c r="A598" s="5">
        <v>2020</v>
      </c>
      <c r="B598" s="4"/>
      <c r="C598" s="4">
        <v>1933693</v>
      </c>
      <c r="D598" s="4">
        <v>5724028</v>
      </c>
      <c r="E598" s="4"/>
      <c r="F598" s="4"/>
      <c r="G598" s="4">
        <v>5754117.4380000001</v>
      </c>
      <c r="H598" s="4">
        <v>29767394.037999999</v>
      </c>
      <c r="I598" s="4"/>
      <c r="K598" s="48" t="e">
        <f t="shared" si="36"/>
        <v>#DIV/0!</v>
      </c>
      <c r="L598" s="48">
        <f t="shared" si="37"/>
        <v>2.9757140549197829</v>
      </c>
      <c r="M598" s="48">
        <f t="shared" si="38"/>
        <v>5.2004277473834861</v>
      </c>
      <c r="N598" s="48" t="e">
        <f t="shared" si="39"/>
        <v>#DIV/0!</v>
      </c>
    </row>
    <row r="599" spans="1:14" x14ac:dyDescent="0.25">
      <c r="A599" s="5">
        <v>2021</v>
      </c>
      <c r="B599" s="4"/>
      <c r="C599" s="4">
        <v>1887687</v>
      </c>
      <c r="D599" s="4">
        <v>4312057</v>
      </c>
      <c r="E599" s="4"/>
      <c r="F599" s="4"/>
      <c r="G599" s="4">
        <v>6204346.9189999998</v>
      </c>
      <c r="H599" s="4">
        <v>22474271.425999999</v>
      </c>
      <c r="I599" s="4"/>
      <c r="K599" s="48" t="e">
        <f t="shared" si="36"/>
        <v>#DIV/0!</v>
      </c>
      <c r="L599" s="48">
        <f t="shared" si="37"/>
        <v>3.2867455881192167</v>
      </c>
      <c r="M599" s="48">
        <f t="shared" si="38"/>
        <v>5.2119606549727893</v>
      </c>
      <c r="N599" s="48" t="e">
        <f t="shared" si="39"/>
        <v>#DIV/0!</v>
      </c>
    </row>
    <row r="600" spans="1:14" x14ac:dyDescent="0.25">
      <c r="A600" s="5">
        <v>2022</v>
      </c>
      <c r="B600" s="4"/>
      <c r="C600" s="4">
        <v>2619332</v>
      </c>
      <c r="D600" s="4">
        <v>3896291.4750000001</v>
      </c>
      <c r="E600" s="4"/>
      <c r="F600" s="4"/>
      <c r="G600" s="4">
        <v>6843020.2369999997</v>
      </c>
      <c r="H600" s="4">
        <v>20822833.627</v>
      </c>
      <c r="I600" s="4"/>
      <c r="K600" s="48" t="e">
        <f t="shared" si="36"/>
        <v>#DIV/0!</v>
      </c>
      <c r="L600" s="48">
        <f t="shared" si="37"/>
        <v>2.6125058743985106</v>
      </c>
      <c r="M600" s="48">
        <f t="shared" si="38"/>
        <v>5.3442699963816231</v>
      </c>
      <c r="N600" s="48" t="e">
        <f t="shared" si="39"/>
        <v>#DIV/0!</v>
      </c>
    </row>
    <row r="601" spans="1:14" x14ac:dyDescent="0.25">
      <c r="A601" s="5">
        <v>2023</v>
      </c>
      <c r="B601" s="4"/>
      <c r="C601" s="4">
        <v>2326520</v>
      </c>
      <c r="D601" s="4">
        <v>3848308.3390000002</v>
      </c>
      <c r="E601" s="4"/>
      <c r="F601" s="4"/>
      <c r="G601" s="4">
        <v>4868569.9989999998</v>
      </c>
      <c r="H601" s="4">
        <v>23142915.052000001</v>
      </c>
      <c r="I601" s="4"/>
      <c r="K601" s="48" t="e">
        <f t="shared" si="36"/>
        <v>#DIV/0!</v>
      </c>
      <c r="L601" s="48">
        <f t="shared" si="37"/>
        <v>2.0926405098602205</v>
      </c>
      <c r="M601" s="48">
        <f t="shared" si="38"/>
        <v>6.013789180420452</v>
      </c>
      <c r="N601" s="48" t="e">
        <f t="shared" si="39"/>
        <v>#DIV/0!</v>
      </c>
    </row>
    <row r="602" spans="1:14" x14ac:dyDescent="0.25">
      <c r="A602" s="5">
        <v>2024</v>
      </c>
      <c r="B602" s="4"/>
      <c r="C602" s="4">
        <v>3200625</v>
      </c>
      <c r="D602" s="4">
        <v>6700163.8099999996</v>
      </c>
      <c r="E602" s="4"/>
      <c r="F602" s="4"/>
      <c r="G602" s="4">
        <v>8893808.1239999998</v>
      </c>
      <c r="H602" s="4">
        <v>28422589.938000001</v>
      </c>
      <c r="I602" s="4"/>
      <c r="K602" s="48" t="e">
        <f t="shared" si="36"/>
        <v>#DIV/0!</v>
      </c>
      <c r="L602" s="48">
        <f t="shared" si="37"/>
        <v>2.7787723097832453</v>
      </c>
      <c r="M602" s="48">
        <f t="shared" si="38"/>
        <v>4.2420738871457537</v>
      </c>
      <c r="N602" s="48" t="e">
        <f t="shared" si="39"/>
        <v>#DIV/0!</v>
      </c>
    </row>
    <row r="603" spans="1:14" x14ac:dyDescent="0.25">
      <c r="A603" s="5">
        <v>2025</v>
      </c>
      <c r="B603" s="4"/>
      <c r="C603" s="4">
        <v>3079311.1150000002</v>
      </c>
      <c r="D603" s="4">
        <v>7555045.9349999996</v>
      </c>
      <c r="E603" s="4"/>
      <c r="F603" s="4"/>
      <c r="G603" s="4">
        <v>9267261.3800000008</v>
      </c>
      <c r="H603" s="4">
        <v>27953284.274999999</v>
      </c>
      <c r="I603" s="4"/>
      <c r="K603" s="48" t="e">
        <f t="shared" si="36"/>
        <v>#DIV/0!</v>
      </c>
      <c r="L603" s="48">
        <f t="shared" si="37"/>
        <v>3.009524219510376</v>
      </c>
      <c r="M603" s="48">
        <f t="shared" si="38"/>
        <v>3.699948950078753</v>
      </c>
      <c r="N603" s="48" t="e">
        <f t="shared" si="39"/>
        <v>#DIV/0!</v>
      </c>
    </row>
    <row r="604" spans="1:14" x14ac:dyDescent="0.25">
      <c r="A604" s="3" t="s">
        <v>91</v>
      </c>
      <c r="B604" s="4">
        <v>23903439.251000002</v>
      </c>
      <c r="C604" s="4"/>
      <c r="D604" s="4">
        <v>209220131.421</v>
      </c>
      <c r="E604" s="4"/>
      <c r="F604" s="4">
        <v>258371000</v>
      </c>
      <c r="G604" s="4"/>
      <c r="H604" s="4">
        <v>1084640000</v>
      </c>
      <c r="I604" s="4"/>
      <c r="K604" s="48">
        <f t="shared" si="36"/>
        <v>10.808946666082415</v>
      </c>
      <c r="L604" s="48" t="e">
        <f t="shared" si="37"/>
        <v>#DIV/0!</v>
      </c>
      <c r="M604" s="48">
        <f t="shared" si="38"/>
        <v>5.184204754261672</v>
      </c>
      <c r="N604" s="48" t="e">
        <f t="shared" si="39"/>
        <v>#DIV/0!</v>
      </c>
    </row>
    <row r="605" spans="1:14" x14ac:dyDescent="0.25">
      <c r="A605" s="5">
        <v>2017</v>
      </c>
      <c r="B605" s="4">
        <v>2684121.06</v>
      </c>
      <c r="C605" s="4"/>
      <c r="D605" s="4">
        <v>20799386.383000001</v>
      </c>
      <c r="E605" s="4"/>
      <c r="F605" s="4">
        <v>22179000</v>
      </c>
      <c r="G605" s="4"/>
      <c r="H605" s="4">
        <v>98866000</v>
      </c>
      <c r="I605" s="4"/>
      <c r="K605" s="48">
        <f t="shared" si="36"/>
        <v>8.2630401178700925</v>
      </c>
      <c r="L605" s="48" t="e">
        <f t="shared" si="37"/>
        <v>#DIV/0!</v>
      </c>
      <c r="M605" s="48">
        <f t="shared" si="38"/>
        <v>4.7533133035504509</v>
      </c>
      <c r="N605" s="48" t="e">
        <f t="shared" si="39"/>
        <v>#DIV/0!</v>
      </c>
    </row>
    <row r="606" spans="1:14" x14ac:dyDescent="0.25">
      <c r="A606" s="5">
        <v>2018</v>
      </c>
      <c r="B606" s="4">
        <v>2165425.969</v>
      </c>
      <c r="C606" s="4"/>
      <c r="D606" s="4">
        <v>23111893.201000001</v>
      </c>
      <c r="E606" s="4"/>
      <c r="F606" s="4">
        <v>22325000</v>
      </c>
      <c r="G606" s="4"/>
      <c r="H606" s="4">
        <v>125527000</v>
      </c>
      <c r="I606" s="4"/>
      <c r="K606" s="48">
        <f t="shared" si="36"/>
        <v>10.309749822714904</v>
      </c>
      <c r="L606" s="48" t="e">
        <f t="shared" si="37"/>
        <v>#DIV/0!</v>
      </c>
      <c r="M606" s="48">
        <f t="shared" si="38"/>
        <v>5.4312729341691801</v>
      </c>
      <c r="N606" s="48" t="e">
        <f t="shared" si="39"/>
        <v>#DIV/0!</v>
      </c>
    </row>
    <row r="607" spans="1:14" x14ac:dyDescent="0.25">
      <c r="A607" s="5">
        <v>2019</v>
      </c>
      <c r="B607" s="4">
        <v>2914814.094</v>
      </c>
      <c r="C607" s="4"/>
      <c r="D607" s="4">
        <v>21614898.274999999</v>
      </c>
      <c r="E607" s="4"/>
      <c r="F607" s="4">
        <v>25091000</v>
      </c>
      <c r="G607" s="4"/>
      <c r="H607" s="4">
        <v>102023000</v>
      </c>
      <c r="I607" s="4"/>
      <c r="K607" s="48">
        <f t="shared" si="36"/>
        <v>8.6080961566806522</v>
      </c>
      <c r="L607" s="48" t="e">
        <f t="shared" si="37"/>
        <v>#DIV/0!</v>
      </c>
      <c r="M607" s="48">
        <f t="shared" si="38"/>
        <v>4.720031466352113</v>
      </c>
      <c r="N607" s="48" t="e">
        <f t="shared" si="39"/>
        <v>#DIV/0!</v>
      </c>
    </row>
    <row r="608" spans="1:14" x14ac:dyDescent="0.25">
      <c r="A608" s="5">
        <v>2020</v>
      </c>
      <c r="B608" s="4">
        <v>2183466.3319999999</v>
      </c>
      <c r="C608" s="4"/>
      <c r="D608" s="4">
        <v>19550345.579999998</v>
      </c>
      <c r="E608" s="4"/>
      <c r="F608" s="4">
        <v>21718000</v>
      </c>
      <c r="G608" s="4"/>
      <c r="H608" s="4">
        <v>94521000</v>
      </c>
      <c r="I608" s="4"/>
      <c r="K608" s="48">
        <f t="shared" si="36"/>
        <v>9.9465696730514104</v>
      </c>
      <c r="L608" s="48" t="e">
        <f t="shared" si="37"/>
        <v>#DIV/0!</v>
      </c>
      <c r="M608" s="48">
        <f t="shared" si="38"/>
        <v>4.8347482970682103</v>
      </c>
      <c r="N608" s="48" t="e">
        <f t="shared" si="39"/>
        <v>#DIV/0!</v>
      </c>
    </row>
    <row r="609" spans="1:14" x14ac:dyDescent="0.25">
      <c r="A609" s="5">
        <v>2021</v>
      </c>
      <c r="B609" s="4">
        <v>2610085.3250000002</v>
      </c>
      <c r="C609" s="4"/>
      <c r="D609" s="4">
        <v>22589314.919</v>
      </c>
      <c r="E609" s="4"/>
      <c r="F609" s="4">
        <v>28823000</v>
      </c>
      <c r="G609" s="4"/>
      <c r="H609" s="4">
        <v>108301000</v>
      </c>
      <c r="I609" s="4"/>
      <c r="K609" s="48">
        <f t="shared" si="36"/>
        <v>11.042934008297218</v>
      </c>
      <c r="L609" s="48" t="e">
        <f t="shared" si="37"/>
        <v>#DIV/0!</v>
      </c>
      <c r="M609" s="48">
        <f t="shared" si="38"/>
        <v>4.7943463707660925</v>
      </c>
      <c r="N609" s="48" t="e">
        <f t="shared" si="39"/>
        <v>#DIV/0!</v>
      </c>
    </row>
    <row r="610" spans="1:14" x14ac:dyDescent="0.25">
      <c r="A610" s="5">
        <v>2022</v>
      </c>
      <c r="B610" s="4">
        <v>2871591.9330000002</v>
      </c>
      <c r="C610" s="4"/>
      <c r="D610" s="4">
        <v>24335617.145</v>
      </c>
      <c r="E610" s="4"/>
      <c r="F610" s="4">
        <v>35046000</v>
      </c>
      <c r="G610" s="4"/>
      <c r="H610" s="4">
        <v>123142000</v>
      </c>
      <c r="I610" s="4"/>
      <c r="K610" s="48">
        <f t="shared" si="36"/>
        <v>12.204380294169045</v>
      </c>
      <c r="L610" s="48" t="e">
        <f t="shared" si="37"/>
        <v>#DIV/0!</v>
      </c>
      <c r="M610" s="48">
        <f t="shared" si="38"/>
        <v>5.060155214732279</v>
      </c>
      <c r="N610" s="48" t="e">
        <f t="shared" si="39"/>
        <v>#DIV/0!</v>
      </c>
    </row>
    <row r="611" spans="1:14" x14ac:dyDescent="0.25">
      <c r="A611" s="5">
        <v>2023</v>
      </c>
      <c r="B611" s="4">
        <v>2995552.0150000001</v>
      </c>
      <c r="C611" s="4"/>
      <c r="D611" s="4">
        <v>22159757.395</v>
      </c>
      <c r="E611" s="4"/>
      <c r="F611" s="4">
        <v>36950000</v>
      </c>
      <c r="G611" s="4"/>
      <c r="H611" s="4">
        <v>125964000</v>
      </c>
      <c r="I611" s="4"/>
      <c r="K611" s="48">
        <f t="shared" si="36"/>
        <v>12.334955231949127</v>
      </c>
      <c r="L611" s="48" t="e">
        <f t="shared" si="37"/>
        <v>#DIV/0!</v>
      </c>
      <c r="M611" s="48">
        <f t="shared" si="38"/>
        <v>5.6843582605476444</v>
      </c>
      <c r="N611" s="48" t="e">
        <f t="shared" si="39"/>
        <v>#DIV/0!</v>
      </c>
    </row>
    <row r="612" spans="1:14" x14ac:dyDescent="0.25">
      <c r="A612" s="5">
        <v>2024</v>
      </c>
      <c r="B612" s="4">
        <v>3274311.7629999998</v>
      </c>
      <c r="C612" s="4"/>
      <c r="D612" s="4">
        <v>35565649.421999998</v>
      </c>
      <c r="E612" s="4"/>
      <c r="F612" s="4">
        <v>40172000</v>
      </c>
      <c r="G612" s="4"/>
      <c r="H612" s="4">
        <v>199685000</v>
      </c>
      <c r="I612" s="4"/>
      <c r="K612" s="48">
        <f t="shared" si="36"/>
        <v>12.268837822331705</v>
      </c>
      <c r="L612" s="48" t="e">
        <f t="shared" si="37"/>
        <v>#DIV/0!</v>
      </c>
      <c r="M612" s="48">
        <f t="shared" si="38"/>
        <v>5.6145467113692007</v>
      </c>
      <c r="N612" s="48" t="e">
        <f t="shared" si="39"/>
        <v>#DIV/0!</v>
      </c>
    </row>
    <row r="613" spans="1:14" x14ac:dyDescent="0.25">
      <c r="A613" s="5">
        <v>2025</v>
      </c>
      <c r="B613" s="4">
        <v>2204070.7599999998</v>
      </c>
      <c r="C613" s="4"/>
      <c r="D613" s="4">
        <v>19493269.101</v>
      </c>
      <c r="E613" s="4"/>
      <c r="F613" s="4">
        <v>26067000</v>
      </c>
      <c r="G613" s="4"/>
      <c r="H613" s="4">
        <v>106611000</v>
      </c>
      <c r="I613" s="4"/>
      <c r="K613" s="48">
        <f t="shared" si="36"/>
        <v>11.826752785377908</v>
      </c>
      <c r="L613" s="48" t="e">
        <f t="shared" si="37"/>
        <v>#DIV/0!</v>
      </c>
      <c r="M613" s="48">
        <f t="shared" si="38"/>
        <v>5.4691185684463202</v>
      </c>
      <c r="N613" s="48" t="e">
        <f t="shared" si="39"/>
        <v>#DIV/0!</v>
      </c>
    </row>
    <row r="614" spans="1:14" x14ac:dyDescent="0.25">
      <c r="A614" s="3" t="s">
        <v>29</v>
      </c>
      <c r="B614" s="4">
        <v>887253743.34899998</v>
      </c>
      <c r="C614" s="4">
        <v>91976014</v>
      </c>
      <c r="D614" s="4">
        <v>2821892209.6430001</v>
      </c>
      <c r="E614" s="4">
        <v>556241446</v>
      </c>
      <c r="F614" s="4">
        <v>3565343640.191</v>
      </c>
      <c r="G614" s="4">
        <v>618064151.80299997</v>
      </c>
      <c r="H614" s="4">
        <v>17072179564.404995</v>
      </c>
      <c r="I614" s="4">
        <v>4152994615.592</v>
      </c>
      <c r="K614" s="48">
        <f t="shared" si="36"/>
        <v>4.0184036042872773</v>
      </c>
      <c r="L614" s="48">
        <f t="shared" si="37"/>
        <v>6.7198405858618742</v>
      </c>
      <c r="M614" s="48">
        <f t="shared" si="38"/>
        <v>6.0499049205585393</v>
      </c>
      <c r="N614" s="48">
        <f t="shared" si="39"/>
        <v>7.466172550529433</v>
      </c>
    </row>
    <row r="615" spans="1:14" x14ac:dyDescent="0.25">
      <c r="A615" s="5">
        <v>2000</v>
      </c>
      <c r="B615" s="4">
        <v>43129968</v>
      </c>
      <c r="C615" s="4">
        <v>6862016</v>
      </c>
      <c r="D615" s="4">
        <v>64582156</v>
      </c>
      <c r="E615" s="4">
        <v>13055306</v>
      </c>
      <c r="F615" s="4">
        <v>45937808.671999998</v>
      </c>
      <c r="G615" s="4">
        <v>28912397.000999998</v>
      </c>
      <c r="H615" s="4">
        <v>202071954.47</v>
      </c>
      <c r="I615" s="4">
        <v>48438534.963</v>
      </c>
      <c r="K615" s="48">
        <f t="shared" si="36"/>
        <v>1.0651018491829161</v>
      </c>
      <c r="L615" s="48">
        <f t="shared" si="37"/>
        <v>4.2133969085761382</v>
      </c>
      <c r="M615" s="48">
        <f t="shared" si="38"/>
        <v>3.1289131082895407</v>
      </c>
      <c r="N615" s="48">
        <f t="shared" si="39"/>
        <v>3.7102565779002039</v>
      </c>
    </row>
    <row r="616" spans="1:14" x14ac:dyDescent="0.25">
      <c r="A616" s="5">
        <v>2001</v>
      </c>
      <c r="B616" s="4">
        <v>38667000</v>
      </c>
      <c r="C616" s="4">
        <v>4706391</v>
      </c>
      <c r="D616" s="4">
        <v>71955036</v>
      </c>
      <c r="E616" s="4">
        <v>14141414</v>
      </c>
      <c r="F616" s="4">
        <v>47822678.892999999</v>
      </c>
      <c r="G616" s="4">
        <v>17564814.693999998</v>
      </c>
      <c r="H616" s="4">
        <v>231015297.896</v>
      </c>
      <c r="I616" s="4">
        <v>58040534.420999996</v>
      </c>
      <c r="K616" s="48">
        <f t="shared" si="36"/>
        <v>1.2367827577262265</v>
      </c>
      <c r="L616" s="48">
        <f t="shared" si="37"/>
        <v>3.7321197269840094</v>
      </c>
      <c r="M616" s="48">
        <f t="shared" si="38"/>
        <v>3.2105507930813904</v>
      </c>
      <c r="N616" s="48">
        <f t="shared" si="39"/>
        <v>4.1042949750993785</v>
      </c>
    </row>
    <row r="617" spans="1:14" x14ac:dyDescent="0.25">
      <c r="A617" s="5">
        <v>2002</v>
      </c>
      <c r="B617" s="4">
        <v>40346403</v>
      </c>
      <c r="C617" s="4">
        <v>4364770</v>
      </c>
      <c r="D617" s="4">
        <v>84109703</v>
      </c>
      <c r="E617" s="4">
        <v>19248120</v>
      </c>
      <c r="F617" s="4">
        <v>57338246.129000001</v>
      </c>
      <c r="G617" s="4">
        <v>25040754.977000002</v>
      </c>
      <c r="H617" s="4">
        <v>302143162.74699998</v>
      </c>
      <c r="I617" s="4">
        <v>82711532.878999993</v>
      </c>
      <c r="K617" s="48">
        <f t="shared" si="36"/>
        <v>1.4211488971891746</v>
      </c>
      <c r="L617" s="48">
        <f t="shared" si="37"/>
        <v>5.7370159199682922</v>
      </c>
      <c r="M617" s="48">
        <f t="shared" si="38"/>
        <v>3.592250976644157</v>
      </c>
      <c r="N617" s="48">
        <f t="shared" si="39"/>
        <v>4.2971226737468387</v>
      </c>
    </row>
    <row r="618" spans="1:14" x14ac:dyDescent="0.25">
      <c r="A618" s="5">
        <v>2003</v>
      </c>
      <c r="B618" s="4">
        <v>42862137</v>
      </c>
      <c r="C618" s="4">
        <v>3778357</v>
      </c>
      <c r="D618" s="4">
        <v>95103627</v>
      </c>
      <c r="E618" s="4">
        <v>15607298</v>
      </c>
      <c r="F618" s="4">
        <v>80611910.659999996</v>
      </c>
      <c r="G618" s="4">
        <v>22835688.079999998</v>
      </c>
      <c r="H618" s="4">
        <v>390049530.22399998</v>
      </c>
      <c r="I618" s="4">
        <v>78728508.842999905</v>
      </c>
      <c r="K618" s="48">
        <f t="shared" si="36"/>
        <v>1.880725421133342</v>
      </c>
      <c r="L618" s="48">
        <f t="shared" si="37"/>
        <v>6.043814303412832</v>
      </c>
      <c r="M618" s="48">
        <f t="shared" si="38"/>
        <v>4.1013107757078497</v>
      </c>
      <c r="N618" s="48">
        <f t="shared" si="39"/>
        <v>5.0443394393443315</v>
      </c>
    </row>
    <row r="619" spans="1:14" x14ac:dyDescent="0.25">
      <c r="A619" s="5">
        <v>2004</v>
      </c>
      <c r="B619" s="4">
        <v>34456182</v>
      </c>
      <c r="C619" s="4">
        <v>5284510</v>
      </c>
      <c r="D619" s="4">
        <v>97784026</v>
      </c>
      <c r="E619" s="4">
        <v>17549060</v>
      </c>
      <c r="F619" s="4">
        <v>57480669.480999999</v>
      </c>
      <c r="G619" s="4">
        <v>32090272.629000001</v>
      </c>
      <c r="H619" s="4">
        <v>417273086.36299998</v>
      </c>
      <c r="I619" s="4">
        <v>90491053.334000096</v>
      </c>
      <c r="K619" s="48">
        <f t="shared" si="36"/>
        <v>1.6682251527751972</v>
      </c>
      <c r="L619" s="48">
        <f t="shared" si="37"/>
        <v>6.0725162085037212</v>
      </c>
      <c r="M619" s="48">
        <f t="shared" si="38"/>
        <v>4.2672929662662895</v>
      </c>
      <c r="N619" s="48">
        <f t="shared" si="39"/>
        <v>5.1564615617018861</v>
      </c>
    </row>
    <row r="620" spans="1:14" x14ac:dyDescent="0.25">
      <c r="A620" s="5">
        <v>2005</v>
      </c>
      <c r="B620" s="4">
        <v>28266991</v>
      </c>
      <c r="C620" s="4">
        <v>6379308</v>
      </c>
      <c r="D620" s="4">
        <v>100447495</v>
      </c>
      <c r="E620" s="4">
        <v>18263277</v>
      </c>
      <c r="F620" s="4">
        <v>61569148.865999997</v>
      </c>
      <c r="G620" s="4">
        <v>43387830.675999999</v>
      </c>
      <c r="H620" s="4">
        <v>459973027.03299999</v>
      </c>
      <c r="I620" s="4">
        <v>96572658.427999899</v>
      </c>
      <c r="K620" s="48">
        <f t="shared" si="36"/>
        <v>2.178128859417686</v>
      </c>
      <c r="L620" s="48">
        <f t="shared" si="37"/>
        <v>6.8013381194323896</v>
      </c>
      <c r="M620" s="48">
        <f t="shared" si="38"/>
        <v>4.5792384074187211</v>
      </c>
      <c r="N620" s="48">
        <f t="shared" si="39"/>
        <v>5.2878056018095707</v>
      </c>
    </row>
    <row r="621" spans="1:14" x14ac:dyDescent="0.25">
      <c r="A621" s="5">
        <v>2006</v>
      </c>
      <c r="B621" s="4">
        <v>21987711</v>
      </c>
      <c r="C621" s="4">
        <v>6937251</v>
      </c>
      <c r="D621" s="4">
        <v>101954096</v>
      </c>
      <c r="E621" s="4">
        <v>17373423</v>
      </c>
      <c r="F621" s="4">
        <v>58943250.770000003</v>
      </c>
      <c r="G621" s="4">
        <v>54629333.045000002</v>
      </c>
      <c r="H621" s="4">
        <v>513639059.77499998</v>
      </c>
      <c r="I621" s="4">
        <v>102476729.771</v>
      </c>
      <c r="K621" s="48">
        <f t="shared" si="36"/>
        <v>2.6807361061822217</v>
      </c>
      <c r="L621" s="48">
        <f t="shared" si="37"/>
        <v>7.8747810977287696</v>
      </c>
      <c r="M621" s="48">
        <f t="shared" si="38"/>
        <v>5.037944329132201</v>
      </c>
      <c r="N621" s="48">
        <f t="shared" si="39"/>
        <v>5.8984766428009037</v>
      </c>
    </row>
    <row r="622" spans="1:14" x14ac:dyDescent="0.25">
      <c r="A622" s="5">
        <v>2007</v>
      </c>
      <c r="B622" s="4">
        <v>22839310</v>
      </c>
      <c r="C622" s="4">
        <v>5451784</v>
      </c>
      <c r="D622" s="4">
        <v>107019362</v>
      </c>
      <c r="E622" s="4">
        <v>18273653</v>
      </c>
      <c r="F622" s="4">
        <v>72663045.187000006</v>
      </c>
      <c r="G622" s="4">
        <v>58989498.494999997</v>
      </c>
      <c r="H622" s="4">
        <v>618396486.50999999</v>
      </c>
      <c r="I622" s="4">
        <v>125015835.722</v>
      </c>
      <c r="K622" s="48">
        <f t="shared" si="36"/>
        <v>3.1814903859617476</v>
      </c>
      <c r="L622" s="48">
        <f t="shared" si="37"/>
        <v>10.820219307111213</v>
      </c>
      <c r="M622" s="48">
        <f t="shared" si="38"/>
        <v>5.7783608026928812</v>
      </c>
      <c r="N622" s="48">
        <f t="shared" si="39"/>
        <v>6.8413160588088218</v>
      </c>
    </row>
    <row r="623" spans="1:14" x14ac:dyDescent="0.25">
      <c r="A623" s="5">
        <v>2008</v>
      </c>
      <c r="B623" s="4">
        <v>19770771</v>
      </c>
      <c r="C623" s="4"/>
      <c r="D623" s="4">
        <v>107884550</v>
      </c>
      <c r="E623" s="4">
        <v>17093131</v>
      </c>
      <c r="F623" s="4">
        <v>74878596.562000006</v>
      </c>
      <c r="G623" s="4"/>
      <c r="H623" s="4">
        <v>733839371.98399997</v>
      </c>
      <c r="I623" s="4">
        <v>139609588.36300001</v>
      </c>
      <c r="K623" s="48">
        <f t="shared" si="36"/>
        <v>3.7873382156922464</v>
      </c>
      <c r="L623" s="48" t="e">
        <f t="shared" si="37"/>
        <v>#DIV/0!</v>
      </c>
      <c r="M623" s="48">
        <f t="shared" si="38"/>
        <v>6.80208029772567</v>
      </c>
      <c r="N623" s="48">
        <f t="shared" si="39"/>
        <v>8.1675842982189746</v>
      </c>
    </row>
    <row r="624" spans="1:14" x14ac:dyDescent="0.25">
      <c r="A624" s="5">
        <v>2009</v>
      </c>
      <c r="B624" s="4">
        <v>19167398</v>
      </c>
      <c r="C624" s="4">
        <v>4220511</v>
      </c>
      <c r="D624" s="4">
        <v>111347884</v>
      </c>
      <c r="E624" s="4">
        <v>16761393</v>
      </c>
      <c r="F624" s="4">
        <v>56951439.056999996</v>
      </c>
      <c r="G624" s="4">
        <v>25481106.614</v>
      </c>
      <c r="H624" s="4">
        <v>676750764.63600004</v>
      </c>
      <c r="I624" s="4">
        <v>130257415.928</v>
      </c>
      <c r="K624" s="48">
        <f t="shared" si="36"/>
        <v>2.9712660558830155</v>
      </c>
      <c r="L624" s="48">
        <f t="shared" si="37"/>
        <v>6.0374458481449285</v>
      </c>
      <c r="M624" s="48">
        <f t="shared" si="38"/>
        <v>6.0778053459552046</v>
      </c>
      <c r="N624" s="48">
        <f t="shared" si="39"/>
        <v>7.7712762852109014</v>
      </c>
    </row>
    <row r="625" spans="1:14" x14ac:dyDescent="0.25">
      <c r="A625" s="5">
        <v>2010</v>
      </c>
      <c r="B625" s="4">
        <v>23613700</v>
      </c>
      <c r="C625" s="4">
        <v>2491000</v>
      </c>
      <c r="D625" s="4">
        <v>93759300</v>
      </c>
      <c r="E625" s="4">
        <v>12260800</v>
      </c>
      <c r="F625" s="4">
        <v>77323986.966000095</v>
      </c>
      <c r="G625" s="4">
        <v>12011675.467</v>
      </c>
      <c r="H625" s="4">
        <v>591309542.829</v>
      </c>
      <c r="I625" s="4">
        <v>108576968.42299999</v>
      </c>
      <c r="K625" s="48">
        <f t="shared" si="36"/>
        <v>3.2745392279058385</v>
      </c>
      <c r="L625" s="48">
        <f t="shared" si="37"/>
        <v>4.8220294929747087</v>
      </c>
      <c r="M625" s="48">
        <f t="shared" si="38"/>
        <v>6.306676167900144</v>
      </c>
      <c r="N625" s="48">
        <f t="shared" si="39"/>
        <v>8.8556185912012264</v>
      </c>
    </row>
    <row r="626" spans="1:14" x14ac:dyDescent="0.25">
      <c r="A626" s="5">
        <v>2011</v>
      </c>
      <c r="B626" s="4">
        <v>24805100</v>
      </c>
      <c r="C626" s="4">
        <v>4646100</v>
      </c>
      <c r="D626" s="4">
        <v>101628600</v>
      </c>
      <c r="E626" s="4">
        <v>12881900</v>
      </c>
      <c r="F626" s="4">
        <v>107882748.163</v>
      </c>
      <c r="G626" s="4">
        <v>44718925.347000003</v>
      </c>
      <c r="H626" s="4">
        <v>720397279.11300004</v>
      </c>
      <c r="I626" s="4">
        <v>119647342.906</v>
      </c>
      <c r="K626" s="48">
        <f t="shared" si="36"/>
        <v>4.349216417712487</v>
      </c>
      <c r="L626" s="48">
        <f t="shared" si="37"/>
        <v>9.6250458119713311</v>
      </c>
      <c r="M626" s="48">
        <f t="shared" si="38"/>
        <v>7.0885290077104282</v>
      </c>
      <c r="N626" s="48">
        <f t="shared" si="39"/>
        <v>9.288019850022124</v>
      </c>
    </row>
    <row r="627" spans="1:14" x14ac:dyDescent="0.25">
      <c r="A627" s="5">
        <v>2012</v>
      </c>
      <c r="B627" s="4">
        <v>30807400</v>
      </c>
      <c r="C627" s="4">
        <v>2454100</v>
      </c>
      <c r="D627" s="4">
        <v>105185000</v>
      </c>
      <c r="E627" s="4">
        <v>13786400</v>
      </c>
      <c r="F627" s="4">
        <v>135306618.60100001</v>
      </c>
      <c r="G627" s="4">
        <v>18469134.638</v>
      </c>
      <c r="H627" s="4">
        <v>741592836.61300004</v>
      </c>
      <c r="I627" s="4">
        <v>136511068.11500001</v>
      </c>
      <c r="K627" s="48">
        <f t="shared" si="36"/>
        <v>4.3920168076825705</v>
      </c>
      <c r="L627" s="48">
        <f t="shared" si="37"/>
        <v>7.5258280583513306</v>
      </c>
      <c r="M627" s="48">
        <f t="shared" si="38"/>
        <v>7.0503668452060655</v>
      </c>
      <c r="N627" s="48">
        <f t="shared" si="39"/>
        <v>9.9018647446033778</v>
      </c>
    </row>
    <row r="628" spans="1:14" x14ac:dyDescent="0.25">
      <c r="A628" s="5">
        <v>2013</v>
      </c>
      <c r="B628" s="4">
        <v>30725300</v>
      </c>
      <c r="C628" s="4">
        <v>3368700</v>
      </c>
      <c r="D628" s="4">
        <v>107099700</v>
      </c>
      <c r="E628" s="4">
        <v>13310000</v>
      </c>
      <c r="F628" s="4">
        <v>149867199.757</v>
      </c>
      <c r="G628" s="4">
        <v>21341262.666999999</v>
      </c>
      <c r="H628" s="4">
        <v>813637675.14999998</v>
      </c>
      <c r="I628" s="4">
        <v>154164982.63</v>
      </c>
      <c r="K628" s="48">
        <f t="shared" si="36"/>
        <v>4.8776480541117584</v>
      </c>
      <c r="L628" s="48">
        <f t="shared" si="37"/>
        <v>6.3351627236025765</v>
      </c>
      <c r="M628" s="48">
        <f t="shared" si="38"/>
        <v>7.597011711050544</v>
      </c>
      <c r="N628" s="48">
        <f t="shared" si="39"/>
        <v>11.582643323065364</v>
      </c>
    </row>
    <row r="629" spans="1:14" x14ac:dyDescent="0.25">
      <c r="A629" s="5">
        <v>2014</v>
      </c>
      <c r="B629" s="4">
        <v>30149900</v>
      </c>
      <c r="C629" s="4">
        <v>3562114</v>
      </c>
      <c r="D629" s="4">
        <v>122439158</v>
      </c>
      <c r="E629" s="4">
        <v>21712988</v>
      </c>
      <c r="F629" s="4">
        <v>137733290.785</v>
      </c>
      <c r="G629" s="4">
        <v>21976314.701000001</v>
      </c>
      <c r="H629" s="4">
        <v>807667201.14300001</v>
      </c>
      <c r="I629" s="4">
        <v>174867362.993</v>
      </c>
      <c r="K629" s="48">
        <f t="shared" si="36"/>
        <v>4.5682835029303579</v>
      </c>
      <c r="L629" s="48">
        <f t="shared" si="37"/>
        <v>6.1694585577553109</v>
      </c>
      <c r="M629" s="48">
        <f t="shared" si="38"/>
        <v>6.5964779106288853</v>
      </c>
      <c r="N629" s="48">
        <f t="shared" si="39"/>
        <v>8.0535835506840421</v>
      </c>
    </row>
    <row r="630" spans="1:14" x14ac:dyDescent="0.25">
      <c r="A630" s="5">
        <v>2015</v>
      </c>
      <c r="B630" s="4">
        <v>30945587</v>
      </c>
      <c r="C630" s="4">
        <v>3369486</v>
      </c>
      <c r="D630" s="4">
        <v>105937566</v>
      </c>
      <c r="E630" s="4">
        <v>23634037</v>
      </c>
      <c r="F630" s="4">
        <v>122127710.971</v>
      </c>
      <c r="G630" s="4">
        <v>19818264.945</v>
      </c>
      <c r="H630" s="4">
        <v>623831571.96200001</v>
      </c>
      <c r="I630" s="4">
        <v>162431790.20100001</v>
      </c>
      <c r="K630" s="48">
        <f t="shared" si="36"/>
        <v>3.9465307596524184</v>
      </c>
      <c r="L630" s="48">
        <f t="shared" si="37"/>
        <v>5.8816878731652249</v>
      </c>
      <c r="M630" s="48">
        <f t="shared" si="38"/>
        <v>5.8886719368462739</v>
      </c>
      <c r="N630" s="48">
        <f t="shared" si="39"/>
        <v>6.8727907213228114</v>
      </c>
    </row>
    <row r="631" spans="1:14" x14ac:dyDescent="0.25">
      <c r="A631" s="5">
        <v>2016</v>
      </c>
      <c r="B631" s="4">
        <v>39755107</v>
      </c>
      <c r="C631" s="4">
        <v>2762057</v>
      </c>
      <c r="D631" s="4">
        <v>114934566</v>
      </c>
      <c r="E631" s="4">
        <v>24055672</v>
      </c>
      <c r="F631" s="4">
        <v>169407021.90900001</v>
      </c>
      <c r="G631" s="4">
        <v>16291145.335999999</v>
      </c>
      <c r="H631" s="4">
        <v>639728007.75699997</v>
      </c>
      <c r="I631" s="4">
        <v>167773533.634</v>
      </c>
      <c r="K631" s="48">
        <f t="shared" si="36"/>
        <v>4.2612643932514134</v>
      </c>
      <c r="L631" s="48">
        <f t="shared" si="37"/>
        <v>5.8981930264292153</v>
      </c>
      <c r="M631" s="48">
        <f t="shared" si="38"/>
        <v>5.5660192579228074</v>
      </c>
      <c r="N631" s="48">
        <f t="shared" si="39"/>
        <v>6.9743856515004028</v>
      </c>
    </row>
    <row r="632" spans="1:14" x14ac:dyDescent="0.25">
      <c r="A632" s="5">
        <v>2017</v>
      </c>
      <c r="B632" s="4">
        <v>37879296.516000003</v>
      </c>
      <c r="C632" s="4">
        <v>2722282</v>
      </c>
      <c r="D632" s="4">
        <v>129757233</v>
      </c>
      <c r="E632" s="4">
        <v>23363853</v>
      </c>
      <c r="F632" s="4">
        <v>189521110.70100001</v>
      </c>
      <c r="G632" s="4">
        <v>19049437.647</v>
      </c>
      <c r="H632" s="4">
        <v>786916426.99100006</v>
      </c>
      <c r="I632" s="4">
        <v>188645818.215</v>
      </c>
      <c r="K632" s="48">
        <f t="shared" si="36"/>
        <v>5.00329013821435</v>
      </c>
      <c r="L632" s="48">
        <f t="shared" si="37"/>
        <v>6.9975989434599351</v>
      </c>
      <c r="M632" s="48">
        <f t="shared" si="38"/>
        <v>6.0645284181653292</v>
      </c>
      <c r="N632" s="48">
        <f t="shared" si="39"/>
        <v>8.0742597642178282</v>
      </c>
    </row>
    <row r="633" spans="1:14" x14ac:dyDescent="0.25">
      <c r="A633" s="5">
        <v>2018</v>
      </c>
      <c r="B633" s="4">
        <v>39724649</v>
      </c>
      <c r="C633" s="4">
        <v>2308287</v>
      </c>
      <c r="D633" s="4">
        <v>129194968</v>
      </c>
      <c r="E633" s="4">
        <v>24753289</v>
      </c>
      <c r="F633" s="4">
        <v>204614567.76199999</v>
      </c>
      <c r="G633" s="4">
        <v>18400982.328000002</v>
      </c>
      <c r="H633" s="4">
        <v>872150583.48000002</v>
      </c>
      <c r="I633" s="4">
        <v>207303246.28400001</v>
      </c>
      <c r="K633" s="48">
        <f t="shared" si="36"/>
        <v>5.1508212888677756</v>
      </c>
      <c r="L633" s="48">
        <f t="shared" si="37"/>
        <v>7.9717047004986821</v>
      </c>
      <c r="M633" s="48">
        <f t="shared" si="38"/>
        <v>6.75065443322839</v>
      </c>
      <c r="N633" s="48">
        <f t="shared" si="39"/>
        <v>8.3747758240935184</v>
      </c>
    </row>
    <row r="634" spans="1:14" x14ac:dyDescent="0.25">
      <c r="A634" s="5">
        <v>2019</v>
      </c>
      <c r="B634" s="4">
        <v>42736822</v>
      </c>
      <c r="C634" s="4">
        <v>2428587</v>
      </c>
      <c r="D634" s="4">
        <v>118361590</v>
      </c>
      <c r="E634" s="4">
        <v>26029508</v>
      </c>
      <c r="F634" s="4">
        <v>211346417.88499999</v>
      </c>
      <c r="G634" s="4">
        <v>16069180.726</v>
      </c>
      <c r="H634" s="4">
        <v>740401272.26100004</v>
      </c>
      <c r="I634" s="4">
        <v>199698203.26100001</v>
      </c>
      <c r="K634" s="48">
        <f t="shared" si="36"/>
        <v>4.9453002819208223</v>
      </c>
      <c r="L634" s="48">
        <f t="shared" si="37"/>
        <v>6.6166790508225564</v>
      </c>
      <c r="M634" s="48">
        <f t="shared" si="38"/>
        <v>6.2554184365130618</v>
      </c>
      <c r="N634" s="48">
        <f t="shared" si="39"/>
        <v>7.6719930035173931</v>
      </c>
    </row>
    <row r="635" spans="1:14" x14ac:dyDescent="0.25">
      <c r="A635" s="5">
        <v>2020</v>
      </c>
      <c r="B635" s="4">
        <v>42239922</v>
      </c>
      <c r="C635" s="4">
        <v>2332067</v>
      </c>
      <c r="D635" s="4">
        <v>125693560</v>
      </c>
      <c r="E635" s="4">
        <v>32608968</v>
      </c>
      <c r="F635" s="4">
        <v>198210052.491</v>
      </c>
      <c r="G635" s="4">
        <v>13925811.566</v>
      </c>
      <c r="H635" s="4">
        <v>793769984.92999995</v>
      </c>
      <c r="I635" s="4">
        <v>243544496.10600001</v>
      </c>
      <c r="K635" s="48">
        <f t="shared" si="36"/>
        <v>4.6924814986874264</v>
      </c>
      <c r="L635" s="48">
        <f t="shared" si="37"/>
        <v>5.9714457457697394</v>
      </c>
      <c r="M635" s="48">
        <f t="shared" si="38"/>
        <v>6.3151205593190287</v>
      </c>
      <c r="N635" s="48">
        <f t="shared" si="39"/>
        <v>7.4686355025402831</v>
      </c>
    </row>
    <row r="636" spans="1:14" x14ac:dyDescent="0.25">
      <c r="A636" s="5">
        <v>2021</v>
      </c>
      <c r="B636" s="4">
        <v>48087097</v>
      </c>
      <c r="C636" s="4">
        <v>3214563</v>
      </c>
      <c r="D636" s="4">
        <v>121426027</v>
      </c>
      <c r="E636" s="4">
        <v>33185689</v>
      </c>
      <c r="F636" s="4">
        <v>258655567.067</v>
      </c>
      <c r="G636" s="4">
        <v>18897112.353</v>
      </c>
      <c r="H636" s="4">
        <v>787202909.96200001</v>
      </c>
      <c r="I636" s="4">
        <v>250105514.315</v>
      </c>
      <c r="K636" s="48">
        <f t="shared" si="36"/>
        <v>5.3788975256085845</v>
      </c>
      <c r="L636" s="48">
        <f t="shared" si="37"/>
        <v>5.8785944941816357</v>
      </c>
      <c r="M636" s="48">
        <f t="shared" si="38"/>
        <v>6.4829833390002953</v>
      </c>
      <c r="N636" s="48">
        <f t="shared" si="39"/>
        <v>7.5365472844333592</v>
      </c>
    </row>
    <row r="637" spans="1:14" x14ac:dyDescent="0.25">
      <c r="A637" s="5">
        <v>2022</v>
      </c>
      <c r="B637" s="4">
        <v>50029139.012999997</v>
      </c>
      <c r="C637" s="4">
        <v>2433340</v>
      </c>
      <c r="D637" s="4">
        <v>130590752</v>
      </c>
      <c r="E637" s="4">
        <v>34016054</v>
      </c>
      <c r="F637" s="4">
        <v>300611423.116</v>
      </c>
      <c r="G637" s="4">
        <v>24408471.846999999</v>
      </c>
      <c r="H637" s="4">
        <v>879303746.06700003</v>
      </c>
      <c r="I637" s="4">
        <v>259488012.43700001</v>
      </c>
      <c r="K637" s="48">
        <f t="shared" si="36"/>
        <v>6.0087266950144107</v>
      </c>
      <c r="L637" s="48">
        <f t="shared" si="37"/>
        <v>10.030851359448329</v>
      </c>
      <c r="M637" s="48">
        <f t="shared" si="38"/>
        <v>6.7332773002716149</v>
      </c>
      <c r="N637" s="48">
        <f t="shared" si="39"/>
        <v>7.6283984155540203</v>
      </c>
    </row>
    <row r="638" spans="1:14" x14ac:dyDescent="0.25">
      <c r="A638" s="5">
        <v>2023</v>
      </c>
      <c r="B638" s="4">
        <v>39112610.409000002</v>
      </c>
      <c r="C638" s="4">
        <v>2098319</v>
      </c>
      <c r="D638" s="4">
        <v>134686154.64300001</v>
      </c>
      <c r="E638" s="4">
        <v>30963976</v>
      </c>
      <c r="F638" s="4">
        <v>274325607.31199998</v>
      </c>
      <c r="G638" s="4">
        <v>17613277.357000001</v>
      </c>
      <c r="H638" s="4">
        <v>976629678.21200001</v>
      </c>
      <c r="I638" s="4">
        <v>271734481.986</v>
      </c>
      <c r="K638" s="48">
        <f t="shared" si="36"/>
        <v>7.0137381382470014</v>
      </c>
      <c r="L638" s="48">
        <f t="shared" si="37"/>
        <v>8.3939941243442977</v>
      </c>
      <c r="M638" s="48">
        <f t="shared" si="38"/>
        <v>7.2511512471394033</v>
      </c>
      <c r="N638" s="48">
        <f t="shared" si="39"/>
        <v>8.7758265277689151</v>
      </c>
    </row>
    <row r="639" spans="1:14" x14ac:dyDescent="0.25">
      <c r="A639" s="5">
        <v>2024</v>
      </c>
      <c r="B639" s="4">
        <v>37544159.873999998</v>
      </c>
      <c r="C639" s="4">
        <v>2324942</v>
      </c>
      <c r="D639" s="4">
        <v>127683754</v>
      </c>
      <c r="E639" s="4">
        <v>32525067</v>
      </c>
      <c r="F639" s="4">
        <v>242753890.88499999</v>
      </c>
      <c r="G639" s="4">
        <v>16212107.216</v>
      </c>
      <c r="H639" s="4">
        <v>953165831.13</v>
      </c>
      <c r="I639" s="4">
        <v>305028068.56699997</v>
      </c>
      <c r="K639" s="48">
        <f t="shared" si="36"/>
        <v>6.4658229588754601</v>
      </c>
      <c r="L639" s="48">
        <f t="shared" si="37"/>
        <v>6.9731232933982872</v>
      </c>
      <c r="M639" s="48">
        <f t="shared" si="38"/>
        <v>7.4650517491050588</v>
      </c>
      <c r="N639" s="48">
        <f t="shared" si="39"/>
        <v>9.3782456640904073</v>
      </c>
    </row>
    <row r="640" spans="1:14" x14ac:dyDescent="0.25">
      <c r="A640" s="5">
        <v>2025</v>
      </c>
      <c r="B640" s="4">
        <v>27604082.537</v>
      </c>
      <c r="C640" s="4">
        <v>1475172</v>
      </c>
      <c r="D640" s="4">
        <v>111326346</v>
      </c>
      <c r="E640" s="4">
        <v>29787170</v>
      </c>
      <c r="F640" s="4">
        <v>171459631.54300001</v>
      </c>
      <c r="G640" s="4">
        <v>9929351.4509999901</v>
      </c>
      <c r="H640" s="4">
        <v>799323275.16700006</v>
      </c>
      <c r="I640" s="4">
        <v>251131332.86700001</v>
      </c>
      <c r="K640" s="48">
        <f t="shared" si="36"/>
        <v>6.211386714743325</v>
      </c>
      <c r="L640" s="48">
        <f t="shared" si="37"/>
        <v>6.7309787950150834</v>
      </c>
      <c r="M640" s="48">
        <f t="shared" si="38"/>
        <v>7.1800009960535309</v>
      </c>
      <c r="N640" s="48">
        <f t="shared" si="39"/>
        <v>8.4308557297319631</v>
      </c>
    </row>
    <row r="641" spans="1:14" x14ac:dyDescent="0.25">
      <c r="A641" s="3" t="s">
        <v>74</v>
      </c>
      <c r="B641" s="4">
        <v>3559611428</v>
      </c>
      <c r="C641" s="4">
        <v>783044263</v>
      </c>
      <c r="D641" s="4">
        <v>976985510</v>
      </c>
      <c r="E641" s="4"/>
      <c r="F641" s="4">
        <v>26880708528.68</v>
      </c>
      <c r="G641" s="4">
        <v>2037635490.2969997</v>
      </c>
      <c r="H641" s="4">
        <v>5468068467.3269997</v>
      </c>
      <c r="I641" s="4"/>
      <c r="K641" s="48">
        <f t="shared" si="36"/>
        <v>7.5515850739312773</v>
      </c>
      <c r="L641" s="48">
        <f t="shared" si="37"/>
        <v>2.6021970743906717</v>
      </c>
      <c r="M641" s="48">
        <f t="shared" si="38"/>
        <v>5.5968777544377293</v>
      </c>
      <c r="N641" s="48" t="e">
        <f t="shared" si="39"/>
        <v>#DIV/0!</v>
      </c>
    </row>
    <row r="642" spans="1:14" x14ac:dyDescent="0.25">
      <c r="A642" s="5">
        <v>2010</v>
      </c>
      <c r="B642" s="4">
        <v>249329317</v>
      </c>
      <c r="C642" s="4">
        <v>75588774</v>
      </c>
      <c r="D642" s="4">
        <v>47383037</v>
      </c>
      <c r="E642" s="4"/>
      <c r="F642" s="4">
        <v>1483329197.9990001</v>
      </c>
      <c r="G642" s="4">
        <v>130926382.094</v>
      </c>
      <c r="H642" s="4">
        <v>227684073.359</v>
      </c>
      <c r="I642" s="4"/>
      <c r="K642" s="48">
        <f t="shared" si="36"/>
        <v>5.9492771080706888</v>
      </c>
      <c r="L642" s="48">
        <f t="shared" si="37"/>
        <v>1.7320876522484674</v>
      </c>
      <c r="M642" s="48">
        <f t="shared" si="38"/>
        <v>4.8051810895743134</v>
      </c>
      <c r="N642" s="48" t="e">
        <f t="shared" si="39"/>
        <v>#DIV/0!</v>
      </c>
    </row>
    <row r="643" spans="1:14" x14ac:dyDescent="0.25">
      <c r="A643" s="5">
        <v>2011</v>
      </c>
      <c r="B643" s="4">
        <v>210508395</v>
      </c>
      <c r="C643" s="4">
        <v>67069916</v>
      </c>
      <c r="D643" s="4">
        <v>52959352</v>
      </c>
      <c r="E643" s="4"/>
      <c r="F643" s="4">
        <v>1613647474.951</v>
      </c>
      <c r="G643" s="4">
        <v>140571057.553</v>
      </c>
      <c r="H643" s="4">
        <v>305922078.741</v>
      </c>
      <c r="I643" s="4"/>
      <c r="K643" s="48">
        <f t="shared" si="36"/>
        <v>7.665478020251876</v>
      </c>
      <c r="L643" s="48">
        <f t="shared" si="37"/>
        <v>2.0958883794188741</v>
      </c>
      <c r="M643" s="48">
        <f t="shared" si="38"/>
        <v>5.776544976248954</v>
      </c>
      <c r="N643" s="48" t="e">
        <f t="shared" si="39"/>
        <v>#DIV/0!</v>
      </c>
    </row>
    <row r="644" spans="1:14" x14ac:dyDescent="0.25">
      <c r="A644" s="5">
        <v>2012</v>
      </c>
      <c r="B644" s="4">
        <v>247563908</v>
      </c>
      <c r="C644" s="4">
        <v>51243338</v>
      </c>
      <c r="D644" s="4">
        <v>55876365</v>
      </c>
      <c r="E644" s="4"/>
      <c r="F644" s="4">
        <v>2333346384.2649999</v>
      </c>
      <c r="G644" s="4">
        <v>161659473.50400001</v>
      </c>
      <c r="H644" s="4">
        <v>366634158.12800002</v>
      </c>
      <c r="I644" s="4"/>
      <c r="K644" s="48">
        <f t="shared" si="36"/>
        <v>9.4252284313794235</v>
      </c>
      <c r="L644" s="48">
        <f t="shared" si="37"/>
        <v>3.1547412759098559</v>
      </c>
      <c r="M644" s="48">
        <f t="shared" si="38"/>
        <v>6.5615248616834689</v>
      </c>
      <c r="N644" s="48" t="e">
        <f t="shared" si="39"/>
        <v>#DIV/0!</v>
      </c>
    </row>
    <row r="645" spans="1:14" x14ac:dyDescent="0.25">
      <c r="A645" s="5">
        <v>2013</v>
      </c>
      <c r="B645" s="4">
        <v>226892836</v>
      </c>
      <c r="C645" s="4">
        <v>71005770</v>
      </c>
      <c r="D645" s="4">
        <v>53630096</v>
      </c>
      <c r="E645" s="4"/>
      <c r="F645" s="4">
        <v>1818053586.9530001</v>
      </c>
      <c r="G645" s="4">
        <v>168187654.41499999</v>
      </c>
      <c r="H645" s="4">
        <v>338680412.49900001</v>
      </c>
      <c r="I645" s="4"/>
      <c r="K645" s="48">
        <f t="shared" si="36"/>
        <v>8.0128294000124356</v>
      </c>
      <c r="L645" s="48">
        <f t="shared" si="37"/>
        <v>2.3686477087002928</v>
      </c>
      <c r="M645" s="48">
        <f t="shared" si="38"/>
        <v>6.3151185203733373</v>
      </c>
      <c r="N645" s="48" t="e">
        <f t="shared" si="39"/>
        <v>#DIV/0!</v>
      </c>
    </row>
    <row r="646" spans="1:14" x14ac:dyDescent="0.25">
      <c r="A646" s="5">
        <v>2014</v>
      </c>
      <c r="B646" s="4">
        <v>235572282</v>
      </c>
      <c r="C646" s="4">
        <v>62881694</v>
      </c>
      <c r="D646" s="4">
        <v>54256132</v>
      </c>
      <c r="E646" s="4"/>
      <c r="F646" s="4">
        <v>1814214189.0109999</v>
      </c>
      <c r="G646" s="4">
        <v>142436245.16100001</v>
      </c>
      <c r="H646" s="4">
        <v>299032779.26200002</v>
      </c>
      <c r="I646" s="4"/>
      <c r="K646" s="48">
        <f t="shared" si="36"/>
        <v>7.7013058310951878</v>
      </c>
      <c r="L646" s="48">
        <f t="shared" si="37"/>
        <v>2.265146437705702</v>
      </c>
      <c r="M646" s="48">
        <f t="shared" si="38"/>
        <v>5.5115019858400522</v>
      </c>
      <c r="N646" s="48" t="e">
        <f t="shared" si="39"/>
        <v>#DIV/0!</v>
      </c>
    </row>
    <row r="647" spans="1:14" x14ac:dyDescent="0.25">
      <c r="A647" s="5">
        <v>2015</v>
      </c>
      <c r="B647" s="4">
        <v>245859417</v>
      </c>
      <c r="C647" s="4">
        <v>40115483</v>
      </c>
      <c r="D647" s="4">
        <v>54538059</v>
      </c>
      <c r="E647" s="4"/>
      <c r="F647" s="4">
        <v>1659450753.076</v>
      </c>
      <c r="G647" s="4">
        <v>102925986.19400001</v>
      </c>
      <c r="H647" s="4">
        <v>270079007.91399997</v>
      </c>
      <c r="I647" s="4"/>
      <c r="K647" s="48">
        <f t="shared" ref="K647:K710" si="40">F647/B647</f>
        <v>6.7495919958030326</v>
      </c>
      <c r="L647" s="48">
        <f t="shared" ref="L647:L710" si="41">G647/C647</f>
        <v>2.5657421647895902</v>
      </c>
      <c r="M647" s="48">
        <f t="shared" ref="M647:M710" si="42">H647/D647</f>
        <v>4.9521199116015477</v>
      </c>
      <c r="N647" s="48" t="e">
        <f t="shared" ref="N647:N710" si="43">I647/E647</f>
        <v>#DIV/0!</v>
      </c>
    </row>
    <row r="648" spans="1:14" x14ac:dyDescent="0.25">
      <c r="A648" s="5">
        <v>2016</v>
      </c>
      <c r="B648" s="4">
        <v>238069077</v>
      </c>
      <c r="C648" s="4">
        <v>22887520</v>
      </c>
      <c r="D648" s="4">
        <v>60396894</v>
      </c>
      <c r="E648" s="4"/>
      <c r="F648" s="4">
        <v>1733477694.674</v>
      </c>
      <c r="G648" s="4">
        <v>78768180.175999999</v>
      </c>
      <c r="H648" s="4">
        <v>300103198.08700001</v>
      </c>
      <c r="I648" s="4"/>
      <c r="K648" s="48">
        <f t="shared" si="40"/>
        <v>7.2814063738063721</v>
      </c>
      <c r="L648" s="48">
        <f t="shared" si="41"/>
        <v>3.4415340839024937</v>
      </c>
      <c r="M648" s="48">
        <f t="shared" si="42"/>
        <v>4.9688515122482952</v>
      </c>
      <c r="N648" s="48" t="e">
        <f t="shared" si="43"/>
        <v>#DIV/0!</v>
      </c>
    </row>
    <row r="649" spans="1:14" x14ac:dyDescent="0.25">
      <c r="A649" s="5">
        <v>2017</v>
      </c>
      <c r="B649" s="4">
        <v>247224949</v>
      </c>
      <c r="C649" s="4">
        <v>37062326</v>
      </c>
      <c r="D649" s="4">
        <v>62962088</v>
      </c>
      <c r="E649" s="4"/>
      <c r="F649" s="4">
        <v>1827655135.131</v>
      </c>
      <c r="G649" s="4">
        <v>113885213.745</v>
      </c>
      <c r="H649" s="4">
        <v>346585470.22500002</v>
      </c>
      <c r="I649" s="4"/>
      <c r="K649" s="48">
        <f t="shared" si="40"/>
        <v>7.3926808055727422</v>
      </c>
      <c r="L649" s="48">
        <f t="shared" si="41"/>
        <v>3.072802655316345</v>
      </c>
      <c r="M649" s="48">
        <f t="shared" si="42"/>
        <v>5.5046692578714991</v>
      </c>
      <c r="N649" s="48" t="e">
        <f t="shared" si="43"/>
        <v>#DIV/0!</v>
      </c>
    </row>
    <row r="650" spans="1:14" x14ac:dyDescent="0.25">
      <c r="A650" s="5">
        <v>2018</v>
      </c>
      <c r="B650" s="4">
        <v>221002299</v>
      </c>
      <c r="C650" s="4">
        <v>55767213</v>
      </c>
      <c r="D650" s="4">
        <v>65202884</v>
      </c>
      <c r="E650" s="4"/>
      <c r="F650" s="4">
        <v>1811037107.3199999</v>
      </c>
      <c r="G650" s="4">
        <v>143779342.05899999</v>
      </c>
      <c r="H650" s="4">
        <v>377391189.28399998</v>
      </c>
      <c r="I650" s="4"/>
      <c r="K650" s="48">
        <f t="shared" si="40"/>
        <v>8.194652795534946</v>
      </c>
      <c r="L650" s="48">
        <f t="shared" si="41"/>
        <v>2.578205621625739</v>
      </c>
      <c r="M650" s="48">
        <f t="shared" si="42"/>
        <v>5.7879524053567932</v>
      </c>
      <c r="N650" s="48" t="e">
        <f t="shared" si="43"/>
        <v>#DIV/0!</v>
      </c>
    </row>
    <row r="651" spans="1:14" x14ac:dyDescent="0.25">
      <c r="A651" s="5">
        <v>2019</v>
      </c>
      <c r="B651" s="4">
        <v>219300419</v>
      </c>
      <c r="C651" s="4">
        <v>41278996</v>
      </c>
      <c r="D651" s="4">
        <v>65090656</v>
      </c>
      <c r="E651" s="4"/>
      <c r="F651" s="4">
        <v>1744053215.53</v>
      </c>
      <c r="G651" s="4">
        <v>118126541.633</v>
      </c>
      <c r="H651" s="4">
        <v>366420219.421</v>
      </c>
      <c r="I651" s="4"/>
      <c r="K651" s="48">
        <f t="shared" si="40"/>
        <v>7.9528038454408971</v>
      </c>
      <c r="L651" s="48">
        <f t="shared" si="41"/>
        <v>2.8616621788233414</v>
      </c>
      <c r="M651" s="48">
        <f t="shared" si="42"/>
        <v>5.629382801442345</v>
      </c>
      <c r="N651" s="48" t="e">
        <f t="shared" si="43"/>
        <v>#DIV/0!</v>
      </c>
    </row>
    <row r="652" spans="1:14" x14ac:dyDescent="0.25">
      <c r="A652" s="5">
        <v>2020</v>
      </c>
      <c r="B652" s="4">
        <v>210341830</v>
      </c>
      <c r="C652" s="4">
        <v>63550779</v>
      </c>
      <c r="D652" s="4">
        <v>67216744</v>
      </c>
      <c r="E652" s="4"/>
      <c r="F652" s="4">
        <v>1498152387.9960001</v>
      </c>
      <c r="G652" s="4">
        <v>170446408.37</v>
      </c>
      <c r="H652" s="4">
        <v>374032370.19599998</v>
      </c>
      <c r="I652" s="4"/>
      <c r="K652" s="48">
        <f t="shared" si="40"/>
        <v>7.1224653127530555</v>
      </c>
      <c r="L652" s="48">
        <f t="shared" si="41"/>
        <v>2.6820506538558719</v>
      </c>
      <c r="M652" s="48">
        <f t="shared" si="42"/>
        <v>5.5645713841182189</v>
      </c>
      <c r="N652" s="48" t="e">
        <f t="shared" si="43"/>
        <v>#DIV/0!</v>
      </c>
    </row>
    <row r="653" spans="1:14" x14ac:dyDescent="0.25">
      <c r="A653" s="5">
        <v>2021</v>
      </c>
      <c r="B653" s="4">
        <v>198559375</v>
      </c>
      <c r="C653" s="4">
        <v>57639398</v>
      </c>
      <c r="D653" s="4">
        <v>66593779</v>
      </c>
      <c r="E653" s="4"/>
      <c r="F653" s="4">
        <v>1690523687.937</v>
      </c>
      <c r="G653" s="4">
        <v>151642379.558</v>
      </c>
      <c r="H653" s="4">
        <v>357035278.241</v>
      </c>
      <c r="I653" s="4"/>
      <c r="K653" s="48">
        <f t="shared" si="40"/>
        <v>8.5139454530263308</v>
      </c>
      <c r="L653" s="48">
        <f t="shared" si="41"/>
        <v>2.630880696533298</v>
      </c>
      <c r="M653" s="48">
        <f t="shared" si="42"/>
        <v>5.3613908626660161</v>
      </c>
      <c r="N653" s="48" t="e">
        <f t="shared" si="43"/>
        <v>#DIV/0!</v>
      </c>
    </row>
    <row r="654" spans="1:14" x14ac:dyDescent="0.25">
      <c r="A654" s="5">
        <v>2022</v>
      </c>
      <c r="B654" s="4">
        <v>201416523</v>
      </c>
      <c r="C654" s="4">
        <v>22263835</v>
      </c>
      <c r="D654" s="4">
        <v>68821369</v>
      </c>
      <c r="E654" s="4"/>
      <c r="F654" s="4">
        <v>1758165110.1459999</v>
      </c>
      <c r="G654" s="4">
        <v>96630522.859999999</v>
      </c>
      <c r="H654" s="4">
        <v>389369220.71399999</v>
      </c>
      <c r="I654" s="4"/>
      <c r="K654" s="48">
        <f t="shared" si="40"/>
        <v>8.7290013945181641</v>
      </c>
      <c r="L654" s="48">
        <f t="shared" si="41"/>
        <v>4.3402460923735733</v>
      </c>
      <c r="M654" s="48">
        <f t="shared" si="42"/>
        <v>5.6576790954855891</v>
      </c>
      <c r="N654" s="48" t="e">
        <f t="shared" si="43"/>
        <v>#DIV/0!</v>
      </c>
    </row>
    <row r="655" spans="1:14" x14ac:dyDescent="0.25">
      <c r="A655" s="5">
        <v>2023</v>
      </c>
      <c r="B655" s="4">
        <v>197686624</v>
      </c>
      <c r="C655" s="4">
        <v>35693252</v>
      </c>
      <c r="D655" s="4">
        <v>70253587</v>
      </c>
      <c r="E655" s="4"/>
      <c r="F655" s="4">
        <v>1500368273.8940001</v>
      </c>
      <c r="G655" s="4">
        <v>121933369.83499999</v>
      </c>
      <c r="H655" s="4">
        <v>419626581.19700003</v>
      </c>
      <c r="I655" s="4"/>
      <c r="K655" s="48">
        <f t="shared" si="40"/>
        <v>7.5896297055181643</v>
      </c>
      <c r="L655" s="48">
        <f t="shared" si="41"/>
        <v>3.4161462742313309</v>
      </c>
      <c r="M655" s="48">
        <f t="shared" si="42"/>
        <v>5.973027130942083</v>
      </c>
      <c r="N655" s="48" t="e">
        <f t="shared" si="43"/>
        <v>#DIV/0!</v>
      </c>
    </row>
    <row r="656" spans="1:14" x14ac:dyDescent="0.25">
      <c r="A656" s="5">
        <v>2024</v>
      </c>
      <c r="B656" s="4">
        <v>208828326</v>
      </c>
      <c r="C656" s="4">
        <v>46903413</v>
      </c>
      <c r="D656" s="4">
        <v>68633852</v>
      </c>
      <c r="E656" s="4"/>
      <c r="F656" s="4">
        <v>1248201630.457</v>
      </c>
      <c r="G656" s="4">
        <v>99268172.713</v>
      </c>
      <c r="H656" s="4">
        <v>384687421.89499998</v>
      </c>
      <c r="I656" s="4"/>
      <c r="K656" s="48">
        <f t="shared" si="40"/>
        <v>5.9771662894860347</v>
      </c>
      <c r="L656" s="48">
        <f t="shared" si="41"/>
        <v>2.1164381515903758</v>
      </c>
      <c r="M656" s="48">
        <f t="shared" si="42"/>
        <v>5.6049225081378209</v>
      </c>
      <c r="N656" s="48" t="e">
        <f t="shared" si="43"/>
        <v>#DIV/0!</v>
      </c>
    </row>
    <row r="657" spans="1:14" x14ac:dyDescent="0.25">
      <c r="A657" s="5">
        <v>2025</v>
      </c>
      <c r="B657" s="4">
        <v>201455851</v>
      </c>
      <c r="C657" s="4">
        <v>32092556</v>
      </c>
      <c r="D657" s="4">
        <v>63170616</v>
      </c>
      <c r="E657" s="4"/>
      <c r="F657" s="4">
        <v>1347032699.3399999</v>
      </c>
      <c r="G657" s="4">
        <v>96448560.426999897</v>
      </c>
      <c r="H657" s="4">
        <v>344785008.16399997</v>
      </c>
      <c r="I657" s="4"/>
      <c r="K657" s="48">
        <f t="shared" si="40"/>
        <v>6.6864908249301722</v>
      </c>
      <c r="L657" s="48">
        <f t="shared" si="41"/>
        <v>3.0053249864859595</v>
      </c>
      <c r="M657" s="48">
        <f t="shared" si="42"/>
        <v>5.4579966129188922</v>
      </c>
      <c r="N657" s="48" t="e">
        <f t="shared" si="43"/>
        <v>#DIV/0!</v>
      </c>
    </row>
    <row r="658" spans="1:14" x14ac:dyDescent="0.25">
      <c r="A658" s="3" t="s">
        <v>114</v>
      </c>
      <c r="B658" s="4"/>
      <c r="C658" s="4"/>
      <c r="D658" s="4">
        <v>46219791.640000001</v>
      </c>
      <c r="E658" s="4"/>
      <c r="F658" s="4"/>
      <c r="G658" s="4"/>
      <c r="H658" s="4">
        <v>209109200.09799999</v>
      </c>
      <c r="I658" s="4"/>
      <c r="K658" s="48" t="e">
        <f t="shared" si="40"/>
        <v>#DIV/0!</v>
      </c>
      <c r="L658" s="48" t="e">
        <f t="shared" si="41"/>
        <v>#DIV/0!</v>
      </c>
      <c r="M658" s="48">
        <f t="shared" si="42"/>
        <v>4.524235023098429</v>
      </c>
      <c r="N658" s="48" t="e">
        <f t="shared" si="43"/>
        <v>#DIV/0!</v>
      </c>
    </row>
    <row r="659" spans="1:14" x14ac:dyDescent="0.25">
      <c r="A659" s="5">
        <v>2010</v>
      </c>
      <c r="B659" s="4"/>
      <c r="C659" s="4"/>
      <c r="D659" s="4">
        <v>7793359.9000000004</v>
      </c>
      <c r="E659" s="4"/>
      <c r="F659" s="4"/>
      <c r="G659" s="4"/>
      <c r="H659" s="4">
        <v>27416714.206999999</v>
      </c>
      <c r="I659" s="4"/>
      <c r="K659" s="48" t="e">
        <f t="shared" si="40"/>
        <v>#DIV/0!</v>
      </c>
      <c r="L659" s="48" t="e">
        <f t="shared" si="41"/>
        <v>#DIV/0!</v>
      </c>
      <c r="M659" s="48">
        <f t="shared" si="42"/>
        <v>3.5179581796293018</v>
      </c>
      <c r="N659" s="48" t="e">
        <f t="shared" si="43"/>
        <v>#DIV/0!</v>
      </c>
    </row>
    <row r="660" spans="1:14" x14ac:dyDescent="0.25">
      <c r="A660" s="5">
        <v>2011</v>
      </c>
      <c r="B660" s="4"/>
      <c r="C660" s="4"/>
      <c r="D660" s="4">
        <v>5388531.2800000003</v>
      </c>
      <c r="E660" s="4"/>
      <c r="F660" s="4"/>
      <c r="G660" s="4"/>
      <c r="H660" s="4">
        <v>23087497.806000002</v>
      </c>
      <c r="I660" s="4"/>
      <c r="K660" s="48" t="e">
        <f t="shared" si="40"/>
        <v>#DIV/0!</v>
      </c>
      <c r="L660" s="48" t="e">
        <f t="shared" si="41"/>
        <v>#DIV/0!</v>
      </c>
      <c r="M660" s="48">
        <f t="shared" si="42"/>
        <v>4.2845622687004239</v>
      </c>
      <c r="N660" s="48" t="e">
        <f t="shared" si="43"/>
        <v>#DIV/0!</v>
      </c>
    </row>
    <row r="661" spans="1:14" x14ac:dyDescent="0.25">
      <c r="A661" s="5">
        <v>2012</v>
      </c>
      <c r="B661" s="4"/>
      <c r="C661" s="4"/>
      <c r="D661" s="4">
        <v>6775137.8600000003</v>
      </c>
      <c r="E661" s="4"/>
      <c r="F661" s="4"/>
      <c r="G661" s="4"/>
      <c r="H661" s="4">
        <v>32606278.679000001</v>
      </c>
      <c r="I661" s="4"/>
      <c r="K661" s="48" t="e">
        <f t="shared" si="40"/>
        <v>#DIV/0!</v>
      </c>
      <c r="L661" s="48" t="e">
        <f t="shared" si="41"/>
        <v>#DIV/0!</v>
      </c>
      <c r="M661" s="48">
        <f t="shared" si="42"/>
        <v>4.8126369311989174</v>
      </c>
      <c r="N661" s="48" t="e">
        <f t="shared" si="43"/>
        <v>#DIV/0!</v>
      </c>
    </row>
    <row r="662" spans="1:14" x14ac:dyDescent="0.25">
      <c r="A662" s="5">
        <v>2013</v>
      </c>
      <c r="B662" s="4"/>
      <c r="C662" s="4"/>
      <c r="D662" s="4">
        <v>6821492.9000000004</v>
      </c>
      <c r="E662" s="4"/>
      <c r="F662" s="4"/>
      <c r="G662" s="4"/>
      <c r="H662" s="4">
        <v>35534142.671999998</v>
      </c>
      <c r="I662" s="4"/>
      <c r="K662" s="48" t="e">
        <f t="shared" si="40"/>
        <v>#DIV/0!</v>
      </c>
      <c r="L662" s="48" t="e">
        <f t="shared" si="41"/>
        <v>#DIV/0!</v>
      </c>
      <c r="M662" s="48">
        <f t="shared" si="42"/>
        <v>5.209144565993757</v>
      </c>
      <c r="N662" s="48" t="e">
        <f t="shared" si="43"/>
        <v>#DIV/0!</v>
      </c>
    </row>
    <row r="663" spans="1:14" x14ac:dyDescent="0.25">
      <c r="A663" s="5">
        <v>2017</v>
      </c>
      <c r="B663" s="4"/>
      <c r="C663" s="4"/>
      <c r="D663" s="4">
        <v>10625776.789999999</v>
      </c>
      <c r="E663" s="4"/>
      <c r="F663" s="4"/>
      <c r="G663" s="4"/>
      <c r="H663" s="4">
        <v>44677792.292000003</v>
      </c>
      <c r="I663" s="4"/>
      <c r="K663" s="48" t="e">
        <f t="shared" si="40"/>
        <v>#DIV/0!</v>
      </c>
      <c r="L663" s="48" t="e">
        <f t="shared" si="41"/>
        <v>#DIV/0!</v>
      </c>
      <c r="M663" s="48">
        <f t="shared" si="42"/>
        <v>4.2046612850033345</v>
      </c>
      <c r="N663" s="48" t="e">
        <f t="shared" si="43"/>
        <v>#DIV/0!</v>
      </c>
    </row>
    <row r="664" spans="1:14" x14ac:dyDescent="0.25">
      <c r="A664" s="5">
        <v>2022</v>
      </c>
      <c r="B664" s="4"/>
      <c r="C664" s="4"/>
      <c r="D664" s="4">
        <v>8815492.9100000001</v>
      </c>
      <c r="E664" s="4"/>
      <c r="F664" s="4"/>
      <c r="G664" s="4"/>
      <c r="H664" s="4">
        <v>45786774.442000002</v>
      </c>
      <c r="I664" s="4"/>
      <c r="K664" s="48" t="e">
        <f t="shared" si="40"/>
        <v>#DIV/0!</v>
      </c>
      <c r="L664" s="48" t="e">
        <f t="shared" si="41"/>
        <v>#DIV/0!</v>
      </c>
      <c r="M664" s="48">
        <f t="shared" si="42"/>
        <v>5.1938983910997214</v>
      </c>
      <c r="N664" s="48" t="e">
        <f t="shared" si="43"/>
        <v>#DIV/0!</v>
      </c>
    </row>
    <row r="665" spans="1:14" x14ac:dyDescent="0.25">
      <c r="A665" s="3" t="s">
        <v>113</v>
      </c>
      <c r="B665" s="4"/>
      <c r="C665" s="4"/>
      <c r="D665" s="4">
        <v>1860028.57</v>
      </c>
      <c r="E665" s="4"/>
      <c r="F665" s="4"/>
      <c r="G665" s="4"/>
      <c r="H665" s="4">
        <v>2158720.29</v>
      </c>
      <c r="I665" s="4"/>
      <c r="K665" s="48" t="e">
        <f t="shared" si="40"/>
        <v>#DIV/0!</v>
      </c>
      <c r="L665" s="48" t="e">
        <f t="shared" si="41"/>
        <v>#DIV/0!</v>
      </c>
      <c r="M665" s="48">
        <f t="shared" si="42"/>
        <v>1.1605844796244178</v>
      </c>
      <c r="N665" s="48" t="e">
        <f t="shared" si="43"/>
        <v>#DIV/0!</v>
      </c>
    </row>
    <row r="666" spans="1:14" x14ac:dyDescent="0.25">
      <c r="A666" s="5">
        <v>2023</v>
      </c>
      <c r="B666" s="4"/>
      <c r="C666" s="4"/>
      <c r="D666" s="4">
        <v>1860028.57</v>
      </c>
      <c r="E666" s="4"/>
      <c r="F666" s="4"/>
      <c r="G666" s="4"/>
      <c r="H666" s="4">
        <v>2158720.29</v>
      </c>
      <c r="I666" s="4"/>
      <c r="K666" s="48" t="e">
        <f t="shared" si="40"/>
        <v>#DIV/0!</v>
      </c>
      <c r="L666" s="48" t="e">
        <f t="shared" si="41"/>
        <v>#DIV/0!</v>
      </c>
      <c r="M666" s="48">
        <f t="shared" si="42"/>
        <v>1.1605844796244178</v>
      </c>
      <c r="N666" s="48" t="e">
        <f t="shared" si="43"/>
        <v>#DIV/0!</v>
      </c>
    </row>
    <row r="667" spans="1:14" x14ac:dyDescent="0.25">
      <c r="A667" s="3" t="s">
        <v>90</v>
      </c>
      <c r="B667" s="4">
        <v>3285385</v>
      </c>
      <c r="C667" s="4"/>
      <c r="D667" s="4"/>
      <c r="E667" s="4"/>
      <c r="F667" s="4">
        <v>2133631.324</v>
      </c>
      <c r="G667" s="4"/>
      <c r="H667" s="4"/>
      <c r="I667" s="4"/>
      <c r="K667" s="48">
        <f t="shared" si="40"/>
        <v>0.64943113942505981</v>
      </c>
      <c r="L667" s="48" t="e">
        <f t="shared" si="41"/>
        <v>#DIV/0!</v>
      </c>
      <c r="M667" s="48" t="e">
        <f t="shared" si="42"/>
        <v>#DIV/0!</v>
      </c>
      <c r="N667" s="48" t="e">
        <f t="shared" si="43"/>
        <v>#DIV/0!</v>
      </c>
    </row>
    <row r="668" spans="1:14" x14ac:dyDescent="0.25">
      <c r="A668" s="5">
        <v>2011</v>
      </c>
      <c r="B668" s="4">
        <v>3285385</v>
      </c>
      <c r="C668" s="4"/>
      <c r="D668" s="4"/>
      <c r="E668" s="4"/>
      <c r="F668" s="4">
        <v>2133631.324</v>
      </c>
      <c r="G668" s="4"/>
      <c r="H668" s="4"/>
      <c r="I668" s="4"/>
      <c r="K668" s="48">
        <f t="shared" si="40"/>
        <v>0.64943113942505981</v>
      </c>
      <c r="L668" s="48" t="e">
        <f t="shared" si="41"/>
        <v>#DIV/0!</v>
      </c>
      <c r="M668" s="48" t="e">
        <f t="shared" si="42"/>
        <v>#DIV/0!</v>
      </c>
      <c r="N668" s="48" t="e">
        <f t="shared" si="43"/>
        <v>#DIV/0!</v>
      </c>
    </row>
    <row r="669" spans="1:14" x14ac:dyDescent="0.25">
      <c r="A669" s="3" t="s">
        <v>73</v>
      </c>
      <c r="B669" s="4"/>
      <c r="C669" s="4">
        <v>3472160.4</v>
      </c>
      <c r="D669" s="4"/>
      <c r="E669" s="4"/>
      <c r="F669" s="4"/>
      <c r="G669" s="4">
        <v>6596246.9230000004</v>
      </c>
      <c r="H669" s="4"/>
      <c r="I669" s="4"/>
      <c r="K669" s="48" t="e">
        <f t="shared" si="40"/>
        <v>#DIV/0!</v>
      </c>
      <c r="L669" s="48">
        <f t="shared" si="41"/>
        <v>1.8997529385451204</v>
      </c>
      <c r="M669" s="48" t="e">
        <f t="shared" si="42"/>
        <v>#DIV/0!</v>
      </c>
      <c r="N669" s="48" t="e">
        <f t="shared" si="43"/>
        <v>#DIV/0!</v>
      </c>
    </row>
    <row r="670" spans="1:14" x14ac:dyDescent="0.25">
      <c r="A670" s="5">
        <v>2017</v>
      </c>
      <c r="B670" s="4"/>
      <c r="C670" s="4">
        <v>1863994.5</v>
      </c>
      <c r="D670" s="4"/>
      <c r="E670" s="4"/>
      <c r="F670" s="4"/>
      <c r="G670" s="4">
        <v>3385256.6260000002</v>
      </c>
      <c r="H670" s="4"/>
      <c r="I670" s="4"/>
      <c r="K670" s="48" t="e">
        <f t="shared" si="40"/>
        <v>#DIV/0!</v>
      </c>
      <c r="L670" s="48">
        <f t="shared" si="41"/>
        <v>1.8161301581093723</v>
      </c>
      <c r="M670" s="48" t="e">
        <f t="shared" si="42"/>
        <v>#DIV/0!</v>
      </c>
      <c r="N670" s="48" t="e">
        <f t="shared" si="43"/>
        <v>#DIV/0!</v>
      </c>
    </row>
    <row r="671" spans="1:14" x14ac:dyDescent="0.25">
      <c r="A671" s="5">
        <v>2018</v>
      </c>
      <c r="B671" s="4"/>
      <c r="C671" s="4">
        <v>1608165.9</v>
      </c>
      <c r="D671" s="4"/>
      <c r="E671" s="4"/>
      <c r="F671" s="4"/>
      <c r="G671" s="4">
        <v>3210990.2969999998</v>
      </c>
      <c r="H671" s="4"/>
      <c r="I671" s="4"/>
      <c r="K671" s="48" t="e">
        <f t="shared" si="40"/>
        <v>#DIV/0!</v>
      </c>
      <c r="L671" s="48">
        <f t="shared" si="41"/>
        <v>1.9966785124594422</v>
      </c>
      <c r="M671" s="48" t="e">
        <f t="shared" si="42"/>
        <v>#DIV/0!</v>
      </c>
      <c r="N671" s="48" t="e">
        <f t="shared" si="43"/>
        <v>#DIV/0!</v>
      </c>
    </row>
    <row r="672" spans="1:14" x14ac:dyDescent="0.25">
      <c r="A672" s="3" t="s">
        <v>30</v>
      </c>
      <c r="B672" s="4"/>
      <c r="C672" s="4"/>
      <c r="D672" s="4">
        <v>36354142.737000003</v>
      </c>
      <c r="E672" s="4">
        <v>1609918.4</v>
      </c>
      <c r="F672" s="4"/>
      <c r="G672" s="4"/>
      <c r="H672" s="4">
        <v>188106068.20300001</v>
      </c>
      <c r="I672" s="4">
        <v>8124781.5939999996</v>
      </c>
      <c r="K672" s="48" t="e">
        <f t="shared" si="40"/>
        <v>#DIV/0!</v>
      </c>
      <c r="L672" s="48" t="e">
        <f t="shared" si="41"/>
        <v>#DIV/0!</v>
      </c>
      <c r="M672" s="48">
        <f t="shared" si="42"/>
        <v>5.1742677461502096</v>
      </c>
      <c r="N672" s="48">
        <f t="shared" si="43"/>
        <v>5.0467039782885887</v>
      </c>
    </row>
    <row r="673" spans="1:14" x14ac:dyDescent="0.25">
      <c r="A673" s="5">
        <v>2015</v>
      </c>
      <c r="B673" s="4"/>
      <c r="C673" s="4"/>
      <c r="D673" s="4">
        <v>5363449</v>
      </c>
      <c r="E673" s="4"/>
      <c r="F673" s="4"/>
      <c r="G673" s="4"/>
      <c r="H673" s="4">
        <v>27183632.831999999</v>
      </c>
      <c r="I673" s="4"/>
      <c r="K673" s="48" t="e">
        <f t="shared" si="40"/>
        <v>#DIV/0!</v>
      </c>
      <c r="L673" s="48" t="e">
        <f t="shared" si="41"/>
        <v>#DIV/0!</v>
      </c>
      <c r="M673" s="48">
        <f t="shared" si="42"/>
        <v>5.068311982084662</v>
      </c>
      <c r="N673" s="48" t="e">
        <f t="shared" si="43"/>
        <v>#DIV/0!</v>
      </c>
    </row>
    <row r="674" spans="1:14" x14ac:dyDescent="0.25">
      <c r="A674" s="5">
        <v>2016</v>
      </c>
      <c r="B674" s="4"/>
      <c r="C674" s="4"/>
      <c r="D674" s="4">
        <v>4848021</v>
      </c>
      <c r="E674" s="4"/>
      <c r="F674" s="4"/>
      <c r="G674" s="4"/>
      <c r="H674" s="4">
        <v>24889291.971000001</v>
      </c>
      <c r="I674" s="4"/>
      <c r="K674" s="48" t="e">
        <f t="shared" si="40"/>
        <v>#DIV/0!</v>
      </c>
      <c r="L674" s="48" t="e">
        <f t="shared" si="41"/>
        <v>#DIV/0!</v>
      </c>
      <c r="M674" s="48">
        <f t="shared" si="42"/>
        <v>5.1339076235437098</v>
      </c>
      <c r="N674" s="48" t="e">
        <f t="shared" si="43"/>
        <v>#DIV/0!</v>
      </c>
    </row>
    <row r="675" spans="1:14" x14ac:dyDescent="0.25">
      <c r="A675" s="5">
        <v>2017</v>
      </c>
      <c r="B675" s="4"/>
      <c r="C675" s="4"/>
      <c r="D675" s="4">
        <v>6174757.4199999999</v>
      </c>
      <c r="E675" s="4">
        <v>1609918.4</v>
      </c>
      <c r="F675" s="4"/>
      <c r="G675" s="4"/>
      <c r="H675" s="4">
        <v>33102786.679000001</v>
      </c>
      <c r="I675" s="4">
        <v>8124781.5939999996</v>
      </c>
      <c r="K675" s="48" t="e">
        <f t="shared" si="40"/>
        <v>#DIV/0!</v>
      </c>
      <c r="L675" s="48" t="e">
        <f t="shared" si="41"/>
        <v>#DIV/0!</v>
      </c>
      <c r="M675" s="48">
        <f t="shared" si="42"/>
        <v>5.3609857727819863</v>
      </c>
      <c r="N675" s="48">
        <f t="shared" si="43"/>
        <v>5.0467039782885887</v>
      </c>
    </row>
    <row r="676" spans="1:14" x14ac:dyDescent="0.25">
      <c r="A676" s="5">
        <v>2021</v>
      </c>
      <c r="B676" s="4"/>
      <c r="C676" s="4"/>
      <c r="D676" s="4">
        <v>4389667.71</v>
      </c>
      <c r="E676" s="4"/>
      <c r="F676" s="4"/>
      <c r="G676" s="4"/>
      <c r="H676" s="4">
        <v>22069318</v>
      </c>
      <c r="I676" s="4"/>
      <c r="K676" s="48" t="e">
        <f t="shared" si="40"/>
        <v>#DIV/0!</v>
      </c>
      <c r="L676" s="48" t="e">
        <f t="shared" si="41"/>
        <v>#DIV/0!</v>
      </c>
      <c r="M676" s="48">
        <f t="shared" si="42"/>
        <v>5.0275600473640409</v>
      </c>
      <c r="N676" s="48" t="e">
        <f t="shared" si="43"/>
        <v>#DIV/0!</v>
      </c>
    </row>
    <row r="677" spans="1:14" x14ac:dyDescent="0.25">
      <c r="A677" s="5">
        <v>2022</v>
      </c>
      <c r="B677" s="4"/>
      <c r="C677" s="4"/>
      <c r="D677" s="4">
        <v>4572148.2319999998</v>
      </c>
      <c r="E677" s="4"/>
      <c r="F677" s="4"/>
      <c r="G677" s="4"/>
      <c r="H677" s="4">
        <v>23747273.324999999</v>
      </c>
      <c r="I677" s="4"/>
      <c r="K677" s="48" t="e">
        <f t="shared" si="40"/>
        <v>#DIV/0!</v>
      </c>
      <c r="L677" s="48" t="e">
        <f t="shared" si="41"/>
        <v>#DIV/0!</v>
      </c>
      <c r="M677" s="48">
        <f t="shared" si="42"/>
        <v>5.1938983864948325</v>
      </c>
      <c r="N677" s="48" t="e">
        <f t="shared" si="43"/>
        <v>#DIV/0!</v>
      </c>
    </row>
    <row r="678" spans="1:14" x14ac:dyDescent="0.25">
      <c r="A678" s="5">
        <v>2023</v>
      </c>
      <c r="B678" s="4"/>
      <c r="C678" s="4"/>
      <c r="D678" s="4">
        <v>5977531.4450000003</v>
      </c>
      <c r="E678" s="4"/>
      <c r="F678" s="4"/>
      <c r="G678" s="4"/>
      <c r="H678" s="4">
        <v>31844104.396000002</v>
      </c>
      <c r="I678" s="4"/>
      <c r="K678" s="48" t="e">
        <f t="shared" si="40"/>
        <v>#DIV/0!</v>
      </c>
      <c r="L678" s="48" t="e">
        <f t="shared" si="41"/>
        <v>#DIV/0!</v>
      </c>
      <c r="M678" s="48">
        <f t="shared" si="42"/>
        <v>5.3273001888825702</v>
      </c>
      <c r="N678" s="48" t="e">
        <f t="shared" si="43"/>
        <v>#DIV/0!</v>
      </c>
    </row>
    <row r="679" spans="1:14" x14ac:dyDescent="0.25">
      <c r="A679" s="5">
        <v>2024</v>
      </c>
      <c r="B679" s="4"/>
      <c r="C679" s="4"/>
      <c r="D679" s="4">
        <v>5028567.93</v>
      </c>
      <c r="E679" s="4"/>
      <c r="F679" s="4"/>
      <c r="G679" s="4"/>
      <c r="H679" s="4">
        <v>25269661</v>
      </c>
      <c r="I679" s="4"/>
      <c r="K679" s="48" t="e">
        <f t="shared" si="40"/>
        <v>#DIV/0!</v>
      </c>
      <c r="L679" s="48" t="e">
        <f t="shared" si="41"/>
        <v>#DIV/0!</v>
      </c>
      <c r="M679" s="48">
        <f t="shared" si="42"/>
        <v>5.0252201723761942</v>
      </c>
      <c r="N679" s="48" t="e">
        <f t="shared" si="43"/>
        <v>#DIV/0!</v>
      </c>
    </row>
    <row r="680" spans="1:14" x14ac:dyDescent="0.25">
      <c r="A680" s="3" t="s">
        <v>31</v>
      </c>
      <c r="B680" s="4"/>
      <c r="C680" s="4"/>
      <c r="D680" s="4"/>
      <c r="E680" s="4">
        <v>862631.46799999999</v>
      </c>
      <c r="F680" s="4"/>
      <c r="G680" s="4"/>
      <c r="H680" s="4"/>
      <c r="I680" s="4">
        <v>6006570.3399999999</v>
      </c>
      <c r="K680" s="48" t="e">
        <f t="shared" si="40"/>
        <v>#DIV/0!</v>
      </c>
      <c r="L680" s="48" t="e">
        <f t="shared" si="41"/>
        <v>#DIV/0!</v>
      </c>
      <c r="M680" s="48" t="e">
        <f t="shared" si="42"/>
        <v>#DIV/0!</v>
      </c>
      <c r="N680" s="48">
        <f t="shared" si="43"/>
        <v>6.9630781658431218</v>
      </c>
    </row>
    <row r="681" spans="1:14" x14ac:dyDescent="0.25">
      <c r="A681" s="5">
        <v>2025</v>
      </c>
      <c r="B681" s="4"/>
      <c r="C681" s="4"/>
      <c r="D681" s="4"/>
      <c r="E681" s="4">
        <v>862631.46799999999</v>
      </c>
      <c r="F681" s="4"/>
      <c r="G681" s="4"/>
      <c r="H681" s="4"/>
      <c r="I681" s="4">
        <v>6006570.3399999999</v>
      </c>
      <c r="K681" s="48" t="e">
        <f t="shared" si="40"/>
        <v>#DIV/0!</v>
      </c>
      <c r="L681" s="48" t="e">
        <f t="shared" si="41"/>
        <v>#DIV/0!</v>
      </c>
      <c r="M681" s="48" t="e">
        <f t="shared" si="42"/>
        <v>#DIV/0!</v>
      </c>
      <c r="N681" s="48">
        <f t="shared" si="43"/>
        <v>6.9630781658431218</v>
      </c>
    </row>
    <row r="682" spans="1:14" x14ac:dyDescent="0.25">
      <c r="A682" s="3" t="s">
        <v>112</v>
      </c>
      <c r="B682" s="4"/>
      <c r="C682" s="4"/>
      <c r="D682" s="4">
        <v>8983555.9469999988</v>
      </c>
      <c r="E682" s="4"/>
      <c r="F682" s="4"/>
      <c r="G682" s="4"/>
      <c r="H682" s="4">
        <v>41097506</v>
      </c>
      <c r="I682" s="4"/>
      <c r="K682" s="48" t="e">
        <f t="shared" si="40"/>
        <v>#DIV/0!</v>
      </c>
      <c r="L682" s="48" t="e">
        <f t="shared" si="41"/>
        <v>#DIV/0!</v>
      </c>
      <c r="M682" s="48">
        <f t="shared" si="42"/>
        <v>4.5747481556815206</v>
      </c>
      <c r="N682" s="48" t="e">
        <f t="shared" si="43"/>
        <v>#DIV/0!</v>
      </c>
    </row>
    <row r="683" spans="1:14" x14ac:dyDescent="0.25">
      <c r="A683" s="5">
        <v>2011</v>
      </c>
      <c r="B683" s="4"/>
      <c r="C683" s="4"/>
      <c r="D683" s="4">
        <v>1016920.25</v>
      </c>
      <c r="E683" s="4"/>
      <c r="F683" s="4"/>
      <c r="G683" s="4"/>
      <c r="H683" s="4">
        <v>3886014</v>
      </c>
      <c r="I683" s="4"/>
      <c r="K683" s="48" t="e">
        <f t="shared" si="40"/>
        <v>#DIV/0!</v>
      </c>
      <c r="L683" s="48" t="e">
        <f t="shared" si="41"/>
        <v>#DIV/0!</v>
      </c>
      <c r="M683" s="48">
        <f t="shared" si="42"/>
        <v>3.8213557061136307</v>
      </c>
      <c r="N683" s="48" t="e">
        <f t="shared" si="43"/>
        <v>#DIV/0!</v>
      </c>
    </row>
    <row r="684" spans="1:14" x14ac:dyDescent="0.25">
      <c r="A684" s="5">
        <v>2012</v>
      </c>
      <c r="B684" s="4"/>
      <c r="C684" s="4"/>
      <c r="D684" s="4">
        <v>863920.88500000001</v>
      </c>
      <c r="E684" s="4"/>
      <c r="F684" s="4"/>
      <c r="G684" s="4"/>
      <c r="H684" s="4">
        <v>3635830</v>
      </c>
      <c r="I684" s="4"/>
      <c r="K684" s="48" t="e">
        <f t="shared" si="40"/>
        <v>#DIV/0!</v>
      </c>
      <c r="L684" s="48" t="e">
        <f t="shared" si="41"/>
        <v>#DIV/0!</v>
      </c>
      <c r="M684" s="48">
        <f t="shared" si="42"/>
        <v>4.208521941219189</v>
      </c>
      <c r="N684" s="48" t="e">
        <f t="shared" si="43"/>
        <v>#DIV/0!</v>
      </c>
    </row>
    <row r="685" spans="1:14" x14ac:dyDescent="0.25">
      <c r="A685" s="5">
        <v>2013</v>
      </c>
      <c r="B685" s="4"/>
      <c r="C685" s="4"/>
      <c r="D685" s="4">
        <v>1140180.422</v>
      </c>
      <c r="E685" s="4"/>
      <c r="F685" s="4"/>
      <c r="G685" s="4"/>
      <c r="H685" s="4">
        <v>5679395</v>
      </c>
      <c r="I685" s="4"/>
      <c r="K685" s="48" t="e">
        <f t="shared" si="40"/>
        <v>#DIV/0!</v>
      </c>
      <c r="L685" s="48" t="e">
        <f t="shared" si="41"/>
        <v>#DIV/0!</v>
      </c>
      <c r="M685" s="48">
        <f t="shared" si="42"/>
        <v>4.9811370993704012</v>
      </c>
      <c r="N685" s="48" t="e">
        <f t="shared" si="43"/>
        <v>#DIV/0!</v>
      </c>
    </row>
    <row r="686" spans="1:14" x14ac:dyDescent="0.25">
      <c r="A686" s="5">
        <v>2014</v>
      </c>
      <c r="B686" s="4"/>
      <c r="C686" s="4"/>
      <c r="D686" s="4">
        <v>1028365.01</v>
      </c>
      <c r="E686" s="4"/>
      <c r="F686" s="4"/>
      <c r="G686" s="4"/>
      <c r="H686" s="4">
        <v>4798969</v>
      </c>
      <c r="I686" s="4"/>
      <c r="K686" s="48" t="e">
        <f t="shared" si="40"/>
        <v>#DIV/0!</v>
      </c>
      <c r="L686" s="48" t="e">
        <f t="shared" si="41"/>
        <v>#DIV/0!</v>
      </c>
      <c r="M686" s="48">
        <f t="shared" si="42"/>
        <v>4.6666008210450487</v>
      </c>
      <c r="N686" s="48" t="e">
        <f t="shared" si="43"/>
        <v>#DIV/0!</v>
      </c>
    </row>
    <row r="687" spans="1:14" x14ac:dyDescent="0.25">
      <c r="A687" s="5">
        <v>2015</v>
      </c>
      <c r="B687" s="4"/>
      <c r="C687" s="4"/>
      <c r="D687" s="4">
        <v>1034798.12</v>
      </c>
      <c r="E687" s="4"/>
      <c r="F687" s="4"/>
      <c r="G687" s="4"/>
      <c r="H687" s="4">
        <v>3966053</v>
      </c>
      <c r="I687" s="4"/>
      <c r="K687" s="48" t="e">
        <f t="shared" si="40"/>
        <v>#DIV/0!</v>
      </c>
      <c r="L687" s="48" t="e">
        <f t="shared" si="41"/>
        <v>#DIV/0!</v>
      </c>
      <c r="M687" s="48">
        <f t="shared" si="42"/>
        <v>3.8326828425239117</v>
      </c>
      <c r="N687" s="48" t="e">
        <f t="shared" si="43"/>
        <v>#DIV/0!</v>
      </c>
    </row>
    <row r="688" spans="1:14" x14ac:dyDescent="0.25">
      <c r="A688" s="5">
        <v>2016</v>
      </c>
      <c r="B688" s="4"/>
      <c r="C688" s="4"/>
      <c r="D688" s="4">
        <v>959915.1</v>
      </c>
      <c r="E688" s="4"/>
      <c r="F688" s="4"/>
      <c r="G688" s="4"/>
      <c r="H688" s="4">
        <v>4058878</v>
      </c>
      <c r="I688" s="4"/>
      <c r="K688" s="48" t="e">
        <f t="shared" si="40"/>
        <v>#DIV/0!</v>
      </c>
      <c r="L688" s="48" t="e">
        <f t="shared" si="41"/>
        <v>#DIV/0!</v>
      </c>
      <c r="M688" s="48">
        <f t="shared" si="42"/>
        <v>4.2283718633033276</v>
      </c>
      <c r="N688" s="48" t="e">
        <f t="shared" si="43"/>
        <v>#DIV/0!</v>
      </c>
    </row>
    <row r="689" spans="1:14" x14ac:dyDescent="0.25">
      <c r="A689" s="5">
        <v>2017</v>
      </c>
      <c r="B689" s="4"/>
      <c r="C689" s="4"/>
      <c r="D689" s="4">
        <v>1019580.48</v>
      </c>
      <c r="E689" s="4"/>
      <c r="F689" s="4"/>
      <c r="G689" s="4"/>
      <c r="H689" s="4">
        <v>4802098</v>
      </c>
      <c r="I689" s="4"/>
      <c r="K689" s="48" t="e">
        <f t="shared" si="40"/>
        <v>#DIV/0!</v>
      </c>
      <c r="L689" s="48" t="e">
        <f t="shared" si="41"/>
        <v>#DIV/0!</v>
      </c>
      <c r="M689" s="48">
        <f t="shared" si="42"/>
        <v>4.7098763601280398</v>
      </c>
      <c r="N689" s="48" t="e">
        <f t="shared" si="43"/>
        <v>#DIV/0!</v>
      </c>
    </row>
    <row r="690" spans="1:14" x14ac:dyDescent="0.25">
      <c r="A690" s="5">
        <v>2018</v>
      </c>
      <c r="B690" s="4"/>
      <c r="C690" s="4"/>
      <c r="D690" s="4">
        <v>941080.68</v>
      </c>
      <c r="E690" s="4"/>
      <c r="F690" s="4"/>
      <c r="G690" s="4"/>
      <c r="H690" s="4">
        <v>5144042</v>
      </c>
      <c r="I690" s="4"/>
      <c r="K690" s="48" t="e">
        <f t="shared" si="40"/>
        <v>#DIV/0!</v>
      </c>
      <c r="L690" s="48" t="e">
        <f t="shared" si="41"/>
        <v>#DIV/0!</v>
      </c>
      <c r="M690" s="48">
        <f t="shared" si="42"/>
        <v>5.4661009510895493</v>
      </c>
      <c r="N690" s="48" t="e">
        <f t="shared" si="43"/>
        <v>#DIV/0!</v>
      </c>
    </row>
    <row r="691" spans="1:14" x14ac:dyDescent="0.25">
      <c r="A691" s="5">
        <v>2019</v>
      </c>
      <c r="B691" s="4"/>
      <c r="C691" s="4"/>
      <c r="D691" s="4">
        <v>978795</v>
      </c>
      <c r="E691" s="4"/>
      <c r="F691" s="4"/>
      <c r="G691" s="4"/>
      <c r="H691" s="4">
        <v>5126227</v>
      </c>
      <c r="I691" s="4"/>
      <c r="K691" s="48" t="e">
        <f t="shared" si="40"/>
        <v>#DIV/0!</v>
      </c>
      <c r="L691" s="48" t="e">
        <f t="shared" si="41"/>
        <v>#DIV/0!</v>
      </c>
      <c r="M691" s="48">
        <f t="shared" si="42"/>
        <v>5.2372835987106594</v>
      </c>
      <c r="N691" s="48" t="e">
        <f t="shared" si="43"/>
        <v>#DIV/0!</v>
      </c>
    </row>
    <row r="692" spans="1:14" x14ac:dyDescent="0.25">
      <c r="A692" s="3" t="s">
        <v>32</v>
      </c>
      <c r="B692" s="4">
        <v>23352684</v>
      </c>
      <c r="C692" s="4">
        <v>2176731</v>
      </c>
      <c r="D692" s="4">
        <v>125214976</v>
      </c>
      <c r="E692" s="4">
        <v>3094862</v>
      </c>
      <c r="F692" s="4">
        <v>2279784.4449999998</v>
      </c>
      <c r="G692" s="4">
        <v>369210.49300000002</v>
      </c>
      <c r="H692" s="4">
        <v>6329152.4800000004</v>
      </c>
      <c r="I692" s="4">
        <v>169425.16399999999</v>
      </c>
      <c r="K692" s="48">
        <f t="shared" si="40"/>
        <v>9.7624086593215573E-2</v>
      </c>
      <c r="L692" s="48">
        <f t="shared" si="41"/>
        <v>0.16961695910059627</v>
      </c>
      <c r="M692" s="48">
        <f t="shared" si="42"/>
        <v>5.0546289926214578E-2</v>
      </c>
      <c r="N692" s="48">
        <f t="shared" si="43"/>
        <v>5.4744012495549069E-2</v>
      </c>
    </row>
    <row r="693" spans="1:14" x14ac:dyDescent="0.25">
      <c r="A693" s="5">
        <v>2013</v>
      </c>
      <c r="B693" s="4">
        <v>23352684</v>
      </c>
      <c r="C693" s="4">
        <v>2176731</v>
      </c>
      <c r="D693" s="4">
        <v>125214976</v>
      </c>
      <c r="E693" s="4">
        <v>3094862</v>
      </c>
      <c r="F693" s="4">
        <v>2279784.4449999998</v>
      </c>
      <c r="G693" s="4">
        <v>369210.49300000002</v>
      </c>
      <c r="H693" s="4">
        <v>6329152.4800000004</v>
      </c>
      <c r="I693" s="4">
        <v>169425.16399999999</v>
      </c>
      <c r="K693" s="48">
        <f t="shared" si="40"/>
        <v>9.7624086593215573E-2</v>
      </c>
      <c r="L693" s="48">
        <f t="shared" si="41"/>
        <v>0.16961695910059627</v>
      </c>
      <c r="M693" s="48">
        <f t="shared" si="42"/>
        <v>5.0546289926214578E-2</v>
      </c>
      <c r="N693" s="48">
        <f t="shared" si="43"/>
        <v>5.4744012495549069E-2</v>
      </c>
    </row>
    <row r="694" spans="1:14" x14ac:dyDescent="0.25">
      <c r="A694" s="3" t="s">
        <v>33</v>
      </c>
      <c r="B694" s="4">
        <v>378470627.75999999</v>
      </c>
      <c r="C694" s="4">
        <v>16532794.35</v>
      </c>
      <c r="D694" s="4"/>
      <c r="E694" s="4">
        <v>261675771.53000003</v>
      </c>
      <c r="F694" s="4">
        <v>557560343.92000008</v>
      </c>
      <c r="G694" s="4">
        <v>28431743.892999999</v>
      </c>
      <c r="H694" s="4"/>
      <c r="I694" s="4">
        <v>811292386.94300008</v>
      </c>
      <c r="K694" s="48">
        <f t="shared" si="40"/>
        <v>1.4731931701541883</v>
      </c>
      <c r="L694" s="48">
        <f t="shared" si="41"/>
        <v>1.7197179914719014</v>
      </c>
      <c r="M694" s="48" t="e">
        <f t="shared" si="42"/>
        <v>#DIV/0!</v>
      </c>
      <c r="N694" s="48">
        <f t="shared" si="43"/>
        <v>3.100372580156848</v>
      </c>
    </row>
    <row r="695" spans="1:14" x14ac:dyDescent="0.25">
      <c r="A695" s="5">
        <v>2000</v>
      </c>
      <c r="B695" s="4"/>
      <c r="C695" s="4"/>
      <c r="D695" s="4"/>
      <c r="E695" s="4">
        <v>9958045</v>
      </c>
      <c r="F695" s="4"/>
      <c r="G695" s="4"/>
      <c r="H695" s="4"/>
      <c r="I695" s="4">
        <v>20932526.776000001</v>
      </c>
      <c r="K695" s="48" t="e">
        <f t="shared" si="40"/>
        <v>#DIV/0!</v>
      </c>
      <c r="L695" s="48" t="e">
        <f t="shared" si="41"/>
        <v>#DIV/0!</v>
      </c>
      <c r="M695" s="48" t="e">
        <f t="shared" si="42"/>
        <v>#DIV/0!</v>
      </c>
      <c r="N695" s="48">
        <f t="shared" si="43"/>
        <v>2.1020719203417939</v>
      </c>
    </row>
    <row r="696" spans="1:14" x14ac:dyDescent="0.25">
      <c r="A696" s="5">
        <v>2001</v>
      </c>
      <c r="B696" s="4"/>
      <c r="C696" s="4"/>
      <c r="D696" s="4"/>
      <c r="E696" s="4">
        <v>27664970</v>
      </c>
      <c r="F696" s="4"/>
      <c r="G696" s="4"/>
      <c r="H696" s="4"/>
      <c r="I696" s="4">
        <v>56358900.338</v>
      </c>
      <c r="K696" s="48" t="e">
        <f t="shared" si="40"/>
        <v>#DIV/0!</v>
      </c>
      <c r="L696" s="48" t="e">
        <f t="shared" si="41"/>
        <v>#DIV/0!</v>
      </c>
      <c r="M696" s="48" t="e">
        <f t="shared" si="42"/>
        <v>#DIV/0!</v>
      </c>
      <c r="N696" s="48">
        <f t="shared" si="43"/>
        <v>2.0371936184279251</v>
      </c>
    </row>
    <row r="697" spans="1:14" x14ac:dyDescent="0.25">
      <c r="A697" s="5">
        <v>2002</v>
      </c>
      <c r="B697" s="4"/>
      <c r="C697" s="4"/>
      <c r="D697" s="4"/>
      <c r="E697" s="4">
        <v>12506999</v>
      </c>
      <c r="F697" s="4"/>
      <c r="G697" s="4"/>
      <c r="H697" s="4"/>
      <c r="I697" s="4">
        <v>28428037.971999999</v>
      </c>
      <c r="K697" s="48" t="e">
        <f t="shared" si="40"/>
        <v>#DIV/0!</v>
      </c>
      <c r="L697" s="48" t="e">
        <f t="shared" si="41"/>
        <v>#DIV/0!</v>
      </c>
      <c r="M697" s="48" t="e">
        <f t="shared" si="42"/>
        <v>#DIV/0!</v>
      </c>
      <c r="N697" s="48">
        <f t="shared" si="43"/>
        <v>2.2729703561981576</v>
      </c>
    </row>
    <row r="698" spans="1:14" x14ac:dyDescent="0.25">
      <c r="A698" s="5">
        <v>2003</v>
      </c>
      <c r="B698" s="4">
        <v>30592782</v>
      </c>
      <c r="C698" s="4"/>
      <c r="D698" s="4"/>
      <c r="E698" s="4">
        <v>20172768</v>
      </c>
      <c r="F698" s="4">
        <v>23463999.120999999</v>
      </c>
      <c r="G698" s="4"/>
      <c r="H698" s="4"/>
      <c r="I698" s="4">
        <v>42622524.390000001</v>
      </c>
      <c r="K698" s="48">
        <f t="shared" si="40"/>
        <v>0.76697827353524106</v>
      </c>
      <c r="L698" s="48" t="e">
        <f t="shared" si="41"/>
        <v>#DIV/0!</v>
      </c>
      <c r="M698" s="48" t="e">
        <f t="shared" si="42"/>
        <v>#DIV/0!</v>
      </c>
      <c r="N698" s="48">
        <f t="shared" si="43"/>
        <v>2.1128743655803706</v>
      </c>
    </row>
    <row r="699" spans="1:14" x14ac:dyDescent="0.25">
      <c r="A699" s="5">
        <v>2004</v>
      </c>
      <c r="B699" s="4">
        <v>33827645</v>
      </c>
      <c r="C699" s="4"/>
      <c r="D699" s="4"/>
      <c r="E699" s="4">
        <v>18468562</v>
      </c>
      <c r="F699" s="4">
        <v>31858321.594000001</v>
      </c>
      <c r="G699" s="4"/>
      <c r="H699" s="4"/>
      <c r="I699" s="4">
        <v>41377571.218000002</v>
      </c>
      <c r="K699" s="48">
        <f t="shared" si="40"/>
        <v>0.94178360905703018</v>
      </c>
      <c r="L699" s="48" t="e">
        <f t="shared" si="41"/>
        <v>#DIV/0!</v>
      </c>
      <c r="M699" s="48" t="e">
        <f t="shared" si="42"/>
        <v>#DIV/0!</v>
      </c>
      <c r="N699" s="48">
        <f t="shared" si="43"/>
        <v>2.2404327536708055</v>
      </c>
    </row>
    <row r="700" spans="1:14" x14ac:dyDescent="0.25">
      <c r="A700" s="5">
        <v>2005</v>
      </c>
      <c r="B700" s="4">
        <v>14445683</v>
      </c>
      <c r="C700" s="4"/>
      <c r="D700" s="4"/>
      <c r="E700" s="4">
        <v>9094476</v>
      </c>
      <c r="F700" s="4">
        <v>12290770.551000001</v>
      </c>
      <c r="G700" s="4"/>
      <c r="H700" s="4"/>
      <c r="I700" s="4">
        <v>20382229.331</v>
      </c>
      <c r="K700" s="48">
        <f t="shared" si="40"/>
        <v>0.8508265445808274</v>
      </c>
      <c r="L700" s="48" t="e">
        <f t="shared" si="41"/>
        <v>#DIV/0!</v>
      </c>
      <c r="M700" s="48" t="e">
        <f t="shared" si="42"/>
        <v>#DIV/0!</v>
      </c>
      <c r="N700" s="48">
        <f t="shared" si="43"/>
        <v>2.2411658825643173</v>
      </c>
    </row>
    <row r="701" spans="1:14" x14ac:dyDescent="0.25">
      <c r="A701" s="5">
        <v>2006</v>
      </c>
      <c r="B701" s="4">
        <v>29481137</v>
      </c>
      <c r="C701" s="4"/>
      <c r="D701" s="4"/>
      <c r="E701" s="4">
        <v>17238105</v>
      </c>
      <c r="F701" s="4">
        <v>30281366.778000001</v>
      </c>
      <c r="G701" s="4"/>
      <c r="H701" s="4"/>
      <c r="I701" s="4">
        <v>44309304.814000003</v>
      </c>
      <c r="K701" s="48">
        <f t="shared" si="40"/>
        <v>1.0271437895356614</v>
      </c>
      <c r="L701" s="48" t="e">
        <f t="shared" si="41"/>
        <v>#DIV/0!</v>
      </c>
      <c r="M701" s="48" t="e">
        <f t="shared" si="42"/>
        <v>#DIV/0!</v>
      </c>
      <c r="N701" s="48">
        <f t="shared" si="43"/>
        <v>2.5704278291610363</v>
      </c>
    </row>
    <row r="702" spans="1:14" x14ac:dyDescent="0.25">
      <c r="A702" s="5">
        <v>2007</v>
      </c>
      <c r="B702" s="4">
        <v>21421093</v>
      </c>
      <c r="C702" s="4"/>
      <c r="D702" s="4"/>
      <c r="E702" s="4">
        <v>12422033.1</v>
      </c>
      <c r="F702" s="4">
        <v>55136061.748000003</v>
      </c>
      <c r="G702" s="4"/>
      <c r="H702" s="4"/>
      <c r="I702" s="4">
        <v>42212927.810000002</v>
      </c>
      <c r="K702" s="48">
        <f t="shared" si="40"/>
        <v>2.57391449390561</v>
      </c>
      <c r="L702" s="48" t="e">
        <f t="shared" si="41"/>
        <v>#DIV/0!</v>
      </c>
      <c r="M702" s="48" t="e">
        <f t="shared" si="42"/>
        <v>#DIV/0!</v>
      </c>
      <c r="N702" s="48">
        <f t="shared" si="43"/>
        <v>3.3982301826260635</v>
      </c>
    </row>
    <row r="703" spans="1:14" x14ac:dyDescent="0.25">
      <c r="A703" s="5">
        <v>2008</v>
      </c>
      <c r="B703" s="4">
        <v>13500887.310000001</v>
      </c>
      <c r="C703" s="4"/>
      <c r="D703" s="4"/>
      <c r="E703" s="4">
        <v>7545025.2999999998</v>
      </c>
      <c r="F703" s="4">
        <v>23022853.846999999</v>
      </c>
      <c r="G703" s="4"/>
      <c r="H703" s="4"/>
      <c r="I703" s="4">
        <v>31961269.173</v>
      </c>
      <c r="K703" s="48">
        <f t="shared" si="40"/>
        <v>1.7052844985934483</v>
      </c>
      <c r="L703" s="48" t="e">
        <f t="shared" si="41"/>
        <v>#DIV/0!</v>
      </c>
      <c r="M703" s="48" t="e">
        <f t="shared" si="42"/>
        <v>#DIV/0!</v>
      </c>
      <c r="N703" s="48">
        <f t="shared" si="43"/>
        <v>4.2360718357034539</v>
      </c>
    </row>
    <row r="704" spans="1:14" x14ac:dyDescent="0.25">
      <c r="A704" s="5">
        <v>2009</v>
      </c>
      <c r="B704" s="4">
        <v>14207958</v>
      </c>
      <c r="C704" s="4"/>
      <c r="D704" s="4"/>
      <c r="E704" s="4">
        <v>6100236.71</v>
      </c>
      <c r="F704" s="4">
        <v>16687446.659</v>
      </c>
      <c r="G704" s="4"/>
      <c r="H704" s="4"/>
      <c r="I704" s="4">
        <v>22969716.346999999</v>
      </c>
      <c r="K704" s="48">
        <f t="shared" si="40"/>
        <v>1.174514075773591</v>
      </c>
      <c r="L704" s="48" t="e">
        <f t="shared" si="41"/>
        <v>#DIV/0!</v>
      </c>
      <c r="M704" s="48" t="e">
        <f t="shared" si="42"/>
        <v>#DIV/0!</v>
      </c>
      <c r="N704" s="48">
        <f t="shared" si="43"/>
        <v>3.7653811546929297</v>
      </c>
    </row>
    <row r="705" spans="1:14" x14ac:dyDescent="0.25">
      <c r="A705" s="5">
        <v>2010</v>
      </c>
      <c r="B705" s="4">
        <v>16977669</v>
      </c>
      <c r="C705" s="4"/>
      <c r="D705" s="4"/>
      <c r="E705" s="4">
        <v>10518179.119999999</v>
      </c>
      <c r="F705" s="4">
        <v>24798173.877999999</v>
      </c>
      <c r="G705" s="4"/>
      <c r="H705" s="4"/>
      <c r="I705" s="4">
        <v>37164530.630999997</v>
      </c>
      <c r="K705" s="48">
        <f t="shared" si="40"/>
        <v>1.4606347831377793</v>
      </c>
      <c r="L705" s="48" t="e">
        <f t="shared" si="41"/>
        <v>#DIV/0!</v>
      </c>
      <c r="M705" s="48" t="e">
        <f t="shared" si="42"/>
        <v>#DIV/0!</v>
      </c>
      <c r="N705" s="48">
        <f t="shared" si="43"/>
        <v>3.5333616405460111</v>
      </c>
    </row>
    <row r="706" spans="1:14" x14ac:dyDescent="0.25">
      <c r="A706" s="5">
        <v>2011</v>
      </c>
      <c r="B706" s="4">
        <v>19585029</v>
      </c>
      <c r="C706" s="4"/>
      <c r="D706" s="4"/>
      <c r="E706" s="4">
        <v>11236199.5</v>
      </c>
      <c r="F706" s="4">
        <v>37236440.226999998</v>
      </c>
      <c r="G706" s="4"/>
      <c r="H706" s="4"/>
      <c r="I706" s="4">
        <v>44270014.681000002</v>
      </c>
      <c r="K706" s="48">
        <f t="shared" si="40"/>
        <v>1.9012706198699016</v>
      </c>
      <c r="L706" s="48" t="e">
        <f t="shared" si="41"/>
        <v>#DIV/0!</v>
      </c>
      <c r="M706" s="48" t="e">
        <f t="shared" si="42"/>
        <v>#DIV/0!</v>
      </c>
      <c r="N706" s="48">
        <f t="shared" si="43"/>
        <v>3.9399455911226924</v>
      </c>
    </row>
    <row r="707" spans="1:14" x14ac:dyDescent="0.25">
      <c r="A707" s="5">
        <v>2012</v>
      </c>
      <c r="B707" s="4">
        <v>13754764</v>
      </c>
      <c r="C707" s="4"/>
      <c r="D707" s="4"/>
      <c r="E707" s="4">
        <v>7473371.7000000002</v>
      </c>
      <c r="F707" s="4">
        <v>31491879.370999999</v>
      </c>
      <c r="G707" s="4"/>
      <c r="H707" s="4"/>
      <c r="I707" s="4">
        <v>38358196.376999997</v>
      </c>
      <c r="K707" s="48">
        <f t="shared" si="40"/>
        <v>2.2895252416544549</v>
      </c>
      <c r="L707" s="48" t="e">
        <f t="shared" si="41"/>
        <v>#DIV/0!</v>
      </c>
      <c r="M707" s="48" t="e">
        <f t="shared" si="42"/>
        <v>#DIV/0!</v>
      </c>
      <c r="N707" s="48">
        <f t="shared" si="43"/>
        <v>5.1326493471480878</v>
      </c>
    </row>
    <row r="708" spans="1:14" x14ac:dyDescent="0.25">
      <c r="A708" s="5">
        <v>2013</v>
      </c>
      <c r="B708" s="4">
        <v>16325443</v>
      </c>
      <c r="C708" s="4"/>
      <c r="D708" s="4"/>
      <c r="E708" s="4">
        <v>7498296.0999999996</v>
      </c>
      <c r="F708" s="4">
        <v>38689923.961999997</v>
      </c>
      <c r="G708" s="4"/>
      <c r="H708" s="4"/>
      <c r="I708" s="4">
        <v>43592024.844999999</v>
      </c>
      <c r="K708" s="48">
        <f t="shared" si="40"/>
        <v>2.3699157175704206</v>
      </c>
      <c r="L708" s="48" t="e">
        <f t="shared" si="41"/>
        <v>#DIV/0!</v>
      </c>
      <c r="M708" s="48" t="e">
        <f t="shared" si="42"/>
        <v>#DIV/0!</v>
      </c>
      <c r="N708" s="48">
        <f t="shared" si="43"/>
        <v>5.8135907496371075</v>
      </c>
    </row>
    <row r="709" spans="1:14" x14ac:dyDescent="0.25">
      <c r="A709" s="5">
        <v>2014</v>
      </c>
      <c r="B709" s="4">
        <v>19825671</v>
      </c>
      <c r="C709" s="4"/>
      <c r="D709" s="4"/>
      <c r="E709" s="4">
        <v>9885799.1999999993</v>
      </c>
      <c r="F709" s="4">
        <v>30606022.039999999</v>
      </c>
      <c r="G709" s="4"/>
      <c r="H709" s="4"/>
      <c r="I709" s="4">
        <v>49392254.603</v>
      </c>
      <c r="K709" s="48">
        <f t="shared" si="40"/>
        <v>1.5437571843091715</v>
      </c>
      <c r="L709" s="48" t="e">
        <f t="shared" si="41"/>
        <v>#DIV/0!</v>
      </c>
      <c r="M709" s="48" t="e">
        <f t="shared" si="42"/>
        <v>#DIV/0!</v>
      </c>
      <c r="N709" s="48">
        <f t="shared" si="43"/>
        <v>4.9962834166204795</v>
      </c>
    </row>
    <row r="710" spans="1:14" x14ac:dyDescent="0.25">
      <c r="A710" s="5">
        <v>2015</v>
      </c>
      <c r="B710" s="4">
        <v>14731139.4</v>
      </c>
      <c r="C710" s="4">
        <v>1245581.72</v>
      </c>
      <c r="D710" s="4"/>
      <c r="E710" s="4">
        <v>9456165.6500000004</v>
      </c>
      <c r="F710" s="4">
        <v>18797427.497000001</v>
      </c>
      <c r="G710" s="4">
        <v>2732065.3820000002</v>
      </c>
      <c r="H710" s="4"/>
      <c r="I710" s="4">
        <v>34654535.318999998</v>
      </c>
      <c r="K710" s="48">
        <f t="shared" si="40"/>
        <v>1.2760335087861567</v>
      </c>
      <c r="L710" s="48">
        <f t="shared" si="41"/>
        <v>2.1934051681490638</v>
      </c>
      <c r="M710" s="48" t="e">
        <f t="shared" si="42"/>
        <v>#DIV/0!</v>
      </c>
      <c r="N710" s="48">
        <f t="shared" si="43"/>
        <v>3.6647555258298588</v>
      </c>
    </row>
    <row r="711" spans="1:14" x14ac:dyDescent="0.25">
      <c r="A711" s="5">
        <v>2016</v>
      </c>
      <c r="B711" s="4">
        <v>13297972.300000001</v>
      </c>
      <c r="C711" s="4">
        <v>2092163.29</v>
      </c>
      <c r="D711" s="4"/>
      <c r="E711" s="4">
        <v>7501388.2000000002</v>
      </c>
      <c r="F711" s="4">
        <v>18117908.655999999</v>
      </c>
      <c r="G711" s="4">
        <v>4895793.2390000001</v>
      </c>
      <c r="H711" s="4"/>
      <c r="I711" s="4">
        <v>29436013.530999999</v>
      </c>
      <c r="K711" s="48">
        <f t="shared" ref="K711:K774" si="44">F711/B711</f>
        <v>1.3624564894002673</v>
      </c>
      <c r="L711" s="48">
        <f t="shared" ref="L711:L774" si="45">G711/C711</f>
        <v>2.3400626817230887</v>
      </c>
      <c r="M711" s="48" t="e">
        <f t="shared" ref="M711:M774" si="46">H711/D711</f>
        <v>#DIV/0!</v>
      </c>
      <c r="N711" s="48">
        <f t="shared" ref="N711:N774" si="47">I711/E711</f>
        <v>3.9240754839217624</v>
      </c>
    </row>
    <row r="712" spans="1:14" x14ac:dyDescent="0.25">
      <c r="A712" s="5">
        <v>2017</v>
      </c>
      <c r="B712" s="4">
        <v>12632344.199999999</v>
      </c>
      <c r="C712" s="4">
        <v>3960802.55</v>
      </c>
      <c r="D712" s="4"/>
      <c r="E712" s="4">
        <v>8391278.5999999996</v>
      </c>
      <c r="F712" s="4">
        <v>24292699.026000001</v>
      </c>
      <c r="G712" s="4">
        <v>9681760.3619999997</v>
      </c>
      <c r="H712" s="4"/>
      <c r="I712" s="4">
        <v>39811942.387999997</v>
      </c>
      <c r="K712" s="48">
        <f t="shared" si="44"/>
        <v>1.9230555027150069</v>
      </c>
      <c r="L712" s="48">
        <f t="shared" si="45"/>
        <v>2.4443935893749615</v>
      </c>
      <c r="M712" s="48" t="e">
        <f t="shared" si="46"/>
        <v>#DIV/0!</v>
      </c>
      <c r="N712" s="48">
        <f t="shared" si="47"/>
        <v>4.7444429253010378</v>
      </c>
    </row>
    <row r="713" spans="1:14" x14ac:dyDescent="0.25">
      <c r="A713" s="5">
        <v>2018</v>
      </c>
      <c r="B713" s="4">
        <v>5886020</v>
      </c>
      <c r="C713" s="4"/>
      <c r="D713" s="4"/>
      <c r="E713" s="4">
        <v>7075413.7999999998</v>
      </c>
      <c r="F713" s="4">
        <v>10347588.935000001</v>
      </c>
      <c r="G713" s="4"/>
      <c r="H713" s="4"/>
      <c r="I713" s="4">
        <v>33676919.478</v>
      </c>
      <c r="K713" s="48">
        <f t="shared" si="44"/>
        <v>1.7579941853748373</v>
      </c>
      <c r="L713" s="48" t="e">
        <f t="shared" si="45"/>
        <v>#DIV/0!</v>
      </c>
      <c r="M713" s="48" t="e">
        <f t="shared" si="46"/>
        <v>#DIV/0!</v>
      </c>
      <c r="N713" s="48">
        <f t="shared" si="47"/>
        <v>4.759710234615536</v>
      </c>
    </row>
    <row r="714" spans="1:14" x14ac:dyDescent="0.25">
      <c r="A714" s="5">
        <v>2019</v>
      </c>
      <c r="B714" s="4">
        <v>20736384</v>
      </c>
      <c r="C714" s="4">
        <v>2761595.29</v>
      </c>
      <c r="D714" s="4"/>
      <c r="E714" s="4">
        <v>7585135.8399999999</v>
      </c>
      <c r="F714" s="4">
        <v>26529460.223000001</v>
      </c>
      <c r="G714" s="4">
        <v>5644482.4649999999</v>
      </c>
      <c r="H714" s="4"/>
      <c r="I714" s="4">
        <v>31920351.316</v>
      </c>
      <c r="K714" s="48">
        <f t="shared" si="44"/>
        <v>1.2793677153644532</v>
      </c>
      <c r="L714" s="48">
        <f t="shared" si="45"/>
        <v>2.0439209486774579</v>
      </c>
      <c r="M714" s="48" t="e">
        <f t="shared" si="46"/>
        <v>#DIV/0!</v>
      </c>
      <c r="N714" s="48">
        <f t="shared" si="47"/>
        <v>4.2082768178875485</v>
      </c>
    </row>
    <row r="715" spans="1:14" x14ac:dyDescent="0.25">
      <c r="A715" s="5">
        <v>2020</v>
      </c>
      <c r="B715" s="4">
        <v>9384160.8699999992</v>
      </c>
      <c r="C715" s="4">
        <v>1362563.57</v>
      </c>
      <c r="D715" s="4"/>
      <c r="E715" s="4">
        <v>6385807.2999999998</v>
      </c>
      <c r="F715" s="4">
        <v>13233038.958000001</v>
      </c>
      <c r="G715" s="4">
        <v>2894292.787</v>
      </c>
      <c r="H715" s="4"/>
      <c r="I715" s="4">
        <v>23313662.877999999</v>
      </c>
      <c r="K715" s="48">
        <f t="shared" si="44"/>
        <v>1.4101462177938986</v>
      </c>
      <c r="L715" s="48">
        <f t="shared" si="45"/>
        <v>2.1241524804600491</v>
      </c>
      <c r="M715" s="48" t="e">
        <f t="shared" si="46"/>
        <v>#DIV/0!</v>
      </c>
      <c r="N715" s="48">
        <f t="shared" si="47"/>
        <v>3.6508559971736072</v>
      </c>
    </row>
    <row r="716" spans="1:14" x14ac:dyDescent="0.25">
      <c r="A716" s="5">
        <v>2021</v>
      </c>
      <c r="B716" s="4">
        <v>19912187.68</v>
      </c>
      <c r="C716" s="4"/>
      <c r="D716" s="4"/>
      <c r="E716" s="4">
        <v>7466377.1799999997</v>
      </c>
      <c r="F716" s="4">
        <v>28448750.629999999</v>
      </c>
      <c r="G716" s="4"/>
      <c r="H716" s="4"/>
      <c r="I716" s="4">
        <v>15674990.444</v>
      </c>
      <c r="K716" s="48">
        <f t="shared" si="44"/>
        <v>1.4287104504631707</v>
      </c>
      <c r="L716" s="48" t="e">
        <f t="shared" si="45"/>
        <v>#DIV/0!</v>
      </c>
      <c r="M716" s="48" t="e">
        <f t="shared" si="46"/>
        <v>#DIV/0!</v>
      </c>
      <c r="N716" s="48">
        <f t="shared" si="47"/>
        <v>2.0994104725901352</v>
      </c>
    </row>
    <row r="717" spans="1:14" x14ac:dyDescent="0.25">
      <c r="A717" s="5">
        <v>2022</v>
      </c>
      <c r="B717" s="4">
        <v>16020584</v>
      </c>
      <c r="C717" s="4"/>
      <c r="D717" s="4"/>
      <c r="E717" s="4">
        <v>9916095.8599999994</v>
      </c>
      <c r="F717" s="4">
        <v>25013020.046999998</v>
      </c>
      <c r="G717" s="4"/>
      <c r="H717" s="4"/>
      <c r="I717" s="4">
        <v>17190881.191</v>
      </c>
      <c r="K717" s="48">
        <f t="shared" si="44"/>
        <v>1.5613051338827597</v>
      </c>
      <c r="L717" s="48" t="e">
        <f t="shared" si="45"/>
        <v>#DIV/0!</v>
      </c>
      <c r="M717" s="48" t="e">
        <f t="shared" si="46"/>
        <v>#DIV/0!</v>
      </c>
      <c r="N717" s="48">
        <f t="shared" si="47"/>
        <v>1.7336340263051875</v>
      </c>
    </row>
    <row r="718" spans="1:14" x14ac:dyDescent="0.25">
      <c r="A718" s="5">
        <v>2023</v>
      </c>
      <c r="B718" s="4">
        <v>21924074</v>
      </c>
      <c r="C718" s="4">
        <v>5110087.93</v>
      </c>
      <c r="D718" s="4"/>
      <c r="E718" s="4">
        <v>10115043.369999999</v>
      </c>
      <c r="F718" s="4">
        <v>37217190.171999998</v>
      </c>
      <c r="G718" s="4">
        <v>2583349.6579999998</v>
      </c>
      <c r="H718" s="4"/>
      <c r="I718" s="4">
        <v>21281061.092</v>
      </c>
      <c r="K718" s="48">
        <f t="shared" si="44"/>
        <v>1.697549012651572</v>
      </c>
      <c r="L718" s="48">
        <f t="shared" si="45"/>
        <v>0.50553917924461234</v>
      </c>
      <c r="M718" s="48" t="e">
        <f t="shared" si="46"/>
        <v>#DIV/0!</v>
      </c>
      <c r="N718" s="48">
        <f t="shared" si="47"/>
        <v>2.1039021103080056</v>
      </c>
    </row>
    <row r="719" spans="1:14" x14ac:dyDescent="0.25">
      <c r="A719" s="3" t="s">
        <v>72</v>
      </c>
      <c r="B719" s="4">
        <v>40543370.057999991</v>
      </c>
      <c r="C719" s="4">
        <v>57222030.25</v>
      </c>
      <c r="D719" s="4">
        <v>56822545.616999999</v>
      </c>
      <c r="E719" s="4"/>
      <c r="F719" s="4">
        <v>115386392.71899998</v>
      </c>
      <c r="G719" s="4">
        <v>105288887.537</v>
      </c>
      <c r="H719" s="4">
        <v>243148470.57699999</v>
      </c>
      <c r="I719" s="4"/>
      <c r="K719" s="48">
        <f t="shared" si="44"/>
        <v>2.8459990512365416</v>
      </c>
      <c r="L719" s="48">
        <f t="shared" si="45"/>
        <v>1.8400061493274262</v>
      </c>
      <c r="M719" s="48">
        <f t="shared" si="46"/>
        <v>4.2790844362357392</v>
      </c>
      <c r="N719" s="48" t="e">
        <f t="shared" si="47"/>
        <v>#DIV/0!</v>
      </c>
    </row>
    <row r="720" spans="1:14" x14ac:dyDescent="0.25">
      <c r="A720" s="5">
        <v>2010</v>
      </c>
      <c r="B720" s="4">
        <v>1660697.46</v>
      </c>
      <c r="C720" s="4">
        <v>1869629.31</v>
      </c>
      <c r="D720" s="4"/>
      <c r="E720" s="4"/>
      <c r="F720" s="4">
        <v>5892418.3530000001</v>
      </c>
      <c r="G720" s="4">
        <v>11550156.245999999</v>
      </c>
      <c r="H720" s="4"/>
      <c r="I720" s="4"/>
      <c r="K720" s="48">
        <f t="shared" si="44"/>
        <v>3.5481588277975691</v>
      </c>
      <c r="L720" s="48">
        <f t="shared" si="45"/>
        <v>6.1777787629998153</v>
      </c>
      <c r="M720" s="48" t="e">
        <f t="shared" si="46"/>
        <v>#DIV/0!</v>
      </c>
      <c r="N720" s="48" t="e">
        <f t="shared" si="47"/>
        <v>#DIV/0!</v>
      </c>
    </row>
    <row r="721" spans="1:14" x14ac:dyDescent="0.25">
      <c r="A721" s="5">
        <v>2011</v>
      </c>
      <c r="B721" s="4">
        <v>3124017.76</v>
      </c>
      <c r="C721" s="4"/>
      <c r="D721" s="4">
        <v>2765808.4</v>
      </c>
      <c r="E721" s="4"/>
      <c r="F721" s="4">
        <v>5985513.8969999999</v>
      </c>
      <c r="G721" s="4"/>
      <c r="H721" s="4">
        <v>11784514.588</v>
      </c>
      <c r="I721" s="4"/>
      <c r="K721" s="48">
        <f t="shared" si="44"/>
        <v>1.9159666675518516</v>
      </c>
      <c r="L721" s="48" t="e">
        <f t="shared" si="45"/>
        <v>#DIV/0!</v>
      </c>
      <c r="M721" s="48">
        <f t="shared" si="46"/>
        <v>4.2607848714321639</v>
      </c>
      <c r="N721" s="48" t="e">
        <f t="shared" si="47"/>
        <v>#DIV/0!</v>
      </c>
    </row>
    <row r="722" spans="1:14" x14ac:dyDescent="0.25">
      <c r="A722" s="5">
        <v>2012</v>
      </c>
      <c r="B722" s="4">
        <v>3108619.42</v>
      </c>
      <c r="C722" s="4"/>
      <c r="D722" s="4">
        <v>3642616.38</v>
      </c>
      <c r="E722" s="4"/>
      <c r="F722" s="4">
        <v>8003335.9390000002</v>
      </c>
      <c r="G722" s="4"/>
      <c r="H722" s="4">
        <v>17210558.657000002</v>
      </c>
      <c r="I722" s="4"/>
      <c r="K722" s="48">
        <f t="shared" si="44"/>
        <v>2.5745628067265951</v>
      </c>
      <c r="L722" s="48" t="e">
        <f t="shared" si="45"/>
        <v>#DIV/0!</v>
      </c>
      <c r="M722" s="48">
        <f t="shared" si="46"/>
        <v>4.7247793513189009</v>
      </c>
      <c r="N722" s="48" t="e">
        <f t="shared" si="47"/>
        <v>#DIV/0!</v>
      </c>
    </row>
    <row r="723" spans="1:14" x14ac:dyDescent="0.25">
      <c r="A723" s="5">
        <v>2013</v>
      </c>
      <c r="B723" s="4">
        <v>3012759.01</v>
      </c>
      <c r="C723" s="4"/>
      <c r="D723" s="4">
        <v>3666503.45</v>
      </c>
      <c r="E723" s="4"/>
      <c r="F723" s="4">
        <v>8449716.6260000002</v>
      </c>
      <c r="G723" s="4"/>
      <c r="H723" s="4">
        <v>12866746.082</v>
      </c>
      <c r="I723" s="4"/>
      <c r="K723" s="48">
        <f t="shared" si="44"/>
        <v>2.8046440481809398</v>
      </c>
      <c r="L723" s="48" t="e">
        <f t="shared" si="45"/>
        <v>#DIV/0!</v>
      </c>
      <c r="M723" s="48">
        <f t="shared" si="46"/>
        <v>3.5092687781324736</v>
      </c>
      <c r="N723" s="48" t="e">
        <f t="shared" si="47"/>
        <v>#DIV/0!</v>
      </c>
    </row>
    <row r="724" spans="1:14" x14ac:dyDescent="0.25">
      <c r="A724" s="5">
        <v>2014</v>
      </c>
      <c r="B724" s="4">
        <v>2439699.59</v>
      </c>
      <c r="C724" s="4"/>
      <c r="D724" s="4">
        <v>2769748.42</v>
      </c>
      <c r="E724" s="4"/>
      <c r="F724" s="4">
        <v>7835658.7110000001</v>
      </c>
      <c r="G724" s="4"/>
      <c r="H724" s="4">
        <v>11263585.369999999</v>
      </c>
      <c r="I724" s="4"/>
      <c r="K724" s="48">
        <f t="shared" si="44"/>
        <v>3.2117309619255217</v>
      </c>
      <c r="L724" s="48" t="e">
        <f t="shared" si="45"/>
        <v>#DIV/0!</v>
      </c>
      <c r="M724" s="48">
        <f t="shared" si="46"/>
        <v>4.0666456522430288</v>
      </c>
      <c r="N724" s="48" t="e">
        <f t="shared" si="47"/>
        <v>#DIV/0!</v>
      </c>
    </row>
    <row r="725" spans="1:14" x14ac:dyDescent="0.25">
      <c r="A725" s="5">
        <v>2015</v>
      </c>
      <c r="B725" s="4">
        <v>2291545.1800000002</v>
      </c>
      <c r="C725" s="4"/>
      <c r="D725" s="4">
        <v>3083297.92</v>
      </c>
      <c r="E725" s="4"/>
      <c r="F725" s="4">
        <v>5210424.9210000001</v>
      </c>
      <c r="G725" s="4"/>
      <c r="H725" s="4">
        <v>15225552.055</v>
      </c>
      <c r="I725" s="4"/>
      <c r="K725" s="48">
        <f t="shared" si="44"/>
        <v>2.2737605029458767</v>
      </c>
      <c r="L725" s="48" t="e">
        <f t="shared" si="45"/>
        <v>#DIV/0!</v>
      </c>
      <c r="M725" s="48">
        <f t="shared" si="46"/>
        <v>4.9380735984799031</v>
      </c>
      <c r="N725" s="48" t="e">
        <f t="shared" si="47"/>
        <v>#DIV/0!</v>
      </c>
    </row>
    <row r="726" spans="1:14" x14ac:dyDescent="0.25">
      <c r="A726" s="5">
        <v>2016</v>
      </c>
      <c r="B726" s="4"/>
      <c r="C726" s="4"/>
      <c r="D726" s="4">
        <v>2709940.2</v>
      </c>
      <c r="E726" s="4"/>
      <c r="F726" s="4"/>
      <c r="G726" s="4"/>
      <c r="H726" s="4">
        <v>13129088.084000001</v>
      </c>
      <c r="I726" s="4"/>
      <c r="K726" s="48" t="e">
        <f t="shared" si="44"/>
        <v>#DIV/0!</v>
      </c>
      <c r="L726" s="48" t="e">
        <f t="shared" si="45"/>
        <v>#DIV/0!</v>
      </c>
      <c r="M726" s="48">
        <f t="shared" si="46"/>
        <v>4.8447888569644455</v>
      </c>
      <c r="N726" s="48" t="e">
        <f t="shared" si="47"/>
        <v>#DIV/0!</v>
      </c>
    </row>
    <row r="727" spans="1:14" x14ac:dyDescent="0.25">
      <c r="A727" s="5">
        <v>2017</v>
      </c>
      <c r="B727" s="4">
        <v>3544774.51</v>
      </c>
      <c r="C727" s="4">
        <v>1750837.35</v>
      </c>
      <c r="D727" s="4">
        <v>2442506.44</v>
      </c>
      <c r="E727" s="4"/>
      <c r="F727" s="4">
        <v>7749762.3779999996</v>
      </c>
      <c r="G727" s="4">
        <v>4680615.4989999998</v>
      </c>
      <c r="H727" s="4">
        <v>12939570.277000001</v>
      </c>
      <c r="I727" s="4"/>
      <c r="K727" s="48">
        <f t="shared" si="44"/>
        <v>2.1862497476602538</v>
      </c>
      <c r="L727" s="48">
        <f t="shared" si="45"/>
        <v>2.6733582642613829</v>
      </c>
      <c r="M727" s="48">
        <f t="shared" si="46"/>
        <v>5.2976606591874535</v>
      </c>
      <c r="N727" s="48" t="e">
        <f t="shared" si="47"/>
        <v>#DIV/0!</v>
      </c>
    </row>
    <row r="728" spans="1:14" x14ac:dyDescent="0.25">
      <c r="A728" s="5">
        <v>2018</v>
      </c>
      <c r="B728" s="4"/>
      <c r="C728" s="4">
        <v>3569601.41</v>
      </c>
      <c r="D728" s="4">
        <v>3202600.81</v>
      </c>
      <c r="E728" s="4"/>
      <c r="F728" s="4"/>
      <c r="G728" s="4">
        <v>8004410.2479999997</v>
      </c>
      <c r="H728" s="4">
        <v>17964943.491</v>
      </c>
      <c r="I728" s="4"/>
      <c r="K728" s="48" t="e">
        <f t="shared" si="44"/>
        <v>#DIV/0!</v>
      </c>
      <c r="L728" s="48">
        <f t="shared" si="45"/>
        <v>2.2423820837744457</v>
      </c>
      <c r="M728" s="48">
        <f t="shared" si="46"/>
        <v>5.6094857138938901</v>
      </c>
      <c r="N728" s="48" t="e">
        <f t="shared" si="47"/>
        <v>#DIV/0!</v>
      </c>
    </row>
    <row r="729" spans="1:14" x14ac:dyDescent="0.25">
      <c r="A729" s="5">
        <v>2019</v>
      </c>
      <c r="B729" s="4">
        <v>3326640.58</v>
      </c>
      <c r="C729" s="4">
        <v>4520419.5199999996</v>
      </c>
      <c r="D729" s="4">
        <v>3047576.28</v>
      </c>
      <c r="E729" s="4"/>
      <c r="F729" s="4">
        <v>8534429.375</v>
      </c>
      <c r="G729" s="4">
        <v>10044333.842</v>
      </c>
      <c r="H729" s="4">
        <v>16343311.772</v>
      </c>
      <c r="I729" s="4"/>
      <c r="K729" s="48">
        <f t="shared" si="44"/>
        <v>2.5654798496445923</v>
      </c>
      <c r="L729" s="48">
        <f t="shared" si="45"/>
        <v>2.2219915203799494</v>
      </c>
      <c r="M729" s="48">
        <f t="shared" si="46"/>
        <v>5.3627244309697808</v>
      </c>
      <c r="N729" s="48" t="e">
        <f t="shared" si="47"/>
        <v>#DIV/0!</v>
      </c>
    </row>
    <row r="730" spans="1:14" x14ac:dyDescent="0.25">
      <c r="A730" s="5">
        <v>2020</v>
      </c>
      <c r="B730" s="4">
        <v>2165631.5</v>
      </c>
      <c r="C730" s="4">
        <v>8626067.1199999992</v>
      </c>
      <c r="D730" s="4">
        <v>3325832.31</v>
      </c>
      <c r="E730" s="4"/>
      <c r="F730" s="4">
        <v>6209739.7949999999</v>
      </c>
      <c r="G730" s="4">
        <v>15003412.989</v>
      </c>
      <c r="H730" s="4">
        <v>18472079.471000001</v>
      </c>
      <c r="I730" s="4"/>
      <c r="K730" s="48">
        <f t="shared" si="44"/>
        <v>2.8674037088027209</v>
      </c>
      <c r="L730" s="48">
        <f t="shared" si="45"/>
        <v>1.739310949043485</v>
      </c>
      <c r="M730" s="48">
        <f t="shared" si="46"/>
        <v>5.554122321639241</v>
      </c>
      <c r="N730" s="48" t="e">
        <f t="shared" si="47"/>
        <v>#DIV/0!</v>
      </c>
    </row>
    <row r="731" spans="1:14" x14ac:dyDescent="0.25">
      <c r="A731" s="5">
        <v>2021</v>
      </c>
      <c r="B731" s="4">
        <v>4091149.73</v>
      </c>
      <c r="C731" s="4">
        <v>3184884.44</v>
      </c>
      <c r="D731" s="4">
        <v>3488028.03</v>
      </c>
      <c r="E731" s="4"/>
      <c r="F731" s="4">
        <v>10371613.393999999</v>
      </c>
      <c r="G731" s="4">
        <v>7170697.6430000002</v>
      </c>
      <c r="H731" s="4">
        <v>21469336.857999999</v>
      </c>
      <c r="I731" s="4"/>
      <c r="K731" s="48">
        <f t="shared" si="44"/>
        <v>2.5351341501744544</v>
      </c>
      <c r="L731" s="48">
        <f t="shared" si="45"/>
        <v>2.2514781236458301</v>
      </c>
      <c r="M731" s="48">
        <f t="shared" si="46"/>
        <v>6.1551503237203056</v>
      </c>
      <c r="N731" s="48" t="e">
        <f t="shared" si="47"/>
        <v>#DIV/0!</v>
      </c>
    </row>
    <row r="732" spans="1:14" x14ac:dyDescent="0.25">
      <c r="A732" s="5">
        <v>2022</v>
      </c>
      <c r="B732" s="4">
        <v>3752867.62</v>
      </c>
      <c r="C732" s="4">
        <v>3638585.79</v>
      </c>
      <c r="D732" s="4">
        <v>4474655.93</v>
      </c>
      <c r="E732" s="4"/>
      <c r="F732" s="4">
        <v>10917935.960999999</v>
      </c>
      <c r="G732" s="4">
        <v>8483465.727</v>
      </c>
      <c r="H732" s="4">
        <v>19754163.535999998</v>
      </c>
      <c r="I732" s="4"/>
      <c r="K732" s="48">
        <f t="shared" si="44"/>
        <v>2.9092249091909079</v>
      </c>
      <c r="L732" s="48">
        <f t="shared" si="45"/>
        <v>2.3315282960526265</v>
      </c>
      <c r="M732" s="48">
        <f t="shared" si="46"/>
        <v>4.4146776523217506</v>
      </c>
      <c r="N732" s="48" t="e">
        <f t="shared" si="47"/>
        <v>#DIV/0!</v>
      </c>
    </row>
    <row r="733" spans="1:14" x14ac:dyDescent="0.25">
      <c r="A733" s="5">
        <v>2023</v>
      </c>
      <c r="B733" s="4">
        <v>1834418.9029999999</v>
      </c>
      <c r="C733" s="4">
        <v>7131140.0599999996</v>
      </c>
      <c r="D733" s="4">
        <v>4727338.5690000001</v>
      </c>
      <c r="E733" s="4"/>
      <c r="F733" s="4">
        <v>7953803.5209999997</v>
      </c>
      <c r="G733" s="4">
        <v>12581455.763</v>
      </c>
      <c r="H733" s="4">
        <v>13711194.322000001</v>
      </c>
      <c r="I733" s="4"/>
      <c r="K733" s="48">
        <f t="shared" si="44"/>
        <v>4.335870889681952</v>
      </c>
      <c r="L733" s="48">
        <f t="shared" si="45"/>
        <v>1.7642979463510917</v>
      </c>
      <c r="M733" s="48">
        <f t="shared" si="46"/>
        <v>2.9004045557287861</v>
      </c>
      <c r="N733" s="48" t="e">
        <f t="shared" si="47"/>
        <v>#DIV/0!</v>
      </c>
    </row>
    <row r="734" spans="1:14" x14ac:dyDescent="0.25">
      <c r="A734" s="5">
        <v>2024</v>
      </c>
      <c r="B734" s="4">
        <v>2504093.605</v>
      </c>
      <c r="C734" s="4">
        <v>7006799.7000000002</v>
      </c>
      <c r="D734" s="4">
        <v>8105722.1299999999</v>
      </c>
      <c r="E734" s="4"/>
      <c r="F734" s="4">
        <v>8890206.5209999997</v>
      </c>
      <c r="G734" s="4">
        <v>9321623.8120000008</v>
      </c>
      <c r="H734" s="4">
        <v>21629882.495999999</v>
      </c>
      <c r="I734" s="4"/>
      <c r="K734" s="48">
        <f t="shared" si="44"/>
        <v>3.5502692484213263</v>
      </c>
      <c r="L734" s="48">
        <f t="shared" si="45"/>
        <v>1.3303682438645992</v>
      </c>
      <c r="M734" s="48">
        <f t="shared" si="46"/>
        <v>2.6684707604207003</v>
      </c>
      <c r="N734" s="48" t="e">
        <f t="shared" si="47"/>
        <v>#DIV/0!</v>
      </c>
    </row>
    <row r="735" spans="1:14" x14ac:dyDescent="0.25">
      <c r="A735" s="5">
        <v>2025</v>
      </c>
      <c r="B735" s="4">
        <v>3686455.19</v>
      </c>
      <c r="C735" s="4">
        <v>15924065.550000001</v>
      </c>
      <c r="D735" s="4">
        <v>5370370.3480000002</v>
      </c>
      <c r="E735" s="4"/>
      <c r="F735" s="4">
        <v>13381833.327</v>
      </c>
      <c r="G735" s="4">
        <v>18448715.767999999</v>
      </c>
      <c r="H735" s="4">
        <v>19383943.517999999</v>
      </c>
      <c r="I735" s="4"/>
      <c r="K735" s="48">
        <f t="shared" si="44"/>
        <v>3.6300002678182559</v>
      </c>
      <c r="L735" s="48">
        <f t="shared" si="45"/>
        <v>1.1585430686700482</v>
      </c>
      <c r="M735" s="48">
        <f t="shared" si="46"/>
        <v>3.6094239804558073</v>
      </c>
      <c r="N735" s="48" t="e">
        <f t="shared" si="47"/>
        <v>#DIV/0!</v>
      </c>
    </row>
    <row r="736" spans="1:14" x14ac:dyDescent="0.25">
      <c r="A736" s="3" t="s">
        <v>34</v>
      </c>
      <c r="B736" s="4"/>
      <c r="C736" s="4">
        <v>49582691.990000002</v>
      </c>
      <c r="D736" s="4"/>
      <c r="E736" s="4">
        <v>8451554.3800000008</v>
      </c>
      <c r="F736" s="4"/>
      <c r="G736" s="4">
        <v>94812613.024000004</v>
      </c>
      <c r="H736" s="4"/>
      <c r="I736" s="4">
        <v>40525202.392999999</v>
      </c>
      <c r="K736" s="48" t="e">
        <f t="shared" si="44"/>
        <v>#DIV/0!</v>
      </c>
      <c r="L736" s="48">
        <f t="shared" si="45"/>
        <v>1.9122118872271421</v>
      </c>
      <c r="M736" s="48" t="e">
        <f t="shared" si="46"/>
        <v>#DIV/0!</v>
      </c>
      <c r="N736" s="48">
        <f t="shared" si="47"/>
        <v>4.794999898350059</v>
      </c>
    </row>
    <row r="737" spans="1:14" x14ac:dyDescent="0.25">
      <c r="A737" s="5">
        <v>2018</v>
      </c>
      <c r="B737" s="4"/>
      <c r="C737" s="4">
        <v>49582691.990000002</v>
      </c>
      <c r="D737" s="4"/>
      <c r="E737" s="4">
        <v>8451554.3800000008</v>
      </c>
      <c r="F737" s="4"/>
      <c r="G737" s="4">
        <v>94812613.024000004</v>
      </c>
      <c r="H737" s="4"/>
      <c r="I737" s="4">
        <v>40525202.392999999</v>
      </c>
      <c r="K737" s="48" t="e">
        <f t="shared" si="44"/>
        <v>#DIV/0!</v>
      </c>
      <c r="L737" s="48">
        <f t="shared" si="45"/>
        <v>1.9122118872271421</v>
      </c>
      <c r="M737" s="48" t="e">
        <f t="shared" si="46"/>
        <v>#DIV/0!</v>
      </c>
      <c r="N737" s="48">
        <f t="shared" si="47"/>
        <v>4.794999898350059</v>
      </c>
    </row>
    <row r="738" spans="1:14" x14ac:dyDescent="0.25">
      <c r="A738" s="3" t="s">
        <v>71</v>
      </c>
      <c r="B738" s="4">
        <v>70813360</v>
      </c>
      <c r="C738" s="4">
        <v>108093018</v>
      </c>
      <c r="D738" s="4">
        <v>25655277</v>
      </c>
      <c r="E738" s="4"/>
      <c r="F738" s="4">
        <v>681603452.6099999</v>
      </c>
      <c r="G738" s="4">
        <v>1804490714.6269999</v>
      </c>
      <c r="H738" s="4">
        <v>164336806.47599998</v>
      </c>
      <c r="I738" s="4"/>
      <c r="K738" s="48">
        <f t="shared" si="44"/>
        <v>9.6253511005550347</v>
      </c>
      <c r="L738" s="48">
        <f t="shared" si="45"/>
        <v>16.693869299005048</v>
      </c>
      <c r="M738" s="48">
        <f t="shared" si="46"/>
        <v>6.4055752146429752</v>
      </c>
      <c r="N738" s="48" t="e">
        <f t="shared" si="47"/>
        <v>#DIV/0!</v>
      </c>
    </row>
    <row r="739" spans="1:14" x14ac:dyDescent="0.25">
      <c r="A739" s="5">
        <v>2010</v>
      </c>
      <c r="B739" s="4"/>
      <c r="C739" s="4">
        <v>5248800</v>
      </c>
      <c r="D739" s="4">
        <v>1622800</v>
      </c>
      <c r="E739" s="4"/>
      <c r="F739" s="4"/>
      <c r="G739" s="4">
        <v>80846686.716000006</v>
      </c>
      <c r="H739" s="4">
        <v>9691717.943</v>
      </c>
      <c r="I739" s="4"/>
      <c r="K739" s="48" t="e">
        <f t="shared" si="44"/>
        <v>#DIV/0!</v>
      </c>
      <c r="L739" s="48">
        <f t="shared" si="45"/>
        <v>15.402889558756288</v>
      </c>
      <c r="M739" s="48">
        <f t="shared" si="46"/>
        <v>5.9722195852846935</v>
      </c>
      <c r="N739" s="48" t="e">
        <f t="shared" si="47"/>
        <v>#DIV/0!</v>
      </c>
    </row>
    <row r="740" spans="1:14" x14ac:dyDescent="0.25">
      <c r="A740" s="5">
        <v>2011</v>
      </c>
      <c r="B740" s="4"/>
      <c r="C740" s="4">
        <v>1926300</v>
      </c>
      <c r="D740" s="4">
        <v>1402700</v>
      </c>
      <c r="E740" s="4"/>
      <c r="F740" s="4"/>
      <c r="G740" s="4">
        <v>53344419.082000002</v>
      </c>
      <c r="H740" s="4">
        <v>10811143.989</v>
      </c>
      <c r="I740" s="4"/>
      <c r="K740" s="48" t="e">
        <f t="shared" si="44"/>
        <v>#DIV/0!</v>
      </c>
      <c r="L740" s="48">
        <f t="shared" si="45"/>
        <v>27.692684982609148</v>
      </c>
      <c r="M740" s="48">
        <f t="shared" si="46"/>
        <v>7.7073814707350108</v>
      </c>
      <c r="N740" s="48" t="e">
        <f t="shared" si="47"/>
        <v>#DIV/0!</v>
      </c>
    </row>
    <row r="741" spans="1:14" x14ac:dyDescent="0.25">
      <c r="A741" s="5">
        <v>2012</v>
      </c>
      <c r="B741" s="4">
        <v>2175600</v>
      </c>
      <c r="C741" s="4">
        <v>3376000</v>
      </c>
      <c r="D741" s="4">
        <v>1726100</v>
      </c>
      <c r="E741" s="4"/>
      <c r="F741" s="4">
        <v>40149725</v>
      </c>
      <c r="G741" s="4">
        <v>89275883.420000002</v>
      </c>
      <c r="H741" s="4">
        <v>14072539.845000001</v>
      </c>
      <c r="I741" s="4"/>
      <c r="K741" s="48">
        <f t="shared" si="44"/>
        <v>18.454552767052768</v>
      </c>
      <c r="L741" s="48">
        <f t="shared" si="45"/>
        <v>26.44427826421801</v>
      </c>
      <c r="M741" s="48">
        <f t="shared" si="46"/>
        <v>8.1527952291292518</v>
      </c>
      <c r="N741" s="48" t="e">
        <f t="shared" si="47"/>
        <v>#DIV/0!</v>
      </c>
    </row>
    <row r="742" spans="1:14" x14ac:dyDescent="0.25">
      <c r="A742" s="5">
        <v>2013</v>
      </c>
      <c r="B742" s="4"/>
      <c r="C742" s="4">
        <v>5466300</v>
      </c>
      <c r="D742" s="4">
        <v>1469000</v>
      </c>
      <c r="E742" s="4"/>
      <c r="F742" s="4"/>
      <c r="G742" s="4">
        <v>123117810.95</v>
      </c>
      <c r="H742" s="4">
        <v>13841033.122</v>
      </c>
      <c r="I742" s="4"/>
      <c r="K742" s="48" t="e">
        <f t="shared" si="44"/>
        <v>#DIV/0!</v>
      </c>
      <c r="L742" s="48">
        <f t="shared" si="45"/>
        <v>22.523061476684411</v>
      </c>
      <c r="M742" s="48">
        <f t="shared" si="46"/>
        <v>9.4220783675970043</v>
      </c>
      <c r="N742" s="48" t="e">
        <f t="shared" si="47"/>
        <v>#DIV/0!</v>
      </c>
    </row>
    <row r="743" spans="1:14" x14ac:dyDescent="0.25">
      <c r="A743" s="5">
        <v>2014</v>
      </c>
      <c r="B743" s="4">
        <v>2494700</v>
      </c>
      <c r="C743" s="4">
        <v>6001000</v>
      </c>
      <c r="D743" s="4">
        <v>2258300</v>
      </c>
      <c r="E743" s="4"/>
      <c r="F743" s="4">
        <v>37583214.850000001</v>
      </c>
      <c r="G743" s="4">
        <v>104872217.09900001</v>
      </c>
      <c r="H743" s="4">
        <v>14101534.241</v>
      </c>
      <c r="I743" s="4"/>
      <c r="K743" s="48">
        <f t="shared" si="44"/>
        <v>15.065224215336514</v>
      </c>
      <c r="L743" s="48">
        <f t="shared" si="45"/>
        <v>17.475790218130314</v>
      </c>
      <c r="M743" s="48">
        <f t="shared" si="46"/>
        <v>6.244313971128725</v>
      </c>
      <c r="N743" s="48" t="e">
        <f t="shared" si="47"/>
        <v>#DIV/0!</v>
      </c>
    </row>
    <row r="744" spans="1:14" x14ac:dyDescent="0.25">
      <c r="A744" s="5">
        <v>2015</v>
      </c>
      <c r="B744" s="4"/>
      <c r="C744" s="4">
        <v>7517826</v>
      </c>
      <c r="D744" s="4">
        <v>1889644</v>
      </c>
      <c r="E744" s="4"/>
      <c r="F744" s="4"/>
      <c r="G744" s="4">
        <v>110603348.469</v>
      </c>
      <c r="H744" s="4">
        <v>10184111.457</v>
      </c>
      <c r="I744" s="4"/>
      <c r="K744" s="48" t="e">
        <f t="shared" si="44"/>
        <v>#DIV/0!</v>
      </c>
      <c r="L744" s="48">
        <f t="shared" si="45"/>
        <v>14.712145302245622</v>
      </c>
      <c r="M744" s="48">
        <f t="shared" si="46"/>
        <v>5.3894339129486823</v>
      </c>
      <c r="N744" s="48" t="e">
        <f t="shared" si="47"/>
        <v>#DIV/0!</v>
      </c>
    </row>
    <row r="745" spans="1:14" x14ac:dyDescent="0.25">
      <c r="A745" s="5">
        <v>2016</v>
      </c>
      <c r="B745" s="4">
        <v>4995378</v>
      </c>
      <c r="C745" s="4">
        <v>11136959</v>
      </c>
      <c r="D745" s="4">
        <v>1816077</v>
      </c>
      <c r="E745" s="4"/>
      <c r="F745" s="4">
        <v>62517509.917000003</v>
      </c>
      <c r="G745" s="4">
        <v>159145307.322</v>
      </c>
      <c r="H745" s="4">
        <v>9809993.2709999997</v>
      </c>
      <c r="I745" s="4"/>
      <c r="K745" s="48">
        <f t="shared" si="44"/>
        <v>12.515070914953784</v>
      </c>
      <c r="L745" s="48">
        <f t="shared" si="45"/>
        <v>14.289835072751906</v>
      </c>
      <c r="M745" s="48">
        <f t="shared" si="46"/>
        <v>5.4017496345143954</v>
      </c>
      <c r="N745" s="48" t="e">
        <f t="shared" si="47"/>
        <v>#DIV/0!</v>
      </c>
    </row>
    <row r="746" spans="1:14" x14ac:dyDescent="0.25">
      <c r="A746" s="5">
        <v>2017</v>
      </c>
      <c r="B746" s="4">
        <v>3396768</v>
      </c>
      <c r="C746" s="4"/>
      <c r="D746" s="4">
        <v>1297607</v>
      </c>
      <c r="E746" s="4"/>
      <c r="F746" s="4">
        <v>43979220.605999999</v>
      </c>
      <c r="G746" s="4"/>
      <c r="H746" s="4">
        <v>6830735.8030000003</v>
      </c>
      <c r="I746" s="4"/>
      <c r="K746" s="48">
        <f t="shared" si="44"/>
        <v>12.947372504098013</v>
      </c>
      <c r="L746" s="48" t="e">
        <f t="shared" si="45"/>
        <v>#DIV/0!</v>
      </c>
      <c r="M746" s="48">
        <f t="shared" si="46"/>
        <v>5.2641021534254984</v>
      </c>
      <c r="N746" s="48" t="e">
        <f t="shared" si="47"/>
        <v>#DIV/0!</v>
      </c>
    </row>
    <row r="747" spans="1:14" x14ac:dyDescent="0.25">
      <c r="A747" s="5">
        <v>2019</v>
      </c>
      <c r="B747" s="4">
        <v>7262730</v>
      </c>
      <c r="C747" s="4">
        <v>12992477</v>
      </c>
      <c r="D747" s="4">
        <v>2439160</v>
      </c>
      <c r="E747" s="4"/>
      <c r="F747" s="4">
        <v>78612061.849999994</v>
      </c>
      <c r="G747" s="4">
        <v>198030372.609</v>
      </c>
      <c r="H747" s="4">
        <v>13410736.452</v>
      </c>
      <c r="I747" s="4"/>
      <c r="K747" s="48">
        <f t="shared" si="44"/>
        <v>10.824037496919201</v>
      </c>
      <c r="L747" s="48">
        <f t="shared" si="45"/>
        <v>15.241925970621306</v>
      </c>
      <c r="M747" s="48">
        <f t="shared" si="46"/>
        <v>5.4980962511684348</v>
      </c>
      <c r="N747" s="48" t="e">
        <f t="shared" si="47"/>
        <v>#DIV/0!</v>
      </c>
    </row>
    <row r="748" spans="1:14" x14ac:dyDescent="0.25">
      <c r="A748" s="5">
        <v>2020</v>
      </c>
      <c r="B748" s="4">
        <v>11443060</v>
      </c>
      <c r="C748" s="4">
        <v>10828069</v>
      </c>
      <c r="D748" s="4">
        <v>2099730</v>
      </c>
      <c r="E748" s="4"/>
      <c r="F748" s="4">
        <v>48855845.667999998</v>
      </c>
      <c r="G748" s="4">
        <v>167450541.44499999</v>
      </c>
      <c r="H748" s="4">
        <v>12370415.960999999</v>
      </c>
      <c r="I748" s="4"/>
      <c r="K748" s="48">
        <f t="shared" si="44"/>
        <v>4.269473870450736</v>
      </c>
      <c r="L748" s="48">
        <f t="shared" si="45"/>
        <v>15.464487845893851</v>
      </c>
      <c r="M748" s="48">
        <f t="shared" si="46"/>
        <v>5.8914317369376059</v>
      </c>
      <c r="N748" s="48" t="e">
        <f t="shared" si="47"/>
        <v>#DIV/0!</v>
      </c>
    </row>
    <row r="749" spans="1:14" x14ac:dyDescent="0.25">
      <c r="A749" s="5">
        <v>2021</v>
      </c>
      <c r="B749" s="4">
        <v>9408999</v>
      </c>
      <c r="C749" s="4">
        <v>10249214</v>
      </c>
      <c r="D749" s="4">
        <v>1737932</v>
      </c>
      <c r="E749" s="4"/>
      <c r="F749" s="4">
        <v>66359072.923</v>
      </c>
      <c r="G749" s="4">
        <v>182018459.97099999</v>
      </c>
      <c r="H749" s="4">
        <v>10718314.003</v>
      </c>
      <c r="I749" s="4"/>
      <c r="K749" s="48">
        <f t="shared" si="44"/>
        <v>7.0527239850912942</v>
      </c>
      <c r="L749" s="48">
        <f t="shared" si="45"/>
        <v>17.759260365819269</v>
      </c>
      <c r="M749" s="48">
        <f t="shared" si="46"/>
        <v>6.1672804246656376</v>
      </c>
      <c r="N749" s="48" t="e">
        <f t="shared" si="47"/>
        <v>#DIV/0!</v>
      </c>
    </row>
    <row r="750" spans="1:14" x14ac:dyDescent="0.25">
      <c r="A750" s="5">
        <v>2022</v>
      </c>
      <c r="B750" s="4">
        <v>8458959</v>
      </c>
      <c r="C750" s="4">
        <v>10474698</v>
      </c>
      <c r="D750" s="4">
        <v>1851330</v>
      </c>
      <c r="E750" s="4"/>
      <c r="F750" s="4">
        <v>111694428.08400001</v>
      </c>
      <c r="G750" s="4">
        <v>234754940.391</v>
      </c>
      <c r="H750" s="4">
        <v>11823217.179</v>
      </c>
      <c r="I750" s="4"/>
      <c r="K750" s="48">
        <f t="shared" si="44"/>
        <v>13.204275855220484</v>
      </c>
      <c r="L750" s="48">
        <f t="shared" si="45"/>
        <v>22.411618968966934</v>
      </c>
      <c r="M750" s="48">
        <f t="shared" si="46"/>
        <v>6.3863369464114985</v>
      </c>
      <c r="N750" s="48" t="e">
        <f t="shared" si="47"/>
        <v>#DIV/0!</v>
      </c>
    </row>
    <row r="751" spans="1:14" x14ac:dyDescent="0.25">
      <c r="A751" s="5">
        <v>2023</v>
      </c>
      <c r="B751" s="4">
        <v>10865084</v>
      </c>
      <c r="C751" s="4">
        <v>12282951</v>
      </c>
      <c r="D751" s="4">
        <v>1753282</v>
      </c>
      <c r="E751" s="4"/>
      <c r="F751" s="4">
        <v>143348089.991</v>
      </c>
      <c r="G751" s="4">
        <v>157097405.65799999</v>
      </c>
      <c r="H751" s="4">
        <v>11662931.774</v>
      </c>
      <c r="I751" s="4"/>
      <c r="K751" s="48">
        <f t="shared" si="44"/>
        <v>13.193463574786904</v>
      </c>
      <c r="L751" s="48">
        <f t="shared" si="45"/>
        <v>12.789874815750709</v>
      </c>
      <c r="M751" s="48">
        <f t="shared" si="46"/>
        <v>6.6520569845581035</v>
      </c>
      <c r="N751" s="48" t="e">
        <f t="shared" si="47"/>
        <v>#DIV/0!</v>
      </c>
    </row>
    <row r="752" spans="1:14" x14ac:dyDescent="0.25">
      <c r="A752" s="5">
        <v>2024</v>
      </c>
      <c r="B752" s="4">
        <v>10312082</v>
      </c>
      <c r="C752" s="4">
        <v>10592424</v>
      </c>
      <c r="D752" s="4">
        <v>2291615</v>
      </c>
      <c r="E752" s="4"/>
      <c r="F752" s="4">
        <v>48504283.721000001</v>
      </c>
      <c r="G752" s="4">
        <v>143933321.495</v>
      </c>
      <c r="H752" s="4">
        <v>15008381.436000001</v>
      </c>
      <c r="I752" s="4"/>
      <c r="K752" s="48">
        <f t="shared" si="44"/>
        <v>4.7036363482175565</v>
      </c>
      <c r="L752" s="48">
        <f t="shared" si="45"/>
        <v>13.588327043460497</v>
      </c>
      <c r="M752" s="48">
        <f t="shared" si="46"/>
        <v>6.5492595553790673</v>
      </c>
      <c r="N752" s="48" t="e">
        <f t="shared" si="47"/>
        <v>#DIV/0!</v>
      </c>
    </row>
    <row r="753" spans="1:14" x14ac:dyDescent="0.25">
      <c r="A753" s="3" t="s">
        <v>35</v>
      </c>
      <c r="B753" s="4">
        <v>1612975279</v>
      </c>
      <c r="C753" s="4">
        <v>221142302</v>
      </c>
      <c r="D753" s="4"/>
      <c r="E753" s="4">
        <v>911297164</v>
      </c>
      <c r="F753" s="4">
        <v>2887187985.9880004</v>
      </c>
      <c r="G753" s="4">
        <v>583117762.18499994</v>
      </c>
      <c r="H753" s="4"/>
      <c r="I753" s="4">
        <v>4162658566.8429995</v>
      </c>
      <c r="K753" s="48">
        <f t="shared" si="44"/>
        <v>1.7899765877242564</v>
      </c>
      <c r="L753" s="48">
        <f t="shared" si="45"/>
        <v>2.6368440452654776</v>
      </c>
      <c r="M753" s="48" t="e">
        <f t="shared" si="46"/>
        <v>#DIV/0!</v>
      </c>
      <c r="N753" s="48">
        <f t="shared" si="47"/>
        <v>4.5678388250125179</v>
      </c>
    </row>
    <row r="754" spans="1:14" x14ac:dyDescent="0.25">
      <c r="A754" s="5">
        <v>2010</v>
      </c>
      <c r="B754" s="4">
        <v>105416221</v>
      </c>
      <c r="C754" s="4">
        <v>5548700</v>
      </c>
      <c r="D754" s="4"/>
      <c r="E754" s="4">
        <v>64985136</v>
      </c>
      <c r="F754" s="4">
        <v>157197317.722</v>
      </c>
      <c r="G754" s="4">
        <v>13232058.458000001</v>
      </c>
      <c r="H754" s="4"/>
      <c r="I754" s="4">
        <v>249349565.10299999</v>
      </c>
      <c r="K754" s="48">
        <f t="shared" si="44"/>
        <v>1.4912061562328249</v>
      </c>
      <c r="L754" s="48">
        <f t="shared" si="45"/>
        <v>2.3847132586011139</v>
      </c>
      <c r="M754" s="48" t="e">
        <f t="shared" si="46"/>
        <v>#DIV/0!</v>
      </c>
      <c r="N754" s="48">
        <f t="shared" si="47"/>
        <v>3.8370245944087888</v>
      </c>
    </row>
    <row r="755" spans="1:14" x14ac:dyDescent="0.25">
      <c r="A755" s="5">
        <v>2011</v>
      </c>
      <c r="B755" s="4">
        <v>115496333</v>
      </c>
      <c r="C755" s="4">
        <v>11170063</v>
      </c>
      <c r="D755" s="4"/>
      <c r="E755" s="4">
        <v>68153190</v>
      </c>
      <c r="F755" s="4">
        <v>225420428.64300001</v>
      </c>
      <c r="G755" s="4">
        <v>22688988.743999999</v>
      </c>
      <c r="H755" s="4"/>
      <c r="I755" s="4">
        <v>267824019.30700001</v>
      </c>
      <c r="K755" s="48">
        <f t="shared" si="44"/>
        <v>1.9517539889599786</v>
      </c>
      <c r="L755" s="48">
        <f t="shared" si="45"/>
        <v>2.031231940589771</v>
      </c>
      <c r="M755" s="48" t="e">
        <f t="shared" si="46"/>
        <v>#DIV/0!</v>
      </c>
      <c r="N755" s="48">
        <f t="shared" si="47"/>
        <v>3.9297356339006289</v>
      </c>
    </row>
    <row r="756" spans="1:14" x14ac:dyDescent="0.25">
      <c r="A756" s="5">
        <v>2012</v>
      </c>
      <c r="B756" s="4">
        <v>106001456</v>
      </c>
      <c r="C756" s="4">
        <v>20945735</v>
      </c>
      <c r="D756" s="4"/>
      <c r="E756" s="4">
        <v>65485465</v>
      </c>
      <c r="F756" s="4">
        <v>253751317.382</v>
      </c>
      <c r="G756" s="4">
        <v>42246289.995999999</v>
      </c>
      <c r="H756" s="4"/>
      <c r="I756" s="4">
        <v>336925110.88700002</v>
      </c>
      <c r="K756" s="48">
        <f t="shared" si="44"/>
        <v>2.3938474711328492</v>
      </c>
      <c r="L756" s="48">
        <f t="shared" si="45"/>
        <v>2.01693996395925</v>
      </c>
      <c r="M756" s="48" t="e">
        <f t="shared" si="46"/>
        <v>#DIV/0!</v>
      </c>
      <c r="N756" s="48">
        <f t="shared" si="47"/>
        <v>5.1450365495152246</v>
      </c>
    </row>
    <row r="757" spans="1:14" x14ac:dyDescent="0.25">
      <c r="A757" s="5">
        <v>2013</v>
      </c>
      <c r="B757" s="4">
        <v>102064038</v>
      </c>
      <c r="C757" s="4">
        <v>11279930</v>
      </c>
      <c r="D757" s="4"/>
      <c r="E757" s="4">
        <v>59914757</v>
      </c>
      <c r="F757" s="4">
        <v>240429155.06900001</v>
      </c>
      <c r="G757" s="4">
        <v>28873033.756000001</v>
      </c>
      <c r="H757" s="4"/>
      <c r="I757" s="4">
        <v>312995480.93199998</v>
      </c>
      <c r="K757" s="48">
        <f t="shared" si="44"/>
        <v>2.355669634283919</v>
      </c>
      <c r="L757" s="48">
        <f t="shared" si="45"/>
        <v>2.5596819976719716</v>
      </c>
      <c r="M757" s="48" t="e">
        <f t="shared" si="46"/>
        <v>#DIV/0!</v>
      </c>
      <c r="N757" s="48">
        <f t="shared" si="47"/>
        <v>5.2240131914746808</v>
      </c>
    </row>
    <row r="758" spans="1:14" x14ac:dyDescent="0.25">
      <c r="A758" s="5">
        <v>2014</v>
      </c>
      <c r="B758" s="4">
        <v>116977606</v>
      </c>
      <c r="C758" s="4">
        <v>14462968</v>
      </c>
      <c r="D758" s="4"/>
      <c r="E758" s="4">
        <v>67939545</v>
      </c>
      <c r="F758" s="4">
        <v>211137799.66999999</v>
      </c>
      <c r="G758" s="4">
        <v>56614873.594999999</v>
      </c>
      <c r="H758" s="4"/>
      <c r="I758" s="4">
        <v>307904498.00700003</v>
      </c>
      <c r="K758" s="48">
        <f t="shared" si="44"/>
        <v>1.8049420473693059</v>
      </c>
      <c r="L758" s="48">
        <f t="shared" si="45"/>
        <v>3.9144713308499335</v>
      </c>
      <c r="M758" s="48" t="e">
        <f t="shared" si="46"/>
        <v>#DIV/0!</v>
      </c>
      <c r="N758" s="48">
        <f t="shared" si="47"/>
        <v>4.5320365040272206</v>
      </c>
    </row>
    <row r="759" spans="1:14" x14ac:dyDescent="0.25">
      <c r="A759" s="5">
        <v>2015</v>
      </c>
      <c r="B759" s="4">
        <v>95194159</v>
      </c>
      <c r="C759" s="4">
        <v>11515015</v>
      </c>
      <c r="D759" s="4"/>
      <c r="E759" s="4">
        <v>54489993</v>
      </c>
      <c r="F759" s="4">
        <v>136527823.715</v>
      </c>
      <c r="G759" s="4">
        <v>34026403.233999997</v>
      </c>
      <c r="H759" s="4"/>
      <c r="I759" s="4">
        <v>219047382.42899999</v>
      </c>
      <c r="K759" s="48">
        <f t="shared" si="44"/>
        <v>1.4342037909594854</v>
      </c>
      <c r="L759" s="48">
        <f t="shared" si="45"/>
        <v>2.9549595231964525</v>
      </c>
      <c r="M759" s="48" t="e">
        <f t="shared" si="46"/>
        <v>#DIV/0!</v>
      </c>
      <c r="N759" s="48">
        <f t="shared" si="47"/>
        <v>4.0199561491777027</v>
      </c>
    </row>
    <row r="760" spans="1:14" x14ac:dyDescent="0.25">
      <c r="A760" s="5">
        <v>2016</v>
      </c>
      <c r="B760" s="4">
        <v>109847162</v>
      </c>
      <c r="C760" s="4">
        <v>17080343</v>
      </c>
      <c r="D760" s="4"/>
      <c r="E760" s="4">
        <v>60055684</v>
      </c>
      <c r="F760" s="4">
        <v>183141483.035</v>
      </c>
      <c r="G760" s="4">
        <v>50100107.244000003</v>
      </c>
      <c r="H760" s="4"/>
      <c r="I760" s="4">
        <v>252308224.965</v>
      </c>
      <c r="K760" s="48">
        <f t="shared" si="44"/>
        <v>1.6672390956718572</v>
      </c>
      <c r="L760" s="48">
        <f t="shared" si="45"/>
        <v>2.9332026437642384</v>
      </c>
      <c r="M760" s="48" t="e">
        <f t="shared" si="46"/>
        <v>#DIV/0!</v>
      </c>
      <c r="N760" s="48">
        <f t="shared" si="47"/>
        <v>4.2012380537535794</v>
      </c>
    </row>
    <row r="761" spans="1:14" x14ac:dyDescent="0.25">
      <c r="A761" s="5">
        <v>2017</v>
      </c>
      <c r="B761" s="4">
        <v>114124864</v>
      </c>
      <c r="C761" s="4">
        <v>9369962</v>
      </c>
      <c r="D761" s="4"/>
      <c r="E761" s="4">
        <v>59231941</v>
      </c>
      <c r="F761" s="4">
        <v>234623628.98699999</v>
      </c>
      <c r="G761" s="4">
        <v>32454580.311000001</v>
      </c>
      <c r="H761" s="4"/>
      <c r="I761" s="4">
        <v>281820477.85000002</v>
      </c>
      <c r="K761" s="48">
        <f t="shared" si="44"/>
        <v>2.0558502394973281</v>
      </c>
      <c r="L761" s="48">
        <f t="shared" si="45"/>
        <v>3.4636832370291364</v>
      </c>
      <c r="M761" s="48" t="e">
        <f t="shared" si="46"/>
        <v>#DIV/0!</v>
      </c>
      <c r="N761" s="48">
        <f t="shared" si="47"/>
        <v>4.7579139412297842</v>
      </c>
    </row>
    <row r="762" spans="1:14" x14ac:dyDescent="0.25">
      <c r="A762" s="5">
        <v>2018</v>
      </c>
      <c r="B762" s="4">
        <v>98009820</v>
      </c>
      <c r="C762" s="4">
        <v>7935675</v>
      </c>
      <c r="D762" s="4"/>
      <c r="E762" s="4">
        <v>60613969</v>
      </c>
      <c r="F762" s="4">
        <v>173759243.05599999</v>
      </c>
      <c r="G762" s="4">
        <v>26239979.254999999</v>
      </c>
      <c r="H762" s="4"/>
      <c r="I762" s="4">
        <v>272141235.65100002</v>
      </c>
      <c r="K762" s="48">
        <f t="shared" si="44"/>
        <v>1.7728758511749128</v>
      </c>
      <c r="L762" s="48">
        <f t="shared" si="45"/>
        <v>3.3065844121640566</v>
      </c>
      <c r="M762" s="48" t="e">
        <f t="shared" si="46"/>
        <v>#DIV/0!</v>
      </c>
      <c r="N762" s="48">
        <f t="shared" si="47"/>
        <v>4.4897445282126309</v>
      </c>
    </row>
    <row r="763" spans="1:14" x14ac:dyDescent="0.25">
      <c r="A763" s="5">
        <v>2019</v>
      </c>
      <c r="B763" s="4">
        <v>112100304</v>
      </c>
      <c r="C763" s="4">
        <v>10282151</v>
      </c>
      <c r="D763" s="4"/>
      <c r="E763" s="4">
        <v>57901726</v>
      </c>
      <c r="F763" s="4">
        <v>167746787.308</v>
      </c>
      <c r="G763" s="4">
        <v>30123531.052000001</v>
      </c>
      <c r="H763" s="4"/>
      <c r="I763" s="4">
        <v>242412540.153</v>
      </c>
      <c r="K763" s="48">
        <f t="shared" si="44"/>
        <v>1.4963990401667422</v>
      </c>
      <c r="L763" s="48">
        <f t="shared" si="45"/>
        <v>2.9296915647319324</v>
      </c>
      <c r="M763" s="48" t="e">
        <f t="shared" si="46"/>
        <v>#DIV/0!</v>
      </c>
      <c r="N763" s="48">
        <f t="shared" si="47"/>
        <v>4.1866202771399248</v>
      </c>
    </row>
    <row r="764" spans="1:14" x14ac:dyDescent="0.25">
      <c r="A764" s="5">
        <v>2020</v>
      </c>
      <c r="B764" s="4">
        <v>96524252</v>
      </c>
      <c r="C764" s="4">
        <v>12151781</v>
      </c>
      <c r="D764" s="4"/>
      <c r="E764" s="4">
        <v>57027501</v>
      </c>
      <c r="F764" s="4">
        <v>149812541.23699999</v>
      </c>
      <c r="G764" s="4">
        <v>29606046.574000001</v>
      </c>
      <c r="H764" s="4"/>
      <c r="I764" s="4">
        <v>239443844.69</v>
      </c>
      <c r="K764" s="48">
        <f t="shared" si="44"/>
        <v>1.5520715067235122</v>
      </c>
      <c r="L764" s="48">
        <f t="shared" si="45"/>
        <v>2.4363545207077055</v>
      </c>
      <c r="M764" s="48" t="e">
        <f t="shared" si="46"/>
        <v>#DIV/0!</v>
      </c>
      <c r="N764" s="48">
        <f t="shared" si="47"/>
        <v>4.19874342187991</v>
      </c>
    </row>
    <row r="765" spans="1:14" x14ac:dyDescent="0.25">
      <c r="A765" s="5">
        <v>2021</v>
      </c>
      <c r="B765" s="4">
        <v>95759480</v>
      </c>
      <c r="C765" s="4">
        <v>17139572</v>
      </c>
      <c r="D765" s="4"/>
      <c r="E765" s="4">
        <v>55208265</v>
      </c>
      <c r="F765" s="4">
        <v>150851742.30700001</v>
      </c>
      <c r="G765" s="4">
        <v>40561403.601000004</v>
      </c>
      <c r="H765" s="4"/>
      <c r="I765" s="4">
        <v>219288256.69400001</v>
      </c>
      <c r="K765" s="48">
        <f t="shared" si="44"/>
        <v>1.5753191465429848</v>
      </c>
      <c r="L765" s="48">
        <f t="shared" si="45"/>
        <v>2.366535383789047</v>
      </c>
      <c r="M765" s="48" t="e">
        <f t="shared" si="46"/>
        <v>#DIV/0!</v>
      </c>
      <c r="N765" s="48">
        <f t="shared" si="47"/>
        <v>3.9720186224653138</v>
      </c>
    </row>
    <row r="766" spans="1:14" x14ac:dyDescent="0.25">
      <c r="A766" s="5">
        <v>2022</v>
      </c>
      <c r="B766" s="4">
        <v>100400742</v>
      </c>
      <c r="C766" s="4">
        <v>22922599</v>
      </c>
      <c r="D766" s="4"/>
      <c r="E766" s="4">
        <v>54532484</v>
      </c>
      <c r="F766" s="4">
        <v>166303906.21700001</v>
      </c>
      <c r="G766" s="4">
        <v>49144931.108000003</v>
      </c>
      <c r="H766" s="4"/>
      <c r="I766" s="4">
        <v>249807634.625</v>
      </c>
      <c r="K766" s="48">
        <f t="shared" si="44"/>
        <v>1.6564011670053196</v>
      </c>
      <c r="L766" s="48">
        <f t="shared" si="45"/>
        <v>2.1439510898393328</v>
      </c>
      <c r="M766" s="48" t="e">
        <f t="shared" si="46"/>
        <v>#DIV/0!</v>
      </c>
      <c r="N766" s="48">
        <f t="shared" si="47"/>
        <v>4.5808959413072037</v>
      </c>
    </row>
    <row r="767" spans="1:14" x14ac:dyDescent="0.25">
      <c r="A767" s="5">
        <v>2023</v>
      </c>
      <c r="B767" s="4">
        <v>84864709</v>
      </c>
      <c r="C767" s="4">
        <v>24043460</v>
      </c>
      <c r="D767" s="4"/>
      <c r="E767" s="4">
        <v>51380225</v>
      </c>
      <c r="F767" s="4">
        <v>161721798.90000001</v>
      </c>
      <c r="G767" s="4">
        <v>52220603.390000001</v>
      </c>
      <c r="H767" s="4"/>
      <c r="I767" s="4">
        <v>261618347.63999999</v>
      </c>
      <c r="K767" s="48">
        <f t="shared" si="44"/>
        <v>1.9056425315734011</v>
      </c>
      <c r="L767" s="48">
        <f t="shared" si="45"/>
        <v>2.1719254795274892</v>
      </c>
      <c r="M767" s="48" t="e">
        <f t="shared" si="46"/>
        <v>#DIV/0!</v>
      </c>
      <c r="N767" s="48">
        <f t="shared" si="47"/>
        <v>5.0918100814077789</v>
      </c>
    </row>
    <row r="768" spans="1:14" x14ac:dyDescent="0.25">
      <c r="A768" s="5">
        <v>2024</v>
      </c>
      <c r="B768" s="4">
        <v>85235957</v>
      </c>
      <c r="C768" s="4">
        <v>18084374</v>
      </c>
      <c r="D768" s="4"/>
      <c r="E768" s="4">
        <v>47299048</v>
      </c>
      <c r="F768" s="4">
        <v>143338121.77599999</v>
      </c>
      <c r="G768" s="4">
        <v>44390537.831</v>
      </c>
      <c r="H768" s="4"/>
      <c r="I768" s="4">
        <v>255964061.86000001</v>
      </c>
      <c r="K768" s="48">
        <f t="shared" si="44"/>
        <v>1.6816626083754769</v>
      </c>
      <c r="L768" s="48">
        <f t="shared" si="45"/>
        <v>2.4546350252986362</v>
      </c>
      <c r="M768" s="48" t="e">
        <f t="shared" si="46"/>
        <v>#DIV/0!</v>
      </c>
      <c r="N768" s="48">
        <f t="shared" si="47"/>
        <v>5.4116112835928538</v>
      </c>
    </row>
    <row r="769" spans="1:14" x14ac:dyDescent="0.25">
      <c r="A769" s="5">
        <v>2025</v>
      </c>
      <c r="B769" s="4">
        <v>74958176</v>
      </c>
      <c r="C769" s="4">
        <v>7209974</v>
      </c>
      <c r="D769" s="4"/>
      <c r="E769" s="4">
        <v>27078235</v>
      </c>
      <c r="F769" s="4">
        <v>131424890.964</v>
      </c>
      <c r="G769" s="4">
        <v>30594394.035999998</v>
      </c>
      <c r="H769" s="4"/>
      <c r="I769" s="4">
        <v>193807886.05000001</v>
      </c>
      <c r="K769" s="48">
        <f t="shared" si="44"/>
        <v>1.753309618473107</v>
      </c>
      <c r="L769" s="48">
        <f t="shared" si="45"/>
        <v>4.2433431848714012</v>
      </c>
      <c r="M769" s="48" t="e">
        <f t="shared" si="46"/>
        <v>#DIV/0!</v>
      </c>
      <c r="N769" s="48">
        <f t="shared" si="47"/>
        <v>7.1573308249226733</v>
      </c>
    </row>
    <row r="770" spans="1:14" x14ac:dyDescent="0.25">
      <c r="A770" s="3" t="s">
        <v>36</v>
      </c>
      <c r="B770" s="4">
        <v>136212922.39200002</v>
      </c>
      <c r="C770" s="4">
        <v>140156949.88999999</v>
      </c>
      <c r="D770" s="4">
        <v>57315405.105999999</v>
      </c>
      <c r="E770" s="4">
        <v>118365903.28099999</v>
      </c>
      <c r="F770" s="4">
        <v>274044913</v>
      </c>
      <c r="G770" s="4">
        <v>886163549</v>
      </c>
      <c r="H770" s="4">
        <v>264479637</v>
      </c>
      <c r="I770" s="4">
        <v>488754906</v>
      </c>
      <c r="K770" s="48">
        <f t="shared" si="44"/>
        <v>2.0118863040860435</v>
      </c>
      <c r="L770" s="48">
        <f t="shared" si="45"/>
        <v>6.3226514967362784</v>
      </c>
      <c r="M770" s="48">
        <f t="shared" si="46"/>
        <v>4.6144598735866431</v>
      </c>
      <c r="N770" s="48">
        <f t="shared" si="47"/>
        <v>4.1291866361184999</v>
      </c>
    </row>
    <row r="771" spans="1:14" x14ac:dyDescent="0.25">
      <c r="A771" s="5">
        <v>2010</v>
      </c>
      <c r="B771" s="4">
        <v>31017693.079999998</v>
      </c>
      <c r="C771" s="4">
        <v>24541358.73</v>
      </c>
      <c r="D771" s="4">
        <v>7971705.5530000003</v>
      </c>
      <c r="E771" s="4"/>
      <c r="F771" s="4">
        <v>40500038</v>
      </c>
      <c r="G771" s="4">
        <v>73712040</v>
      </c>
      <c r="H771" s="4">
        <v>26815137</v>
      </c>
      <c r="I771" s="4"/>
      <c r="K771" s="48">
        <f t="shared" si="44"/>
        <v>1.3057076132497474</v>
      </c>
      <c r="L771" s="48">
        <f t="shared" si="45"/>
        <v>3.0035843088790544</v>
      </c>
      <c r="M771" s="48">
        <f t="shared" si="46"/>
        <v>3.363789194384962</v>
      </c>
      <c r="N771" s="48" t="e">
        <f t="shared" si="47"/>
        <v>#DIV/0!</v>
      </c>
    </row>
    <row r="772" spans="1:14" x14ac:dyDescent="0.25">
      <c r="A772" s="5">
        <v>2011</v>
      </c>
      <c r="B772" s="4">
        <v>37078245.868000001</v>
      </c>
      <c r="C772" s="4">
        <v>31293924.048</v>
      </c>
      <c r="D772" s="4">
        <v>3830503.699</v>
      </c>
      <c r="E772" s="4"/>
      <c r="F772" s="4">
        <v>62285749</v>
      </c>
      <c r="G772" s="4">
        <v>146280629</v>
      </c>
      <c r="H772" s="4">
        <v>15102650</v>
      </c>
      <c r="I772" s="4"/>
      <c r="K772" s="48">
        <f t="shared" si="44"/>
        <v>1.6798461615940434</v>
      </c>
      <c r="L772" s="48">
        <f t="shared" si="45"/>
        <v>4.6744099198179274</v>
      </c>
      <c r="M772" s="48">
        <f t="shared" si="46"/>
        <v>3.9427321278772638</v>
      </c>
      <c r="N772" s="48" t="e">
        <f t="shared" si="47"/>
        <v>#DIV/0!</v>
      </c>
    </row>
    <row r="773" spans="1:14" x14ac:dyDescent="0.25">
      <c r="A773" s="5">
        <v>2012</v>
      </c>
      <c r="B773" s="4">
        <v>41238699.685999997</v>
      </c>
      <c r="C773" s="4">
        <v>31888656.603999998</v>
      </c>
      <c r="D773" s="4">
        <v>4793563.852</v>
      </c>
      <c r="E773" s="4">
        <v>3546721.9950000001</v>
      </c>
      <c r="F773" s="4">
        <v>97097469</v>
      </c>
      <c r="G773" s="4">
        <v>133990366</v>
      </c>
      <c r="H773" s="4">
        <v>30426617</v>
      </c>
      <c r="I773" s="4">
        <v>13679666</v>
      </c>
      <c r="K773" s="48">
        <f t="shared" si="44"/>
        <v>2.3545230509041324</v>
      </c>
      <c r="L773" s="48">
        <f t="shared" si="45"/>
        <v>4.2018190877063395</v>
      </c>
      <c r="M773" s="48">
        <f t="shared" si="46"/>
        <v>6.3473895288377609</v>
      </c>
      <c r="N773" s="48">
        <f t="shared" si="47"/>
        <v>3.8569885148271958</v>
      </c>
    </row>
    <row r="774" spans="1:14" x14ac:dyDescent="0.25">
      <c r="A774" s="5">
        <v>2013</v>
      </c>
      <c r="B774" s="4">
        <v>24138470.758000001</v>
      </c>
      <c r="C774" s="4">
        <v>17216264.508000001</v>
      </c>
      <c r="D774" s="4">
        <v>3300775.5040000002</v>
      </c>
      <c r="E774" s="4">
        <v>2991283.3569999998</v>
      </c>
      <c r="F774" s="4">
        <v>58829048</v>
      </c>
      <c r="G774" s="4">
        <v>116414065</v>
      </c>
      <c r="H774" s="4">
        <v>21042586</v>
      </c>
      <c r="I774" s="4">
        <v>13607433</v>
      </c>
      <c r="K774" s="48">
        <f t="shared" si="44"/>
        <v>2.4371489225556182</v>
      </c>
      <c r="L774" s="48">
        <f t="shared" si="45"/>
        <v>6.761865499098545</v>
      </c>
      <c r="M774" s="48">
        <f t="shared" si="46"/>
        <v>6.3750430692726079</v>
      </c>
      <c r="N774" s="48">
        <f t="shared" si="47"/>
        <v>4.5490284189081596</v>
      </c>
    </row>
    <row r="775" spans="1:14" x14ac:dyDescent="0.25">
      <c r="A775" s="5">
        <v>2014</v>
      </c>
      <c r="B775" s="4"/>
      <c r="C775" s="4">
        <v>7909226</v>
      </c>
      <c r="D775" s="4"/>
      <c r="E775" s="4">
        <v>3416769</v>
      </c>
      <c r="F775" s="4"/>
      <c r="G775" s="4">
        <v>54960792</v>
      </c>
      <c r="H775" s="4"/>
      <c r="I775" s="4">
        <v>14071307</v>
      </c>
      <c r="K775" s="48" t="e">
        <f t="shared" ref="K775:K838" si="48">F775/B775</f>
        <v>#DIV/0!</v>
      </c>
      <c r="L775" s="48">
        <f t="shared" ref="L775:L838" si="49">G775/C775</f>
        <v>6.9489469639633512</v>
      </c>
      <c r="M775" s="48" t="e">
        <f t="shared" ref="M775:M838" si="50">H775/D775</f>
        <v>#DIV/0!</v>
      </c>
      <c r="N775" s="48">
        <f t="shared" ref="N775:N838" si="51">I775/E775</f>
        <v>4.1183079687271809</v>
      </c>
    </row>
    <row r="776" spans="1:14" x14ac:dyDescent="0.25">
      <c r="A776" s="5">
        <v>2015</v>
      </c>
      <c r="B776" s="4"/>
      <c r="C776" s="4">
        <v>4634277</v>
      </c>
      <c r="D776" s="4">
        <v>3714654.1809999999</v>
      </c>
      <c r="E776" s="4"/>
      <c r="F776" s="4"/>
      <c r="G776" s="4">
        <v>45647688</v>
      </c>
      <c r="H776" s="4">
        <v>14852520</v>
      </c>
      <c r="I776" s="4"/>
      <c r="K776" s="48" t="e">
        <f t="shared" si="48"/>
        <v>#DIV/0!</v>
      </c>
      <c r="L776" s="48">
        <f t="shared" si="49"/>
        <v>9.8500128499008586</v>
      </c>
      <c r="M776" s="48">
        <f t="shared" si="50"/>
        <v>3.9983587371251992</v>
      </c>
      <c r="N776" s="48" t="e">
        <f t="shared" si="51"/>
        <v>#DIV/0!</v>
      </c>
    </row>
    <row r="777" spans="1:14" x14ac:dyDescent="0.25">
      <c r="A777" s="5">
        <v>2016</v>
      </c>
      <c r="B777" s="4"/>
      <c r="C777" s="4">
        <v>7258666</v>
      </c>
      <c r="D777" s="4">
        <v>3016927.3169999998</v>
      </c>
      <c r="E777" s="4">
        <v>3146034</v>
      </c>
      <c r="F777" s="4"/>
      <c r="G777" s="4">
        <v>67433734</v>
      </c>
      <c r="H777" s="4">
        <v>13529646</v>
      </c>
      <c r="I777" s="4">
        <v>10794956</v>
      </c>
      <c r="K777" s="48" t="e">
        <f t="shared" si="48"/>
        <v>#DIV/0!</v>
      </c>
      <c r="L777" s="48">
        <f t="shared" si="49"/>
        <v>9.2901001368571023</v>
      </c>
      <c r="M777" s="48">
        <f t="shared" si="50"/>
        <v>4.4845780419575156</v>
      </c>
      <c r="N777" s="48">
        <f t="shared" si="51"/>
        <v>3.4312903166335773</v>
      </c>
    </row>
    <row r="778" spans="1:14" x14ac:dyDescent="0.25">
      <c r="A778" s="5">
        <v>2017</v>
      </c>
      <c r="B778" s="4"/>
      <c r="C778" s="4">
        <v>1876092</v>
      </c>
      <c r="D778" s="4">
        <v>4611382</v>
      </c>
      <c r="E778" s="4">
        <v>5828612.2589999996</v>
      </c>
      <c r="F778" s="4"/>
      <c r="G778" s="4">
        <v>21446632</v>
      </c>
      <c r="H778" s="4">
        <v>22347589</v>
      </c>
      <c r="I778" s="4">
        <v>21714413</v>
      </c>
      <c r="K778" s="48" t="e">
        <f t="shared" si="48"/>
        <v>#DIV/0!</v>
      </c>
      <c r="L778" s="48">
        <f t="shared" si="49"/>
        <v>11.431546000942385</v>
      </c>
      <c r="M778" s="48">
        <f t="shared" si="50"/>
        <v>4.8461803858366101</v>
      </c>
      <c r="N778" s="48">
        <f t="shared" si="51"/>
        <v>3.7254859364629422</v>
      </c>
    </row>
    <row r="779" spans="1:14" x14ac:dyDescent="0.25">
      <c r="A779" s="5">
        <v>2018</v>
      </c>
      <c r="B779" s="4"/>
      <c r="C779" s="4">
        <v>2181082</v>
      </c>
      <c r="D779" s="4">
        <v>2845994</v>
      </c>
      <c r="E779" s="4">
        <v>4805274</v>
      </c>
      <c r="F779" s="4"/>
      <c r="G779" s="4">
        <v>28668904</v>
      </c>
      <c r="H779" s="4">
        <v>15539278</v>
      </c>
      <c r="I779" s="4">
        <v>18887766</v>
      </c>
      <c r="K779" s="48" t="e">
        <f t="shared" si="48"/>
        <v>#DIV/0!</v>
      </c>
      <c r="L779" s="48">
        <f t="shared" si="49"/>
        <v>13.144349455912248</v>
      </c>
      <c r="M779" s="48">
        <f t="shared" si="50"/>
        <v>5.4600529727047915</v>
      </c>
      <c r="N779" s="48">
        <f t="shared" si="51"/>
        <v>3.9306324675762507</v>
      </c>
    </row>
    <row r="780" spans="1:14" x14ac:dyDescent="0.25">
      <c r="A780" s="5">
        <v>2019</v>
      </c>
      <c r="B780" s="4"/>
      <c r="C780" s="4">
        <v>1871212</v>
      </c>
      <c r="D780" s="4"/>
      <c r="E780" s="4">
        <v>6532203</v>
      </c>
      <c r="F780" s="4"/>
      <c r="G780" s="4">
        <v>27546282</v>
      </c>
      <c r="H780" s="4"/>
      <c r="I780" s="4">
        <v>24971711</v>
      </c>
      <c r="K780" s="48" t="e">
        <f t="shared" si="48"/>
        <v>#DIV/0!</v>
      </c>
      <c r="L780" s="48">
        <f t="shared" si="49"/>
        <v>14.721090929301436</v>
      </c>
      <c r="M780" s="48" t="e">
        <f t="shared" si="50"/>
        <v>#DIV/0!</v>
      </c>
      <c r="N780" s="48">
        <f t="shared" si="51"/>
        <v>3.8228620574100347</v>
      </c>
    </row>
    <row r="781" spans="1:14" x14ac:dyDescent="0.25">
      <c r="A781" s="5">
        <v>2020</v>
      </c>
      <c r="B781" s="4"/>
      <c r="C781" s="4"/>
      <c r="D781" s="4"/>
      <c r="E781" s="4">
        <v>15723025</v>
      </c>
      <c r="F781" s="4"/>
      <c r="G781" s="4"/>
      <c r="H781" s="4"/>
      <c r="I781" s="4">
        <v>51812734</v>
      </c>
      <c r="K781" s="48" t="e">
        <f t="shared" si="48"/>
        <v>#DIV/0!</v>
      </c>
      <c r="L781" s="48" t="e">
        <f t="shared" si="49"/>
        <v>#DIV/0!</v>
      </c>
      <c r="M781" s="48" t="e">
        <f t="shared" si="50"/>
        <v>#DIV/0!</v>
      </c>
      <c r="N781" s="48">
        <f t="shared" si="51"/>
        <v>3.295341322678047</v>
      </c>
    </row>
    <row r="782" spans="1:14" x14ac:dyDescent="0.25">
      <c r="A782" s="5">
        <v>2021</v>
      </c>
      <c r="B782" s="4"/>
      <c r="C782" s="4">
        <v>1939411</v>
      </c>
      <c r="D782" s="4">
        <v>7614770</v>
      </c>
      <c r="E782" s="4">
        <v>13546483</v>
      </c>
      <c r="F782" s="4"/>
      <c r="G782" s="4">
        <v>27262101</v>
      </c>
      <c r="H782" s="4">
        <v>31126331</v>
      </c>
      <c r="I782" s="4">
        <v>46136085</v>
      </c>
      <c r="K782" s="48" t="e">
        <f t="shared" si="48"/>
        <v>#DIV/0!</v>
      </c>
      <c r="L782" s="48">
        <f t="shared" si="49"/>
        <v>14.056897171357695</v>
      </c>
      <c r="M782" s="48">
        <f t="shared" si="50"/>
        <v>4.0876258902107354</v>
      </c>
      <c r="N782" s="48">
        <f t="shared" si="51"/>
        <v>3.405761111574126</v>
      </c>
    </row>
    <row r="783" spans="1:14" x14ac:dyDescent="0.25">
      <c r="A783" s="5">
        <v>2022</v>
      </c>
      <c r="B783" s="4"/>
      <c r="C783" s="4">
        <v>1771285</v>
      </c>
      <c r="D783" s="4">
        <v>6187953</v>
      </c>
      <c r="E783" s="4">
        <v>17271014.528000001</v>
      </c>
      <c r="F783" s="4"/>
      <c r="G783" s="4">
        <v>32641513</v>
      </c>
      <c r="H783" s="4">
        <v>30470944</v>
      </c>
      <c r="I783" s="4">
        <v>68747114</v>
      </c>
      <c r="K783" s="48" t="e">
        <f t="shared" si="48"/>
        <v>#DIV/0!</v>
      </c>
      <c r="L783" s="48">
        <f t="shared" si="49"/>
        <v>18.428154136686079</v>
      </c>
      <c r="M783" s="48">
        <f t="shared" si="50"/>
        <v>4.9242364963017655</v>
      </c>
      <c r="N783" s="48">
        <f t="shared" si="51"/>
        <v>3.980490774791849</v>
      </c>
    </row>
    <row r="784" spans="1:14" x14ac:dyDescent="0.25">
      <c r="A784" s="5">
        <v>2023</v>
      </c>
      <c r="B784" s="4"/>
      <c r="C784" s="4">
        <v>1728846</v>
      </c>
      <c r="D784" s="4">
        <v>3388704</v>
      </c>
      <c r="E784" s="4">
        <v>15051090.732000001</v>
      </c>
      <c r="F784" s="4"/>
      <c r="G784" s="4">
        <v>34034082</v>
      </c>
      <c r="H784" s="4">
        <v>15856865</v>
      </c>
      <c r="I784" s="4">
        <v>71630367</v>
      </c>
      <c r="K784" s="48" t="e">
        <f t="shared" si="48"/>
        <v>#DIV/0!</v>
      </c>
      <c r="L784" s="48">
        <f t="shared" si="49"/>
        <v>19.686011362492668</v>
      </c>
      <c r="M784" s="48">
        <f t="shared" si="50"/>
        <v>4.679330210015392</v>
      </c>
      <c r="N784" s="48">
        <f t="shared" si="51"/>
        <v>4.7591479099722163</v>
      </c>
    </row>
    <row r="785" spans="1:14" x14ac:dyDescent="0.25">
      <c r="A785" s="5">
        <v>2024</v>
      </c>
      <c r="B785" s="4">
        <v>1528781</v>
      </c>
      <c r="C785" s="4">
        <v>2771943</v>
      </c>
      <c r="D785" s="4"/>
      <c r="E785" s="4">
        <v>15263642.41</v>
      </c>
      <c r="F785" s="4">
        <v>8667772</v>
      </c>
      <c r="G785" s="4">
        <v>56369338</v>
      </c>
      <c r="H785" s="4"/>
      <c r="I785" s="4">
        <v>76719932</v>
      </c>
      <c r="K785" s="48">
        <f t="shared" si="48"/>
        <v>5.6697277111633388</v>
      </c>
      <c r="L785" s="48">
        <f t="shared" si="49"/>
        <v>20.33567717662304</v>
      </c>
      <c r="M785" s="48" t="e">
        <f t="shared" si="50"/>
        <v>#DIV/0!</v>
      </c>
      <c r="N785" s="48">
        <f t="shared" si="51"/>
        <v>5.0263187474659921</v>
      </c>
    </row>
    <row r="786" spans="1:14" x14ac:dyDescent="0.25">
      <c r="A786" s="5">
        <v>2025</v>
      </c>
      <c r="B786" s="4">
        <v>1211032</v>
      </c>
      <c r="C786" s="4">
        <v>1274706</v>
      </c>
      <c r="D786" s="4">
        <v>6038472</v>
      </c>
      <c r="E786" s="4">
        <v>11243750</v>
      </c>
      <c r="F786" s="4">
        <v>6664837</v>
      </c>
      <c r="G786" s="4">
        <v>19755383</v>
      </c>
      <c r="H786" s="4">
        <v>27369474</v>
      </c>
      <c r="I786" s="4">
        <v>55981422</v>
      </c>
      <c r="K786" s="48">
        <f t="shared" si="48"/>
        <v>5.503435912510982</v>
      </c>
      <c r="L786" s="48">
        <f t="shared" si="49"/>
        <v>15.497991693770956</v>
      </c>
      <c r="M786" s="48">
        <f t="shared" si="50"/>
        <v>4.532516504175228</v>
      </c>
      <c r="N786" s="48">
        <f t="shared" si="51"/>
        <v>4.978892451361868</v>
      </c>
    </row>
    <row r="787" spans="1:14" x14ac:dyDescent="0.25">
      <c r="A787" s="3" t="s">
        <v>37</v>
      </c>
      <c r="B787" s="4">
        <v>357303004.62400001</v>
      </c>
      <c r="C787" s="4">
        <v>213628090.60399997</v>
      </c>
      <c r="D787" s="4">
        <v>255518750.47200003</v>
      </c>
      <c r="E787" s="4">
        <v>258356339.92500004</v>
      </c>
      <c r="F787" s="4">
        <v>5031290980.7860003</v>
      </c>
      <c r="G787" s="4">
        <v>2461677538.0770001</v>
      </c>
      <c r="H787" s="4">
        <v>7856446230.8630009</v>
      </c>
      <c r="I787" s="4">
        <v>1577396028.5709996</v>
      </c>
      <c r="K787" s="48">
        <f t="shared" si="48"/>
        <v>14.081300508739268</v>
      </c>
      <c r="L787" s="48">
        <f t="shared" si="49"/>
        <v>11.52319215659791</v>
      </c>
      <c r="M787" s="48">
        <f t="shared" si="50"/>
        <v>30.747043871928753</v>
      </c>
      <c r="N787" s="48">
        <f t="shared" si="51"/>
        <v>6.1055054001342191</v>
      </c>
    </row>
    <row r="788" spans="1:14" x14ac:dyDescent="0.25">
      <c r="A788" s="5">
        <v>2000</v>
      </c>
      <c r="B788" s="4">
        <v>1694564.871</v>
      </c>
      <c r="C788" s="4">
        <v>3191876.31</v>
      </c>
      <c r="D788" s="4">
        <v>1966001.673</v>
      </c>
      <c r="E788" s="4">
        <v>3704092</v>
      </c>
      <c r="F788" s="4">
        <v>2703678.702</v>
      </c>
      <c r="G788" s="4">
        <v>9332600.7799999993</v>
      </c>
      <c r="H788" s="4">
        <v>3932219.4139999999</v>
      </c>
      <c r="I788" s="4">
        <v>10758706.933</v>
      </c>
      <c r="K788" s="48">
        <f t="shared" si="48"/>
        <v>1.5955002657434412</v>
      </c>
      <c r="L788" s="48">
        <f t="shared" si="49"/>
        <v>2.9238604111197528</v>
      </c>
      <c r="M788" s="48">
        <f t="shared" si="50"/>
        <v>2.000109902246253</v>
      </c>
      <c r="N788" s="48">
        <f t="shared" si="51"/>
        <v>2.9045463592696943</v>
      </c>
    </row>
    <row r="789" spans="1:14" x14ac:dyDescent="0.25">
      <c r="A789" s="5">
        <v>2001</v>
      </c>
      <c r="B789" s="4">
        <v>709860.35</v>
      </c>
      <c r="C789" s="4">
        <v>2288552.9700000002</v>
      </c>
      <c r="D789" s="4">
        <v>2337405.4870000002</v>
      </c>
      <c r="E789" s="4">
        <v>3942434</v>
      </c>
      <c r="F789" s="4">
        <v>1573121.4210000001</v>
      </c>
      <c r="G789" s="4">
        <v>4060916.9920000001</v>
      </c>
      <c r="H789" s="4">
        <v>4790069.0460000001</v>
      </c>
      <c r="I789" s="4">
        <v>11431629.472999999</v>
      </c>
      <c r="K789" s="48">
        <f t="shared" si="48"/>
        <v>2.2160998582326794</v>
      </c>
      <c r="L789" s="48">
        <f t="shared" si="49"/>
        <v>1.7744474544541566</v>
      </c>
      <c r="M789" s="48">
        <f t="shared" si="50"/>
        <v>2.0493102598761888</v>
      </c>
      <c r="N789" s="48">
        <f t="shared" si="51"/>
        <v>2.8996375013506883</v>
      </c>
    </row>
    <row r="790" spans="1:14" x14ac:dyDescent="0.25">
      <c r="A790" s="5">
        <v>2002</v>
      </c>
      <c r="B790" s="4">
        <v>3207822.037</v>
      </c>
      <c r="C790" s="4">
        <v>5012620</v>
      </c>
      <c r="D790" s="4">
        <v>3700629.3790000002</v>
      </c>
      <c r="E790" s="4">
        <v>2814886.2</v>
      </c>
      <c r="F790" s="4">
        <v>8511750.6510000005</v>
      </c>
      <c r="G790" s="4">
        <v>36260463.870999999</v>
      </c>
      <c r="H790" s="4">
        <v>10233040.973999999</v>
      </c>
      <c r="I790" s="4">
        <v>11076969.069</v>
      </c>
      <c r="K790" s="48">
        <f t="shared" si="48"/>
        <v>2.6534360550002045</v>
      </c>
      <c r="L790" s="48">
        <f t="shared" si="49"/>
        <v>7.2338345757308549</v>
      </c>
      <c r="M790" s="48">
        <f t="shared" si="50"/>
        <v>2.7652163796973408</v>
      </c>
      <c r="N790" s="48">
        <f t="shared" si="51"/>
        <v>3.9351392141536663</v>
      </c>
    </row>
    <row r="791" spans="1:14" x14ac:dyDescent="0.25">
      <c r="A791" s="5">
        <v>2003</v>
      </c>
      <c r="B791" s="4">
        <v>3562252.9530000002</v>
      </c>
      <c r="C791" s="4">
        <v>5027727.7769999998</v>
      </c>
      <c r="D791" s="4">
        <v>3003876.5320000001</v>
      </c>
      <c r="E791" s="4">
        <v>1943292.44</v>
      </c>
      <c r="F791" s="4">
        <v>5410689.0489999996</v>
      </c>
      <c r="G791" s="4">
        <v>14079392.971999999</v>
      </c>
      <c r="H791" s="4">
        <v>6380318.159</v>
      </c>
      <c r="I791" s="4">
        <v>6986527.1710000001</v>
      </c>
      <c r="K791" s="48">
        <f t="shared" si="48"/>
        <v>1.5188952385998624</v>
      </c>
      <c r="L791" s="48">
        <f t="shared" si="49"/>
        <v>2.8003491033082635</v>
      </c>
      <c r="M791" s="48">
        <f t="shared" si="50"/>
        <v>2.1240280987021607</v>
      </c>
      <c r="N791" s="48">
        <f t="shared" si="51"/>
        <v>3.5952011273197773</v>
      </c>
    </row>
    <row r="792" spans="1:14" x14ac:dyDescent="0.25">
      <c r="A792" s="5">
        <v>2004</v>
      </c>
      <c r="B792" s="4">
        <v>4418388.9740000004</v>
      </c>
      <c r="C792" s="4">
        <v>5229177.93</v>
      </c>
      <c r="D792" s="4">
        <v>3841631.7</v>
      </c>
      <c r="E792" s="4">
        <v>4599986.0439999998</v>
      </c>
      <c r="F792" s="4">
        <v>5795340.5640000002</v>
      </c>
      <c r="G792" s="4">
        <v>62372618.351999998</v>
      </c>
      <c r="H792" s="4">
        <v>8761135.5529999994</v>
      </c>
      <c r="I792" s="4">
        <v>11123977.034</v>
      </c>
      <c r="K792" s="48">
        <f t="shared" si="48"/>
        <v>1.3116410977174415</v>
      </c>
      <c r="L792" s="48">
        <f t="shared" si="49"/>
        <v>11.927805706163838</v>
      </c>
      <c r="M792" s="48">
        <f t="shared" si="50"/>
        <v>2.2805766500208748</v>
      </c>
      <c r="N792" s="48">
        <f t="shared" si="51"/>
        <v>2.4182632137568287</v>
      </c>
    </row>
    <row r="793" spans="1:14" x14ac:dyDescent="0.25">
      <c r="A793" s="5">
        <v>2005</v>
      </c>
      <c r="B793" s="4">
        <v>6503782.6069999998</v>
      </c>
      <c r="C793" s="4">
        <v>4009037.17</v>
      </c>
      <c r="D793" s="4">
        <v>4174078.9980000001</v>
      </c>
      <c r="E793" s="4">
        <v>2126900.08</v>
      </c>
      <c r="F793" s="4">
        <v>9161505.284</v>
      </c>
      <c r="G793" s="4">
        <v>8400331.3550000004</v>
      </c>
      <c r="H793" s="4">
        <v>9150856.5710000005</v>
      </c>
      <c r="I793" s="4">
        <v>8009359.608</v>
      </c>
      <c r="K793" s="48">
        <f t="shared" si="48"/>
        <v>1.4086426065562987</v>
      </c>
      <c r="L793" s="48">
        <f t="shared" si="49"/>
        <v>2.0953488328470651</v>
      </c>
      <c r="M793" s="48">
        <f t="shared" si="50"/>
        <v>2.1923055542036005</v>
      </c>
      <c r="N793" s="48">
        <f t="shared" si="51"/>
        <v>3.7657432445063428</v>
      </c>
    </row>
    <row r="794" spans="1:14" x14ac:dyDescent="0.25">
      <c r="A794" s="5">
        <v>2006</v>
      </c>
      <c r="B794" s="4">
        <v>10196888.686000001</v>
      </c>
      <c r="C794" s="4">
        <v>7382044.1299999999</v>
      </c>
      <c r="D794" s="4">
        <v>3873693.1940000001</v>
      </c>
      <c r="E794" s="4">
        <v>3944059.6910000001</v>
      </c>
      <c r="F794" s="4">
        <v>14768596.353</v>
      </c>
      <c r="G794" s="4">
        <v>71858797.218999997</v>
      </c>
      <c r="H794" s="4">
        <v>192823514.23500001</v>
      </c>
      <c r="I794" s="4">
        <v>16685832.813999999</v>
      </c>
      <c r="K794" s="48">
        <f t="shared" si="48"/>
        <v>1.448343392556281</v>
      </c>
      <c r="L794" s="48">
        <f t="shared" si="49"/>
        <v>9.7342681720056312</v>
      </c>
      <c r="M794" s="48">
        <f t="shared" si="50"/>
        <v>49.7776939417056</v>
      </c>
      <c r="N794" s="48">
        <f t="shared" si="51"/>
        <v>4.2306238042176725</v>
      </c>
    </row>
    <row r="795" spans="1:14" x14ac:dyDescent="0.25">
      <c r="A795" s="5">
        <v>2007</v>
      </c>
      <c r="B795" s="4">
        <v>6185937.5489999996</v>
      </c>
      <c r="C795" s="4">
        <v>3068981.62</v>
      </c>
      <c r="D795" s="4">
        <v>3714072.9449999998</v>
      </c>
      <c r="E795" s="4">
        <v>2602274.1639999999</v>
      </c>
      <c r="F795" s="4">
        <v>12673755.444</v>
      </c>
      <c r="G795" s="4">
        <v>38273122.252999999</v>
      </c>
      <c r="H795" s="4">
        <v>24922513.57</v>
      </c>
      <c r="I795" s="4">
        <v>12437973.994999999</v>
      </c>
      <c r="K795" s="48">
        <f t="shared" si="48"/>
        <v>2.0488010659029046</v>
      </c>
      <c r="L795" s="48">
        <f t="shared" si="49"/>
        <v>12.470951928672678</v>
      </c>
      <c r="M795" s="48">
        <f t="shared" si="50"/>
        <v>6.7102918922342276</v>
      </c>
      <c r="N795" s="48">
        <f t="shared" si="51"/>
        <v>4.7796554902122139</v>
      </c>
    </row>
    <row r="796" spans="1:14" x14ac:dyDescent="0.25">
      <c r="A796" s="5">
        <v>2008</v>
      </c>
      <c r="B796" s="4">
        <v>4558159.79</v>
      </c>
      <c r="C796" s="4">
        <v>6283470.7599999998</v>
      </c>
      <c r="D796" s="4">
        <v>5305964.42</v>
      </c>
      <c r="E796" s="4">
        <v>1994657.0530000001</v>
      </c>
      <c r="F796" s="4">
        <v>18949789.574999999</v>
      </c>
      <c r="G796" s="4">
        <v>48411646.309</v>
      </c>
      <c r="H796" s="4">
        <v>21914611.545000002</v>
      </c>
      <c r="I796" s="4">
        <v>11078542.908</v>
      </c>
      <c r="K796" s="48">
        <f t="shared" si="48"/>
        <v>4.1573333204714178</v>
      </c>
      <c r="L796" s="48">
        <f t="shared" si="49"/>
        <v>7.7046027837328559</v>
      </c>
      <c r="M796" s="48">
        <f t="shared" si="50"/>
        <v>4.130184413298422</v>
      </c>
      <c r="N796" s="48">
        <f t="shared" si="51"/>
        <v>5.5541091093016073</v>
      </c>
    </row>
    <row r="797" spans="1:14" x14ac:dyDescent="0.25">
      <c r="A797" s="5">
        <v>2009</v>
      </c>
      <c r="B797" s="4">
        <v>7574745.1289999997</v>
      </c>
      <c r="C797" s="4">
        <v>3488385.03</v>
      </c>
      <c r="D797" s="4">
        <v>5385803.2889999999</v>
      </c>
      <c r="E797" s="4">
        <v>2564541.003</v>
      </c>
      <c r="F797" s="4">
        <v>20745364.587000001</v>
      </c>
      <c r="G797" s="4">
        <v>13633377.364</v>
      </c>
      <c r="H797" s="4">
        <v>19015704.923999999</v>
      </c>
      <c r="I797" s="4">
        <v>14025442.537</v>
      </c>
      <c r="K797" s="48">
        <f t="shared" si="48"/>
        <v>2.7387541407269445</v>
      </c>
      <c r="L797" s="48">
        <f t="shared" si="49"/>
        <v>3.9082203503206756</v>
      </c>
      <c r="M797" s="48">
        <f t="shared" si="50"/>
        <v>3.5307091446948684</v>
      </c>
      <c r="N797" s="48">
        <f t="shared" si="51"/>
        <v>5.4689874408687711</v>
      </c>
    </row>
    <row r="798" spans="1:14" x14ac:dyDescent="0.25">
      <c r="A798" s="5">
        <v>2010</v>
      </c>
      <c r="B798" s="4">
        <v>10740377.908</v>
      </c>
      <c r="C798" s="4">
        <v>6695474.4079999998</v>
      </c>
      <c r="D798" s="4">
        <v>15467996.9</v>
      </c>
      <c r="E798" s="4">
        <v>12562337.539000001</v>
      </c>
      <c r="F798" s="4">
        <v>102360753.22499999</v>
      </c>
      <c r="G798" s="4">
        <v>265834700.458</v>
      </c>
      <c r="H798" s="4">
        <v>162246221.067</v>
      </c>
      <c r="I798" s="4">
        <v>78511396.797000006</v>
      </c>
      <c r="K798" s="48">
        <f t="shared" si="48"/>
        <v>9.5304610416693354</v>
      </c>
      <c r="L798" s="48">
        <f t="shared" si="49"/>
        <v>39.703639243303044</v>
      </c>
      <c r="M798" s="48">
        <f t="shared" si="50"/>
        <v>10.489155261402981</v>
      </c>
      <c r="N798" s="48">
        <f t="shared" si="51"/>
        <v>6.2497442496876063</v>
      </c>
    </row>
    <row r="799" spans="1:14" x14ac:dyDescent="0.25">
      <c r="A799" s="5">
        <v>2011</v>
      </c>
      <c r="B799" s="4">
        <v>14476268.043</v>
      </c>
      <c r="C799" s="4">
        <v>6468023.8099999996</v>
      </c>
      <c r="D799" s="4">
        <v>13295458.039999999</v>
      </c>
      <c r="E799" s="4">
        <v>12479144.778999999</v>
      </c>
      <c r="F799" s="4">
        <v>332578591.02499998</v>
      </c>
      <c r="G799" s="4">
        <v>107431591.638</v>
      </c>
      <c r="H799" s="4">
        <v>1263784148.721</v>
      </c>
      <c r="I799" s="4">
        <v>80667589.166999996</v>
      </c>
      <c r="K799" s="48">
        <f t="shared" si="48"/>
        <v>22.974055884922521</v>
      </c>
      <c r="L799" s="48">
        <f t="shared" si="49"/>
        <v>16.60964690202648</v>
      </c>
      <c r="M799" s="48">
        <f t="shared" si="50"/>
        <v>95.053825518372292</v>
      </c>
      <c r="N799" s="48">
        <f t="shared" si="51"/>
        <v>6.46419210575616</v>
      </c>
    </row>
    <row r="800" spans="1:14" x14ac:dyDescent="0.25">
      <c r="A800" s="5">
        <v>2012</v>
      </c>
      <c r="B800" s="4">
        <v>17717108.190000001</v>
      </c>
      <c r="C800" s="4">
        <v>7503789.5559999999</v>
      </c>
      <c r="D800" s="4">
        <v>9458286.4810000006</v>
      </c>
      <c r="E800" s="4">
        <v>12530421.937000001</v>
      </c>
      <c r="F800" s="4">
        <v>729126975.21099997</v>
      </c>
      <c r="G800" s="4">
        <v>142874816.61300001</v>
      </c>
      <c r="H800" s="4">
        <v>1567394340.8559999</v>
      </c>
      <c r="I800" s="4">
        <v>94913109.520999998</v>
      </c>
      <c r="K800" s="48">
        <f t="shared" si="48"/>
        <v>41.153836585055018</v>
      </c>
      <c r="L800" s="48">
        <f t="shared" si="49"/>
        <v>19.040354949554505</v>
      </c>
      <c r="M800" s="48">
        <f t="shared" si="50"/>
        <v>165.71652212106429</v>
      </c>
      <c r="N800" s="48">
        <f t="shared" si="51"/>
        <v>7.5746140072697212</v>
      </c>
    </row>
    <row r="801" spans="1:14" x14ac:dyDescent="0.25">
      <c r="A801" s="5">
        <v>2013</v>
      </c>
      <c r="B801" s="4">
        <v>16852930.366</v>
      </c>
      <c r="C801" s="4">
        <v>10599613.897</v>
      </c>
      <c r="D801" s="4">
        <v>10765079.055</v>
      </c>
      <c r="E801" s="4">
        <v>14785923.562999999</v>
      </c>
      <c r="F801" s="4">
        <v>760025753.12199998</v>
      </c>
      <c r="G801" s="4">
        <v>650587829.78699994</v>
      </c>
      <c r="H801" s="4">
        <v>1482097589.925</v>
      </c>
      <c r="I801" s="4">
        <v>130090706.358</v>
      </c>
      <c r="K801" s="48">
        <f t="shared" si="48"/>
        <v>45.097543075079479</v>
      </c>
      <c r="L801" s="48">
        <f t="shared" si="49"/>
        <v>61.378446055580881</v>
      </c>
      <c r="M801" s="48">
        <f t="shared" si="50"/>
        <v>137.67642414447647</v>
      </c>
      <c r="N801" s="48">
        <f t="shared" si="51"/>
        <v>8.7982807298920704</v>
      </c>
    </row>
    <row r="802" spans="1:14" x14ac:dyDescent="0.25">
      <c r="A802" s="5">
        <v>2014</v>
      </c>
      <c r="B802" s="4">
        <v>18430543.583999999</v>
      </c>
      <c r="C802" s="4">
        <v>8927263.7789999992</v>
      </c>
      <c r="D802" s="4">
        <v>11098287.706</v>
      </c>
      <c r="E802" s="4">
        <v>13956442.546</v>
      </c>
      <c r="F802" s="4">
        <v>676561238.58000004</v>
      </c>
      <c r="G802" s="4">
        <v>113767404.234</v>
      </c>
      <c r="H802" s="4">
        <v>1365815637.9519999</v>
      </c>
      <c r="I802" s="4">
        <v>101468745.8</v>
      </c>
      <c r="K802" s="48">
        <f t="shared" si="48"/>
        <v>36.708696924562723</v>
      </c>
      <c r="L802" s="48">
        <f t="shared" si="49"/>
        <v>12.743815692062347</v>
      </c>
      <c r="M802" s="48">
        <f t="shared" si="50"/>
        <v>123.06543803271627</v>
      </c>
      <c r="N802" s="48">
        <f t="shared" si="51"/>
        <v>7.270387526446096</v>
      </c>
    </row>
    <row r="803" spans="1:14" x14ac:dyDescent="0.25">
      <c r="A803" s="5">
        <v>2015</v>
      </c>
      <c r="B803" s="4">
        <v>19877299.454</v>
      </c>
      <c r="C803" s="4">
        <v>9914603.1760000009</v>
      </c>
      <c r="D803" s="4">
        <v>12349817.105</v>
      </c>
      <c r="E803" s="4">
        <v>14241575.119000001</v>
      </c>
      <c r="F803" s="4">
        <v>761997727.43299997</v>
      </c>
      <c r="G803" s="4">
        <v>101762452.45900001</v>
      </c>
      <c r="H803" s="4">
        <v>1011899278.495</v>
      </c>
      <c r="I803" s="4">
        <v>84587499.328999996</v>
      </c>
      <c r="K803" s="48">
        <f t="shared" si="48"/>
        <v>38.335073091614547</v>
      </c>
      <c r="L803" s="48">
        <f t="shared" si="49"/>
        <v>10.263895654980271</v>
      </c>
      <c r="M803" s="48">
        <f t="shared" si="50"/>
        <v>81.936377671967151</v>
      </c>
      <c r="N803" s="48">
        <f t="shared" si="51"/>
        <v>5.9394764007634198</v>
      </c>
    </row>
    <row r="804" spans="1:14" x14ac:dyDescent="0.25">
      <c r="A804" s="5">
        <v>2016</v>
      </c>
      <c r="B804" s="4">
        <v>28110591.197999999</v>
      </c>
      <c r="C804" s="4">
        <v>13875599.354</v>
      </c>
      <c r="D804" s="4">
        <v>13678945.095000001</v>
      </c>
      <c r="E804" s="4">
        <v>14598464.259</v>
      </c>
      <c r="F804" s="4">
        <v>196520336.34299999</v>
      </c>
      <c r="G804" s="4">
        <v>72698682.520999998</v>
      </c>
      <c r="H804" s="4">
        <v>123086124.008</v>
      </c>
      <c r="I804" s="4">
        <v>82323124.670000002</v>
      </c>
      <c r="K804" s="48">
        <f t="shared" si="48"/>
        <v>6.9909713018409212</v>
      </c>
      <c r="L804" s="48">
        <f t="shared" si="49"/>
        <v>5.2393183650148218</v>
      </c>
      <c r="M804" s="48">
        <f t="shared" si="50"/>
        <v>8.998217563793796</v>
      </c>
      <c r="N804" s="48">
        <f t="shared" si="51"/>
        <v>5.6391633537238368</v>
      </c>
    </row>
    <row r="805" spans="1:14" x14ac:dyDescent="0.25">
      <c r="A805" s="5">
        <v>2017</v>
      </c>
      <c r="B805" s="4">
        <v>21394922.234999999</v>
      </c>
      <c r="C805" s="4">
        <v>13454829.455</v>
      </c>
      <c r="D805" s="4">
        <v>14301904.551999999</v>
      </c>
      <c r="E805" s="4">
        <v>16379259.104</v>
      </c>
      <c r="F805" s="4">
        <v>141891689.98300001</v>
      </c>
      <c r="G805" s="4">
        <v>79283654.713999897</v>
      </c>
      <c r="H805" s="4">
        <v>52087398.773000002</v>
      </c>
      <c r="I805" s="4">
        <v>94726353.048999995</v>
      </c>
      <c r="K805" s="48">
        <f t="shared" si="48"/>
        <v>6.6320264418105284</v>
      </c>
      <c r="L805" s="48">
        <f t="shared" si="49"/>
        <v>5.8925796851729695</v>
      </c>
      <c r="M805" s="48">
        <f t="shared" si="50"/>
        <v>3.6419903785273147</v>
      </c>
      <c r="N805" s="48">
        <f t="shared" si="51"/>
        <v>5.7833112259556811</v>
      </c>
    </row>
    <row r="806" spans="1:14" x14ac:dyDescent="0.25">
      <c r="A806" s="5">
        <v>2018</v>
      </c>
      <c r="B806" s="4">
        <v>24070599.519000001</v>
      </c>
      <c r="C806" s="4">
        <v>15036602.347999999</v>
      </c>
      <c r="D806" s="4">
        <v>14400314.766000001</v>
      </c>
      <c r="E806" s="4">
        <v>16468102.665999999</v>
      </c>
      <c r="F806" s="4">
        <v>157589528.553</v>
      </c>
      <c r="G806" s="4">
        <v>92747436.813999996</v>
      </c>
      <c r="H806" s="4">
        <v>60578480.226000004</v>
      </c>
      <c r="I806" s="4">
        <v>99168251.532999903</v>
      </c>
      <c r="K806" s="48">
        <f t="shared" si="48"/>
        <v>6.5469714798174232</v>
      </c>
      <c r="L806" s="48">
        <f t="shared" si="49"/>
        <v>6.1681112971865097</v>
      </c>
      <c r="M806" s="48">
        <f t="shared" si="50"/>
        <v>4.2067469503534323</v>
      </c>
      <c r="N806" s="48">
        <f t="shared" si="51"/>
        <v>6.0218383103563236</v>
      </c>
    </row>
    <row r="807" spans="1:14" x14ac:dyDescent="0.25">
      <c r="A807" s="5">
        <v>2019</v>
      </c>
      <c r="B807" s="4">
        <v>22781302.085999999</v>
      </c>
      <c r="C807" s="4">
        <v>13440525.073999999</v>
      </c>
      <c r="D807" s="4">
        <v>14139815.164000001</v>
      </c>
      <c r="E807" s="4">
        <v>15827094.533</v>
      </c>
      <c r="F807" s="4">
        <v>148761606.15099999</v>
      </c>
      <c r="G807" s="4">
        <v>86538555.437999994</v>
      </c>
      <c r="H807" s="4">
        <v>56808053.376999997</v>
      </c>
      <c r="I807" s="4">
        <v>100806450.891</v>
      </c>
      <c r="K807" s="48">
        <f t="shared" si="48"/>
        <v>6.5299869862320037</v>
      </c>
      <c r="L807" s="48">
        <f t="shared" si="49"/>
        <v>6.4386290685476535</v>
      </c>
      <c r="M807" s="48">
        <f t="shared" si="50"/>
        <v>4.017595189054056</v>
      </c>
      <c r="N807" s="48">
        <f t="shared" si="51"/>
        <v>6.3692328797819027</v>
      </c>
    </row>
    <row r="808" spans="1:14" x14ac:dyDescent="0.25">
      <c r="A808" s="5">
        <v>2020</v>
      </c>
      <c r="B808" s="4">
        <v>22314649.175000001</v>
      </c>
      <c r="C808" s="4">
        <v>12296947.389</v>
      </c>
      <c r="D808" s="4">
        <v>16503844.912</v>
      </c>
      <c r="E808" s="4">
        <v>17708114.401999999</v>
      </c>
      <c r="F808" s="4">
        <v>140401604.873</v>
      </c>
      <c r="G808" s="4">
        <v>84299185.215000004</v>
      </c>
      <c r="H808" s="4">
        <v>66320333.022</v>
      </c>
      <c r="I808" s="4">
        <v>99662090.001000002</v>
      </c>
      <c r="K808" s="48">
        <f t="shared" si="48"/>
        <v>6.2919028559184147</v>
      </c>
      <c r="L808" s="48">
        <f t="shared" si="49"/>
        <v>6.8552936390057448</v>
      </c>
      <c r="M808" s="48">
        <f t="shared" si="50"/>
        <v>4.0184777168972463</v>
      </c>
      <c r="N808" s="48">
        <f t="shared" si="51"/>
        <v>5.6280464276729498</v>
      </c>
    </row>
    <row r="809" spans="1:14" x14ac:dyDescent="0.25">
      <c r="A809" s="5">
        <v>2021</v>
      </c>
      <c r="B809" s="4">
        <v>21965657.741999999</v>
      </c>
      <c r="C809" s="4">
        <v>12520440.716</v>
      </c>
      <c r="D809" s="4">
        <v>15007025.749</v>
      </c>
      <c r="E809" s="4">
        <v>16838068.344000001</v>
      </c>
      <c r="F809" s="4">
        <v>184203520.21700001</v>
      </c>
      <c r="G809" s="4">
        <v>76642912.997999996</v>
      </c>
      <c r="H809" s="4">
        <v>64446952.719999999</v>
      </c>
      <c r="I809" s="4">
        <v>95843537.958000004</v>
      </c>
      <c r="K809" s="48">
        <f t="shared" si="48"/>
        <v>8.3859778924256361</v>
      </c>
      <c r="L809" s="48">
        <f t="shared" si="49"/>
        <v>6.1214229384159955</v>
      </c>
      <c r="M809" s="48">
        <f t="shared" si="50"/>
        <v>4.2944520651798346</v>
      </c>
      <c r="N809" s="48">
        <f t="shared" si="51"/>
        <v>5.6920744113829684</v>
      </c>
    </row>
    <row r="810" spans="1:14" x14ac:dyDescent="0.25">
      <c r="A810" s="5">
        <v>2022</v>
      </c>
      <c r="B810" s="4">
        <v>21387280.936999999</v>
      </c>
      <c r="C810" s="4">
        <v>10679208.767000001</v>
      </c>
      <c r="D810" s="4">
        <v>15719676.620999999</v>
      </c>
      <c r="E810" s="4">
        <v>14345175.753</v>
      </c>
      <c r="F810" s="4">
        <v>196959363.493</v>
      </c>
      <c r="G810" s="4">
        <v>74743437.721000001</v>
      </c>
      <c r="H810" s="4">
        <v>68642353.753000006</v>
      </c>
      <c r="I810" s="4">
        <v>88058195.623999998</v>
      </c>
      <c r="K810" s="48">
        <f t="shared" si="48"/>
        <v>9.2091820401657642</v>
      </c>
      <c r="L810" s="48">
        <f t="shared" si="49"/>
        <v>6.9989677467459881</v>
      </c>
      <c r="M810" s="48">
        <f t="shared" si="50"/>
        <v>4.3666517707686383</v>
      </c>
      <c r="N810" s="48">
        <f t="shared" si="51"/>
        <v>6.1385233015067397</v>
      </c>
    </row>
    <row r="811" spans="1:14" x14ac:dyDescent="0.25">
      <c r="A811" s="5">
        <v>2023</v>
      </c>
      <c r="B811" s="4">
        <v>17833268.592999998</v>
      </c>
      <c r="C811" s="4">
        <v>11011209.743000001</v>
      </c>
      <c r="D811" s="4">
        <v>14303643.502</v>
      </c>
      <c r="E811" s="4">
        <v>12890918.479</v>
      </c>
      <c r="F811" s="4">
        <v>152902119.56299999</v>
      </c>
      <c r="G811" s="4">
        <v>79555960.754999995</v>
      </c>
      <c r="H811" s="4">
        <v>69709938.767000005</v>
      </c>
      <c r="I811" s="4">
        <v>79308906.172000006</v>
      </c>
      <c r="K811" s="48">
        <f t="shared" si="48"/>
        <v>8.57398175581889</v>
      </c>
      <c r="L811" s="48">
        <f t="shared" si="49"/>
        <v>7.2249973083634131</v>
      </c>
      <c r="M811" s="48">
        <f t="shared" si="50"/>
        <v>4.8735791518610521</v>
      </c>
      <c r="N811" s="48">
        <f t="shared" si="51"/>
        <v>6.1523084100794279</v>
      </c>
    </row>
    <row r="812" spans="1:14" x14ac:dyDescent="0.25">
      <c r="A812" s="5">
        <v>2024</v>
      </c>
      <c r="B812" s="4">
        <v>20862330.614999998</v>
      </c>
      <c r="C812" s="4">
        <v>11777998.862</v>
      </c>
      <c r="D812" s="4">
        <v>15852119.981000001</v>
      </c>
      <c r="E812" s="4">
        <v>17088024.545000002</v>
      </c>
      <c r="F812" s="4">
        <v>158803587.52399999</v>
      </c>
      <c r="G812" s="4">
        <v>91141576.406000003</v>
      </c>
      <c r="H812" s="4">
        <v>80209301.482999995</v>
      </c>
      <c r="I812" s="4">
        <v>112532207.48800001</v>
      </c>
      <c r="K812" s="48">
        <f t="shared" si="48"/>
        <v>7.6119773219306737</v>
      </c>
      <c r="L812" s="48">
        <f t="shared" si="49"/>
        <v>7.7382904747983163</v>
      </c>
      <c r="M812" s="48">
        <f t="shared" si="50"/>
        <v>5.0598469844498455</v>
      </c>
      <c r="N812" s="48">
        <f t="shared" si="51"/>
        <v>6.5854427579767965</v>
      </c>
    </row>
    <row r="813" spans="1:14" x14ac:dyDescent="0.25">
      <c r="A813" s="5">
        <v>2025</v>
      </c>
      <c r="B813" s="4">
        <v>9875472.0329999998</v>
      </c>
      <c r="C813" s="4">
        <v>4444086.5729999999</v>
      </c>
      <c r="D813" s="4">
        <v>11873377.226</v>
      </c>
      <c r="E813" s="4">
        <v>5420149.682</v>
      </c>
      <c r="F813" s="4">
        <v>90312993.859999999</v>
      </c>
      <c r="G813" s="4">
        <v>35084072.839000002</v>
      </c>
      <c r="H813" s="4">
        <v>59396093.726999998</v>
      </c>
      <c r="I813" s="4">
        <v>41112902.670999996</v>
      </c>
      <c r="K813" s="48">
        <f t="shared" si="48"/>
        <v>9.1451824842609017</v>
      </c>
      <c r="L813" s="48">
        <f t="shared" si="49"/>
        <v>7.8945520665940458</v>
      </c>
      <c r="M813" s="48">
        <f t="shared" si="50"/>
        <v>5.0024599232757501</v>
      </c>
      <c r="N813" s="48">
        <f t="shared" si="51"/>
        <v>7.5851969194750364</v>
      </c>
    </row>
    <row r="814" spans="1:14" x14ac:dyDescent="0.25">
      <c r="A814" s="3" t="s">
        <v>38</v>
      </c>
      <c r="B814" s="4"/>
      <c r="C814" s="4">
        <v>13803276465.985001</v>
      </c>
      <c r="D814" s="4"/>
      <c r="E814" s="4">
        <v>3220675417.8319998</v>
      </c>
      <c r="F814" s="4"/>
      <c r="G814" s="4">
        <v>43217187195.232994</v>
      </c>
      <c r="H814" s="4"/>
      <c r="I814" s="4">
        <v>14113225744.122</v>
      </c>
      <c r="K814" s="48" t="e">
        <f t="shared" si="48"/>
        <v>#DIV/0!</v>
      </c>
      <c r="L814" s="48">
        <f t="shared" si="49"/>
        <v>3.1309368686291119</v>
      </c>
      <c r="M814" s="48" t="e">
        <f t="shared" si="50"/>
        <v>#DIV/0!</v>
      </c>
      <c r="N814" s="48">
        <f t="shared" si="51"/>
        <v>4.3820701912340887</v>
      </c>
    </row>
    <row r="815" spans="1:14" x14ac:dyDescent="0.25">
      <c r="A815" s="5">
        <v>2000</v>
      </c>
      <c r="B815" s="4"/>
      <c r="C815" s="4"/>
      <c r="D815" s="4"/>
      <c r="E815" s="4">
        <v>100525621.258</v>
      </c>
      <c r="F815" s="4"/>
      <c r="G815" s="4"/>
      <c r="H815" s="4"/>
      <c r="I815" s="4">
        <v>261460025.27599999</v>
      </c>
      <c r="K815" s="48" t="e">
        <f t="shared" si="48"/>
        <v>#DIV/0!</v>
      </c>
      <c r="L815" s="48" t="e">
        <f t="shared" si="49"/>
        <v>#DIV/0!</v>
      </c>
      <c r="M815" s="48" t="e">
        <f t="shared" si="50"/>
        <v>#DIV/0!</v>
      </c>
      <c r="N815" s="48">
        <f t="shared" si="51"/>
        <v>2.6009292158957193</v>
      </c>
    </row>
    <row r="816" spans="1:14" x14ac:dyDescent="0.25">
      <c r="A816" s="5">
        <v>2001</v>
      </c>
      <c r="B816" s="4"/>
      <c r="C816" s="4"/>
      <c r="D816" s="4"/>
      <c r="E816" s="4">
        <v>134114902.991</v>
      </c>
      <c r="F816" s="4"/>
      <c r="G816" s="4"/>
      <c r="H816" s="4"/>
      <c r="I816" s="4">
        <v>378450810.56</v>
      </c>
      <c r="K816" s="48" t="e">
        <f t="shared" si="48"/>
        <v>#DIV/0!</v>
      </c>
      <c r="L816" s="48" t="e">
        <f t="shared" si="49"/>
        <v>#DIV/0!</v>
      </c>
      <c r="M816" s="48" t="e">
        <f t="shared" si="50"/>
        <v>#DIV/0!</v>
      </c>
      <c r="N816" s="48">
        <f t="shared" si="51"/>
        <v>2.8218400947238247</v>
      </c>
    </row>
    <row r="817" spans="1:14" x14ac:dyDescent="0.25">
      <c r="A817" s="5">
        <v>2002</v>
      </c>
      <c r="B817" s="4"/>
      <c r="C817" s="4"/>
      <c r="D817" s="4"/>
      <c r="E817" s="4">
        <v>158214722.206</v>
      </c>
      <c r="F817" s="4"/>
      <c r="G817" s="4"/>
      <c r="H817" s="4"/>
      <c r="I817" s="4">
        <v>372078289.671</v>
      </c>
      <c r="K817" s="48" t="e">
        <f t="shared" si="48"/>
        <v>#DIV/0!</v>
      </c>
      <c r="L817" s="48" t="e">
        <f t="shared" si="49"/>
        <v>#DIV/0!</v>
      </c>
      <c r="M817" s="48" t="e">
        <f t="shared" si="50"/>
        <v>#DIV/0!</v>
      </c>
      <c r="N817" s="48">
        <f t="shared" si="51"/>
        <v>2.3517298800205437</v>
      </c>
    </row>
    <row r="818" spans="1:14" x14ac:dyDescent="0.25">
      <c r="A818" s="5">
        <v>2003</v>
      </c>
      <c r="B818" s="4"/>
      <c r="C818" s="4">
        <v>0</v>
      </c>
      <c r="D818" s="4"/>
      <c r="E818" s="4">
        <v>153614573.354</v>
      </c>
      <c r="F818" s="4"/>
      <c r="G818" s="4">
        <v>65974986.1269999</v>
      </c>
      <c r="H818" s="4"/>
      <c r="I818" s="4">
        <v>71476390.642000198</v>
      </c>
      <c r="K818" s="48" t="e">
        <f t="shared" si="48"/>
        <v>#DIV/0!</v>
      </c>
      <c r="L818" s="48" t="e">
        <f t="shared" si="49"/>
        <v>#DIV/0!</v>
      </c>
      <c r="M818" s="48" t="e">
        <f t="shared" si="50"/>
        <v>#DIV/0!</v>
      </c>
      <c r="N818" s="48">
        <f t="shared" si="51"/>
        <v>0.46529693818362583</v>
      </c>
    </row>
    <row r="819" spans="1:14" x14ac:dyDescent="0.25">
      <c r="A819" s="5">
        <v>2004</v>
      </c>
      <c r="B819" s="4"/>
      <c r="C819" s="4"/>
      <c r="D819" s="4"/>
      <c r="E819" s="4">
        <v>138224187.23300001</v>
      </c>
      <c r="F819" s="4"/>
      <c r="G819" s="4"/>
      <c r="H819" s="4"/>
      <c r="I819" s="4">
        <v>0</v>
      </c>
      <c r="K819" s="48" t="e">
        <f t="shared" si="48"/>
        <v>#DIV/0!</v>
      </c>
      <c r="L819" s="48" t="e">
        <f t="shared" si="49"/>
        <v>#DIV/0!</v>
      </c>
      <c r="M819" s="48" t="e">
        <f t="shared" si="50"/>
        <v>#DIV/0!</v>
      </c>
      <c r="N819" s="48">
        <f t="shared" si="51"/>
        <v>0</v>
      </c>
    </row>
    <row r="820" spans="1:14" x14ac:dyDescent="0.25">
      <c r="A820" s="5">
        <v>2005</v>
      </c>
      <c r="B820" s="4"/>
      <c r="C820" s="4">
        <v>0</v>
      </c>
      <c r="D820" s="4"/>
      <c r="E820" s="4">
        <v>162900916.32300001</v>
      </c>
      <c r="F820" s="4"/>
      <c r="G820" s="4">
        <v>108291298.823</v>
      </c>
      <c r="H820" s="4"/>
      <c r="I820" s="4">
        <v>158238751.49000001</v>
      </c>
      <c r="K820" s="48" t="e">
        <f t="shared" si="48"/>
        <v>#DIV/0!</v>
      </c>
      <c r="L820" s="48" t="e">
        <f t="shared" si="49"/>
        <v>#DIV/0!</v>
      </c>
      <c r="M820" s="48" t="e">
        <f t="shared" si="50"/>
        <v>#DIV/0!</v>
      </c>
      <c r="N820" s="48">
        <f t="shared" si="51"/>
        <v>0.97138036459073163</v>
      </c>
    </row>
    <row r="821" spans="1:14" x14ac:dyDescent="0.25">
      <c r="A821" s="5">
        <v>2006</v>
      </c>
      <c r="B821" s="4"/>
      <c r="C821" s="4">
        <v>0</v>
      </c>
      <c r="D821" s="4"/>
      <c r="E821" s="4">
        <v>186936756.79300001</v>
      </c>
      <c r="F821" s="4"/>
      <c r="G821" s="4">
        <v>128650999.809</v>
      </c>
      <c r="H821" s="4"/>
      <c r="I821" s="4">
        <v>314919361.97600102</v>
      </c>
      <c r="K821" s="48" t="e">
        <f t="shared" si="48"/>
        <v>#DIV/0!</v>
      </c>
      <c r="L821" s="48" t="e">
        <f t="shared" si="49"/>
        <v>#DIV/0!</v>
      </c>
      <c r="M821" s="48" t="e">
        <f t="shared" si="50"/>
        <v>#DIV/0!</v>
      </c>
      <c r="N821" s="48">
        <f t="shared" si="51"/>
        <v>1.6846304995262089</v>
      </c>
    </row>
    <row r="822" spans="1:14" x14ac:dyDescent="0.25">
      <c r="A822" s="5">
        <v>2007</v>
      </c>
      <c r="B822" s="4"/>
      <c r="C822" s="4">
        <v>206186417.94400001</v>
      </c>
      <c r="D822" s="4"/>
      <c r="E822" s="4">
        <v>167652984.604</v>
      </c>
      <c r="F822" s="4"/>
      <c r="G822" s="4">
        <v>260820987.866</v>
      </c>
      <c r="H822" s="4"/>
      <c r="I822" s="4">
        <v>238796799.278</v>
      </c>
      <c r="K822" s="48" t="e">
        <f t="shared" si="48"/>
        <v>#DIV/0!</v>
      </c>
      <c r="L822" s="48">
        <f t="shared" si="49"/>
        <v>1.264976570555868</v>
      </c>
      <c r="M822" s="48" t="e">
        <f t="shared" si="50"/>
        <v>#DIV/0!</v>
      </c>
      <c r="N822" s="48">
        <f t="shared" si="51"/>
        <v>1.4243516143899451</v>
      </c>
    </row>
    <row r="823" spans="1:14" x14ac:dyDescent="0.25">
      <c r="A823" s="5">
        <v>2008</v>
      </c>
      <c r="B823" s="4"/>
      <c r="C823" s="4"/>
      <c r="D823" s="4"/>
      <c r="E823" s="4">
        <v>261002808.72999999</v>
      </c>
      <c r="F823" s="4"/>
      <c r="G823" s="4"/>
      <c r="H823" s="4"/>
      <c r="I823" s="4">
        <v>958832568.472</v>
      </c>
      <c r="K823" s="48" t="e">
        <f t="shared" si="48"/>
        <v>#DIV/0!</v>
      </c>
      <c r="L823" s="48" t="e">
        <f t="shared" si="49"/>
        <v>#DIV/0!</v>
      </c>
      <c r="M823" s="48" t="e">
        <f t="shared" si="50"/>
        <v>#DIV/0!</v>
      </c>
      <c r="N823" s="48">
        <f t="shared" si="51"/>
        <v>3.6736484681430581</v>
      </c>
    </row>
    <row r="824" spans="1:14" x14ac:dyDescent="0.25">
      <c r="A824" s="5">
        <v>2009</v>
      </c>
      <c r="B824" s="4"/>
      <c r="C824" s="4"/>
      <c r="D824" s="4"/>
      <c r="E824" s="4">
        <v>291431310.81099999</v>
      </c>
      <c r="F824" s="4"/>
      <c r="G824" s="4"/>
      <c r="H824" s="4"/>
      <c r="I824" s="4">
        <v>1247291350.7379999</v>
      </c>
      <c r="K824" s="48" t="e">
        <f t="shared" si="48"/>
        <v>#DIV/0!</v>
      </c>
      <c r="L824" s="48" t="e">
        <f t="shared" si="49"/>
        <v>#DIV/0!</v>
      </c>
      <c r="M824" s="48" t="e">
        <f t="shared" si="50"/>
        <v>#DIV/0!</v>
      </c>
      <c r="N824" s="48">
        <f t="shared" si="51"/>
        <v>4.2798810713475381</v>
      </c>
    </row>
    <row r="825" spans="1:14" x14ac:dyDescent="0.25">
      <c r="A825" s="5">
        <v>2010</v>
      </c>
      <c r="B825" s="4"/>
      <c r="C825" s="4">
        <v>393117810.20499998</v>
      </c>
      <c r="D825" s="4"/>
      <c r="E825" s="4">
        <v>357967874.63599998</v>
      </c>
      <c r="F825" s="4"/>
      <c r="G825" s="4">
        <v>1664553363.6830001</v>
      </c>
      <c r="H825" s="4"/>
      <c r="I825" s="4">
        <v>2014375500.1889999</v>
      </c>
      <c r="K825" s="48" t="e">
        <f t="shared" si="48"/>
        <v>#DIV/0!</v>
      </c>
      <c r="L825" s="48">
        <f t="shared" si="49"/>
        <v>4.2342354390277608</v>
      </c>
      <c r="M825" s="48" t="e">
        <f t="shared" si="50"/>
        <v>#DIV/0!</v>
      </c>
      <c r="N825" s="48">
        <f t="shared" si="51"/>
        <v>5.6272521723836801</v>
      </c>
    </row>
    <row r="826" spans="1:14" x14ac:dyDescent="0.25">
      <c r="A826" s="5">
        <v>2011</v>
      </c>
      <c r="B826" s="4"/>
      <c r="C826" s="4">
        <v>612637263.824</v>
      </c>
      <c r="D826" s="4"/>
      <c r="E826" s="4">
        <v>84562271.246999994</v>
      </c>
      <c r="F826" s="4"/>
      <c r="G826" s="4">
        <v>2349768456.9029999</v>
      </c>
      <c r="H826" s="4"/>
      <c r="I826" s="4">
        <v>1262067343.006</v>
      </c>
      <c r="K826" s="48" t="e">
        <f t="shared" si="48"/>
        <v>#DIV/0!</v>
      </c>
      <c r="L826" s="48">
        <f t="shared" si="49"/>
        <v>3.8354971133098545</v>
      </c>
      <c r="M826" s="48" t="e">
        <f t="shared" si="50"/>
        <v>#DIV/0!</v>
      </c>
      <c r="N826" s="48">
        <f t="shared" si="51"/>
        <v>14.924709618070651</v>
      </c>
    </row>
    <row r="827" spans="1:14" x14ac:dyDescent="0.25">
      <c r="A827" s="5">
        <v>2012</v>
      </c>
      <c r="B827" s="4"/>
      <c r="C827" s="4">
        <v>1055219955.237</v>
      </c>
      <c r="D827" s="4"/>
      <c r="E827" s="4"/>
      <c r="F827" s="4"/>
      <c r="G827" s="4">
        <v>4376972933.7799997</v>
      </c>
      <c r="H827" s="4"/>
      <c r="I827" s="4"/>
      <c r="K827" s="48" t="e">
        <f t="shared" si="48"/>
        <v>#DIV/0!</v>
      </c>
      <c r="L827" s="48">
        <f t="shared" si="49"/>
        <v>4.1479247166027502</v>
      </c>
      <c r="M827" s="48" t="e">
        <f t="shared" si="50"/>
        <v>#DIV/0!</v>
      </c>
      <c r="N827" s="48" t="e">
        <f t="shared" si="51"/>
        <v>#DIV/0!</v>
      </c>
    </row>
    <row r="828" spans="1:14" x14ac:dyDescent="0.25">
      <c r="A828" s="5">
        <v>2013</v>
      </c>
      <c r="B828" s="4"/>
      <c r="C828" s="4">
        <v>671924447.59599996</v>
      </c>
      <c r="D828" s="4"/>
      <c r="E828" s="4"/>
      <c r="F828" s="4"/>
      <c r="G828" s="4">
        <v>3091804344.2049999</v>
      </c>
      <c r="H828" s="4"/>
      <c r="I828" s="4"/>
      <c r="K828" s="48" t="e">
        <f t="shared" si="48"/>
        <v>#DIV/0!</v>
      </c>
      <c r="L828" s="48">
        <f t="shared" si="49"/>
        <v>4.6014166552010511</v>
      </c>
      <c r="M828" s="48" t="e">
        <f t="shared" si="50"/>
        <v>#DIV/0!</v>
      </c>
      <c r="N828" s="48" t="e">
        <f t="shared" si="51"/>
        <v>#DIV/0!</v>
      </c>
    </row>
    <row r="829" spans="1:14" x14ac:dyDescent="0.25">
      <c r="A829" s="5">
        <v>2014</v>
      </c>
      <c r="B829" s="4"/>
      <c r="C829" s="4">
        <v>1008595240.418</v>
      </c>
      <c r="D829" s="4"/>
      <c r="E829" s="4"/>
      <c r="F829" s="4"/>
      <c r="G829" s="4">
        <v>2921464080.3470001</v>
      </c>
      <c r="H829" s="4"/>
      <c r="I829" s="4"/>
      <c r="K829" s="48" t="e">
        <f t="shared" si="48"/>
        <v>#DIV/0!</v>
      </c>
      <c r="L829" s="48">
        <f t="shared" si="49"/>
        <v>2.8965673872665065</v>
      </c>
      <c r="M829" s="48" t="e">
        <f t="shared" si="50"/>
        <v>#DIV/0!</v>
      </c>
      <c r="N829" s="48" t="e">
        <f t="shared" si="51"/>
        <v>#DIV/0!</v>
      </c>
    </row>
    <row r="830" spans="1:14" x14ac:dyDescent="0.25">
      <c r="A830" s="5">
        <v>2015</v>
      </c>
      <c r="B830" s="4"/>
      <c r="C830" s="4">
        <v>898180419.80499995</v>
      </c>
      <c r="D830" s="4"/>
      <c r="E830" s="4">
        <v>0</v>
      </c>
      <c r="F830" s="4"/>
      <c r="G830" s="4">
        <v>2392500002.1529999</v>
      </c>
      <c r="H830" s="4"/>
      <c r="I830" s="4">
        <v>520062002.17299801</v>
      </c>
      <c r="K830" s="48" t="e">
        <f t="shared" si="48"/>
        <v>#DIV/0!</v>
      </c>
      <c r="L830" s="48">
        <f t="shared" si="49"/>
        <v>2.6637187244322531</v>
      </c>
      <c r="M830" s="48" t="e">
        <f t="shared" si="50"/>
        <v>#DIV/0!</v>
      </c>
      <c r="N830" s="48" t="e">
        <f t="shared" si="51"/>
        <v>#DIV/0!</v>
      </c>
    </row>
    <row r="831" spans="1:14" x14ac:dyDescent="0.25">
      <c r="A831" s="5">
        <v>2016</v>
      </c>
      <c r="B831" s="4"/>
      <c r="C831" s="4">
        <v>1385040244.3729999</v>
      </c>
      <c r="D831" s="4"/>
      <c r="E831" s="4">
        <v>0</v>
      </c>
      <c r="F831" s="4"/>
      <c r="G831" s="4">
        <v>2412623995.3070002</v>
      </c>
      <c r="H831" s="4"/>
      <c r="I831" s="4">
        <v>3442786.4099998502</v>
      </c>
      <c r="K831" s="48" t="e">
        <f t="shared" si="48"/>
        <v>#DIV/0!</v>
      </c>
      <c r="L831" s="48">
        <f t="shared" si="49"/>
        <v>1.7419161682187667</v>
      </c>
      <c r="M831" s="48" t="e">
        <f t="shared" si="50"/>
        <v>#DIV/0!</v>
      </c>
      <c r="N831" s="48" t="e">
        <f t="shared" si="51"/>
        <v>#DIV/0!</v>
      </c>
    </row>
    <row r="832" spans="1:14" x14ac:dyDescent="0.25">
      <c r="A832" s="5">
        <v>2017</v>
      </c>
      <c r="B832" s="4"/>
      <c r="C832" s="4">
        <v>774389663.06799996</v>
      </c>
      <c r="D832" s="4"/>
      <c r="E832" s="4"/>
      <c r="F832" s="4"/>
      <c r="G832" s="4">
        <v>2932554086.4749999</v>
      </c>
      <c r="H832" s="4"/>
      <c r="I832" s="4"/>
      <c r="K832" s="48" t="e">
        <f t="shared" si="48"/>
        <v>#DIV/0!</v>
      </c>
      <c r="L832" s="48">
        <f t="shared" si="49"/>
        <v>3.7869230780492602</v>
      </c>
      <c r="M832" s="48" t="e">
        <f t="shared" si="50"/>
        <v>#DIV/0!</v>
      </c>
      <c r="N832" s="48" t="e">
        <f t="shared" si="51"/>
        <v>#DIV/0!</v>
      </c>
    </row>
    <row r="833" spans="1:14" x14ac:dyDescent="0.25">
      <c r="A833" s="5">
        <v>2018</v>
      </c>
      <c r="B833" s="4"/>
      <c r="C833" s="4">
        <v>950058789.49399996</v>
      </c>
      <c r="D833" s="4"/>
      <c r="E833" s="4"/>
      <c r="F833" s="4"/>
      <c r="G833" s="4">
        <v>2672821847.994</v>
      </c>
      <c r="H833" s="4"/>
      <c r="I833" s="4"/>
      <c r="K833" s="48" t="e">
        <f t="shared" si="48"/>
        <v>#DIV/0!</v>
      </c>
      <c r="L833" s="48">
        <f t="shared" si="49"/>
        <v>2.8133225833503852</v>
      </c>
      <c r="M833" s="48" t="e">
        <f t="shared" si="50"/>
        <v>#DIV/0!</v>
      </c>
      <c r="N833" s="48" t="e">
        <f t="shared" si="51"/>
        <v>#DIV/0!</v>
      </c>
    </row>
    <row r="834" spans="1:14" x14ac:dyDescent="0.25">
      <c r="A834" s="5">
        <v>2019</v>
      </c>
      <c r="B834" s="4"/>
      <c r="C834" s="4">
        <v>904500670.10099995</v>
      </c>
      <c r="D834" s="4"/>
      <c r="E834" s="4">
        <v>0</v>
      </c>
      <c r="F834" s="4"/>
      <c r="G834" s="4">
        <v>2451483785.776</v>
      </c>
      <c r="H834" s="4"/>
      <c r="I834" s="4">
        <v>91326728.402999893</v>
      </c>
      <c r="K834" s="48" t="e">
        <f t="shared" si="48"/>
        <v>#DIV/0!</v>
      </c>
      <c r="L834" s="48">
        <f t="shared" si="49"/>
        <v>2.7103172687558739</v>
      </c>
      <c r="M834" s="48" t="e">
        <f t="shared" si="50"/>
        <v>#DIV/0!</v>
      </c>
      <c r="N834" s="48" t="e">
        <f t="shared" si="51"/>
        <v>#DIV/0!</v>
      </c>
    </row>
    <row r="835" spans="1:14" x14ac:dyDescent="0.25">
      <c r="A835" s="5">
        <v>2020</v>
      </c>
      <c r="B835" s="4"/>
      <c r="C835" s="4">
        <v>933427917.15999997</v>
      </c>
      <c r="D835" s="4"/>
      <c r="E835" s="4">
        <v>0</v>
      </c>
      <c r="F835" s="4"/>
      <c r="G835" s="4">
        <v>2331385627.552</v>
      </c>
      <c r="H835" s="4"/>
      <c r="I835" s="4">
        <v>174639136.280002</v>
      </c>
      <c r="K835" s="48" t="e">
        <f t="shared" si="48"/>
        <v>#DIV/0!</v>
      </c>
      <c r="L835" s="48">
        <f t="shared" si="49"/>
        <v>2.4976600599705168</v>
      </c>
      <c r="M835" s="48" t="e">
        <f t="shared" si="50"/>
        <v>#DIV/0!</v>
      </c>
      <c r="N835" s="48" t="e">
        <f t="shared" si="51"/>
        <v>#DIV/0!</v>
      </c>
    </row>
    <row r="836" spans="1:14" x14ac:dyDescent="0.25">
      <c r="A836" s="5">
        <v>2021</v>
      </c>
      <c r="B836" s="4"/>
      <c r="C836" s="4">
        <v>940047639.63100004</v>
      </c>
      <c r="D836" s="4"/>
      <c r="E836" s="4">
        <v>0</v>
      </c>
      <c r="F836" s="4"/>
      <c r="G836" s="4">
        <v>2524459608.6199999</v>
      </c>
      <c r="H836" s="4"/>
      <c r="I836" s="4">
        <v>17596765.725999799</v>
      </c>
      <c r="K836" s="48" t="e">
        <f t="shared" si="48"/>
        <v>#DIV/0!</v>
      </c>
      <c r="L836" s="48">
        <f t="shared" si="49"/>
        <v>2.6854592280141611</v>
      </c>
      <c r="M836" s="48" t="e">
        <f t="shared" si="50"/>
        <v>#DIV/0!</v>
      </c>
      <c r="N836" s="48" t="e">
        <f t="shared" si="51"/>
        <v>#DIV/0!</v>
      </c>
    </row>
    <row r="837" spans="1:14" x14ac:dyDescent="0.25">
      <c r="A837" s="5">
        <v>2022</v>
      </c>
      <c r="B837" s="4"/>
      <c r="C837" s="4">
        <v>991233732.42999995</v>
      </c>
      <c r="D837" s="4"/>
      <c r="E837" s="4">
        <v>147201113.99599999</v>
      </c>
      <c r="F837" s="4"/>
      <c r="G837" s="4">
        <v>3016027586.6350002</v>
      </c>
      <c r="H837" s="4"/>
      <c r="I837" s="4">
        <v>1116708126.562</v>
      </c>
      <c r="K837" s="48" t="e">
        <f t="shared" si="48"/>
        <v>#DIV/0!</v>
      </c>
      <c r="L837" s="48">
        <f t="shared" si="49"/>
        <v>3.0427007152402266</v>
      </c>
      <c r="M837" s="48" t="e">
        <f t="shared" si="50"/>
        <v>#DIV/0!</v>
      </c>
      <c r="N837" s="48">
        <f t="shared" si="51"/>
        <v>7.5862749693072651</v>
      </c>
    </row>
    <row r="838" spans="1:14" x14ac:dyDescent="0.25">
      <c r="A838" s="5">
        <v>2023</v>
      </c>
      <c r="B838" s="4"/>
      <c r="C838" s="4">
        <v>641464461.26400006</v>
      </c>
      <c r="D838" s="4"/>
      <c r="E838" s="4">
        <v>183789331.27500001</v>
      </c>
      <c r="F838" s="4"/>
      <c r="G838" s="4">
        <v>2585383302.138</v>
      </c>
      <c r="H838" s="4"/>
      <c r="I838" s="4">
        <v>1335440393.5339999</v>
      </c>
      <c r="K838" s="48" t="e">
        <f t="shared" si="48"/>
        <v>#DIV/0!</v>
      </c>
      <c r="L838" s="48">
        <f t="shared" si="49"/>
        <v>4.0304388758241183</v>
      </c>
      <c r="M838" s="48" t="e">
        <f t="shared" si="50"/>
        <v>#DIV/0!</v>
      </c>
      <c r="N838" s="48">
        <f t="shared" si="51"/>
        <v>7.2661475193889755</v>
      </c>
    </row>
    <row r="839" spans="1:14" x14ac:dyDescent="0.25">
      <c r="A839" s="5">
        <v>2024</v>
      </c>
      <c r="B839" s="4"/>
      <c r="C839" s="4">
        <v>890341424.80700004</v>
      </c>
      <c r="D839" s="4"/>
      <c r="E839" s="4"/>
      <c r="F839" s="4"/>
      <c r="G839" s="4">
        <v>2376905163.2010002</v>
      </c>
      <c r="H839" s="4"/>
      <c r="I839" s="4"/>
      <c r="K839" s="48" t="e">
        <f t="shared" ref="K839:K902" si="52">F839/B839</f>
        <v>#DIV/0!</v>
      </c>
      <c r="L839" s="48">
        <f t="shared" ref="L839:L902" si="53">G839/C839</f>
        <v>2.6696558162687349</v>
      </c>
      <c r="M839" s="48" t="e">
        <f t="shared" ref="M839:M902" si="54">H839/D839</f>
        <v>#DIV/0!</v>
      </c>
      <c r="N839" s="48" t="e">
        <f t="shared" ref="N839:N902" si="55">I839/E839</f>
        <v>#DIV/0!</v>
      </c>
    </row>
    <row r="840" spans="1:14" x14ac:dyDescent="0.25">
      <c r="A840" s="5">
        <v>2025</v>
      </c>
      <c r="B840" s="4"/>
      <c r="C840" s="4">
        <v>546910368.62800002</v>
      </c>
      <c r="D840" s="4"/>
      <c r="E840" s="4">
        <v>692536042.375</v>
      </c>
      <c r="F840" s="4"/>
      <c r="G840" s="4">
        <v>2552740737.8390002</v>
      </c>
      <c r="H840" s="4"/>
      <c r="I840" s="4">
        <v>3576022613.7360001</v>
      </c>
      <c r="K840" s="48" t="e">
        <f t="shared" si="52"/>
        <v>#DIV/0!</v>
      </c>
      <c r="L840" s="48">
        <f t="shared" si="53"/>
        <v>4.6675669072482604</v>
      </c>
      <c r="M840" s="48" t="e">
        <f t="shared" si="54"/>
        <v>#DIV/0!</v>
      </c>
      <c r="N840" s="48">
        <f t="shared" si="55"/>
        <v>5.1636628203093959</v>
      </c>
    </row>
    <row r="841" spans="1:14" x14ac:dyDescent="0.25">
      <c r="A841" s="3" t="s">
        <v>89</v>
      </c>
      <c r="B841" s="4">
        <v>417396562.5109998</v>
      </c>
      <c r="C841" s="4"/>
      <c r="D841" s="4">
        <v>1852430825.9460001</v>
      </c>
      <c r="E841" s="4"/>
      <c r="F841" s="4">
        <v>443908871.9330005</v>
      </c>
      <c r="G841" s="4"/>
      <c r="H841" s="4">
        <v>1517123515.9019985</v>
      </c>
      <c r="I841" s="4"/>
      <c r="K841" s="48">
        <f t="shared" si="52"/>
        <v>1.0635182744738154</v>
      </c>
      <c r="L841" s="48" t="e">
        <f t="shared" si="53"/>
        <v>#DIV/0!</v>
      </c>
      <c r="M841" s="48">
        <f t="shared" si="54"/>
        <v>0.81899064442918312</v>
      </c>
      <c r="N841" s="48" t="e">
        <f t="shared" si="55"/>
        <v>#DIV/0!</v>
      </c>
    </row>
    <row r="842" spans="1:14" x14ac:dyDescent="0.25">
      <c r="A842" s="5">
        <v>2000</v>
      </c>
      <c r="B842" s="4">
        <v>83174998.883000001</v>
      </c>
      <c r="C842" s="4"/>
      <c r="D842" s="4"/>
      <c r="E842" s="4"/>
      <c r="F842" s="4">
        <v>63343448.681000099</v>
      </c>
      <c r="G842" s="4"/>
      <c r="H842" s="4"/>
      <c r="I842" s="4"/>
      <c r="K842" s="48">
        <f t="shared" si="52"/>
        <v>0.76156837429121693</v>
      </c>
      <c r="L842" s="48" t="e">
        <f t="shared" si="53"/>
        <v>#DIV/0!</v>
      </c>
      <c r="M842" s="48" t="e">
        <f t="shared" si="54"/>
        <v>#DIV/0!</v>
      </c>
      <c r="N842" s="48" t="e">
        <f t="shared" si="55"/>
        <v>#DIV/0!</v>
      </c>
    </row>
    <row r="843" spans="1:14" x14ac:dyDescent="0.25">
      <c r="A843" s="5">
        <v>2001</v>
      </c>
      <c r="B843" s="4">
        <v>125283917.85699999</v>
      </c>
      <c r="C843" s="4"/>
      <c r="D843" s="4"/>
      <c r="E843" s="4"/>
      <c r="F843" s="4">
        <v>114374064.46600001</v>
      </c>
      <c r="G843" s="4"/>
      <c r="H843" s="4"/>
      <c r="I843" s="4"/>
      <c r="K843" s="48">
        <f t="shared" si="52"/>
        <v>0.91291896376155335</v>
      </c>
      <c r="L843" s="48" t="e">
        <f t="shared" si="53"/>
        <v>#DIV/0!</v>
      </c>
      <c r="M843" s="48" t="e">
        <f t="shared" si="54"/>
        <v>#DIV/0!</v>
      </c>
      <c r="N843" s="48" t="e">
        <f t="shared" si="55"/>
        <v>#DIV/0!</v>
      </c>
    </row>
    <row r="844" spans="1:14" x14ac:dyDescent="0.25">
      <c r="A844" s="5">
        <v>2002</v>
      </c>
      <c r="B844" s="4">
        <v>21182368.287999999</v>
      </c>
      <c r="C844" s="4"/>
      <c r="D844" s="4"/>
      <c r="E844" s="4"/>
      <c r="F844" s="4">
        <v>84488420.482000098</v>
      </c>
      <c r="G844" s="4"/>
      <c r="H844" s="4"/>
      <c r="I844" s="4"/>
      <c r="K844" s="48">
        <f t="shared" si="52"/>
        <v>3.9886201265730774</v>
      </c>
      <c r="L844" s="48" t="e">
        <f t="shared" si="53"/>
        <v>#DIV/0!</v>
      </c>
      <c r="M844" s="48" t="e">
        <f t="shared" si="54"/>
        <v>#DIV/0!</v>
      </c>
      <c r="N844" s="48" t="e">
        <f t="shared" si="55"/>
        <v>#DIV/0!</v>
      </c>
    </row>
    <row r="845" spans="1:14" x14ac:dyDescent="0.25">
      <c r="A845" s="5">
        <v>2003</v>
      </c>
      <c r="B845" s="4">
        <v>34814574.283000097</v>
      </c>
      <c r="C845" s="4"/>
      <c r="D845" s="4"/>
      <c r="E845" s="4"/>
      <c r="F845" s="4">
        <v>0</v>
      </c>
      <c r="G845" s="4"/>
      <c r="H845" s="4"/>
      <c r="I845" s="4"/>
      <c r="K845" s="48">
        <f t="shared" si="52"/>
        <v>0</v>
      </c>
      <c r="L845" s="48" t="e">
        <f t="shared" si="53"/>
        <v>#DIV/0!</v>
      </c>
      <c r="M845" s="48" t="e">
        <f t="shared" si="54"/>
        <v>#DIV/0!</v>
      </c>
      <c r="N845" s="48" t="e">
        <f t="shared" si="55"/>
        <v>#DIV/0!</v>
      </c>
    </row>
    <row r="846" spans="1:14" x14ac:dyDescent="0.25">
      <c r="A846" s="5">
        <v>2004</v>
      </c>
      <c r="B846" s="4">
        <v>60755015.591999903</v>
      </c>
      <c r="C846" s="4"/>
      <c r="D846" s="4">
        <v>0</v>
      </c>
      <c r="E846" s="4"/>
      <c r="F846" s="4">
        <v>28000819.202</v>
      </c>
      <c r="G846" s="4"/>
      <c r="H846" s="4">
        <v>8231478.9919999801</v>
      </c>
      <c r="I846" s="4"/>
      <c r="K846" s="48">
        <f t="shared" si="52"/>
        <v>0.46088078373708935</v>
      </c>
      <c r="L846" s="48" t="e">
        <f t="shared" si="53"/>
        <v>#DIV/0!</v>
      </c>
      <c r="M846" s="48" t="e">
        <f t="shared" si="54"/>
        <v>#DIV/0!</v>
      </c>
      <c r="N846" s="48" t="e">
        <f t="shared" si="55"/>
        <v>#DIV/0!</v>
      </c>
    </row>
    <row r="847" spans="1:14" x14ac:dyDescent="0.25">
      <c r="A847" s="5">
        <v>2005</v>
      </c>
      <c r="B847" s="4">
        <v>10656197.226</v>
      </c>
      <c r="C847" s="4"/>
      <c r="D847" s="4"/>
      <c r="E847" s="4"/>
      <c r="F847" s="4">
        <v>0</v>
      </c>
      <c r="G847" s="4"/>
      <c r="H847" s="4"/>
      <c r="I847" s="4"/>
      <c r="K847" s="48">
        <f t="shared" si="52"/>
        <v>0</v>
      </c>
      <c r="L847" s="48" t="e">
        <f t="shared" si="53"/>
        <v>#DIV/0!</v>
      </c>
      <c r="M847" s="48" t="e">
        <f t="shared" si="54"/>
        <v>#DIV/0!</v>
      </c>
      <c r="N847" s="48" t="e">
        <f t="shared" si="55"/>
        <v>#DIV/0!</v>
      </c>
    </row>
    <row r="848" spans="1:14" x14ac:dyDescent="0.25">
      <c r="A848" s="5">
        <v>2006</v>
      </c>
      <c r="B848" s="4">
        <v>33265856.1879999</v>
      </c>
      <c r="C848" s="4"/>
      <c r="D848" s="4"/>
      <c r="E848" s="4"/>
      <c r="F848" s="4">
        <v>0</v>
      </c>
      <c r="G848" s="4"/>
      <c r="H848" s="4"/>
      <c r="I848" s="4"/>
      <c r="K848" s="48">
        <f t="shared" si="52"/>
        <v>0</v>
      </c>
      <c r="L848" s="48" t="e">
        <f t="shared" si="53"/>
        <v>#DIV/0!</v>
      </c>
      <c r="M848" s="48" t="e">
        <f t="shared" si="54"/>
        <v>#DIV/0!</v>
      </c>
      <c r="N848" s="48" t="e">
        <f t="shared" si="55"/>
        <v>#DIV/0!</v>
      </c>
    </row>
    <row r="849" spans="1:14" x14ac:dyDescent="0.25">
      <c r="A849" s="5">
        <v>2008</v>
      </c>
      <c r="B849" s="4">
        <v>20424309.706</v>
      </c>
      <c r="C849" s="4"/>
      <c r="D849" s="4"/>
      <c r="E849" s="4"/>
      <c r="F849" s="4">
        <v>20709002.747000299</v>
      </c>
      <c r="G849" s="4"/>
      <c r="H849" s="4"/>
      <c r="I849" s="4"/>
      <c r="K849" s="48">
        <f t="shared" si="52"/>
        <v>1.0139389308671061</v>
      </c>
      <c r="L849" s="48" t="e">
        <f t="shared" si="53"/>
        <v>#DIV/0!</v>
      </c>
      <c r="M849" s="48" t="e">
        <f t="shared" si="54"/>
        <v>#DIV/0!</v>
      </c>
      <c r="N849" s="48" t="e">
        <f t="shared" si="55"/>
        <v>#DIV/0!</v>
      </c>
    </row>
    <row r="850" spans="1:14" x14ac:dyDescent="0.25">
      <c r="A850" s="5">
        <v>2009</v>
      </c>
      <c r="B850" s="4">
        <v>27839324.487999901</v>
      </c>
      <c r="C850" s="4"/>
      <c r="D850" s="4"/>
      <c r="E850" s="4"/>
      <c r="F850" s="4">
        <v>132993116.355</v>
      </c>
      <c r="G850" s="4"/>
      <c r="H850" s="4"/>
      <c r="I850" s="4"/>
      <c r="K850" s="48">
        <f t="shared" si="52"/>
        <v>4.7771675067879782</v>
      </c>
      <c r="L850" s="48" t="e">
        <f t="shared" si="53"/>
        <v>#DIV/0!</v>
      </c>
      <c r="M850" s="48" t="e">
        <f t="shared" si="54"/>
        <v>#DIV/0!</v>
      </c>
      <c r="N850" s="48" t="e">
        <f t="shared" si="55"/>
        <v>#DIV/0!</v>
      </c>
    </row>
    <row r="851" spans="1:14" x14ac:dyDescent="0.25">
      <c r="A851" s="5">
        <v>2012</v>
      </c>
      <c r="B851" s="4"/>
      <c r="C851" s="4"/>
      <c r="D851" s="4">
        <v>363792902.40600002</v>
      </c>
      <c r="E851" s="4"/>
      <c r="F851" s="4"/>
      <c r="G851" s="4"/>
      <c r="H851" s="4">
        <v>557237692.93900001</v>
      </c>
      <c r="I851" s="4"/>
      <c r="K851" s="48" t="e">
        <f t="shared" si="52"/>
        <v>#DIV/0!</v>
      </c>
      <c r="L851" s="48" t="e">
        <f t="shared" si="53"/>
        <v>#DIV/0!</v>
      </c>
      <c r="M851" s="48">
        <f t="shared" si="54"/>
        <v>1.5317442678337683</v>
      </c>
      <c r="N851" s="48" t="e">
        <f t="shared" si="55"/>
        <v>#DIV/0!</v>
      </c>
    </row>
    <row r="852" spans="1:14" x14ac:dyDescent="0.25">
      <c r="A852" s="5">
        <v>2013</v>
      </c>
      <c r="B852" s="4"/>
      <c r="C852" s="4"/>
      <c r="D852" s="4">
        <v>409629819.07200003</v>
      </c>
      <c r="E852" s="4"/>
      <c r="F852" s="4"/>
      <c r="G852" s="4"/>
      <c r="H852" s="4">
        <v>501798081.169999</v>
      </c>
      <c r="I852" s="4"/>
      <c r="K852" s="48" t="e">
        <f t="shared" si="52"/>
        <v>#DIV/0!</v>
      </c>
      <c r="L852" s="48" t="e">
        <f t="shared" si="53"/>
        <v>#DIV/0!</v>
      </c>
      <c r="M852" s="48">
        <f t="shared" si="54"/>
        <v>1.2250037907562552</v>
      </c>
      <c r="N852" s="48" t="e">
        <f t="shared" si="55"/>
        <v>#DIV/0!</v>
      </c>
    </row>
    <row r="853" spans="1:14" x14ac:dyDescent="0.25">
      <c r="A853" s="5">
        <v>2014</v>
      </c>
      <c r="B853" s="4"/>
      <c r="C853" s="4"/>
      <c r="D853" s="4">
        <v>193525154.65700001</v>
      </c>
      <c r="E853" s="4"/>
      <c r="F853" s="4"/>
      <c r="G853" s="4"/>
      <c r="H853" s="4">
        <v>225253493.31900001</v>
      </c>
      <c r="I853" s="4"/>
      <c r="K853" s="48" t="e">
        <f t="shared" si="52"/>
        <v>#DIV/0!</v>
      </c>
      <c r="L853" s="48" t="e">
        <f t="shared" si="53"/>
        <v>#DIV/0!</v>
      </c>
      <c r="M853" s="48">
        <f t="shared" si="54"/>
        <v>1.1639494293040853</v>
      </c>
      <c r="N853" s="48" t="e">
        <f t="shared" si="55"/>
        <v>#DIV/0!</v>
      </c>
    </row>
    <row r="854" spans="1:14" x14ac:dyDescent="0.25">
      <c r="A854" s="5">
        <v>2015</v>
      </c>
      <c r="B854" s="4"/>
      <c r="C854" s="4"/>
      <c r="D854" s="4">
        <v>100063525.455</v>
      </c>
      <c r="E854" s="4"/>
      <c r="F854" s="4"/>
      <c r="G854" s="4"/>
      <c r="H854" s="4">
        <v>0</v>
      </c>
      <c r="I854" s="4"/>
      <c r="K854" s="48" t="e">
        <f t="shared" si="52"/>
        <v>#DIV/0!</v>
      </c>
      <c r="L854" s="48" t="e">
        <f t="shared" si="53"/>
        <v>#DIV/0!</v>
      </c>
      <c r="M854" s="48">
        <f t="shared" si="54"/>
        <v>0</v>
      </c>
      <c r="N854" s="48" t="e">
        <f t="shared" si="55"/>
        <v>#DIV/0!</v>
      </c>
    </row>
    <row r="855" spans="1:14" x14ac:dyDescent="0.25">
      <c r="A855" s="5">
        <v>2016</v>
      </c>
      <c r="B855" s="4"/>
      <c r="C855" s="4"/>
      <c r="D855" s="4">
        <v>32238890.901999999</v>
      </c>
      <c r="E855" s="4"/>
      <c r="F855" s="4"/>
      <c r="G855" s="4"/>
      <c r="H855" s="4">
        <v>0</v>
      </c>
      <c r="I855" s="4"/>
      <c r="K855" s="48" t="e">
        <f t="shared" si="52"/>
        <v>#DIV/0!</v>
      </c>
      <c r="L855" s="48" t="e">
        <f t="shared" si="53"/>
        <v>#DIV/0!</v>
      </c>
      <c r="M855" s="48">
        <f t="shared" si="54"/>
        <v>0</v>
      </c>
      <c r="N855" s="48" t="e">
        <f t="shared" si="55"/>
        <v>#DIV/0!</v>
      </c>
    </row>
    <row r="856" spans="1:14" x14ac:dyDescent="0.25">
      <c r="A856" s="5">
        <v>2017</v>
      </c>
      <c r="B856" s="4"/>
      <c r="C856" s="4"/>
      <c r="D856" s="4">
        <v>124046392.943</v>
      </c>
      <c r="E856" s="4"/>
      <c r="F856" s="4"/>
      <c r="G856" s="4"/>
      <c r="H856" s="4">
        <v>32156829.591001499</v>
      </c>
      <c r="I856" s="4"/>
      <c r="K856" s="48" t="e">
        <f t="shared" si="52"/>
        <v>#DIV/0!</v>
      </c>
      <c r="L856" s="48" t="e">
        <f t="shared" si="53"/>
        <v>#DIV/0!</v>
      </c>
      <c r="M856" s="48">
        <f t="shared" si="54"/>
        <v>0.25923228260073422</v>
      </c>
      <c r="N856" s="48" t="e">
        <f t="shared" si="55"/>
        <v>#DIV/0!</v>
      </c>
    </row>
    <row r="857" spans="1:14" x14ac:dyDescent="0.25">
      <c r="A857" s="5">
        <v>2018</v>
      </c>
      <c r="B857" s="4"/>
      <c r="C857" s="4"/>
      <c r="D857" s="4">
        <v>184451763.711</v>
      </c>
      <c r="E857" s="4"/>
      <c r="F857" s="4"/>
      <c r="G857" s="4"/>
      <c r="H857" s="4">
        <v>92158403.232999802</v>
      </c>
      <c r="I857" s="4"/>
      <c r="K857" s="48" t="e">
        <f t="shared" si="52"/>
        <v>#DIV/0!</v>
      </c>
      <c r="L857" s="48" t="e">
        <f t="shared" si="53"/>
        <v>#DIV/0!</v>
      </c>
      <c r="M857" s="48">
        <f t="shared" si="54"/>
        <v>0.49963416656396997</v>
      </c>
      <c r="N857" s="48" t="e">
        <f t="shared" si="55"/>
        <v>#DIV/0!</v>
      </c>
    </row>
    <row r="858" spans="1:14" x14ac:dyDescent="0.25">
      <c r="A858" s="5">
        <v>2019</v>
      </c>
      <c r="B858" s="4"/>
      <c r="C858" s="4"/>
      <c r="D858" s="4">
        <v>80650916.031999797</v>
      </c>
      <c r="E858" s="4"/>
      <c r="F858" s="4"/>
      <c r="G858" s="4"/>
      <c r="H858" s="4">
        <v>0</v>
      </c>
      <c r="I858" s="4"/>
      <c r="K858" s="48" t="e">
        <f t="shared" si="52"/>
        <v>#DIV/0!</v>
      </c>
      <c r="L858" s="48" t="e">
        <f t="shared" si="53"/>
        <v>#DIV/0!</v>
      </c>
      <c r="M858" s="48">
        <f t="shared" si="54"/>
        <v>0</v>
      </c>
      <c r="N858" s="48" t="e">
        <f t="shared" si="55"/>
        <v>#DIV/0!</v>
      </c>
    </row>
    <row r="859" spans="1:14" x14ac:dyDescent="0.25">
      <c r="A859" s="5">
        <v>2020</v>
      </c>
      <c r="B859" s="4"/>
      <c r="C859" s="4"/>
      <c r="D859" s="4">
        <v>96802344.752000093</v>
      </c>
      <c r="E859" s="4"/>
      <c r="F859" s="4"/>
      <c r="G859" s="4"/>
      <c r="H859" s="4">
        <v>0</v>
      </c>
      <c r="I859" s="4"/>
      <c r="K859" s="48" t="e">
        <f t="shared" si="52"/>
        <v>#DIV/0!</v>
      </c>
      <c r="L859" s="48" t="e">
        <f t="shared" si="53"/>
        <v>#DIV/0!</v>
      </c>
      <c r="M859" s="48">
        <f t="shared" si="54"/>
        <v>0</v>
      </c>
      <c r="N859" s="48" t="e">
        <f t="shared" si="55"/>
        <v>#DIV/0!</v>
      </c>
    </row>
    <row r="860" spans="1:14" x14ac:dyDescent="0.25">
      <c r="A860" s="5">
        <v>2021</v>
      </c>
      <c r="B860" s="4"/>
      <c r="C860" s="4"/>
      <c r="D860" s="4">
        <v>102750316.103</v>
      </c>
      <c r="E860" s="4"/>
      <c r="F860" s="4"/>
      <c r="G860" s="4"/>
      <c r="H860" s="4">
        <v>0</v>
      </c>
      <c r="I860" s="4"/>
      <c r="K860" s="48" t="e">
        <f t="shared" si="52"/>
        <v>#DIV/0!</v>
      </c>
      <c r="L860" s="48" t="e">
        <f t="shared" si="53"/>
        <v>#DIV/0!</v>
      </c>
      <c r="M860" s="48">
        <f t="shared" si="54"/>
        <v>0</v>
      </c>
      <c r="N860" s="48" t="e">
        <f t="shared" si="55"/>
        <v>#DIV/0!</v>
      </c>
    </row>
    <row r="861" spans="1:14" x14ac:dyDescent="0.25">
      <c r="A861" s="5">
        <v>2024</v>
      </c>
      <c r="B861" s="4"/>
      <c r="C861" s="4"/>
      <c r="D861" s="4">
        <v>164478799.91299999</v>
      </c>
      <c r="E861" s="4"/>
      <c r="F861" s="4"/>
      <c r="G861" s="4"/>
      <c r="H861" s="4">
        <v>100287536.657998</v>
      </c>
      <c r="I861" s="4"/>
      <c r="K861" s="48" t="e">
        <f t="shared" si="52"/>
        <v>#DIV/0!</v>
      </c>
      <c r="L861" s="48" t="e">
        <f t="shared" si="53"/>
        <v>#DIV/0!</v>
      </c>
      <c r="M861" s="48">
        <f t="shared" si="54"/>
        <v>0.60972925818430368</v>
      </c>
      <c r="N861" s="48" t="e">
        <f t="shared" si="55"/>
        <v>#DIV/0!</v>
      </c>
    </row>
    <row r="862" spans="1:14" x14ac:dyDescent="0.25">
      <c r="A862" s="3" t="s">
        <v>70</v>
      </c>
      <c r="B862" s="4">
        <v>109293471.27000001</v>
      </c>
      <c r="C862" s="4">
        <v>23532017.629999999</v>
      </c>
      <c r="D862" s="4">
        <v>62240189.01699999</v>
      </c>
      <c r="E862" s="4"/>
      <c r="F862" s="4">
        <v>188864430.14300001</v>
      </c>
      <c r="G862" s="4">
        <v>188989850.53200001</v>
      </c>
      <c r="H862" s="4">
        <v>231813704.42499998</v>
      </c>
      <c r="I862" s="4"/>
      <c r="K862" s="48">
        <f t="shared" si="52"/>
        <v>1.7280486011504463</v>
      </c>
      <c r="L862" s="48">
        <f t="shared" si="53"/>
        <v>8.0311792003361688</v>
      </c>
      <c r="M862" s="48">
        <f t="shared" si="54"/>
        <v>3.7245019349424453</v>
      </c>
      <c r="N862" s="48" t="e">
        <f t="shared" si="55"/>
        <v>#DIV/0!</v>
      </c>
    </row>
    <row r="863" spans="1:14" x14ac:dyDescent="0.25">
      <c r="A863" s="5">
        <v>2000</v>
      </c>
      <c r="B863" s="4"/>
      <c r="C863" s="4">
        <v>2636508</v>
      </c>
      <c r="D863" s="4"/>
      <c r="E863" s="4"/>
      <c r="F863" s="4"/>
      <c r="G863" s="4">
        <v>12771248.818</v>
      </c>
      <c r="H863" s="4"/>
      <c r="I863" s="4"/>
      <c r="K863" s="48" t="e">
        <f t="shared" si="52"/>
        <v>#DIV/0!</v>
      </c>
      <c r="L863" s="48">
        <f t="shared" si="53"/>
        <v>4.844001542191414</v>
      </c>
      <c r="M863" s="48" t="e">
        <f t="shared" si="54"/>
        <v>#DIV/0!</v>
      </c>
      <c r="N863" s="48" t="e">
        <f t="shared" si="55"/>
        <v>#DIV/0!</v>
      </c>
    </row>
    <row r="864" spans="1:14" x14ac:dyDescent="0.25">
      <c r="A864" s="5">
        <v>2001</v>
      </c>
      <c r="B864" s="4">
        <v>1645461</v>
      </c>
      <c r="C864" s="4">
        <v>3659712</v>
      </c>
      <c r="D864" s="4">
        <v>717978</v>
      </c>
      <c r="E864" s="4"/>
      <c r="F864" s="4">
        <v>1724007.149</v>
      </c>
      <c r="G864" s="4">
        <v>24162868.986000001</v>
      </c>
      <c r="H864" s="4">
        <v>845273.22199999995</v>
      </c>
      <c r="I864" s="4"/>
      <c r="K864" s="48">
        <f t="shared" si="52"/>
        <v>1.0477350414260806</v>
      </c>
      <c r="L864" s="48">
        <f t="shared" si="53"/>
        <v>6.6023963049551444</v>
      </c>
      <c r="M864" s="48">
        <f t="shared" si="54"/>
        <v>1.1772968280365135</v>
      </c>
      <c r="N864" s="48" t="e">
        <f t="shared" si="55"/>
        <v>#DIV/0!</v>
      </c>
    </row>
    <row r="865" spans="1:14" x14ac:dyDescent="0.25">
      <c r="A865" s="5">
        <v>2002</v>
      </c>
      <c r="B865" s="4"/>
      <c r="C865" s="4"/>
      <c r="D865" s="4">
        <v>1595245</v>
      </c>
      <c r="E865" s="4"/>
      <c r="F865" s="4"/>
      <c r="G865" s="4"/>
      <c r="H865" s="4">
        <v>1494136.544</v>
      </c>
      <c r="I865" s="4"/>
      <c r="K865" s="48" t="e">
        <f t="shared" si="52"/>
        <v>#DIV/0!</v>
      </c>
      <c r="L865" s="48" t="e">
        <f t="shared" si="53"/>
        <v>#DIV/0!</v>
      </c>
      <c r="M865" s="48">
        <f t="shared" si="54"/>
        <v>0.93661885415719837</v>
      </c>
      <c r="N865" s="48" t="e">
        <f t="shared" si="55"/>
        <v>#DIV/0!</v>
      </c>
    </row>
    <row r="866" spans="1:14" x14ac:dyDescent="0.25">
      <c r="A866" s="5">
        <v>2003</v>
      </c>
      <c r="B866" s="4"/>
      <c r="C866" s="4"/>
      <c r="D866" s="4">
        <v>2072769</v>
      </c>
      <c r="E866" s="4"/>
      <c r="F866" s="4"/>
      <c r="G866" s="4"/>
      <c r="H866" s="4">
        <v>3017541.5329999998</v>
      </c>
      <c r="I866" s="4"/>
      <c r="K866" s="48" t="e">
        <f t="shared" si="52"/>
        <v>#DIV/0!</v>
      </c>
      <c r="L866" s="48" t="e">
        <f t="shared" si="53"/>
        <v>#DIV/0!</v>
      </c>
      <c r="M866" s="48">
        <f t="shared" si="54"/>
        <v>1.4558021337640614</v>
      </c>
      <c r="N866" s="48" t="e">
        <f t="shared" si="55"/>
        <v>#DIV/0!</v>
      </c>
    </row>
    <row r="867" spans="1:14" x14ac:dyDescent="0.25">
      <c r="A867" s="5">
        <v>2004</v>
      </c>
      <c r="B867" s="4"/>
      <c r="C867" s="4"/>
      <c r="D867" s="4">
        <v>1856119</v>
      </c>
      <c r="E867" s="4"/>
      <c r="F867" s="4"/>
      <c r="G867" s="4"/>
      <c r="H867" s="4">
        <v>2853368.33</v>
      </c>
      <c r="I867" s="4"/>
      <c r="K867" s="48" t="e">
        <f t="shared" si="52"/>
        <v>#DIV/0!</v>
      </c>
      <c r="L867" s="48" t="e">
        <f t="shared" si="53"/>
        <v>#DIV/0!</v>
      </c>
      <c r="M867" s="48">
        <f t="shared" si="54"/>
        <v>1.5372766131912878</v>
      </c>
      <c r="N867" s="48" t="e">
        <f t="shared" si="55"/>
        <v>#DIV/0!</v>
      </c>
    </row>
    <row r="868" spans="1:14" x14ac:dyDescent="0.25">
      <c r="A868" s="5">
        <v>2005</v>
      </c>
      <c r="B868" s="4"/>
      <c r="C868" s="4"/>
      <c r="D868" s="4">
        <v>2780793</v>
      </c>
      <c r="E868" s="4"/>
      <c r="F868" s="4"/>
      <c r="G868" s="4"/>
      <c r="H868" s="4">
        <v>4872883.3289999999</v>
      </c>
      <c r="I868" s="4"/>
      <c r="K868" s="48" t="e">
        <f t="shared" si="52"/>
        <v>#DIV/0!</v>
      </c>
      <c r="L868" s="48" t="e">
        <f t="shared" si="53"/>
        <v>#DIV/0!</v>
      </c>
      <c r="M868" s="48">
        <f t="shared" si="54"/>
        <v>1.752335872896688</v>
      </c>
      <c r="N868" s="48" t="e">
        <f t="shared" si="55"/>
        <v>#DIV/0!</v>
      </c>
    </row>
    <row r="869" spans="1:14" x14ac:dyDescent="0.25">
      <c r="A869" s="5">
        <v>2006</v>
      </c>
      <c r="B869" s="4"/>
      <c r="C869" s="4"/>
      <c r="D869" s="4">
        <v>3619431</v>
      </c>
      <c r="E869" s="4"/>
      <c r="F869" s="4"/>
      <c r="G869" s="4"/>
      <c r="H869" s="4">
        <v>7662893.0259999996</v>
      </c>
      <c r="I869" s="4"/>
      <c r="K869" s="48" t="e">
        <f t="shared" si="52"/>
        <v>#DIV/0!</v>
      </c>
      <c r="L869" s="48" t="e">
        <f t="shared" si="53"/>
        <v>#DIV/0!</v>
      </c>
      <c r="M869" s="48">
        <f t="shared" si="54"/>
        <v>2.1171540570879785</v>
      </c>
      <c r="N869" s="48" t="e">
        <f t="shared" si="55"/>
        <v>#DIV/0!</v>
      </c>
    </row>
    <row r="870" spans="1:14" x14ac:dyDescent="0.25">
      <c r="A870" s="5">
        <v>2007</v>
      </c>
      <c r="B870" s="4"/>
      <c r="C870" s="4">
        <v>2534915</v>
      </c>
      <c r="D870" s="4">
        <v>3233968</v>
      </c>
      <c r="E870" s="4"/>
      <c r="F870" s="4"/>
      <c r="G870" s="4">
        <v>24128578.988000002</v>
      </c>
      <c r="H870" s="4">
        <v>7122769.2249999996</v>
      </c>
      <c r="I870" s="4"/>
      <c r="K870" s="48" t="e">
        <f t="shared" si="52"/>
        <v>#DIV/0!</v>
      </c>
      <c r="L870" s="48">
        <f t="shared" si="53"/>
        <v>9.5184962762065002</v>
      </c>
      <c r="M870" s="48">
        <f t="shared" si="54"/>
        <v>2.2024859939863348</v>
      </c>
      <c r="N870" s="48" t="e">
        <f t="shared" si="55"/>
        <v>#DIV/0!</v>
      </c>
    </row>
    <row r="871" spans="1:14" x14ac:dyDescent="0.25">
      <c r="A871" s="5">
        <v>2008</v>
      </c>
      <c r="B871" s="4"/>
      <c r="C871" s="4">
        <v>3447966</v>
      </c>
      <c r="D871" s="4">
        <v>4363482</v>
      </c>
      <c r="E871" s="4"/>
      <c r="F871" s="4"/>
      <c r="G871" s="4">
        <v>29391014.368000001</v>
      </c>
      <c r="H871" s="4">
        <v>11626964.369999999</v>
      </c>
      <c r="I871" s="4"/>
      <c r="K871" s="48" t="e">
        <f t="shared" si="52"/>
        <v>#DIV/0!</v>
      </c>
      <c r="L871" s="48">
        <f t="shared" si="53"/>
        <v>8.5241601477508766</v>
      </c>
      <c r="M871" s="48">
        <f t="shared" si="54"/>
        <v>2.6646069285950991</v>
      </c>
      <c r="N871" s="48" t="e">
        <f t="shared" si="55"/>
        <v>#DIV/0!</v>
      </c>
    </row>
    <row r="872" spans="1:14" x14ac:dyDescent="0.25">
      <c r="A872" s="5">
        <v>2009</v>
      </c>
      <c r="B872" s="4"/>
      <c r="C872" s="4"/>
      <c r="D872" s="4">
        <v>4665831</v>
      </c>
      <c r="E872" s="4"/>
      <c r="F872" s="4"/>
      <c r="G872" s="4"/>
      <c r="H872" s="4">
        <v>15503350.204</v>
      </c>
      <c r="I872" s="4"/>
      <c r="K872" s="48" t="e">
        <f t="shared" si="52"/>
        <v>#DIV/0!</v>
      </c>
      <c r="L872" s="48" t="e">
        <f t="shared" si="53"/>
        <v>#DIV/0!</v>
      </c>
      <c r="M872" s="48">
        <f t="shared" si="54"/>
        <v>3.3227414803493738</v>
      </c>
      <c r="N872" s="48" t="e">
        <f t="shared" si="55"/>
        <v>#DIV/0!</v>
      </c>
    </row>
    <row r="873" spans="1:14" x14ac:dyDescent="0.25">
      <c r="A873" s="5">
        <v>2013</v>
      </c>
      <c r="B873" s="4"/>
      <c r="C873" s="4"/>
      <c r="D873" s="4">
        <v>858762.57</v>
      </c>
      <c r="E873" s="4"/>
      <c r="F873" s="4"/>
      <c r="G873" s="4"/>
      <c r="H873" s="4">
        <v>4147832.6770000001</v>
      </c>
      <c r="I873" s="4"/>
      <c r="K873" s="48" t="e">
        <f t="shared" si="52"/>
        <v>#DIV/0!</v>
      </c>
      <c r="L873" s="48" t="e">
        <f t="shared" si="53"/>
        <v>#DIV/0!</v>
      </c>
      <c r="M873" s="48">
        <f t="shared" si="54"/>
        <v>4.8300110203918187</v>
      </c>
      <c r="N873" s="48" t="e">
        <f t="shared" si="55"/>
        <v>#DIV/0!</v>
      </c>
    </row>
    <row r="874" spans="1:14" x14ac:dyDescent="0.25">
      <c r="A874" s="5">
        <v>2015</v>
      </c>
      <c r="B874" s="4">
        <v>3856009.65</v>
      </c>
      <c r="C874" s="4"/>
      <c r="D874" s="4">
        <v>1041025.33</v>
      </c>
      <c r="E874" s="4"/>
      <c r="F874" s="4">
        <v>6487621.2960000001</v>
      </c>
      <c r="G874" s="4"/>
      <c r="H874" s="4">
        <v>4517810.6349999998</v>
      </c>
      <c r="I874" s="4"/>
      <c r="K874" s="48">
        <f t="shared" si="52"/>
        <v>1.6824701919508942</v>
      </c>
      <c r="L874" s="48" t="e">
        <f t="shared" si="53"/>
        <v>#DIV/0!</v>
      </c>
      <c r="M874" s="48">
        <f t="shared" si="54"/>
        <v>4.3397701331628502</v>
      </c>
      <c r="N874" s="48" t="e">
        <f t="shared" si="55"/>
        <v>#DIV/0!</v>
      </c>
    </row>
    <row r="875" spans="1:14" x14ac:dyDescent="0.25">
      <c r="A875" s="5">
        <v>2018</v>
      </c>
      <c r="B875" s="4">
        <v>16213393.6</v>
      </c>
      <c r="C875" s="4"/>
      <c r="D875" s="4">
        <v>3386155.7769999998</v>
      </c>
      <c r="E875" s="4"/>
      <c r="F875" s="4">
        <v>29717380.491999999</v>
      </c>
      <c r="G875" s="4"/>
      <c r="H875" s="4">
        <v>16091649.786</v>
      </c>
      <c r="I875" s="4"/>
      <c r="K875" s="48">
        <f t="shared" si="52"/>
        <v>1.8328908324288136</v>
      </c>
      <c r="L875" s="48" t="e">
        <f t="shared" si="53"/>
        <v>#DIV/0!</v>
      </c>
      <c r="M875" s="48">
        <f t="shared" si="54"/>
        <v>4.7521882765407106</v>
      </c>
      <c r="N875" s="48" t="e">
        <f t="shared" si="55"/>
        <v>#DIV/0!</v>
      </c>
    </row>
    <row r="876" spans="1:14" x14ac:dyDescent="0.25">
      <c r="A876" s="5">
        <v>2019</v>
      </c>
      <c r="B876" s="4">
        <v>12775664</v>
      </c>
      <c r="C876" s="4"/>
      <c r="D876" s="4">
        <v>2232153.4</v>
      </c>
      <c r="E876" s="4"/>
      <c r="F876" s="4">
        <v>19723198.079</v>
      </c>
      <c r="G876" s="4"/>
      <c r="H876" s="4">
        <v>10387940.727</v>
      </c>
      <c r="I876" s="4"/>
      <c r="K876" s="48">
        <f t="shared" si="52"/>
        <v>1.5438100187199664</v>
      </c>
      <c r="L876" s="48" t="e">
        <f t="shared" si="53"/>
        <v>#DIV/0!</v>
      </c>
      <c r="M876" s="48">
        <f t="shared" si="54"/>
        <v>4.653775464983724</v>
      </c>
      <c r="N876" s="48" t="e">
        <f t="shared" si="55"/>
        <v>#DIV/0!</v>
      </c>
    </row>
    <row r="877" spans="1:14" x14ac:dyDescent="0.25">
      <c r="A877" s="5">
        <v>2020</v>
      </c>
      <c r="B877" s="4">
        <v>17371863.370000001</v>
      </c>
      <c r="C877" s="4"/>
      <c r="D877" s="4">
        <v>5331999.62</v>
      </c>
      <c r="E877" s="4"/>
      <c r="F877" s="4">
        <v>25745873.462000001</v>
      </c>
      <c r="G877" s="4"/>
      <c r="H877" s="4">
        <v>23060653.237</v>
      </c>
      <c r="I877" s="4"/>
      <c r="K877" s="48">
        <f t="shared" si="52"/>
        <v>1.4820444366642518</v>
      </c>
      <c r="L877" s="48" t="e">
        <f t="shared" si="53"/>
        <v>#DIV/0!</v>
      </c>
      <c r="M877" s="48">
        <f t="shared" si="54"/>
        <v>4.3249540285976238</v>
      </c>
      <c r="N877" s="48" t="e">
        <f t="shared" si="55"/>
        <v>#DIV/0!</v>
      </c>
    </row>
    <row r="878" spans="1:14" x14ac:dyDescent="0.25">
      <c r="A878" s="5">
        <v>2021</v>
      </c>
      <c r="B878" s="4">
        <v>19502447.23</v>
      </c>
      <c r="C878" s="4">
        <v>2934308.3</v>
      </c>
      <c r="D878" s="4">
        <v>7819189.9100000001</v>
      </c>
      <c r="E878" s="4"/>
      <c r="F878" s="4">
        <v>32315714.734999999</v>
      </c>
      <c r="G878" s="4">
        <v>21326120.679000001</v>
      </c>
      <c r="H878" s="4">
        <v>37967194.085000001</v>
      </c>
      <c r="I878" s="4"/>
      <c r="K878" s="48">
        <f t="shared" si="52"/>
        <v>1.6570081874283835</v>
      </c>
      <c r="L878" s="48">
        <f t="shared" si="53"/>
        <v>7.2678527607341064</v>
      </c>
      <c r="M878" s="48">
        <f t="shared" si="54"/>
        <v>4.8556429146763112</v>
      </c>
      <c r="N878" s="48" t="e">
        <f t="shared" si="55"/>
        <v>#DIV/0!</v>
      </c>
    </row>
    <row r="879" spans="1:14" x14ac:dyDescent="0.25">
      <c r="A879" s="5">
        <v>2022</v>
      </c>
      <c r="B879" s="4">
        <v>16358632.4</v>
      </c>
      <c r="C879" s="4">
        <v>3517909.7</v>
      </c>
      <c r="D879" s="4">
        <v>5984324.0599999996</v>
      </c>
      <c r="E879" s="4"/>
      <c r="F879" s="4">
        <v>29087342.688000001</v>
      </c>
      <c r="G879" s="4">
        <v>29043650.131999999</v>
      </c>
      <c r="H879" s="4">
        <v>27629381.112</v>
      </c>
      <c r="I879" s="4"/>
      <c r="K879" s="48">
        <f t="shared" si="52"/>
        <v>1.7781035710540205</v>
      </c>
      <c r="L879" s="48">
        <f t="shared" si="53"/>
        <v>8.2559396371089342</v>
      </c>
      <c r="M879" s="48">
        <f t="shared" si="54"/>
        <v>4.6169593817083499</v>
      </c>
      <c r="N879" s="48" t="e">
        <f t="shared" si="55"/>
        <v>#DIV/0!</v>
      </c>
    </row>
    <row r="880" spans="1:14" x14ac:dyDescent="0.25">
      <c r="A880" s="5">
        <v>2023</v>
      </c>
      <c r="B880" s="4">
        <v>16690604.939999999</v>
      </c>
      <c r="C880" s="4">
        <v>4800698.63</v>
      </c>
      <c r="D880" s="4">
        <v>6659880.6100000003</v>
      </c>
      <c r="E880" s="4"/>
      <c r="F880" s="4">
        <v>34507559.681000002</v>
      </c>
      <c r="G880" s="4">
        <v>48166368.560999997</v>
      </c>
      <c r="H880" s="4">
        <v>33011694.982999999</v>
      </c>
      <c r="I880" s="4"/>
      <c r="K880" s="48">
        <f t="shared" si="52"/>
        <v>2.0674840609462057</v>
      </c>
      <c r="L880" s="48">
        <f t="shared" si="53"/>
        <v>10.033199805545802</v>
      </c>
      <c r="M880" s="48">
        <f t="shared" si="54"/>
        <v>4.9567998161156224</v>
      </c>
      <c r="N880" s="48" t="e">
        <f t="shared" si="55"/>
        <v>#DIV/0!</v>
      </c>
    </row>
    <row r="881" spans="1:14" x14ac:dyDescent="0.25">
      <c r="A881" s="5">
        <v>2024</v>
      </c>
      <c r="B881" s="4">
        <v>3448550.27</v>
      </c>
      <c r="C881" s="4"/>
      <c r="D881" s="4">
        <v>2160888.62</v>
      </c>
      <c r="E881" s="4"/>
      <c r="F881" s="4">
        <v>6924445.8370000003</v>
      </c>
      <c r="G881" s="4"/>
      <c r="H881" s="4">
        <v>10762441.801999999</v>
      </c>
      <c r="I881" s="4"/>
      <c r="K881" s="48">
        <f t="shared" si="52"/>
        <v>2.0079295051134634</v>
      </c>
      <c r="L881" s="48" t="e">
        <f t="shared" si="53"/>
        <v>#DIV/0!</v>
      </c>
      <c r="M881" s="48">
        <f t="shared" si="54"/>
        <v>4.9805629509955951</v>
      </c>
      <c r="N881" s="48" t="e">
        <f t="shared" si="55"/>
        <v>#DIV/0!</v>
      </c>
    </row>
    <row r="882" spans="1:14" x14ac:dyDescent="0.25">
      <c r="A882" s="5">
        <v>2025</v>
      </c>
      <c r="B882" s="4">
        <v>1430844.81</v>
      </c>
      <c r="C882" s="4"/>
      <c r="D882" s="4">
        <v>1860193.12</v>
      </c>
      <c r="E882" s="4"/>
      <c r="F882" s="4">
        <v>2631286.7239999999</v>
      </c>
      <c r="G882" s="4"/>
      <c r="H882" s="4">
        <v>9237925.5979999993</v>
      </c>
      <c r="I882" s="4"/>
      <c r="K882" s="48">
        <f t="shared" si="52"/>
        <v>1.838974223906225</v>
      </c>
      <c r="L882" s="48" t="e">
        <f t="shared" si="53"/>
        <v>#DIV/0!</v>
      </c>
      <c r="M882" s="48">
        <f t="shared" si="54"/>
        <v>4.966111044427473</v>
      </c>
      <c r="N882" s="48" t="e">
        <f t="shared" si="55"/>
        <v>#DIV/0!</v>
      </c>
    </row>
    <row r="883" spans="1:14" x14ac:dyDescent="0.25">
      <c r="A883" s="3" t="s">
        <v>111</v>
      </c>
      <c r="B883" s="4"/>
      <c r="C883" s="4"/>
      <c r="D883" s="4">
        <v>3356744</v>
      </c>
      <c r="E883" s="4"/>
      <c r="F883" s="4"/>
      <c r="G883" s="4"/>
      <c r="H883" s="4">
        <v>4735098.9160000002</v>
      </c>
      <c r="I883" s="4"/>
      <c r="K883" s="48" t="e">
        <f t="shared" si="52"/>
        <v>#DIV/0!</v>
      </c>
      <c r="L883" s="48" t="e">
        <f t="shared" si="53"/>
        <v>#DIV/0!</v>
      </c>
      <c r="M883" s="48">
        <f t="shared" si="54"/>
        <v>1.4106225902243366</v>
      </c>
      <c r="N883" s="48" t="e">
        <f t="shared" si="55"/>
        <v>#DIV/0!</v>
      </c>
    </row>
    <row r="884" spans="1:14" x14ac:dyDescent="0.25">
      <c r="A884" s="5">
        <v>2014</v>
      </c>
      <c r="B884" s="4"/>
      <c r="C884" s="4"/>
      <c r="D884" s="4">
        <v>1305192</v>
      </c>
      <c r="E884" s="4"/>
      <c r="F884" s="4"/>
      <c r="G884" s="4"/>
      <c r="H884" s="4">
        <v>1838990</v>
      </c>
      <c r="I884" s="4"/>
      <c r="K884" s="48" t="e">
        <f t="shared" si="52"/>
        <v>#DIV/0!</v>
      </c>
      <c r="L884" s="48" t="e">
        <f t="shared" si="53"/>
        <v>#DIV/0!</v>
      </c>
      <c r="M884" s="48">
        <f t="shared" si="54"/>
        <v>1.4089804411917941</v>
      </c>
      <c r="N884" s="48" t="e">
        <f t="shared" si="55"/>
        <v>#DIV/0!</v>
      </c>
    </row>
    <row r="885" spans="1:14" x14ac:dyDescent="0.25">
      <c r="A885" s="5">
        <v>2015</v>
      </c>
      <c r="B885" s="4"/>
      <c r="C885" s="4"/>
      <c r="D885" s="4">
        <v>1167135</v>
      </c>
      <c r="E885" s="4"/>
      <c r="F885" s="4"/>
      <c r="G885" s="4"/>
      <c r="H885" s="4">
        <v>1543721.5049999999</v>
      </c>
      <c r="I885" s="4"/>
      <c r="K885" s="48" t="e">
        <f t="shared" si="52"/>
        <v>#DIV/0!</v>
      </c>
      <c r="L885" s="48" t="e">
        <f t="shared" si="53"/>
        <v>#DIV/0!</v>
      </c>
      <c r="M885" s="48">
        <f t="shared" si="54"/>
        <v>1.3226589083525042</v>
      </c>
      <c r="N885" s="48" t="e">
        <f t="shared" si="55"/>
        <v>#DIV/0!</v>
      </c>
    </row>
    <row r="886" spans="1:14" x14ac:dyDescent="0.25">
      <c r="A886" s="5">
        <v>2018</v>
      </c>
      <c r="B886" s="4"/>
      <c r="C886" s="4"/>
      <c r="D886" s="4">
        <v>884417</v>
      </c>
      <c r="E886" s="4"/>
      <c r="F886" s="4"/>
      <c r="G886" s="4"/>
      <c r="H886" s="4">
        <v>1352387.4110000001</v>
      </c>
      <c r="I886" s="4"/>
      <c r="K886" s="48" t="e">
        <f t="shared" si="52"/>
        <v>#DIV/0!</v>
      </c>
      <c r="L886" s="48" t="e">
        <f t="shared" si="53"/>
        <v>#DIV/0!</v>
      </c>
      <c r="M886" s="48">
        <f t="shared" si="54"/>
        <v>1.5291286926868208</v>
      </c>
      <c r="N886" s="48" t="e">
        <f t="shared" si="55"/>
        <v>#DIV/0!</v>
      </c>
    </row>
    <row r="887" spans="1:14" x14ac:dyDescent="0.25">
      <c r="A887" s="3" t="s">
        <v>69</v>
      </c>
      <c r="B887" s="4"/>
      <c r="C887" s="4">
        <v>148394412.09299999</v>
      </c>
      <c r="D887" s="4">
        <v>1561734.6170000001</v>
      </c>
      <c r="E887" s="4"/>
      <c r="F887" s="4"/>
      <c r="G887" s="4">
        <v>310445797.09200007</v>
      </c>
      <c r="H887" s="4">
        <v>783700.45499999996</v>
      </c>
      <c r="I887" s="4"/>
      <c r="K887" s="48" t="e">
        <f t="shared" si="52"/>
        <v>#DIV/0!</v>
      </c>
      <c r="L887" s="48">
        <f t="shared" si="53"/>
        <v>2.0920315847030757</v>
      </c>
      <c r="M887" s="48">
        <f t="shared" si="54"/>
        <v>0.50181410238920243</v>
      </c>
      <c r="N887" s="48" t="e">
        <f t="shared" si="55"/>
        <v>#DIV/0!</v>
      </c>
    </row>
    <row r="888" spans="1:14" x14ac:dyDescent="0.25">
      <c r="A888" s="5">
        <v>2011</v>
      </c>
      <c r="B888" s="4"/>
      <c r="C888" s="4">
        <v>4166205</v>
      </c>
      <c r="D888" s="4"/>
      <c r="E888" s="4"/>
      <c r="F888" s="4"/>
      <c r="G888" s="4">
        <v>22069991.609999999</v>
      </c>
      <c r="H888" s="4"/>
      <c r="I888" s="4"/>
      <c r="K888" s="48" t="e">
        <f t="shared" si="52"/>
        <v>#DIV/0!</v>
      </c>
      <c r="L888" s="48">
        <f t="shared" si="53"/>
        <v>5.2973849366509809</v>
      </c>
      <c r="M888" s="48" t="e">
        <f t="shared" si="54"/>
        <v>#DIV/0!</v>
      </c>
      <c r="N888" s="48" t="e">
        <f t="shared" si="55"/>
        <v>#DIV/0!</v>
      </c>
    </row>
    <row r="889" spans="1:14" x14ac:dyDescent="0.25">
      <c r="A889" s="5">
        <v>2012</v>
      </c>
      <c r="B889" s="4"/>
      <c r="C889" s="4">
        <v>20020901.134</v>
      </c>
      <c r="D889" s="4"/>
      <c r="E889" s="4"/>
      <c r="F889" s="4"/>
      <c r="G889" s="4">
        <v>105593633.236</v>
      </c>
      <c r="H889" s="4"/>
      <c r="I889" s="4"/>
      <c r="K889" s="48" t="e">
        <f t="shared" si="52"/>
        <v>#DIV/0!</v>
      </c>
      <c r="L889" s="48">
        <f t="shared" si="53"/>
        <v>5.2741698552558267</v>
      </c>
      <c r="M889" s="48" t="e">
        <f t="shared" si="54"/>
        <v>#DIV/0!</v>
      </c>
      <c r="N889" s="48" t="e">
        <f t="shared" si="55"/>
        <v>#DIV/0!</v>
      </c>
    </row>
    <row r="890" spans="1:14" x14ac:dyDescent="0.25">
      <c r="A890" s="5">
        <v>2013</v>
      </c>
      <c r="B890" s="4"/>
      <c r="C890" s="4">
        <v>12882091.759</v>
      </c>
      <c r="D890" s="4"/>
      <c r="E890" s="4"/>
      <c r="F890" s="4"/>
      <c r="G890" s="4">
        <v>29762280.723000001</v>
      </c>
      <c r="H890" s="4"/>
      <c r="I890" s="4"/>
      <c r="K890" s="48" t="e">
        <f t="shared" si="52"/>
        <v>#DIV/0!</v>
      </c>
      <c r="L890" s="48">
        <f t="shared" si="53"/>
        <v>2.3103608699423179</v>
      </c>
      <c r="M890" s="48" t="e">
        <f t="shared" si="54"/>
        <v>#DIV/0!</v>
      </c>
      <c r="N890" s="48" t="e">
        <f t="shared" si="55"/>
        <v>#DIV/0!</v>
      </c>
    </row>
    <row r="891" spans="1:14" x14ac:dyDescent="0.25">
      <c r="A891" s="5">
        <v>2014</v>
      </c>
      <c r="B891" s="4"/>
      <c r="C891" s="4">
        <v>16859637.5</v>
      </c>
      <c r="D891" s="4"/>
      <c r="E891" s="4"/>
      <c r="F891" s="4"/>
      <c r="G891" s="4">
        <v>23948924.934999999</v>
      </c>
      <c r="H891" s="4"/>
      <c r="I891" s="4"/>
      <c r="K891" s="48" t="e">
        <f t="shared" si="52"/>
        <v>#DIV/0!</v>
      </c>
      <c r="L891" s="48">
        <f t="shared" si="53"/>
        <v>1.4204887225481568</v>
      </c>
      <c r="M891" s="48" t="e">
        <f t="shared" si="54"/>
        <v>#DIV/0!</v>
      </c>
      <c r="N891" s="48" t="e">
        <f t="shared" si="55"/>
        <v>#DIV/0!</v>
      </c>
    </row>
    <row r="892" spans="1:14" x14ac:dyDescent="0.25">
      <c r="A892" s="5">
        <v>2015</v>
      </c>
      <c r="B892" s="4"/>
      <c r="C892" s="4">
        <v>4424822.3</v>
      </c>
      <c r="D892" s="4"/>
      <c r="E892" s="4"/>
      <c r="F892" s="4"/>
      <c r="G892" s="4">
        <v>8355707.96</v>
      </c>
      <c r="H892" s="4"/>
      <c r="I892" s="4"/>
      <c r="K892" s="48" t="e">
        <f t="shared" si="52"/>
        <v>#DIV/0!</v>
      </c>
      <c r="L892" s="48">
        <f t="shared" si="53"/>
        <v>1.8883714177629236</v>
      </c>
      <c r="M892" s="48" t="e">
        <f t="shared" si="54"/>
        <v>#DIV/0!</v>
      </c>
      <c r="N892" s="48" t="e">
        <f t="shared" si="55"/>
        <v>#DIV/0!</v>
      </c>
    </row>
    <row r="893" spans="1:14" x14ac:dyDescent="0.25">
      <c r="A893" s="5">
        <v>2016</v>
      </c>
      <c r="B893" s="4"/>
      <c r="C893" s="4">
        <v>3104064.79</v>
      </c>
      <c r="D893" s="4"/>
      <c r="E893" s="4"/>
      <c r="F893" s="4"/>
      <c r="G893" s="4">
        <v>6612928.4900000002</v>
      </c>
      <c r="H893" s="4"/>
      <c r="I893" s="4"/>
      <c r="K893" s="48" t="e">
        <f t="shared" si="52"/>
        <v>#DIV/0!</v>
      </c>
      <c r="L893" s="48">
        <f t="shared" si="53"/>
        <v>2.1304092979322125</v>
      </c>
      <c r="M893" s="48" t="e">
        <f t="shared" si="54"/>
        <v>#DIV/0!</v>
      </c>
      <c r="N893" s="48" t="e">
        <f t="shared" si="55"/>
        <v>#DIV/0!</v>
      </c>
    </row>
    <row r="894" spans="1:14" x14ac:dyDescent="0.25">
      <c r="A894" s="5">
        <v>2017</v>
      </c>
      <c r="B894" s="4"/>
      <c r="C894" s="4">
        <v>13947945.1</v>
      </c>
      <c r="D894" s="4"/>
      <c r="E894" s="4"/>
      <c r="F894" s="4"/>
      <c r="G894" s="4">
        <v>22566060.967999998</v>
      </c>
      <c r="H894" s="4"/>
      <c r="I894" s="4"/>
      <c r="K894" s="48" t="e">
        <f t="shared" si="52"/>
        <v>#DIV/0!</v>
      </c>
      <c r="L894" s="48">
        <f t="shared" si="53"/>
        <v>1.6178770999034116</v>
      </c>
      <c r="M894" s="48" t="e">
        <f t="shared" si="54"/>
        <v>#DIV/0!</v>
      </c>
      <c r="N894" s="48" t="e">
        <f t="shared" si="55"/>
        <v>#DIV/0!</v>
      </c>
    </row>
    <row r="895" spans="1:14" x14ac:dyDescent="0.25">
      <c r="A895" s="5">
        <v>2018</v>
      </c>
      <c r="B895" s="4"/>
      <c r="C895" s="4">
        <v>13678721.800000001</v>
      </c>
      <c r="D895" s="4">
        <v>1561734.6170000001</v>
      </c>
      <c r="E895" s="4"/>
      <c r="F895" s="4"/>
      <c r="G895" s="4">
        <v>18920125.309999999</v>
      </c>
      <c r="H895" s="4">
        <v>783700.45499999996</v>
      </c>
      <c r="I895" s="4"/>
      <c r="K895" s="48" t="e">
        <f t="shared" si="52"/>
        <v>#DIV/0!</v>
      </c>
      <c r="L895" s="48">
        <f t="shared" si="53"/>
        <v>1.3831793340515193</v>
      </c>
      <c r="M895" s="48">
        <f t="shared" si="54"/>
        <v>0.50181410238920243</v>
      </c>
      <c r="N895" s="48" t="e">
        <f t="shared" si="55"/>
        <v>#DIV/0!</v>
      </c>
    </row>
    <row r="896" spans="1:14" x14ac:dyDescent="0.25">
      <c r="A896" s="5">
        <v>2019</v>
      </c>
      <c r="B896" s="4"/>
      <c r="C896" s="4">
        <v>9553479.5099999998</v>
      </c>
      <c r="D896" s="4"/>
      <c r="E896" s="4"/>
      <c r="F896" s="4"/>
      <c r="G896" s="4">
        <v>11790226.327</v>
      </c>
      <c r="H896" s="4"/>
      <c r="I896" s="4"/>
      <c r="K896" s="48" t="e">
        <f t="shared" si="52"/>
        <v>#DIV/0!</v>
      </c>
      <c r="L896" s="48">
        <f t="shared" si="53"/>
        <v>1.2341290222749428</v>
      </c>
      <c r="M896" s="48" t="e">
        <f t="shared" si="54"/>
        <v>#DIV/0!</v>
      </c>
      <c r="N896" s="48" t="e">
        <f t="shared" si="55"/>
        <v>#DIV/0!</v>
      </c>
    </row>
    <row r="897" spans="1:14" x14ac:dyDescent="0.25">
      <c r="A897" s="5">
        <v>2020</v>
      </c>
      <c r="B897" s="4"/>
      <c r="C897" s="4">
        <v>4987671</v>
      </c>
      <c r="D897" s="4"/>
      <c r="E897" s="4"/>
      <c r="F897" s="4"/>
      <c r="G897" s="4">
        <v>5011202.57</v>
      </c>
      <c r="H897" s="4"/>
      <c r="I897" s="4"/>
      <c r="K897" s="48" t="e">
        <f t="shared" si="52"/>
        <v>#DIV/0!</v>
      </c>
      <c r="L897" s="48">
        <f t="shared" si="53"/>
        <v>1.0047179475149826</v>
      </c>
      <c r="M897" s="48" t="e">
        <f t="shared" si="54"/>
        <v>#DIV/0!</v>
      </c>
      <c r="N897" s="48" t="e">
        <f t="shared" si="55"/>
        <v>#DIV/0!</v>
      </c>
    </row>
    <row r="898" spans="1:14" x14ac:dyDescent="0.25">
      <c r="A898" s="5">
        <v>2021</v>
      </c>
      <c r="B898" s="4"/>
      <c r="C898" s="4">
        <v>6419101</v>
      </c>
      <c r="D898" s="4"/>
      <c r="E898" s="4"/>
      <c r="F898" s="4"/>
      <c r="G898" s="4">
        <v>7931806.5810000002</v>
      </c>
      <c r="H898" s="4"/>
      <c r="I898" s="4"/>
      <c r="K898" s="48" t="e">
        <f t="shared" si="52"/>
        <v>#DIV/0!</v>
      </c>
      <c r="L898" s="48">
        <f t="shared" si="53"/>
        <v>1.2356569215845024</v>
      </c>
      <c r="M898" s="48" t="e">
        <f t="shared" si="54"/>
        <v>#DIV/0!</v>
      </c>
      <c r="N898" s="48" t="e">
        <f t="shared" si="55"/>
        <v>#DIV/0!</v>
      </c>
    </row>
    <row r="899" spans="1:14" x14ac:dyDescent="0.25">
      <c r="A899" s="5">
        <v>2022</v>
      </c>
      <c r="B899" s="4"/>
      <c r="C899" s="4">
        <v>12011508.199999999</v>
      </c>
      <c r="D899" s="4"/>
      <c r="E899" s="4"/>
      <c r="F899" s="4"/>
      <c r="G899" s="4">
        <v>14029136.140000001</v>
      </c>
      <c r="H899" s="4"/>
      <c r="I899" s="4"/>
      <c r="K899" s="48" t="e">
        <f t="shared" si="52"/>
        <v>#DIV/0!</v>
      </c>
      <c r="L899" s="48">
        <f t="shared" si="53"/>
        <v>1.1679745712532588</v>
      </c>
      <c r="M899" s="48" t="e">
        <f t="shared" si="54"/>
        <v>#DIV/0!</v>
      </c>
      <c r="N899" s="48" t="e">
        <f t="shared" si="55"/>
        <v>#DIV/0!</v>
      </c>
    </row>
    <row r="900" spans="1:14" x14ac:dyDescent="0.25">
      <c r="A900" s="5">
        <v>2023</v>
      </c>
      <c r="B900" s="4"/>
      <c r="C900" s="4">
        <v>21275933</v>
      </c>
      <c r="D900" s="4"/>
      <c r="E900" s="4"/>
      <c r="F900" s="4"/>
      <c r="G900" s="4">
        <v>26841163.317000002</v>
      </c>
      <c r="H900" s="4"/>
      <c r="I900" s="4"/>
      <c r="K900" s="48" t="e">
        <f t="shared" si="52"/>
        <v>#DIV/0!</v>
      </c>
      <c r="L900" s="48">
        <f t="shared" si="53"/>
        <v>1.2615739726666746</v>
      </c>
      <c r="M900" s="48" t="e">
        <f t="shared" si="54"/>
        <v>#DIV/0!</v>
      </c>
      <c r="N900" s="48" t="e">
        <f t="shared" si="55"/>
        <v>#DIV/0!</v>
      </c>
    </row>
    <row r="901" spans="1:14" x14ac:dyDescent="0.25">
      <c r="A901" s="5">
        <v>2024</v>
      </c>
      <c r="B901" s="4"/>
      <c r="C901" s="4">
        <v>5062330</v>
      </c>
      <c r="D901" s="4"/>
      <c r="E901" s="4"/>
      <c r="F901" s="4"/>
      <c r="G901" s="4">
        <v>7012608.9249999998</v>
      </c>
      <c r="H901" s="4"/>
      <c r="I901" s="4"/>
      <c r="K901" s="48" t="e">
        <f t="shared" si="52"/>
        <v>#DIV/0!</v>
      </c>
      <c r="L901" s="48">
        <f t="shared" si="53"/>
        <v>1.3852532183796789</v>
      </c>
      <c r="M901" s="48" t="e">
        <f t="shared" si="54"/>
        <v>#DIV/0!</v>
      </c>
      <c r="N901" s="48" t="e">
        <f t="shared" si="55"/>
        <v>#DIV/0!</v>
      </c>
    </row>
    <row r="902" spans="1:14" x14ac:dyDescent="0.25">
      <c r="A902" s="3" t="s">
        <v>68</v>
      </c>
      <c r="B902" s="4"/>
      <c r="C902" s="4">
        <v>6071491.1600000001</v>
      </c>
      <c r="D902" s="4"/>
      <c r="E902" s="4"/>
      <c r="F902" s="4"/>
      <c r="G902" s="4">
        <v>19940008.376999997</v>
      </c>
      <c r="H902" s="4"/>
      <c r="I902" s="4"/>
      <c r="K902" s="48" t="e">
        <f t="shared" si="52"/>
        <v>#DIV/0!</v>
      </c>
      <c r="L902" s="48">
        <f t="shared" si="53"/>
        <v>3.2842028179779144</v>
      </c>
      <c r="M902" s="48" t="e">
        <f t="shared" si="54"/>
        <v>#DIV/0!</v>
      </c>
      <c r="N902" s="48" t="e">
        <f t="shared" si="55"/>
        <v>#DIV/0!</v>
      </c>
    </row>
    <row r="903" spans="1:14" x14ac:dyDescent="0.25">
      <c r="A903" s="5">
        <v>2020</v>
      </c>
      <c r="B903" s="4"/>
      <c r="C903" s="4">
        <v>1966225.9</v>
      </c>
      <c r="D903" s="4"/>
      <c r="E903" s="4"/>
      <c r="F903" s="4"/>
      <c r="G903" s="4">
        <v>5620397.8059999999</v>
      </c>
      <c r="H903" s="4"/>
      <c r="I903" s="4"/>
      <c r="K903" s="48" t="e">
        <f t="shared" ref="K903:K966" si="56">F903/B903</f>
        <v>#DIV/0!</v>
      </c>
      <c r="L903" s="48">
        <f t="shared" ref="L903:L966" si="57">G903/C903</f>
        <v>2.8584700293084331</v>
      </c>
      <c r="M903" s="48" t="e">
        <f t="shared" ref="M903:M966" si="58">H903/D903</f>
        <v>#DIV/0!</v>
      </c>
      <c r="N903" s="48" t="e">
        <f t="shared" ref="N903:N966" si="59">I903/E903</f>
        <v>#DIV/0!</v>
      </c>
    </row>
    <row r="904" spans="1:14" x14ac:dyDescent="0.25">
      <c r="A904" s="5">
        <v>2021</v>
      </c>
      <c r="B904" s="4"/>
      <c r="C904" s="4">
        <v>2137858.56</v>
      </c>
      <c r="D904" s="4"/>
      <c r="E904" s="4"/>
      <c r="F904" s="4"/>
      <c r="G904" s="4">
        <v>7003404.6289999997</v>
      </c>
      <c r="H904" s="4"/>
      <c r="I904" s="4"/>
      <c r="K904" s="48" t="e">
        <f t="shared" si="56"/>
        <v>#DIV/0!</v>
      </c>
      <c r="L904" s="48">
        <f t="shared" si="57"/>
        <v>3.2758970869429263</v>
      </c>
      <c r="M904" s="48" t="e">
        <f t="shared" si="58"/>
        <v>#DIV/0!</v>
      </c>
      <c r="N904" s="48" t="e">
        <f t="shared" si="59"/>
        <v>#DIV/0!</v>
      </c>
    </row>
    <row r="905" spans="1:14" x14ac:dyDescent="0.25">
      <c r="A905" s="5">
        <v>2022</v>
      </c>
      <c r="B905" s="4"/>
      <c r="C905" s="4">
        <v>1967406.7</v>
      </c>
      <c r="D905" s="4"/>
      <c r="E905" s="4"/>
      <c r="F905" s="4"/>
      <c r="G905" s="4">
        <v>7316205.9419999998</v>
      </c>
      <c r="H905" s="4"/>
      <c r="I905" s="4"/>
      <c r="K905" s="48" t="e">
        <f t="shared" si="56"/>
        <v>#DIV/0!</v>
      </c>
      <c r="L905" s="48">
        <f t="shared" si="57"/>
        <v>3.7187054115450557</v>
      </c>
      <c r="M905" s="48" t="e">
        <f t="shared" si="58"/>
        <v>#DIV/0!</v>
      </c>
      <c r="N905" s="48" t="e">
        <f t="shared" si="59"/>
        <v>#DIV/0!</v>
      </c>
    </row>
    <row r="906" spans="1:14" x14ac:dyDescent="0.25">
      <c r="A906" s="3" t="s">
        <v>40</v>
      </c>
      <c r="B906" s="4">
        <v>39283932.574000001</v>
      </c>
      <c r="C906" s="4">
        <v>53010654.644000001</v>
      </c>
      <c r="D906" s="4">
        <v>826160093.93400013</v>
      </c>
      <c r="E906" s="4">
        <v>633765834.00599992</v>
      </c>
      <c r="F906" s="4">
        <v>399047538.69799995</v>
      </c>
      <c r="G906" s="4">
        <v>525020191.27599996</v>
      </c>
      <c r="H906" s="4">
        <v>3949531759.9189992</v>
      </c>
      <c r="I906" s="4">
        <v>3557891990.8530002</v>
      </c>
      <c r="K906" s="48">
        <f t="shared" si="56"/>
        <v>10.158034406211888</v>
      </c>
      <c r="L906" s="48">
        <f t="shared" si="57"/>
        <v>9.9040503235027355</v>
      </c>
      <c r="M906" s="48">
        <f t="shared" si="58"/>
        <v>4.780588882128356</v>
      </c>
      <c r="N906" s="48">
        <f t="shared" si="59"/>
        <v>5.6138904938496843</v>
      </c>
    </row>
    <row r="907" spans="1:14" x14ac:dyDescent="0.25">
      <c r="A907" s="5">
        <v>2010</v>
      </c>
      <c r="B907" s="4"/>
      <c r="C907" s="4"/>
      <c r="D907" s="4">
        <v>50861700</v>
      </c>
      <c r="E907" s="4">
        <v>13983400</v>
      </c>
      <c r="F907" s="4"/>
      <c r="G907" s="4"/>
      <c r="H907" s="4">
        <v>124536727.712</v>
      </c>
      <c r="I907" s="4">
        <v>97238478.890000001</v>
      </c>
      <c r="K907" s="48" t="e">
        <f t="shared" si="56"/>
        <v>#DIV/0!</v>
      </c>
      <c r="L907" s="48" t="e">
        <f t="shared" si="57"/>
        <v>#DIV/0!</v>
      </c>
      <c r="M907" s="48">
        <f t="shared" si="58"/>
        <v>2.4485364766022371</v>
      </c>
      <c r="N907" s="48">
        <f t="shared" si="59"/>
        <v>6.953850915371083</v>
      </c>
    </row>
    <row r="908" spans="1:14" x14ac:dyDescent="0.25">
      <c r="A908" s="5">
        <v>2011</v>
      </c>
      <c r="B908" s="4"/>
      <c r="C908" s="4">
        <v>1665281.9879999999</v>
      </c>
      <c r="D908" s="4">
        <v>36221004.956</v>
      </c>
      <c r="E908" s="4">
        <v>17581783.260000002</v>
      </c>
      <c r="F908" s="4"/>
      <c r="G908" s="4">
        <v>12654042.296</v>
      </c>
      <c r="H908" s="4">
        <v>151577367.37900001</v>
      </c>
      <c r="I908" s="4">
        <v>86060836.165999994</v>
      </c>
      <c r="K908" s="48" t="e">
        <f t="shared" si="56"/>
        <v>#DIV/0!</v>
      </c>
      <c r="L908" s="48">
        <f t="shared" si="57"/>
        <v>7.5987384642269973</v>
      </c>
      <c r="M908" s="48">
        <f t="shared" si="58"/>
        <v>4.1847918787214997</v>
      </c>
      <c r="N908" s="48">
        <f t="shared" si="59"/>
        <v>4.8948866501952306</v>
      </c>
    </row>
    <row r="909" spans="1:14" x14ac:dyDescent="0.25">
      <c r="A909" s="5">
        <v>2012</v>
      </c>
      <c r="B909" s="4"/>
      <c r="C909" s="4">
        <v>2077777.58</v>
      </c>
      <c r="D909" s="4">
        <v>31352185.509</v>
      </c>
      <c r="E909" s="4">
        <v>19596376.355999999</v>
      </c>
      <c r="F909" s="4"/>
      <c r="G909" s="4">
        <v>27043030.954</v>
      </c>
      <c r="H909" s="4">
        <v>164455649.97600001</v>
      </c>
      <c r="I909" s="4">
        <v>109817690.095</v>
      </c>
      <c r="K909" s="48" t="e">
        <f t="shared" si="56"/>
        <v>#DIV/0!</v>
      </c>
      <c r="L909" s="48">
        <f t="shared" si="57"/>
        <v>13.01536373012553</v>
      </c>
      <c r="M909" s="48">
        <f t="shared" si="58"/>
        <v>5.2454285819657187</v>
      </c>
      <c r="N909" s="48">
        <f t="shared" si="59"/>
        <v>5.6039794347681084</v>
      </c>
    </row>
    <row r="910" spans="1:14" x14ac:dyDescent="0.25">
      <c r="A910" s="5">
        <v>2013</v>
      </c>
      <c r="B910" s="4"/>
      <c r="C910" s="4">
        <v>3390551.702</v>
      </c>
      <c r="D910" s="4">
        <v>37591716.980999999</v>
      </c>
      <c r="E910" s="4">
        <v>20562890.824000001</v>
      </c>
      <c r="F910" s="4"/>
      <c r="G910" s="4">
        <v>31152098.831</v>
      </c>
      <c r="H910" s="4">
        <v>223862722.77700001</v>
      </c>
      <c r="I910" s="4">
        <v>135603472.85499999</v>
      </c>
      <c r="K910" s="48" t="e">
        <f t="shared" si="56"/>
        <v>#DIV/0!</v>
      </c>
      <c r="L910" s="48">
        <f t="shared" si="57"/>
        <v>9.187914407152137</v>
      </c>
      <c r="M910" s="48">
        <f t="shared" si="58"/>
        <v>5.9551076874234576</v>
      </c>
      <c r="N910" s="48">
        <f t="shared" si="59"/>
        <v>6.5945724273714594</v>
      </c>
    </row>
    <row r="911" spans="1:14" x14ac:dyDescent="0.25">
      <c r="A911" s="5">
        <v>2014</v>
      </c>
      <c r="B911" s="4"/>
      <c r="C911" s="4">
        <v>4625004.3219999997</v>
      </c>
      <c r="D911" s="4">
        <v>45234346</v>
      </c>
      <c r="E911" s="4">
        <v>29769565</v>
      </c>
      <c r="F911" s="4"/>
      <c r="G911" s="4">
        <v>37188920.314999998</v>
      </c>
      <c r="H911" s="4">
        <v>230192967.44100001</v>
      </c>
      <c r="I911" s="4">
        <v>173482953.40700001</v>
      </c>
      <c r="K911" s="48" t="e">
        <f t="shared" si="56"/>
        <v>#DIV/0!</v>
      </c>
      <c r="L911" s="48">
        <f t="shared" si="57"/>
        <v>8.040840121619242</v>
      </c>
      <c r="M911" s="48">
        <f t="shared" si="58"/>
        <v>5.0888978795227864</v>
      </c>
      <c r="N911" s="48">
        <f t="shared" si="59"/>
        <v>5.8275273221829078</v>
      </c>
    </row>
    <row r="912" spans="1:14" x14ac:dyDescent="0.25">
      <c r="A912" s="5">
        <v>2015</v>
      </c>
      <c r="B912" s="4"/>
      <c r="C912" s="4">
        <v>3067279.3840000001</v>
      </c>
      <c r="D912" s="4">
        <v>36219561.237999998</v>
      </c>
      <c r="E912" s="4">
        <v>29707022.640999999</v>
      </c>
      <c r="F912" s="4"/>
      <c r="G912" s="4">
        <v>24343565.602000002</v>
      </c>
      <c r="H912" s="4">
        <v>155632333.28999999</v>
      </c>
      <c r="I912" s="4">
        <v>141966240.07499999</v>
      </c>
      <c r="K912" s="48" t="e">
        <f t="shared" si="56"/>
        <v>#DIV/0!</v>
      </c>
      <c r="L912" s="48">
        <f t="shared" si="57"/>
        <v>7.9365335055504032</v>
      </c>
      <c r="M912" s="48">
        <f t="shared" si="58"/>
        <v>4.2969138214384905</v>
      </c>
      <c r="N912" s="48">
        <f t="shared" si="59"/>
        <v>4.7788781053765375</v>
      </c>
    </row>
    <row r="913" spans="1:14" x14ac:dyDescent="0.25">
      <c r="A913" s="5">
        <v>2016</v>
      </c>
      <c r="B913" s="4">
        <v>3377599.3569999998</v>
      </c>
      <c r="C913" s="4">
        <v>5183721.7230000002</v>
      </c>
      <c r="D913" s="4">
        <v>46423056.979999997</v>
      </c>
      <c r="E913" s="4">
        <v>39195034.909000002</v>
      </c>
      <c r="F913" s="4">
        <v>25396710.592999998</v>
      </c>
      <c r="G913" s="4">
        <v>33826592.644000001</v>
      </c>
      <c r="H913" s="4">
        <v>191639968.69100001</v>
      </c>
      <c r="I913" s="4">
        <v>192040718.958</v>
      </c>
      <c r="K913" s="48">
        <f t="shared" si="56"/>
        <v>7.519160181140454</v>
      </c>
      <c r="L913" s="48">
        <f t="shared" si="57"/>
        <v>6.5255417731844165</v>
      </c>
      <c r="M913" s="48">
        <f t="shared" si="58"/>
        <v>4.1281204030480465</v>
      </c>
      <c r="N913" s="48">
        <f t="shared" si="59"/>
        <v>4.8996185206586826</v>
      </c>
    </row>
    <row r="914" spans="1:14" x14ac:dyDescent="0.25">
      <c r="A914" s="5">
        <v>2017</v>
      </c>
      <c r="B914" s="4">
        <v>4637002.3269999996</v>
      </c>
      <c r="C914" s="4">
        <v>8215537.3030000003</v>
      </c>
      <c r="D914" s="4">
        <v>52906348.770999998</v>
      </c>
      <c r="E914" s="4">
        <v>51615366.182999998</v>
      </c>
      <c r="F914" s="4">
        <v>35121312.109999999</v>
      </c>
      <c r="G914" s="4">
        <v>39005590.472000003</v>
      </c>
      <c r="H914" s="4">
        <v>249591985.836</v>
      </c>
      <c r="I914" s="4">
        <v>260405543.91299999</v>
      </c>
      <c r="K914" s="48">
        <f t="shared" si="56"/>
        <v>7.574141575366089</v>
      </c>
      <c r="L914" s="48">
        <f t="shared" si="57"/>
        <v>4.7477832591371296</v>
      </c>
      <c r="M914" s="48">
        <f t="shared" si="58"/>
        <v>4.7176188044337497</v>
      </c>
      <c r="N914" s="48">
        <f t="shared" si="59"/>
        <v>5.0451166613783895</v>
      </c>
    </row>
    <row r="915" spans="1:14" x14ac:dyDescent="0.25">
      <c r="A915" s="5">
        <v>2018</v>
      </c>
      <c r="B915" s="4">
        <v>4275276.3880000003</v>
      </c>
      <c r="C915" s="4">
        <v>4455384.915</v>
      </c>
      <c r="D915" s="4">
        <v>48038124.479000002</v>
      </c>
      <c r="E915" s="4">
        <v>51106509.454999998</v>
      </c>
      <c r="F915" s="4">
        <v>35214824.795000002</v>
      </c>
      <c r="G915" s="4">
        <v>35217973.508000001</v>
      </c>
      <c r="H915" s="4">
        <v>237936033.919</v>
      </c>
      <c r="I915" s="4">
        <v>280776355.58099997</v>
      </c>
      <c r="K915" s="48">
        <f t="shared" si="56"/>
        <v>8.2368533865651923</v>
      </c>
      <c r="L915" s="48">
        <f t="shared" si="57"/>
        <v>7.9045860638058922</v>
      </c>
      <c r="M915" s="48">
        <f t="shared" si="58"/>
        <v>4.9530666840045843</v>
      </c>
      <c r="N915" s="48">
        <f t="shared" si="59"/>
        <v>5.4939450683523496</v>
      </c>
    </row>
    <row r="916" spans="1:14" x14ac:dyDescent="0.25">
      <c r="A916" s="5">
        <v>2019</v>
      </c>
      <c r="B916" s="4">
        <v>4131618.8470000001</v>
      </c>
      <c r="C916" s="4">
        <v>2668765.0049999999</v>
      </c>
      <c r="D916" s="4">
        <v>65500697.777999997</v>
      </c>
      <c r="E916" s="4">
        <v>48695553.653999999</v>
      </c>
      <c r="F916" s="4">
        <v>38601470.487999998</v>
      </c>
      <c r="G916" s="4">
        <v>32085922.131999999</v>
      </c>
      <c r="H916" s="4">
        <v>306989894.89899999</v>
      </c>
      <c r="I916" s="4">
        <v>265950731.14199999</v>
      </c>
      <c r="K916" s="48">
        <f t="shared" si="56"/>
        <v>9.3429408465470676</v>
      </c>
      <c r="L916" s="48">
        <f t="shared" si="57"/>
        <v>12.022760367393232</v>
      </c>
      <c r="M916" s="48">
        <f t="shared" si="58"/>
        <v>4.686818695267549</v>
      </c>
      <c r="N916" s="48">
        <f t="shared" si="59"/>
        <v>5.4614992783874836</v>
      </c>
    </row>
    <row r="917" spans="1:14" x14ac:dyDescent="0.25">
      <c r="A917" s="5">
        <v>2020</v>
      </c>
      <c r="B917" s="4">
        <v>4487217.28</v>
      </c>
      <c r="C917" s="4">
        <v>2405783.7519999999</v>
      </c>
      <c r="D917" s="4">
        <v>91402486.156000003</v>
      </c>
      <c r="E917" s="4">
        <v>56990658.148999996</v>
      </c>
      <c r="F917" s="4">
        <v>40939683.732000001</v>
      </c>
      <c r="G917" s="4">
        <v>31543058.443999998</v>
      </c>
      <c r="H917" s="4">
        <v>422437498.51999998</v>
      </c>
      <c r="I917" s="4">
        <v>337114654.977</v>
      </c>
      <c r="K917" s="48">
        <f t="shared" si="56"/>
        <v>9.1236241031769243</v>
      </c>
      <c r="L917" s="48">
        <f t="shared" si="57"/>
        <v>13.111344034050155</v>
      </c>
      <c r="M917" s="48">
        <f t="shared" si="58"/>
        <v>4.6217287547191033</v>
      </c>
      <c r="N917" s="48">
        <f t="shared" si="59"/>
        <v>5.9152616573689327</v>
      </c>
    </row>
    <row r="918" spans="1:14" x14ac:dyDescent="0.25">
      <c r="A918" s="5">
        <v>2021</v>
      </c>
      <c r="B918" s="4">
        <v>4127427.85</v>
      </c>
      <c r="C918" s="4">
        <v>2745082.15</v>
      </c>
      <c r="D918" s="4">
        <v>77836365.413000003</v>
      </c>
      <c r="E918" s="4">
        <v>63600855.761</v>
      </c>
      <c r="F918" s="4">
        <v>45047098.475000001</v>
      </c>
      <c r="G918" s="4">
        <v>39009084.567000002</v>
      </c>
      <c r="H918" s="4">
        <v>390197585.39999998</v>
      </c>
      <c r="I918" s="4">
        <v>378375374.77899998</v>
      </c>
      <c r="K918" s="48">
        <f t="shared" si="56"/>
        <v>10.914085021498316</v>
      </c>
      <c r="L918" s="48">
        <f t="shared" si="57"/>
        <v>14.210534488740166</v>
      </c>
      <c r="M918" s="48">
        <f t="shared" si="58"/>
        <v>5.0130499199135308</v>
      </c>
      <c r="N918" s="48">
        <f t="shared" si="59"/>
        <v>5.949218296698132</v>
      </c>
    </row>
    <row r="919" spans="1:14" x14ac:dyDescent="0.25">
      <c r="A919" s="5">
        <v>2022</v>
      </c>
      <c r="B919" s="4">
        <v>4292631.7560000001</v>
      </c>
      <c r="C919" s="4">
        <v>3379327.8760000002</v>
      </c>
      <c r="D919" s="4">
        <v>46182041.568999998</v>
      </c>
      <c r="E919" s="4">
        <v>66730638.526000001</v>
      </c>
      <c r="F919" s="4">
        <v>53255123.803999998</v>
      </c>
      <c r="G919" s="4">
        <v>52690887.159000002</v>
      </c>
      <c r="H919" s="4">
        <v>242043059.86199999</v>
      </c>
      <c r="I919" s="4">
        <v>361302777.61500001</v>
      </c>
      <c r="K919" s="48">
        <f t="shared" si="56"/>
        <v>12.406171046366362</v>
      </c>
      <c r="L919" s="48">
        <f t="shared" si="57"/>
        <v>15.592120413414422</v>
      </c>
      <c r="M919" s="48">
        <f t="shared" si="58"/>
        <v>5.2410645272224823</v>
      </c>
      <c r="N919" s="48">
        <f t="shared" si="59"/>
        <v>5.4143461773444148</v>
      </c>
    </row>
    <row r="920" spans="1:14" x14ac:dyDescent="0.25">
      <c r="A920" s="5">
        <v>2023</v>
      </c>
      <c r="B920" s="4">
        <v>3743187.344</v>
      </c>
      <c r="C920" s="4">
        <v>3199819.682</v>
      </c>
      <c r="D920" s="4">
        <v>53024907.696999997</v>
      </c>
      <c r="E920" s="4">
        <v>49774957.478</v>
      </c>
      <c r="F920" s="4">
        <v>52508174.604000002</v>
      </c>
      <c r="G920" s="4">
        <v>47990782.122000001</v>
      </c>
      <c r="H920" s="4">
        <v>288802192.01599997</v>
      </c>
      <c r="I920" s="4">
        <v>288523216.82099998</v>
      </c>
      <c r="K920" s="48">
        <f t="shared" si="56"/>
        <v>14.027664067673767</v>
      </c>
      <c r="L920" s="48">
        <f t="shared" si="57"/>
        <v>14.997964539053049</v>
      </c>
      <c r="M920" s="48">
        <f t="shared" si="58"/>
        <v>5.4465383262202192</v>
      </c>
      <c r="N920" s="48">
        <f t="shared" si="59"/>
        <v>5.796553757951961</v>
      </c>
    </row>
    <row r="921" spans="1:14" x14ac:dyDescent="0.25">
      <c r="A921" s="5">
        <v>2024</v>
      </c>
      <c r="B921" s="4">
        <v>3609613.301</v>
      </c>
      <c r="C921" s="4">
        <v>3346351.9240000001</v>
      </c>
      <c r="D921" s="4">
        <v>58027809.454999998</v>
      </c>
      <c r="E921" s="4">
        <v>43532776.042999998</v>
      </c>
      <c r="F921" s="4">
        <v>41703292.219999999</v>
      </c>
      <c r="G921" s="4">
        <v>45520971.740999997</v>
      </c>
      <c r="H921" s="4">
        <v>307497614.40399998</v>
      </c>
      <c r="I921" s="4">
        <v>262066137.07699999</v>
      </c>
      <c r="K921" s="48">
        <f t="shared" si="56"/>
        <v>11.553396096043475</v>
      </c>
      <c r="L921" s="48">
        <f t="shared" si="57"/>
        <v>13.603163317798129</v>
      </c>
      <c r="M921" s="48">
        <f t="shared" si="58"/>
        <v>5.2991422094342777</v>
      </c>
      <c r="N921" s="48">
        <f t="shared" si="59"/>
        <v>6.0199730156914679</v>
      </c>
    </row>
    <row r="922" spans="1:14" x14ac:dyDescent="0.25">
      <c r="A922" s="5">
        <v>2025</v>
      </c>
      <c r="B922" s="4">
        <v>2602358.1239999998</v>
      </c>
      <c r="C922" s="4">
        <v>2584985.338</v>
      </c>
      <c r="D922" s="4">
        <v>49337740.952</v>
      </c>
      <c r="E922" s="4">
        <v>31322445.767000001</v>
      </c>
      <c r="F922" s="4">
        <v>31259847.877</v>
      </c>
      <c r="G922" s="4">
        <v>35747670.489</v>
      </c>
      <c r="H922" s="4">
        <v>262138157.79699999</v>
      </c>
      <c r="I922" s="4">
        <v>187166808.502</v>
      </c>
      <c r="K922" s="48">
        <f t="shared" si="56"/>
        <v>12.012123769095819</v>
      </c>
      <c r="L922" s="48">
        <f t="shared" si="57"/>
        <v>13.828964506490365</v>
      </c>
      <c r="M922" s="48">
        <f t="shared" si="58"/>
        <v>5.3131366118288748</v>
      </c>
      <c r="N922" s="48">
        <f t="shared" si="59"/>
        <v>5.9754851167845588</v>
      </c>
    </row>
    <row r="923" spans="1:14" x14ac:dyDescent="0.25">
      <c r="A923" s="3" t="s">
        <v>67</v>
      </c>
      <c r="B923" s="4">
        <v>4492392</v>
      </c>
      <c r="C923" s="4">
        <v>176254394</v>
      </c>
      <c r="D923" s="4">
        <v>99794374.802000001</v>
      </c>
      <c r="E923" s="4"/>
      <c r="F923" s="4">
        <v>10678346.705</v>
      </c>
      <c r="G923" s="4">
        <v>469177092.17899996</v>
      </c>
      <c r="H923" s="4">
        <v>442143503.32700002</v>
      </c>
      <c r="I923" s="4"/>
      <c r="K923" s="48">
        <f t="shared" si="56"/>
        <v>2.3769846231139224</v>
      </c>
      <c r="L923" s="48">
        <f t="shared" si="57"/>
        <v>2.6619313228525807</v>
      </c>
      <c r="M923" s="48">
        <f t="shared" si="58"/>
        <v>4.4305453509203101</v>
      </c>
      <c r="N923" s="48" t="e">
        <f t="shared" si="59"/>
        <v>#DIV/0!</v>
      </c>
    </row>
    <row r="924" spans="1:14" x14ac:dyDescent="0.25">
      <c r="A924" s="5">
        <v>2010</v>
      </c>
      <c r="B924" s="4"/>
      <c r="C924" s="4">
        <v>13278213</v>
      </c>
      <c r="D924" s="4">
        <v>5149017</v>
      </c>
      <c r="E924" s="4"/>
      <c r="F924" s="4"/>
      <c r="G924" s="4">
        <v>26347494.794</v>
      </c>
      <c r="H924" s="4">
        <v>20904580.670000002</v>
      </c>
      <c r="I924" s="4"/>
      <c r="K924" s="48" t="e">
        <f t="shared" si="56"/>
        <v>#DIV/0!</v>
      </c>
      <c r="L924" s="48">
        <f t="shared" si="57"/>
        <v>1.9842651111260228</v>
      </c>
      <c r="M924" s="48">
        <f t="shared" si="58"/>
        <v>4.0599168093638074</v>
      </c>
      <c r="N924" s="48" t="e">
        <f t="shared" si="59"/>
        <v>#DIV/0!</v>
      </c>
    </row>
    <row r="925" spans="1:14" x14ac:dyDescent="0.25">
      <c r="A925" s="5">
        <v>2011</v>
      </c>
      <c r="B925" s="4"/>
      <c r="C925" s="4">
        <v>18773151</v>
      </c>
      <c r="D925" s="4">
        <v>6728582</v>
      </c>
      <c r="E925" s="4"/>
      <c r="F925" s="4"/>
      <c r="G925" s="4">
        <v>43380751.291000001</v>
      </c>
      <c r="H925" s="4">
        <v>25589775.364</v>
      </c>
      <c r="I925" s="4"/>
      <c r="K925" s="48" t="e">
        <f t="shared" si="56"/>
        <v>#DIV/0!</v>
      </c>
      <c r="L925" s="48">
        <f t="shared" si="57"/>
        <v>2.3107868940595004</v>
      </c>
      <c r="M925" s="48">
        <f t="shared" si="58"/>
        <v>3.803145352765263</v>
      </c>
      <c r="N925" s="48" t="e">
        <f t="shared" si="59"/>
        <v>#DIV/0!</v>
      </c>
    </row>
    <row r="926" spans="1:14" x14ac:dyDescent="0.25">
      <c r="A926" s="5">
        <v>2012</v>
      </c>
      <c r="B926" s="4"/>
      <c r="C926" s="4">
        <v>17476352</v>
      </c>
      <c r="D926" s="4">
        <v>6863003</v>
      </c>
      <c r="E926" s="4"/>
      <c r="F926" s="4"/>
      <c r="G926" s="4">
        <v>56893343.285999998</v>
      </c>
      <c r="H926" s="4">
        <v>29071366.124000002</v>
      </c>
      <c r="I926" s="4"/>
      <c r="K926" s="48" t="e">
        <f t="shared" si="56"/>
        <v>#DIV/0!</v>
      </c>
      <c r="L926" s="48">
        <f t="shared" si="57"/>
        <v>3.2554473202416614</v>
      </c>
      <c r="M926" s="48">
        <f t="shared" si="58"/>
        <v>4.2359541623397226</v>
      </c>
      <c r="N926" s="48" t="e">
        <f t="shared" si="59"/>
        <v>#DIV/0!</v>
      </c>
    </row>
    <row r="927" spans="1:14" x14ac:dyDescent="0.25">
      <c r="A927" s="5">
        <v>2013</v>
      </c>
      <c r="B927" s="4"/>
      <c r="C927" s="4">
        <v>19315977</v>
      </c>
      <c r="D927" s="4">
        <v>6587273</v>
      </c>
      <c r="E927" s="4"/>
      <c r="F927" s="4"/>
      <c r="G927" s="4">
        <v>52812134.317000002</v>
      </c>
      <c r="H927" s="4">
        <v>27651361.160999998</v>
      </c>
      <c r="I927" s="4"/>
      <c r="K927" s="48" t="e">
        <f t="shared" si="56"/>
        <v>#DIV/0!</v>
      </c>
      <c r="L927" s="48">
        <f t="shared" si="57"/>
        <v>2.7341166494969422</v>
      </c>
      <c r="M927" s="48">
        <f t="shared" si="58"/>
        <v>4.1976947305812278</v>
      </c>
      <c r="N927" s="48" t="e">
        <f t="shared" si="59"/>
        <v>#DIV/0!</v>
      </c>
    </row>
    <row r="928" spans="1:14" x14ac:dyDescent="0.25">
      <c r="A928" s="5">
        <v>2014</v>
      </c>
      <c r="B928" s="4"/>
      <c r="C928" s="4">
        <v>18740484</v>
      </c>
      <c r="D928" s="4">
        <v>7652244</v>
      </c>
      <c r="E928" s="4"/>
      <c r="F928" s="4"/>
      <c r="G928" s="4">
        <v>36588570.236000001</v>
      </c>
      <c r="H928" s="4">
        <v>28826015.708999999</v>
      </c>
      <c r="I928" s="4"/>
      <c r="K928" s="48" t="e">
        <f t="shared" si="56"/>
        <v>#DIV/0!</v>
      </c>
      <c r="L928" s="48">
        <f t="shared" si="57"/>
        <v>1.9523812851364992</v>
      </c>
      <c r="M928" s="48">
        <f t="shared" si="58"/>
        <v>3.7670016414792835</v>
      </c>
      <c r="N928" s="48" t="e">
        <f t="shared" si="59"/>
        <v>#DIV/0!</v>
      </c>
    </row>
    <row r="929" spans="1:14" x14ac:dyDescent="0.25">
      <c r="A929" s="5">
        <v>2015</v>
      </c>
      <c r="B929" s="4"/>
      <c r="C929" s="4">
        <v>19591041</v>
      </c>
      <c r="D929" s="4">
        <v>7282695</v>
      </c>
      <c r="E929" s="4"/>
      <c r="F929" s="4"/>
      <c r="G929" s="4">
        <v>33080081.322000001</v>
      </c>
      <c r="H929" s="4">
        <v>23817548.453000002</v>
      </c>
      <c r="I929" s="4"/>
      <c r="K929" s="48" t="e">
        <f t="shared" si="56"/>
        <v>#DIV/0!</v>
      </c>
      <c r="L929" s="48">
        <f t="shared" si="57"/>
        <v>1.6885310648882823</v>
      </c>
      <c r="M929" s="48">
        <f t="shared" si="58"/>
        <v>3.2704305827718998</v>
      </c>
      <c r="N929" s="48" t="e">
        <f t="shared" si="59"/>
        <v>#DIV/0!</v>
      </c>
    </row>
    <row r="930" spans="1:14" x14ac:dyDescent="0.25">
      <c r="A930" s="5">
        <v>2016</v>
      </c>
      <c r="B930" s="4"/>
      <c r="C930" s="4">
        <v>9158864</v>
      </c>
      <c r="D930" s="4">
        <v>7625274</v>
      </c>
      <c r="E930" s="4"/>
      <c r="F930" s="4"/>
      <c r="G930" s="4">
        <v>25842702.124000002</v>
      </c>
      <c r="H930" s="4">
        <v>24759810.833000001</v>
      </c>
      <c r="I930" s="4"/>
      <c r="K930" s="48" t="e">
        <f t="shared" si="56"/>
        <v>#DIV/0!</v>
      </c>
      <c r="L930" s="48">
        <f t="shared" si="57"/>
        <v>2.821605618775429</v>
      </c>
      <c r="M930" s="48">
        <f t="shared" si="58"/>
        <v>3.2470716243114675</v>
      </c>
      <c r="N930" s="48" t="e">
        <f t="shared" si="59"/>
        <v>#DIV/0!</v>
      </c>
    </row>
    <row r="931" spans="1:14" x14ac:dyDescent="0.25">
      <c r="A931" s="5">
        <v>2017</v>
      </c>
      <c r="B931" s="4"/>
      <c r="C931" s="4">
        <v>8985679</v>
      </c>
      <c r="D931" s="4">
        <v>7025023.102</v>
      </c>
      <c r="E931" s="4"/>
      <c r="F931" s="4"/>
      <c r="G931" s="4">
        <v>25482222.256999999</v>
      </c>
      <c r="H931" s="4">
        <v>27840660.800000001</v>
      </c>
      <c r="I931" s="4"/>
      <c r="K931" s="48" t="e">
        <f t="shared" si="56"/>
        <v>#DIV/0!</v>
      </c>
      <c r="L931" s="48">
        <f t="shared" si="57"/>
        <v>2.8358705287602639</v>
      </c>
      <c r="M931" s="48">
        <f t="shared" si="58"/>
        <v>3.9630703551813031</v>
      </c>
      <c r="N931" s="48" t="e">
        <f t="shared" si="59"/>
        <v>#DIV/0!</v>
      </c>
    </row>
    <row r="932" spans="1:14" x14ac:dyDescent="0.25">
      <c r="A932" s="5">
        <v>2018</v>
      </c>
      <c r="B932" s="4">
        <v>2261334</v>
      </c>
      <c r="C932" s="4">
        <v>8183010</v>
      </c>
      <c r="D932" s="4">
        <v>6159560.7000000002</v>
      </c>
      <c r="E932" s="4"/>
      <c r="F932" s="4">
        <v>5491092.8990000002</v>
      </c>
      <c r="G932" s="4">
        <v>26271613.166999999</v>
      </c>
      <c r="H932" s="4">
        <v>34383300.604000002</v>
      </c>
      <c r="I932" s="4"/>
      <c r="K932" s="48">
        <f t="shared" si="56"/>
        <v>2.4282538090348442</v>
      </c>
      <c r="L932" s="48">
        <f t="shared" si="57"/>
        <v>3.2105072787397302</v>
      </c>
      <c r="M932" s="48">
        <f t="shared" si="58"/>
        <v>5.5821027308002664</v>
      </c>
      <c r="N932" s="48" t="e">
        <f t="shared" si="59"/>
        <v>#DIV/0!</v>
      </c>
    </row>
    <row r="933" spans="1:14" x14ac:dyDescent="0.25">
      <c r="A933" s="5">
        <v>2019</v>
      </c>
      <c r="B933" s="4">
        <v>2231058</v>
      </c>
      <c r="C933" s="4">
        <v>10337442</v>
      </c>
      <c r="D933" s="4">
        <v>5203568</v>
      </c>
      <c r="E933" s="4"/>
      <c r="F933" s="4">
        <v>5187253.8059999999</v>
      </c>
      <c r="G933" s="4">
        <v>28501868.701000001</v>
      </c>
      <c r="H933" s="4">
        <v>26931009.855</v>
      </c>
      <c r="I933" s="4"/>
      <c r="K933" s="48">
        <f t="shared" si="56"/>
        <v>2.3250197018634209</v>
      </c>
      <c r="L933" s="48">
        <f t="shared" si="57"/>
        <v>2.7571490801109211</v>
      </c>
      <c r="M933" s="48">
        <f t="shared" si="58"/>
        <v>5.175489174927665</v>
      </c>
      <c r="N933" s="48" t="e">
        <f t="shared" si="59"/>
        <v>#DIV/0!</v>
      </c>
    </row>
    <row r="934" spans="1:14" x14ac:dyDescent="0.25">
      <c r="A934" s="5">
        <v>2020</v>
      </c>
      <c r="B934" s="4"/>
      <c r="C934" s="4">
        <v>11259095</v>
      </c>
      <c r="D934" s="4">
        <v>5613533</v>
      </c>
      <c r="E934" s="4"/>
      <c r="F934" s="4"/>
      <c r="G934" s="4">
        <v>33854254.725000001</v>
      </c>
      <c r="H934" s="4">
        <v>27820516.340999998</v>
      </c>
      <c r="I934" s="4"/>
      <c r="K934" s="48" t="e">
        <f t="shared" si="56"/>
        <v>#DIV/0!</v>
      </c>
      <c r="L934" s="48">
        <f t="shared" si="57"/>
        <v>3.0068362266238986</v>
      </c>
      <c r="M934" s="48">
        <f t="shared" si="58"/>
        <v>4.9559727075622426</v>
      </c>
      <c r="N934" s="48" t="e">
        <f t="shared" si="59"/>
        <v>#DIV/0!</v>
      </c>
    </row>
    <row r="935" spans="1:14" x14ac:dyDescent="0.25">
      <c r="A935" s="5">
        <v>2021</v>
      </c>
      <c r="B935" s="4"/>
      <c r="C935" s="4">
        <v>9349993</v>
      </c>
      <c r="D935" s="4">
        <v>5678222</v>
      </c>
      <c r="E935" s="4"/>
      <c r="F935" s="4"/>
      <c r="G935" s="4">
        <v>25539172.259</v>
      </c>
      <c r="H935" s="4">
        <v>28206499.081</v>
      </c>
      <c r="I935" s="4"/>
      <c r="K935" s="48" t="e">
        <f t="shared" si="56"/>
        <v>#DIV/0!</v>
      </c>
      <c r="L935" s="48">
        <f t="shared" si="57"/>
        <v>2.7314643186363883</v>
      </c>
      <c r="M935" s="48">
        <f t="shared" si="58"/>
        <v>4.967487900437848</v>
      </c>
      <c r="N935" s="48" t="e">
        <f t="shared" si="59"/>
        <v>#DIV/0!</v>
      </c>
    </row>
    <row r="936" spans="1:14" x14ac:dyDescent="0.25">
      <c r="A936" s="5">
        <v>2022</v>
      </c>
      <c r="B936" s="4"/>
      <c r="C936" s="4">
        <v>4764546</v>
      </c>
      <c r="D936" s="4">
        <v>5448517</v>
      </c>
      <c r="E936" s="4"/>
      <c r="F936" s="4"/>
      <c r="G936" s="4">
        <v>19400137.693999998</v>
      </c>
      <c r="H936" s="4">
        <v>26639182.811000001</v>
      </c>
      <c r="I936" s="4"/>
      <c r="K936" s="48" t="e">
        <f t="shared" si="56"/>
        <v>#DIV/0!</v>
      </c>
      <c r="L936" s="48">
        <f t="shared" si="57"/>
        <v>4.0717704675324784</v>
      </c>
      <c r="M936" s="48">
        <f t="shared" si="58"/>
        <v>4.8892538668779046</v>
      </c>
      <c r="N936" s="48" t="e">
        <f t="shared" si="59"/>
        <v>#DIV/0!</v>
      </c>
    </row>
    <row r="937" spans="1:14" x14ac:dyDescent="0.25">
      <c r="A937" s="5">
        <v>2023</v>
      </c>
      <c r="B937" s="4"/>
      <c r="C937" s="4">
        <v>2134262</v>
      </c>
      <c r="D937" s="4">
        <v>5160111</v>
      </c>
      <c r="E937" s="4"/>
      <c r="F937" s="4"/>
      <c r="G937" s="4">
        <v>13447409.223999999</v>
      </c>
      <c r="H937" s="4">
        <v>27767010.963</v>
      </c>
      <c r="I937" s="4"/>
      <c r="K937" s="48" t="e">
        <f t="shared" si="56"/>
        <v>#DIV/0!</v>
      </c>
      <c r="L937" s="48">
        <f t="shared" si="57"/>
        <v>6.300730287096898</v>
      </c>
      <c r="M937" s="48">
        <f t="shared" si="58"/>
        <v>5.3810879190389507</v>
      </c>
      <c r="N937" s="48" t="e">
        <f t="shared" si="59"/>
        <v>#DIV/0!</v>
      </c>
    </row>
    <row r="938" spans="1:14" x14ac:dyDescent="0.25">
      <c r="A938" s="5">
        <v>2024</v>
      </c>
      <c r="B938" s="4"/>
      <c r="C938" s="4">
        <v>2937499</v>
      </c>
      <c r="D938" s="4">
        <v>6490629</v>
      </c>
      <c r="E938" s="4"/>
      <c r="F938" s="4"/>
      <c r="G938" s="4">
        <v>11097374.959000001</v>
      </c>
      <c r="H938" s="4">
        <v>34688001.170000002</v>
      </c>
      <c r="I938" s="4"/>
      <c r="K938" s="48" t="e">
        <f t="shared" si="56"/>
        <v>#DIV/0!</v>
      </c>
      <c r="L938" s="48">
        <f t="shared" si="57"/>
        <v>3.7778310593467439</v>
      </c>
      <c r="M938" s="48">
        <f t="shared" si="58"/>
        <v>5.3443204302695477</v>
      </c>
      <c r="N938" s="48" t="e">
        <f t="shared" si="59"/>
        <v>#DIV/0!</v>
      </c>
    </row>
    <row r="939" spans="1:14" x14ac:dyDescent="0.25">
      <c r="A939" s="5">
        <v>2025</v>
      </c>
      <c r="B939" s="4"/>
      <c r="C939" s="4">
        <v>1968786</v>
      </c>
      <c r="D939" s="4">
        <v>5127123</v>
      </c>
      <c r="E939" s="4"/>
      <c r="F939" s="4"/>
      <c r="G939" s="4">
        <v>10637961.823000001</v>
      </c>
      <c r="H939" s="4">
        <v>27246863.388</v>
      </c>
      <c r="I939" s="4"/>
      <c r="K939" s="48" t="e">
        <f t="shared" si="56"/>
        <v>#DIV/0!</v>
      </c>
      <c r="L939" s="48">
        <f t="shared" si="57"/>
        <v>5.4033103765467656</v>
      </c>
      <c r="M939" s="48">
        <f t="shared" si="58"/>
        <v>5.3142597491809731</v>
      </c>
      <c r="N939" s="48" t="e">
        <f t="shared" si="59"/>
        <v>#DIV/0!</v>
      </c>
    </row>
    <row r="940" spans="1:14" x14ac:dyDescent="0.25">
      <c r="A940" s="3" t="s">
        <v>66</v>
      </c>
      <c r="B940" s="4"/>
      <c r="C940" s="4">
        <v>85465283.84799999</v>
      </c>
      <c r="D940" s="4">
        <v>2371503.88</v>
      </c>
      <c r="E940" s="4"/>
      <c r="F940" s="4"/>
      <c r="G940" s="4">
        <v>149094837.66</v>
      </c>
      <c r="H940" s="4">
        <v>12954924.77</v>
      </c>
      <c r="I940" s="4"/>
      <c r="K940" s="48" t="e">
        <f t="shared" si="56"/>
        <v>#DIV/0!</v>
      </c>
      <c r="L940" s="48">
        <f t="shared" si="57"/>
        <v>1.7445076052770756</v>
      </c>
      <c r="M940" s="48">
        <f t="shared" si="58"/>
        <v>5.4627466053312972</v>
      </c>
      <c r="N940" s="48" t="e">
        <f t="shared" si="59"/>
        <v>#DIV/0!</v>
      </c>
    </row>
    <row r="941" spans="1:14" x14ac:dyDescent="0.25">
      <c r="A941" s="5">
        <v>2019</v>
      </c>
      <c r="B941" s="4"/>
      <c r="C941" s="4">
        <v>11972400.578</v>
      </c>
      <c r="D941" s="4"/>
      <c r="E941" s="4"/>
      <c r="F941" s="4"/>
      <c r="G941" s="4">
        <v>22231762.09</v>
      </c>
      <c r="H941" s="4"/>
      <c r="I941" s="4"/>
      <c r="K941" s="48" t="e">
        <f t="shared" si="56"/>
        <v>#DIV/0!</v>
      </c>
      <c r="L941" s="48">
        <f t="shared" si="57"/>
        <v>1.8569176620144325</v>
      </c>
      <c r="M941" s="48" t="e">
        <f t="shared" si="58"/>
        <v>#DIV/0!</v>
      </c>
      <c r="N941" s="48" t="e">
        <f t="shared" si="59"/>
        <v>#DIV/0!</v>
      </c>
    </row>
    <row r="942" spans="1:14" x14ac:dyDescent="0.25">
      <c r="A942" s="5">
        <v>2020</v>
      </c>
      <c r="B942" s="4"/>
      <c r="C942" s="4">
        <v>18056403.620000001</v>
      </c>
      <c r="D942" s="4"/>
      <c r="E942" s="4"/>
      <c r="F942" s="4"/>
      <c r="G942" s="4">
        <v>27788222.329999998</v>
      </c>
      <c r="H942" s="4"/>
      <c r="I942" s="4"/>
      <c r="K942" s="48" t="e">
        <f t="shared" si="56"/>
        <v>#DIV/0!</v>
      </c>
      <c r="L942" s="48">
        <f t="shared" si="57"/>
        <v>1.5389677210815471</v>
      </c>
      <c r="M942" s="48" t="e">
        <f t="shared" si="58"/>
        <v>#DIV/0!</v>
      </c>
      <c r="N942" s="48" t="e">
        <f t="shared" si="59"/>
        <v>#DIV/0!</v>
      </c>
    </row>
    <row r="943" spans="1:14" x14ac:dyDescent="0.25">
      <c r="A943" s="5">
        <v>2021</v>
      </c>
      <c r="B943" s="4"/>
      <c r="C943" s="4">
        <v>14232708.82</v>
      </c>
      <c r="D943" s="4"/>
      <c r="E943" s="4"/>
      <c r="F943" s="4"/>
      <c r="G943" s="4">
        <v>25214933.43</v>
      </c>
      <c r="H943" s="4"/>
      <c r="I943" s="4"/>
      <c r="K943" s="48" t="e">
        <f t="shared" si="56"/>
        <v>#DIV/0!</v>
      </c>
      <c r="L943" s="48">
        <f t="shared" si="57"/>
        <v>1.7716187233850822</v>
      </c>
      <c r="M943" s="48" t="e">
        <f t="shared" si="58"/>
        <v>#DIV/0!</v>
      </c>
      <c r="N943" s="48" t="e">
        <f t="shared" si="59"/>
        <v>#DIV/0!</v>
      </c>
    </row>
    <row r="944" spans="1:14" x14ac:dyDescent="0.25">
      <c r="A944" s="5">
        <v>2022</v>
      </c>
      <c r="B944" s="4"/>
      <c r="C944" s="4">
        <v>20274344.120000001</v>
      </c>
      <c r="D944" s="4">
        <v>1198479.08</v>
      </c>
      <c r="E944" s="4"/>
      <c r="F944" s="4"/>
      <c r="G944" s="4">
        <v>34940084.329999998</v>
      </c>
      <c r="H944" s="4">
        <v>6359699.0700000003</v>
      </c>
      <c r="I944" s="4"/>
      <c r="K944" s="48" t="e">
        <f t="shared" si="56"/>
        <v>#DIV/0!</v>
      </c>
      <c r="L944" s="48">
        <f t="shared" si="57"/>
        <v>1.7233644710376947</v>
      </c>
      <c r="M944" s="48">
        <f t="shared" si="58"/>
        <v>5.3064748280796019</v>
      </c>
      <c r="N944" s="48" t="e">
        <f t="shared" si="59"/>
        <v>#DIV/0!</v>
      </c>
    </row>
    <row r="945" spans="1:14" x14ac:dyDescent="0.25">
      <c r="A945" s="5">
        <v>2023</v>
      </c>
      <c r="B945" s="4"/>
      <c r="C945" s="4">
        <v>20929426.710000001</v>
      </c>
      <c r="D945" s="4">
        <v>1173024.8</v>
      </c>
      <c r="E945" s="4"/>
      <c r="F945" s="4"/>
      <c r="G945" s="4">
        <v>38919835.479999997</v>
      </c>
      <c r="H945" s="4">
        <v>6595225.7000000002</v>
      </c>
      <c r="I945" s="4"/>
      <c r="K945" s="48" t="e">
        <f t="shared" si="56"/>
        <v>#DIV/0!</v>
      </c>
      <c r="L945" s="48">
        <f t="shared" si="57"/>
        <v>1.8595748473800406</v>
      </c>
      <c r="M945" s="48">
        <f t="shared" si="58"/>
        <v>5.6224094324348473</v>
      </c>
      <c r="N945" s="48" t="e">
        <f t="shared" si="59"/>
        <v>#DIV/0!</v>
      </c>
    </row>
    <row r="946" spans="1:14" x14ac:dyDescent="0.25">
      <c r="A946" s="3" t="s">
        <v>110</v>
      </c>
      <c r="B946" s="4"/>
      <c r="C946" s="4"/>
      <c r="D946" s="4">
        <v>27311130.863000002</v>
      </c>
      <c r="E946" s="4"/>
      <c r="F946" s="4"/>
      <c r="G946" s="4"/>
      <c r="H946" s="4">
        <v>104534437.16700001</v>
      </c>
      <c r="I946" s="4"/>
      <c r="K946" s="48" t="e">
        <f t="shared" si="56"/>
        <v>#DIV/0!</v>
      </c>
      <c r="L946" s="48" t="e">
        <f t="shared" si="57"/>
        <v>#DIV/0!</v>
      </c>
      <c r="M946" s="48">
        <f t="shared" si="58"/>
        <v>3.8275396830461887</v>
      </c>
      <c r="N946" s="48" t="e">
        <f t="shared" si="59"/>
        <v>#DIV/0!</v>
      </c>
    </row>
    <row r="947" spans="1:14" x14ac:dyDescent="0.25">
      <c r="A947" s="5">
        <v>2006</v>
      </c>
      <c r="B947" s="4"/>
      <c r="C947" s="4"/>
      <c r="D947" s="4">
        <v>1432283</v>
      </c>
      <c r="E947" s="4"/>
      <c r="F947" s="4"/>
      <c r="G947" s="4"/>
      <c r="H947" s="4">
        <v>3423243.7</v>
      </c>
      <c r="I947" s="4"/>
      <c r="K947" s="48" t="e">
        <f t="shared" si="56"/>
        <v>#DIV/0!</v>
      </c>
      <c r="L947" s="48" t="e">
        <f t="shared" si="57"/>
        <v>#DIV/0!</v>
      </c>
      <c r="M947" s="48">
        <f t="shared" si="58"/>
        <v>2.3900609725871216</v>
      </c>
      <c r="N947" s="48" t="e">
        <f t="shared" si="59"/>
        <v>#DIV/0!</v>
      </c>
    </row>
    <row r="948" spans="1:14" x14ac:dyDescent="0.25">
      <c r="A948" s="5">
        <v>2007</v>
      </c>
      <c r="B948" s="4"/>
      <c r="C948" s="4"/>
      <c r="D948" s="4">
        <v>1629423</v>
      </c>
      <c r="E948" s="4"/>
      <c r="F948" s="4"/>
      <c r="G948" s="4"/>
      <c r="H948" s="4">
        <v>4377524.8499999996</v>
      </c>
      <c r="I948" s="4"/>
      <c r="K948" s="48" t="e">
        <f t="shared" si="56"/>
        <v>#DIV/0!</v>
      </c>
      <c r="L948" s="48" t="e">
        <f t="shared" si="57"/>
        <v>#DIV/0!</v>
      </c>
      <c r="M948" s="48">
        <f t="shared" si="58"/>
        <v>2.686549072892674</v>
      </c>
      <c r="N948" s="48" t="e">
        <f t="shared" si="59"/>
        <v>#DIV/0!</v>
      </c>
    </row>
    <row r="949" spans="1:14" x14ac:dyDescent="0.25">
      <c r="A949" s="5">
        <v>2008</v>
      </c>
      <c r="B949" s="4"/>
      <c r="C949" s="4"/>
      <c r="D949" s="4">
        <v>1458450</v>
      </c>
      <c r="E949" s="4"/>
      <c r="F949" s="4"/>
      <c r="G949" s="4"/>
      <c r="H949" s="4">
        <v>4970612</v>
      </c>
      <c r="I949" s="4"/>
      <c r="K949" s="48" t="e">
        <f t="shared" si="56"/>
        <v>#DIV/0!</v>
      </c>
      <c r="L949" s="48" t="e">
        <f t="shared" si="57"/>
        <v>#DIV/0!</v>
      </c>
      <c r="M949" s="48">
        <f t="shared" si="58"/>
        <v>3.4081470053824265</v>
      </c>
      <c r="N949" s="48" t="e">
        <f t="shared" si="59"/>
        <v>#DIV/0!</v>
      </c>
    </row>
    <row r="950" spans="1:14" x14ac:dyDescent="0.25">
      <c r="A950" s="5">
        <v>2010</v>
      </c>
      <c r="B950" s="4"/>
      <c r="C950" s="4"/>
      <c r="D950" s="4">
        <v>1192518.8700000001</v>
      </c>
      <c r="E950" s="4"/>
      <c r="F950" s="4"/>
      <c r="G950" s="4"/>
      <c r="H950" s="4">
        <v>3965257.02</v>
      </c>
      <c r="I950" s="4"/>
      <c r="K950" s="48" t="e">
        <f t="shared" si="56"/>
        <v>#DIV/0!</v>
      </c>
      <c r="L950" s="48" t="e">
        <f t="shared" si="57"/>
        <v>#DIV/0!</v>
      </c>
      <c r="M950" s="48">
        <f t="shared" si="58"/>
        <v>3.3251105032828536</v>
      </c>
      <c r="N950" s="48" t="e">
        <f t="shared" si="59"/>
        <v>#DIV/0!</v>
      </c>
    </row>
    <row r="951" spans="1:14" x14ac:dyDescent="0.25">
      <c r="A951" s="5">
        <v>2011</v>
      </c>
      <c r="B951" s="4"/>
      <c r="C951" s="4"/>
      <c r="D951" s="4">
        <v>1377846.27</v>
      </c>
      <c r="E951" s="4"/>
      <c r="F951" s="4"/>
      <c r="G951" s="4"/>
      <c r="H951" s="4">
        <v>5063914.9029999999</v>
      </c>
      <c r="I951" s="4"/>
      <c r="K951" s="48" t="e">
        <f t="shared" si="56"/>
        <v>#DIV/0!</v>
      </c>
      <c r="L951" s="48" t="e">
        <f t="shared" si="57"/>
        <v>#DIV/0!</v>
      </c>
      <c r="M951" s="48">
        <f t="shared" si="58"/>
        <v>3.6752394031592508</v>
      </c>
      <c r="N951" s="48" t="e">
        <f t="shared" si="59"/>
        <v>#DIV/0!</v>
      </c>
    </row>
    <row r="952" spans="1:14" x14ac:dyDescent="0.25">
      <c r="A952" s="5">
        <v>2012</v>
      </c>
      <c r="B952" s="4"/>
      <c r="C952" s="4"/>
      <c r="D952" s="4">
        <v>1071719.6200000001</v>
      </c>
      <c r="E952" s="4"/>
      <c r="F952" s="4"/>
      <c r="G952" s="4"/>
      <c r="H952" s="4">
        <v>4886156.9579999996</v>
      </c>
      <c r="I952" s="4"/>
      <c r="K952" s="48" t="e">
        <f t="shared" si="56"/>
        <v>#DIV/0!</v>
      </c>
      <c r="L952" s="48" t="e">
        <f t="shared" si="57"/>
        <v>#DIV/0!</v>
      </c>
      <c r="M952" s="48">
        <f t="shared" si="58"/>
        <v>4.5591746822737083</v>
      </c>
      <c r="N952" s="48" t="e">
        <f t="shared" si="59"/>
        <v>#DIV/0!</v>
      </c>
    </row>
    <row r="953" spans="1:14" x14ac:dyDescent="0.25">
      <c r="A953" s="5">
        <v>2013</v>
      </c>
      <c r="B953" s="4"/>
      <c r="C953" s="4"/>
      <c r="D953" s="4">
        <v>1279352</v>
      </c>
      <c r="E953" s="4"/>
      <c r="F953" s="4"/>
      <c r="G953" s="4"/>
      <c r="H953" s="4">
        <v>5914150.4819999998</v>
      </c>
      <c r="I953" s="4"/>
      <c r="K953" s="48" t="e">
        <f t="shared" si="56"/>
        <v>#DIV/0!</v>
      </c>
      <c r="L953" s="48" t="e">
        <f t="shared" si="57"/>
        <v>#DIV/0!</v>
      </c>
      <c r="M953" s="48">
        <f t="shared" si="58"/>
        <v>4.6227703415479082</v>
      </c>
      <c r="N953" s="48" t="e">
        <f t="shared" si="59"/>
        <v>#DIV/0!</v>
      </c>
    </row>
    <row r="954" spans="1:14" x14ac:dyDescent="0.25">
      <c r="A954" s="5">
        <v>2014</v>
      </c>
      <c r="B954" s="4"/>
      <c r="C954" s="4"/>
      <c r="D954" s="4">
        <v>1585818</v>
      </c>
      <c r="E954" s="4"/>
      <c r="F954" s="4"/>
      <c r="G954" s="4"/>
      <c r="H954" s="4">
        <v>6282403.5190000003</v>
      </c>
      <c r="I954" s="4"/>
      <c r="K954" s="48" t="e">
        <f t="shared" si="56"/>
        <v>#DIV/0!</v>
      </c>
      <c r="L954" s="48" t="e">
        <f t="shared" si="57"/>
        <v>#DIV/0!</v>
      </c>
      <c r="M954" s="48">
        <f t="shared" si="58"/>
        <v>3.9616169818983011</v>
      </c>
      <c r="N954" s="48" t="e">
        <f t="shared" si="59"/>
        <v>#DIV/0!</v>
      </c>
    </row>
    <row r="955" spans="1:14" x14ac:dyDescent="0.25">
      <c r="A955" s="5">
        <v>2015</v>
      </c>
      <c r="B955" s="4"/>
      <c r="C955" s="4"/>
      <c r="D955" s="4">
        <v>1565379</v>
      </c>
      <c r="E955" s="4"/>
      <c r="F955" s="4"/>
      <c r="G955" s="4"/>
      <c r="H955" s="4">
        <v>5311280.68</v>
      </c>
      <c r="I955" s="4"/>
      <c r="K955" s="48" t="e">
        <f t="shared" si="56"/>
        <v>#DIV/0!</v>
      </c>
      <c r="L955" s="48" t="e">
        <f t="shared" si="57"/>
        <v>#DIV/0!</v>
      </c>
      <c r="M955" s="48">
        <f t="shared" si="58"/>
        <v>3.3929678882877563</v>
      </c>
      <c r="N955" s="48" t="e">
        <f t="shared" si="59"/>
        <v>#DIV/0!</v>
      </c>
    </row>
    <row r="956" spans="1:14" x14ac:dyDescent="0.25">
      <c r="A956" s="5">
        <v>2016</v>
      </c>
      <c r="B956" s="4"/>
      <c r="C956" s="4"/>
      <c r="D956" s="4">
        <v>1560135.1029999999</v>
      </c>
      <c r="E956" s="4"/>
      <c r="F956" s="4"/>
      <c r="G956" s="4"/>
      <c r="H956" s="4">
        <v>5245407.57</v>
      </c>
      <c r="I956" s="4"/>
      <c r="K956" s="48" t="e">
        <f t="shared" si="56"/>
        <v>#DIV/0!</v>
      </c>
      <c r="L956" s="48" t="e">
        <f t="shared" si="57"/>
        <v>#DIV/0!</v>
      </c>
      <c r="M956" s="48">
        <f t="shared" si="58"/>
        <v>3.3621495727604307</v>
      </c>
      <c r="N956" s="48" t="e">
        <f t="shared" si="59"/>
        <v>#DIV/0!</v>
      </c>
    </row>
    <row r="957" spans="1:14" x14ac:dyDescent="0.25">
      <c r="A957" s="5">
        <v>2017</v>
      </c>
      <c r="B957" s="4"/>
      <c r="C957" s="4"/>
      <c r="D957" s="4">
        <v>1601485</v>
      </c>
      <c r="E957" s="4"/>
      <c r="F957" s="4"/>
      <c r="G957" s="4"/>
      <c r="H957" s="4">
        <v>6227102.6799999997</v>
      </c>
      <c r="I957" s="4"/>
      <c r="K957" s="48" t="e">
        <f t="shared" si="56"/>
        <v>#DIV/0!</v>
      </c>
      <c r="L957" s="48" t="e">
        <f t="shared" si="57"/>
        <v>#DIV/0!</v>
      </c>
      <c r="M957" s="48">
        <f t="shared" si="58"/>
        <v>3.8883303184232134</v>
      </c>
      <c r="N957" s="48" t="e">
        <f t="shared" si="59"/>
        <v>#DIV/0!</v>
      </c>
    </row>
    <row r="958" spans="1:14" x14ac:dyDescent="0.25">
      <c r="A958" s="5">
        <v>2018</v>
      </c>
      <c r="B958" s="4"/>
      <c r="C958" s="4"/>
      <c r="D958" s="4">
        <v>1566160</v>
      </c>
      <c r="E958" s="4"/>
      <c r="F958" s="4"/>
      <c r="G958" s="4"/>
      <c r="H958" s="4">
        <v>6533934.8899999997</v>
      </c>
      <c r="I958" s="4"/>
      <c r="K958" s="48" t="e">
        <f t="shared" si="56"/>
        <v>#DIV/0!</v>
      </c>
      <c r="L958" s="48" t="e">
        <f t="shared" si="57"/>
        <v>#DIV/0!</v>
      </c>
      <c r="M958" s="48">
        <f t="shared" si="58"/>
        <v>4.1719459633753893</v>
      </c>
      <c r="N958" s="48" t="e">
        <f t="shared" si="59"/>
        <v>#DIV/0!</v>
      </c>
    </row>
    <row r="959" spans="1:14" x14ac:dyDescent="0.25">
      <c r="A959" s="5">
        <v>2019</v>
      </c>
      <c r="B959" s="4"/>
      <c r="C959" s="4"/>
      <c r="D959" s="4">
        <v>1529738</v>
      </c>
      <c r="E959" s="4"/>
      <c r="F959" s="4"/>
      <c r="G959" s="4"/>
      <c r="H959" s="4">
        <v>6271781.9000000004</v>
      </c>
      <c r="I959" s="4"/>
      <c r="K959" s="48" t="e">
        <f t="shared" si="56"/>
        <v>#DIV/0!</v>
      </c>
      <c r="L959" s="48" t="e">
        <f t="shared" si="57"/>
        <v>#DIV/0!</v>
      </c>
      <c r="M959" s="48">
        <f t="shared" si="58"/>
        <v>4.0999059316039741</v>
      </c>
      <c r="N959" s="48" t="e">
        <f t="shared" si="59"/>
        <v>#DIV/0!</v>
      </c>
    </row>
    <row r="960" spans="1:14" x14ac:dyDescent="0.25">
      <c r="A960" s="5">
        <v>2020</v>
      </c>
      <c r="B960" s="4"/>
      <c r="C960" s="4"/>
      <c r="D960" s="4">
        <v>1602825</v>
      </c>
      <c r="E960" s="4"/>
      <c r="F960" s="4"/>
      <c r="G960" s="4"/>
      <c r="H960" s="4">
        <v>6036672.4400000004</v>
      </c>
      <c r="I960" s="4"/>
      <c r="K960" s="48" t="e">
        <f t="shared" si="56"/>
        <v>#DIV/0!</v>
      </c>
      <c r="L960" s="48" t="e">
        <f t="shared" si="57"/>
        <v>#DIV/0!</v>
      </c>
      <c r="M960" s="48">
        <f t="shared" si="58"/>
        <v>3.766270453730133</v>
      </c>
      <c r="N960" s="48" t="e">
        <f t="shared" si="59"/>
        <v>#DIV/0!</v>
      </c>
    </row>
    <row r="961" spans="1:14" x14ac:dyDescent="0.25">
      <c r="A961" s="5">
        <v>2021</v>
      </c>
      <c r="B961" s="4"/>
      <c r="C961" s="4"/>
      <c r="D961" s="4">
        <v>1634332</v>
      </c>
      <c r="E961" s="4"/>
      <c r="F961" s="4"/>
      <c r="G961" s="4"/>
      <c r="H961" s="4">
        <v>6750934.5300000003</v>
      </c>
      <c r="I961" s="4"/>
      <c r="K961" s="48" t="e">
        <f t="shared" si="56"/>
        <v>#DIV/0!</v>
      </c>
      <c r="L961" s="48" t="e">
        <f t="shared" si="57"/>
        <v>#DIV/0!</v>
      </c>
      <c r="M961" s="48">
        <f t="shared" si="58"/>
        <v>4.1306995946967939</v>
      </c>
      <c r="N961" s="48" t="e">
        <f t="shared" si="59"/>
        <v>#DIV/0!</v>
      </c>
    </row>
    <row r="962" spans="1:14" x14ac:dyDescent="0.25">
      <c r="A962" s="5">
        <v>2022</v>
      </c>
      <c r="B962" s="4"/>
      <c r="C962" s="4"/>
      <c r="D962" s="4">
        <v>1647590</v>
      </c>
      <c r="E962" s="4"/>
      <c r="F962" s="4"/>
      <c r="G962" s="4"/>
      <c r="H962" s="4">
        <v>7576173.4000000004</v>
      </c>
      <c r="I962" s="4"/>
      <c r="K962" s="48" t="e">
        <f t="shared" si="56"/>
        <v>#DIV/0!</v>
      </c>
      <c r="L962" s="48" t="e">
        <f t="shared" si="57"/>
        <v>#DIV/0!</v>
      </c>
      <c r="M962" s="48">
        <f t="shared" si="58"/>
        <v>4.5983366007319786</v>
      </c>
      <c r="N962" s="48" t="e">
        <f t="shared" si="59"/>
        <v>#DIV/0!</v>
      </c>
    </row>
    <row r="963" spans="1:14" x14ac:dyDescent="0.25">
      <c r="A963" s="5">
        <v>2023</v>
      </c>
      <c r="B963" s="4"/>
      <c r="C963" s="4"/>
      <c r="D963" s="4">
        <v>1532157</v>
      </c>
      <c r="E963" s="4"/>
      <c r="F963" s="4"/>
      <c r="G963" s="4"/>
      <c r="H963" s="4">
        <v>6696442.4330000002</v>
      </c>
      <c r="I963" s="4"/>
      <c r="K963" s="48" t="e">
        <f t="shared" si="56"/>
        <v>#DIV/0!</v>
      </c>
      <c r="L963" s="48" t="e">
        <f t="shared" si="57"/>
        <v>#DIV/0!</v>
      </c>
      <c r="M963" s="48">
        <f t="shared" si="58"/>
        <v>4.3705980738266383</v>
      </c>
      <c r="N963" s="48" t="e">
        <f t="shared" si="59"/>
        <v>#DIV/0!</v>
      </c>
    </row>
    <row r="964" spans="1:14" x14ac:dyDescent="0.25">
      <c r="A964" s="5">
        <v>2024</v>
      </c>
      <c r="B964" s="4"/>
      <c r="C964" s="4"/>
      <c r="D964" s="4">
        <v>2043919</v>
      </c>
      <c r="E964" s="4"/>
      <c r="F964" s="4"/>
      <c r="G964" s="4"/>
      <c r="H964" s="4">
        <v>9001443.2119999994</v>
      </c>
      <c r="I964" s="4"/>
      <c r="K964" s="48" t="e">
        <f t="shared" si="56"/>
        <v>#DIV/0!</v>
      </c>
      <c r="L964" s="48" t="e">
        <f t="shared" si="57"/>
        <v>#DIV/0!</v>
      </c>
      <c r="M964" s="48">
        <f t="shared" si="58"/>
        <v>4.4040117108358992</v>
      </c>
      <c r="N964" s="48" t="e">
        <f t="shared" si="59"/>
        <v>#DIV/0!</v>
      </c>
    </row>
    <row r="965" spans="1:14" x14ac:dyDescent="0.25">
      <c r="A965" s="3" t="s">
        <v>109</v>
      </c>
      <c r="B965" s="4"/>
      <c r="C965" s="4"/>
      <c r="D965" s="4">
        <v>56474091</v>
      </c>
      <c r="E965" s="4"/>
      <c r="F965" s="4"/>
      <c r="G965" s="4"/>
      <c r="H965" s="4">
        <v>231999858.00900003</v>
      </c>
      <c r="I965" s="4"/>
      <c r="K965" s="48" t="e">
        <f t="shared" si="56"/>
        <v>#DIV/0!</v>
      </c>
      <c r="L965" s="48" t="e">
        <f t="shared" si="57"/>
        <v>#DIV/0!</v>
      </c>
      <c r="M965" s="48">
        <f t="shared" si="58"/>
        <v>4.1080760026575733</v>
      </c>
      <c r="N965" s="48" t="e">
        <f t="shared" si="59"/>
        <v>#DIV/0!</v>
      </c>
    </row>
    <row r="966" spans="1:14" x14ac:dyDescent="0.25">
      <c r="A966" s="5">
        <v>2000</v>
      </c>
      <c r="B966" s="4"/>
      <c r="C966" s="4"/>
      <c r="D966" s="4">
        <v>1567633</v>
      </c>
      <c r="E966" s="4"/>
      <c r="F966" s="4"/>
      <c r="G966" s="4"/>
      <c r="H966" s="4">
        <v>2721345.4479999999</v>
      </c>
      <c r="I966" s="4"/>
      <c r="K966" s="48" t="e">
        <f t="shared" si="56"/>
        <v>#DIV/0!</v>
      </c>
      <c r="L966" s="48" t="e">
        <f t="shared" si="57"/>
        <v>#DIV/0!</v>
      </c>
      <c r="M966" s="48">
        <f t="shared" si="58"/>
        <v>1.7359582555355748</v>
      </c>
      <c r="N966" s="48" t="e">
        <f t="shared" si="59"/>
        <v>#DIV/0!</v>
      </c>
    </row>
    <row r="967" spans="1:14" x14ac:dyDescent="0.25">
      <c r="A967" s="5">
        <v>2001</v>
      </c>
      <c r="B967" s="4"/>
      <c r="C967" s="4"/>
      <c r="D967" s="4">
        <v>1495101</v>
      </c>
      <c r="E967" s="4"/>
      <c r="F967" s="4"/>
      <c r="G967" s="4"/>
      <c r="H967" s="4">
        <v>2826809.091</v>
      </c>
      <c r="I967" s="4"/>
      <c r="K967" s="48" t="e">
        <f t="shared" ref="K967:K1030" si="60">F967/B967</f>
        <v>#DIV/0!</v>
      </c>
      <c r="L967" s="48" t="e">
        <f t="shared" ref="L967:L1030" si="61">G967/C967</f>
        <v>#DIV/0!</v>
      </c>
      <c r="M967" s="48">
        <f t="shared" ref="M967:M1030" si="62">H967/D967</f>
        <v>1.8907144674506939</v>
      </c>
      <c r="N967" s="48" t="e">
        <f t="shared" ref="N967:N1030" si="63">I967/E967</f>
        <v>#DIV/0!</v>
      </c>
    </row>
    <row r="968" spans="1:14" x14ac:dyDescent="0.25">
      <c r="A968" s="5">
        <v>2002</v>
      </c>
      <c r="B968" s="4"/>
      <c r="C968" s="4"/>
      <c r="D968" s="4">
        <v>1645916</v>
      </c>
      <c r="E968" s="4"/>
      <c r="F968" s="4"/>
      <c r="G968" s="4"/>
      <c r="H968" s="4">
        <v>3465037.8489999999</v>
      </c>
      <c r="I968" s="4"/>
      <c r="K968" s="48" t="e">
        <f t="shared" si="60"/>
        <v>#DIV/0!</v>
      </c>
      <c r="L968" s="48" t="e">
        <f t="shared" si="61"/>
        <v>#DIV/0!</v>
      </c>
      <c r="M968" s="48">
        <f t="shared" si="62"/>
        <v>2.1052337111978985</v>
      </c>
      <c r="N968" s="48" t="e">
        <f t="shared" si="63"/>
        <v>#DIV/0!</v>
      </c>
    </row>
    <row r="969" spans="1:14" x14ac:dyDescent="0.25">
      <c r="A969" s="5">
        <v>2003</v>
      </c>
      <c r="B969" s="4"/>
      <c r="C969" s="4"/>
      <c r="D969" s="4">
        <v>2456908</v>
      </c>
      <c r="E969" s="4"/>
      <c r="F969" s="4"/>
      <c r="G969" s="4"/>
      <c r="H969" s="4">
        <v>5010923.5939999996</v>
      </c>
      <c r="I969" s="4"/>
      <c r="K969" s="48" t="e">
        <f t="shared" si="60"/>
        <v>#DIV/0!</v>
      </c>
      <c r="L969" s="48" t="e">
        <f t="shared" si="61"/>
        <v>#DIV/0!</v>
      </c>
      <c r="M969" s="48">
        <f t="shared" si="62"/>
        <v>2.0395243102305822</v>
      </c>
      <c r="N969" s="48" t="e">
        <f t="shared" si="63"/>
        <v>#DIV/0!</v>
      </c>
    </row>
    <row r="970" spans="1:14" x14ac:dyDescent="0.25">
      <c r="A970" s="5">
        <v>2004</v>
      </c>
      <c r="B970" s="4"/>
      <c r="C970" s="4"/>
      <c r="D970" s="4">
        <v>1773178</v>
      </c>
      <c r="E970" s="4"/>
      <c r="F970" s="4"/>
      <c r="G970" s="4"/>
      <c r="H970" s="4">
        <v>4279534.5410000002</v>
      </c>
      <c r="I970" s="4"/>
      <c r="K970" s="48" t="e">
        <f t="shared" si="60"/>
        <v>#DIV/0!</v>
      </c>
      <c r="L970" s="48" t="e">
        <f t="shared" si="61"/>
        <v>#DIV/0!</v>
      </c>
      <c r="M970" s="48">
        <f t="shared" si="62"/>
        <v>2.4134827642797285</v>
      </c>
      <c r="N970" s="48" t="e">
        <f t="shared" si="63"/>
        <v>#DIV/0!</v>
      </c>
    </row>
    <row r="971" spans="1:14" x14ac:dyDescent="0.25">
      <c r="A971" s="5">
        <v>2005</v>
      </c>
      <c r="B971" s="4"/>
      <c r="C971" s="4"/>
      <c r="D971" s="4">
        <v>2377379</v>
      </c>
      <c r="E971" s="4"/>
      <c r="F971" s="4"/>
      <c r="G971" s="4"/>
      <c r="H971" s="4">
        <v>6239447.915</v>
      </c>
      <c r="I971" s="4"/>
      <c r="K971" s="48" t="e">
        <f t="shared" si="60"/>
        <v>#DIV/0!</v>
      </c>
      <c r="L971" s="48" t="e">
        <f t="shared" si="61"/>
        <v>#DIV/0!</v>
      </c>
      <c r="M971" s="48">
        <f t="shared" si="62"/>
        <v>2.6245070369511971</v>
      </c>
      <c r="N971" s="48" t="e">
        <f t="shared" si="63"/>
        <v>#DIV/0!</v>
      </c>
    </row>
    <row r="972" spans="1:14" x14ac:dyDescent="0.25">
      <c r="A972" s="5">
        <v>2006</v>
      </c>
      <c r="B972" s="4"/>
      <c r="C972" s="4"/>
      <c r="D972" s="4">
        <v>2116941</v>
      </c>
      <c r="E972" s="4"/>
      <c r="F972" s="4"/>
      <c r="G972" s="4"/>
      <c r="H972" s="4">
        <v>5732066.9349999996</v>
      </c>
      <c r="I972" s="4"/>
      <c r="K972" s="48" t="e">
        <f t="shared" si="60"/>
        <v>#DIV/0!</v>
      </c>
      <c r="L972" s="48" t="e">
        <f t="shared" si="61"/>
        <v>#DIV/0!</v>
      </c>
      <c r="M972" s="48">
        <f t="shared" si="62"/>
        <v>2.7077121823423513</v>
      </c>
      <c r="N972" s="48" t="e">
        <f t="shared" si="63"/>
        <v>#DIV/0!</v>
      </c>
    </row>
    <row r="973" spans="1:14" x14ac:dyDescent="0.25">
      <c r="A973" s="5">
        <v>2007</v>
      </c>
      <c r="B973" s="4"/>
      <c r="C973" s="4"/>
      <c r="D973" s="4">
        <v>2042338</v>
      </c>
      <c r="E973" s="4"/>
      <c r="F973" s="4"/>
      <c r="G973" s="4"/>
      <c r="H973" s="4">
        <v>6541788.9400000004</v>
      </c>
      <c r="I973" s="4"/>
      <c r="K973" s="48" t="e">
        <f t="shared" si="60"/>
        <v>#DIV/0!</v>
      </c>
      <c r="L973" s="48" t="e">
        <f t="shared" si="61"/>
        <v>#DIV/0!</v>
      </c>
      <c r="M973" s="48">
        <f t="shared" si="62"/>
        <v>3.2030882939062977</v>
      </c>
      <c r="N973" s="48" t="e">
        <f t="shared" si="63"/>
        <v>#DIV/0!</v>
      </c>
    </row>
    <row r="974" spans="1:14" x14ac:dyDescent="0.25">
      <c r="A974" s="5">
        <v>2008</v>
      </c>
      <c r="B974" s="4"/>
      <c r="C974" s="4"/>
      <c r="D974" s="4">
        <v>2267430</v>
      </c>
      <c r="E974" s="4"/>
      <c r="F974" s="4"/>
      <c r="G974" s="4"/>
      <c r="H974" s="4">
        <v>9294961.9240000006</v>
      </c>
      <c r="I974" s="4"/>
      <c r="K974" s="48" t="e">
        <f t="shared" si="60"/>
        <v>#DIV/0!</v>
      </c>
      <c r="L974" s="48" t="e">
        <f t="shared" si="61"/>
        <v>#DIV/0!</v>
      </c>
      <c r="M974" s="48">
        <f t="shared" si="62"/>
        <v>4.0993379835320169</v>
      </c>
      <c r="N974" s="48" t="e">
        <f t="shared" si="63"/>
        <v>#DIV/0!</v>
      </c>
    </row>
    <row r="975" spans="1:14" x14ac:dyDescent="0.25">
      <c r="A975" s="5">
        <v>2009</v>
      </c>
      <c r="B975" s="4"/>
      <c r="C975" s="4"/>
      <c r="D975" s="4">
        <v>2413203</v>
      </c>
      <c r="E975" s="4"/>
      <c r="F975" s="4"/>
      <c r="G975" s="4"/>
      <c r="H975" s="4">
        <v>8663919.4670000002</v>
      </c>
      <c r="I975" s="4"/>
      <c r="K975" s="48" t="e">
        <f t="shared" si="60"/>
        <v>#DIV/0!</v>
      </c>
      <c r="L975" s="48" t="e">
        <f t="shared" si="61"/>
        <v>#DIV/0!</v>
      </c>
      <c r="M975" s="48">
        <f t="shared" si="62"/>
        <v>3.5902157700781907</v>
      </c>
      <c r="N975" s="48" t="e">
        <f t="shared" si="63"/>
        <v>#DIV/0!</v>
      </c>
    </row>
    <row r="976" spans="1:14" x14ac:dyDescent="0.25">
      <c r="A976" s="5">
        <v>2010</v>
      </c>
      <c r="B976" s="4"/>
      <c r="C976" s="4"/>
      <c r="D976" s="4">
        <v>2260401</v>
      </c>
      <c r="E976" s="4"/>
      <c r="F976" s="4"/>
      <c r="G976" s="4"/>
      <c r="H976" s="4">
        <v>7217272.9890000001</v>
      </c>
      <c r="I976" s="4"/>
      <c r="K976" s="48" t="e">
        <f t="shared" si="60"/>
        <v>#DIV/0!</v>
      </c>
      <c r="L976" s="48" t="e">
        <f t="shared" si="61"/>
        <v>#DIV/0!</v>
      </c>
      <c r="M976" s="48">
        <f t="shared" si="62"/>
        <v>3.1929170925866694</v>
      </c>
      <c r="N976" s="48" t="e">
        <f t="shared" si="63"/>
        <v>#DIV/0!</v>
      </c>
    </row>
    <row r="977" spans="1:14" x14ac:dyDescent="0.25">
      <c r="A977" s="5">
        <v>2011</v>
      </c>
      <c r="B977" s="4"/>
      <c r="C977" s="4"/>
      <c r="D977" s="4">
        <v>2544635</v>
      </c>
      <c r="E977" s="4"/>
      <c r="F977" s="4"/>
      <c r="G977" s="4"/>
      <c r="H977" s="4">
        <v>10634485.366</v>
      </c>
      <c r="I977" s="4"/>
      <c r="K977" s="48" t="e">
        <f t="shared" si="60"/>
        <v>#DIV/0!</v>
      </c>
      <c r="L977" s="48" t="e">
        <f t="shared" si="61"/>
        <v>#DIV/0!</v>
      </c>
      <c r="M977" s="48">
        <f t="shared" si="62"/>
        <v>4.1791790830512037</v>
      </c>
      <c r="N977" s="48" t="e">
        <f t="shared" si="63"/>
        <v>#DIV/0!</v>
      </c>
    </row>
    <row r="978" spans="1:14" x14ac:dyDescent="0.25">
      <c r="A978" s="5">
        <v>2012</v>
      </c>
      <c r="B978" s="4"/>
      <c r="C978" s="4"/>
      <c r="D978" s="4">
        <v>2142886</v>
      </c>
      <c r="E978" s="4"/>
      <c r="F978" s="4"/>
      <c r="G978" s="4"/>
      <c r="H978" s="4">
        <v>10720132.295</v>
      </c>
      <c r="I978" s="4"/>
      <c r="K978" s="48" t="e">
        <f t="shared" si="60"/>
        <v>#DIV/0!</v>
      </c>
      <c r="L978" s="48" t="e">
        <f t="shared" si="61"/>
        <v>#DIV/0!</v>
      </c>
      <c r="M978" s="48">
        <f t="shared" si="62"/>
        <v>5.002661035164726</v>
      </c>
      <c r="N978" s="48" t="e">
        <f t="shared" si="63"/>
        <v>#DIV/0!</v>
      </c>
    </row>
    <row r="979" spans="1:14" x14ac:dyDescent="0.25">
      <c r="A979" s="5">
        <v>2013</v>
      </c>
      <c r="B979" s="4"/>
      <c r="C979" s="4"/>
      <c r="D979" s="4">
        <v>2931718</v>
      </c>
      <c r="E979" s="4"/>
      <c r="F979" s="4"/>
      <c r="G979" s="4"/>
      <c r="H979" s="4">
        <v>16157186.941</v>
      </c>
      <c r="I979" s="4"/>
      <c r="K979" s="48" t="e">
        <f t="shared" si="60"/>
        <v>#DIV/0!</v>
      </c>
      <c r="L979" s="48" t="e">
        <f t="shared" si="61"/>
        <v>#DIV/0!</v>
      </c>
      <c r="M979" s="48">
        <f t="shared" si="62"/>
        <v>5.5111668110643652</v>
      </c>
      <c r="N979" s="48" t="e">
        <f t="shared" si="63"/>
        <v>#DIV/0!</v>
      </c>
    </row>
    <row r="980" spans="1:14" x14ac:dyDescent="0.25">
      <c r="A980" s="5">
        <v>2014</v>
      </c>
      <c r="B980" s="4"/>
      <c r="C980" s="4"/>
      <c r="D980" s="4">
        <v>2485653</v>
      </c>
      <c r="E980" s="4"/>
      <c r="F980" s="4"/>
      <c r="G980" s="4"/>
      <c r="H980" s="4">
        <v>10888290.218</v>
      </c>
      <c r="I980" s="4"/>
      <c r="K980" s="48" t="e">
        <f t="shared" si="60"/>
        <v>#DIV/0!</v>
      </c>
      <c r="L980" s="48" t="e">
        <f t="shared" si="61"/>
        <v>#DIV/0!</v>
      </c>
      <c r="M980" s="48">
        <f t="shared" si="62"/>
        <v>4.3804546402896944</v>
      </c>
      <c r="N980" s="48" t="e">
        <f t="shared" si="63"/>
        <v>#DIV/0!</v>
      </c>
    </row>
    <row r="981" spans="1:14" x14ac:dyDescent="0.25">
      <c r="A981" s="5">
        <v>2015</v>
      </c>
      <c r="B981" s="4"/>
      <c r="C981" s="4"/>
      <c r="D981" s="4">
        <v>3112008</v>
      </c>
      <c r="E981" s="4"/>
      <c r="F981" s="4"/>
      <c r="G981" s="4"/>
      <c r="H981" s="4">
        <v>12822610.540999999</v>
      </c>
      <c r="I981" s="4"/>
      <c r="K981" s="48" t="e">
        <f t="shared" si="60"/>
        <v>#DIV/0!</v>
      </c>
      <c r="L981" s="48" t="e">
        <f t="shared" si="61"/>
        <v>#DIV/0!</v>
      </c>
      <c r="M981" s="48">
        <f t="shared" si="62"/>
        <v>4.1203655456541242</v>
      </c>
      <c r="N981" s="48" t="e">
        <f t="shared" si="63"/>
        <v>#DIV/0!</v>
      </c>
    </row>
    <row r="982" spans="1:14" x14ac:dyDescent="0.25">
      <c r="A982" s="5">
        <v>2016</v>
      </c>
      <c r="B982" s="4"/>
      <c r="C982" s="4"/>
      <c r="D982" s="4">
        <v>3664397</v>
      </c>
      <c r="E982" s="4"/>
      <c r="F982" s="4"/>
      <c r="G982" s="4"/>
      <c r="H982" s="4">
        <v>15645958.745999999</v>
      </c>
      <c r="I982" s="4"/>
      <c r="K982" s="48" t="e">
        <f t="shared" si="60"/>
        <v>#DIV/0!</v>
      </c>
      <c r="L982" s="48" t="e">
        <f t="shared" si="61"/>
        <v>#DIV/0!</v>
      </c>
      <c r="M982" s="48">
        <f t="shared" si="62"/>
        <v>4.2697226162994895</v>
      </c>
      <c r="N982" s="48" t="e">
        <f t="shared" si="63"/>
        <v>#DIV/0!</v>
      </c>
    </row>
    <row r="983" spans="1:14" x14ac:dyDescent="0.25">
      <c r="A983" s="5">
        <v>2017</v>
      </c>
      <c r="B983" s="4"/>
      <c r="C983" s="4"/>
      <c r="D983" s="4">
        <v>1988348</v>
      </c>
      <c r="E983" s="4"/>
      <c r="F983" s="4"/>
      <c r="G983" s="4"/>
      <c r="H983" s="4">
        <v>9661121.2819999997</v>
      </c>
      <c r="I983" s="4"/>
      <c r="K983" s="48" t="e">
        <f t="shared" si="60"/>
        <v>#DIV/0!</v>
      </c>
      <c r="L983" s="48" t="e">
        <f t="shared" si="61"/>
        <v>#DIV/0!</v>
      </c>
      <c r="M983" s="48">
        <f t="shared" si="62"/>
        <v>4.8588684083470293</v>
      </c>
      <c r="N983" s="48" t="e">
        <f t="shared" si="63"/>
        <v>#DIV/0!</v>
      </c>
    </row>
    <row r="984" spans="1:14" x14ac:dyDescent="0.25">
      <c r="A984" s="5">
        <v>2018</v>
      </c>
      <c r="B984" s="4"/>
      <c r="C984" s="4"/>
      <c r="D984" s="4">
        <v>2000492</v>
      </c>
      <c r="E984" s="4"/>
      <c r="F984" s="4"/>
      <c r="G984" s="4"/>
      <c r="H984" s="4">
        <v>11295231.390000001</v>
      </c>
      <c r="I984" s="4"/>
      <c r="K984" s="48" t="e">
        <f t="shared" si="60"/>
        <v>#DIV/0!</v>
      </c>
      <c r="L984" s="48" t="e">
        <f t="shared" si="61"/>
        <v>#DIV/0!</v>
      </c>
      <c r="M984" s="48">
        <f t="shared" si="62"/>
        <v>5.6462267232260865</v>
      </c>
      <c r="N984" s="48" t="e">
        <f t="shared" si="63"/>
        <v>#DIV/0!</v>
      </c>
    </row>
    <row r="985" spans="1:14" x14ac:dyDescent="0.25">
      <c r="A985" s="5">
        <v>2019</v>
      </c>
      <c r="B985" s="4"/>
      <c r="C985" s="4"/>
      <c r="D985" s="4">
        <v>2330021</v>
      </c>
      <c r="E985" s="4"/>
      <c r="F985" s="4"/>
      <c r="G985" s="4"/>
      <c r="H985" s="4">
        <v>12669663.657</v>
      </c>
      <c r="I985" s="4"/>
      <c r="K985" s="48" t="e">
        <f t="shared" si="60"/>
        <v>#DIV/0!</v>
      </c>
      <c r="L985" s="48" t="e">
        <f t="shared" si="61"/>
        <v>#DIV/0!</v>
      </c>
      <c r="M985" s="48">
        <f t="shared" si="62"/>
        <v>5.4375748789388592</v>
      </c>
      <c r="N985" s="48" t="e">
        <f t="shared" si="63"/>
        <v>#DIV/0!</v>
      </c>
    </row>
    <row r="986" spans="1:14" x14ac:dyDescent="0.25">
      <c r="A986" s="5">
        <v>2020</v>
      </c>
      <c r="B986" s="4"/>
      <c r="C986" s="4"/>
      <c r="D986" s="4">
        <v>2169399</v>
      </c>
      <c r="E986" s="4"/>
      <c r="F986" s="4"/>
      <c r="G986" s="4"/>
      <c r="H986" s="4">
        <v>11475359.289000001</v>
      </c>
      <c r="I986" s="4"/>
      <c r="K986" s="48" t="e">
        <f t="shared" si="60"/>
        <v>#DIV/0!</v>
      </c>
      <c r="L986" s="48" t="e">
        <f t="shared" si="61"/>
        <v>#DIV/0!</v>
      </c>
      <c r="M986" s="48">
        <f t="shared" si="62"/>
        <v>5.2896490175389594</v>
      </c>
      <c r="N986" s="48" t="e">
        <f t="shared" si="63"/>
        <v>#DIV/0!</v>
      </c>
    </row>
    <row r="987" spans="1:14" x14ac:dyDescent="0.25">
      <c r="A987" s="5">
        <v>2021</v>
      </c>
      <c r="B987" s="4"/>
      <c r="C987" s="4"/>
      <c r="D987" s="4">
        <v>1355821</v>
      </c>
      <c r="E987" s="4"/>
      <c r="F987" s="4"/>
      <c r="G987" s="4"/>
      <c r="H987" s="4">
        <v>7264687.9469999997</v>
      </c>
      <c r="I987" s="4"/>
      <c r="K987" s="48" t="e">
        <f t="shared" si="60"/>
        <v>#DIV/0!</v>
      </c>
      <c r="L987" s="48" t="e">
        <f t="shared" si="61"/>
        <v>#DIV/0!</v>
      </c>
      <c r="M987" s="48">
        <f t="shared" si="62"/>
        <v>5.3581467959266007</v>
      </c>
      <c r="N987" s="48" t="e">
        <f t="shared" si="63"/>
        <v>#DIV/0!</v>
      </c>
    </row>
    <row r="988" spans="1:14" x14ac:dyDescent="0.25">
      <c r="A988" s="5">
        <v>2022</v>
      </c>
      <c r="B988" s="4"/>
      <c r="C988" s="4"/>
      <c r="D988" s="4">
        <v>1915715</v>
      </c>
      <c r="E988" s="4"/>
      <c r="F988" s="4"/>
      <c r="G988" s="4"/>
      <c r="H988" s="4">
        <v>10367728.734999999</v>
      </c>
      <c r="I988" s="4"/>
      <c r="K988" s="48" t="e">
        <f t="shared" si="60"/>
        <v>#DIV/0!</v>
      </c>
      <c r="L988" s="48" t="e">
        <f t="shared" si="61"/>
        <v>#DIV/0!</v>
      </c>
      <c r="M988" s="48">
        <f t="shared" si="62"/>
        <v>5.4119369191137512</v>
      </c>
      <c r="N988" s="48" t="e">
        <f t="shared" si="63"/>
        <v>#DIV/0!</v>
      </c>
    </row>
    <row r="989" spans="1:14" x14ac:dyDescent="0.25">
      <c r="A989" s="5">
        <v>2023</v>
      </c>
      <c r="B989" s="4"/>
      <c r="C989" s="4"/>
      <c r="D989" s="4">
        <v>1211727</v>
      </c>
      <c r="E989" s="4"/>
      <c r="F989" s="4"/>
      <c r="G989" s="4"/>
      <c r="H989" s="4">
        <v>6992335.4110000003</v>
      </c>
      <c r="I989" s="4"/>
      <c r="K989" s="48" t="e">
        <f t="shared" si="60"/>
        <v>#DIV/0!</v>
      </c>
      <c r="L989" s="48" t="e">
        <f t="shared" si="61"/>
        <v>#DIV/0!</v>
      </c>
      <c r="M989" s="48">
        <f t="shared" si="62"/>
        <v>5.7705534423182785</v>
      </c>
      <c r="N989" s="48" t="e">
        <f t="shared" si="63"/>
        <v>#DIV/0!</v>
      </c>
    </row>
    <row r="990" spans="1:14" x14ac:dyDescent="0.25">
      <c r="A990" s="5">
        <v>2024</v>
      </c>
      <c r="B990" s="4"/>
      <c r="C990" s="4"/>
      <c r="D990" s="4">
        <v>2049720</v>
      </c>
      <c r="E990" s="4"/>
      <c r="F990" s="4"/>
      <c r="G990" s="4"/>
      <c r="H990" s="4">
        <v>11604953.334000001</v>
      </c>
      <c r="I990" s="4"/>
      <c r="K990" s="48" t="e">
        <f t="shared" si="60"/>
        <v>#DIV/0!</v>
      </c>
      <c r="L990" s="48" t="e">
        <f t="shared" si="61"/>
        <v>#DIV/0!</v>
      </c>
      <c r="M990" s="48">
        <f t="shared" si="62"/>
        <v>5.6617261547918742</v>
      </c>
      <c r="N990" s="48" t="e">
        <f t="shared" si="63"/>
        <v>#DIV/0!</v>
      </c>
    </row>
    <row r="991" spans="1:14" x14ac:dyDescent="0.25">
      <c r="A991" s="5">
        <v>2025</v>
      </c>
      <c r="B991" s="4"/>
      <c r="C991" s="4"/>
      <c r="D991" s="4">
        <v>2155123</v>
      </c>
      <c r="E991" s="4"/>
      <c r="F991" s="4"/>
      <c r="G991" s="4"/>
      <c r="H991" s="4">
        <v>11807004.164000001</v>
      </c>
      <c r="I991" s="4"/>
      <c r="K991" s="48" t="e">
        <f t="shared" si="60"/>
        <v>#DIV/0!</v>
      </c>
      <c r="L991" s="48" t="e">
        <f t="shared" si="61"/>
        <v>#DIV/0!</v>
      </c>
      <c r="M991" s="48">
        <f t="shared" si="62"/>
        <v>5.4785755448760929</v>
      </c>
      <c r="N991" s="48" t="e">
        <f t="shared" si="63"/>
        <v>#DIV/0!</v>
      </c>
    </row>
    <row r="992" spans="1:14" x14ac:dyDescent="0.25">
      <c r="A992" s="3" t="s">
        <v>41</v>
      </c>
      <c r="B992" s="4">
        <v>4027841</v>
      </c>
      <c r="C992" s="4">
        <v>40058088.619000003</v>
      </c>
      <c r="D992" s="4">
        <v>17442585.348000001</v>
      </c>
      <c r="E992" s="4">
        <v>12327101.283</v>
      </c>
      <c r="F992" s="4">
        <v>3244244.1839999999</v>
      </c>
      <c r="G992" s="4">
        <v>63319616.739</v>
      </c>
      <c r="H992" s="4">
        <v>77201309.520999998</v>
      </c>
      <c r="I992" s="4">
        <v>51004659.736000001</v>
      </c>
      <c r="K992" s="48">
        <f t="shared" si="60"/>
        <v>0.8054548786806629</v>
      </c>
      <c r="L992" s="48">
        <f t="shared" si="61"/>
        <v>1.5806949088670894</v>
      </c>
      <c r="M992" s="48">
        <f t="shared" si="62"/>
        <v>4.4260244671729261</v>
      </c>
      <c r="N992" s="48">
        <f t="shared" si="63"/>
        <v>4.1376036884145071</v>
      </c>
    </row>
    <row r="993" spans="1:14" x14ac:dyDescent="0.25">
      <c r="A993" s="5">
        <v>2015</v>
      </c>
      <c r="B993" s="4"/>
      <c r="C993" s="4">
        <v>14019271</v>
      </c>
      <c r="D993" s="4">
        <v>3736204</v>
      </c>
      <c r="E993" s="4">
        <v>2400887</v>
      </c>
      <c r="F993" s="4"/>
      <c r="G993" s="4">
        <v>2868340.4449999998</v>
      </c>
      <c r="H993" s="4">
        <v>13390971.483999999</v>
      </c>
      <c r="I993" s="4">
        <v>6392119.057</v>
      </c>
      <c r="K993" s="48" t="e">
        <f t="shared" si="60"/>
        <v>#DIV/0!</v>
      </c>
      <c r="L993" s="48">
        <f t="shared" si="61"/>
        <v>0.20459982869294702</v>
      </c>
      <c r="M993" s="48">
        <f t="shared" si="62"/>
        <v>3.5841114360993136</v>
      </c>
      <c r="N993" s="48">
        <f t="shared" si="63"/>
        <v>2.6623989621335782</v>
      </c>
    </row>
    <row r="994" spans="1:14" x14ac:dyDescent="0.25">
      <c r="A994" s="5">
        <v>2016</v>
      </c>
      <c r="B994" s="4"/>
      <c r="C994" s="4">
        <v>2538423</v>
      </c>
      <c r="D994" s="4">
        <v>4039313</v>
      </c>
      <c r="E994" s="4">
        <v>3876621</v>
      </c>
      <c r="F994" s="4"/>
      <c r="G994" s="4">
        <v>8283362.0630000001</v>
      </c>
      <c r="H994" s="4">
        <v>14366815.35</v>
      </c>
      <c r="I994" s="4">
        <v>10339078.396</v>
      </c>
      <c r="K994" s="48" t="e">
        <f t="shared" si="60"/>
        <v>#DIV/0!</v>
      </c>
      <c r="L994" s="48">
        <f t="shared" si="61"/>
        <v>3.2631921720690364</v>
      </c>
      <c r="M994" s="48">
        <f t="shared" si="62"/>
        <v>3.5567472364731327</v>
      </c>
      <c r="N994" s="48">
        <f t="shared" si="63"/>
        <v>2.6670335831127159</v>
      </c>
    </row>
    <row r="995" spans="1:14" x14ac:dyDescent="0.25">
      <c r="A995" s="5">
        <v>2018</v>
      </c>
      <c r="B995" s="4">
        <v>4027841</v>
      </c>
      <c r="C995" s="4">
        <v>18054093</v>
      </c>
      <c r="D995" s="4">
        <v>3234541</v>
      </c>
      <c r="E995" s="4">
        <v>3439977</v>
      </c>
      <c r="F995" s="4">
        <v>3244244.1839999999</v>
      </c>
      <c r="G995" s="4">
        <v>27773838.850000001</v>
      </c>
      <c r="H995" s="4">
        <v>14614846.539000001</v>
      </c>
      <c r="I995" s="4">
        <v>21516752.289000001</v>
      </c>
      <c r="K995" s="48">
        <f t="shared" si="60"/>
        <v>0.8054548786806629</v>
      </c>
      <c r="L995" s="48">
        <f t="shared" si="61"/>
        <v>1.5383679950025737</v>
      </c>
      <c r="M995" s="48">
        <f t="shared" si="62"/>
        <v>4.5183679968811647</v>
      </c>
      <c r="N995" s="48">
        <f t="shared" si="63"/>
        <v>6.2549116720838542</v>
      </c>
    </row>
    <row r="996" spans="1:14" x14ac:dyDescent="0.25">
      <c r="A996" s="5">
        <v>2022</v>
      </c>
      <c r="B996" s="4"/>
      <c r="C996" s="4">
        <v>2184895.784</v>
      </c>
      <c r="D996" s="4">
        <v>3302252.821</v>
      </c>
      <c r="E996" s="4">
        <v>2609616.2829999998</v>
      </c>
      <c r="F996" s="4"/>
      <c r="G996" s="4">
        <v>13855599.452</v>
      </c>
      <c r="H996" s="4">
        <v>17151565.645</v>
      </c>
      <c r="I996" s="4">
        <v>12756709.994000001</v>
      </c>
      <c r="K996" s="48" t="e">
        <f t="shared" si="60"/>
        <v>#DIV/0!</v>
      </c>
      <c r="L996" s="48">
        <f t="shared" si="61"/>
        <v>6.3415379138284793</v>
      </c>
      <c r="M996" s="48">
        <f t="shared" si="62"/>
        <v>5.1938984004883375</v>
      </c>
      <c r="N996" s="48">
        <f t="shared" si="63"/>
        <v>4.8883470252319858</v>
      </c>
    </row>
    <row r="997" spans="1:14" x14ac:dyDescent="0.25">
      <c r="A997" s="5">
        <v>2023</v>
      </c>
      <c r="B997" s="4"/>
      <c r="C997" s="4">
        <v>3261405.835</v>
      </c>
      <c r="D997" s="4">
        <v>3130274.5269999998</v>
      </c>
      <c r="E997" s="4"/>
      <c r="F997" s="4"/>
      <c r="G997" s="4">
        <v>10538475.929</v>
      </c>
      <c r="H997" s="4">
        <v>17677110.502999999</v>
      </c>
      <c r="I997" s="4"/>
      <c r="K997" s="48" t="e">
        <f t="shared" si="60"/>
        <v>#DIV/0!</v>
      </c>
      <c r="L997" s="48">
        <f t="shared" si="61"/>
        <v>3.2312678832869017</v>
      </c>
      <c r="M997" s="48">
        <f t="shared" si="62"/>
        <v>5.6471438369149789</v>
      </c>
      <c r="N997" s="48" t="e">
        <f t="shared" si="63"/>
        <v>#DIV/0!</v>
      </c>
    </row>
    <row r="998" spans="1:14" x14ac:dyDescent="0.25">
      <c r="A998" s="3" t="s">
        <v>65</v>
      </c>
      <c r="B998" s="4"/>
      <c r="C998" s="4">
        <v>49719316</v>
      </c>
      <c r="D998" s="4"/>
      <c r="E998" s="4"/>
      <c r="F998" s="4"/>
      <c r="G998" s="4">
        <v>100415545.514</v>
      </c>
      <c r="H998" s="4"/>
      <c r="I998" s="4"/>
      <c r="K998" s="48" t="e">
        <f t="shared" si="60"/>
        <v>#DIV/0!</v>
      </c>
      <c r="L998" s="48">
        <f t="shared" si="61"/>
        <v>2.0196485710704466</v>
      </c>
      <c r="M998" s="48" t="e">
        <f t="shared" si="62"/>
        <v>#DIV/0!</v>
      </c>
      <c r="N998" s="48" t="e">
        <f t="shared" si="63"/>
        <v>#DIV/0!</v>
      </c>
    </row>
    <row r="999" spans="1:14" x14ac:dyDescent="0.25">
      <c r="A999" s="5">
        <v>2010</v>
      </c>
      <c r="B999" s="4"/>
      <c r="C999" s="4">
        <v>2897636</v>
      </c>
      <c r="D999" s="4"/>
      <c r="E999" s="4"/>
      <c r="F999" s="4"/>
      <c r="G999" s="4">
        <v>5405105.2759999996</v>
      </c>
      <c r="H999" s="4"/>
      <c r="I999" s="4"/>
      <c r="K999" s="48" t="e">
        <f t="shared" si="60"/>
        <v>#DIV/0!</v>
      </c>
      <c r="L999" s="48">
        <f t="shared" si="61"/>
        <v>1.8653499873690138</v>
      </c>
      <c r="M999" s="48" t="e">
        <f t="shared" si="62"/>
        <v>#DIV/0!</v>
      </c>
      <c r="N999" s="48" t="e">
        <f t="shared" si="63"/>
        <v>#DIV/0!</v>
      </c>
    </row>
    <row r="1000" spans="1:14" x14ac:dyDescent="0.25">
      <c r="A1000" s="5">
        <v>2011</v>
      </c>
      <c r="B1000" s="4"/>
      <c r="C1000" s="4">
        <v>2776506</v>
      </c>
      <c r="D1000" s="4"/>
      <c r="E1000" s="4"/>
      <c r="F1000" s="4"/>
      <c r="G1000" s="4">
        <v>5305073.0290000001</v>
      </c>
      <c r="H1000" s="4"/>
      <c r="I1000" s="4"/>
      <c r="K1000" s="48" t="e">
        <f t="shared" si="60"/>
        <v>#DIV/0!</v>
      </c>
      <c r="L1000" s="48">
        <f t="shared" si="61"/>
        <v>1.9107010858251343</v>
      </c>
      <c r="M1000" s="48" t="e">
        <f t="shared" si="62"/>
        <v>#DIV/0!</v>
      </c>
      <c r="N1000" s="48" t="e">
        <f t="shared" si="63"/>
        <v>#DIV/0!</v>
      </c>
    </row>
    <row r="1001" spans="1:14" x14ac:dyDescent="0.25">
      <c r="A1001" s="5">
        <v>2012</v>
      </c>
      <c r="B1001" s="4"/>
      <c r="C1001" s="4">
        <v>4381080</v>
      </c>
      <c r="D1001" s="4"/>
      <c r="E1001" s="4"/>
      <c r="F1001" s="4"/>
      <c r="G1001" s="4">
        <v>8935396.3829999994</v>
      </c>
      <c r="H1001" s="4"/>
      <c r="I1001" s="4"/>
      <c r="K1001" s="48" t="e">
        <f t="shared" si="60"/>
        <v>#DIV/0!</v>
      </c>
      <c r="L1001" s="48">
        <f t="shared" si="61"/>
        <v>2.0395419355501381</v>
      </c>
      <c r="M1001" s="48" t="e">
        <f t="shared" si="62"/>
        <v>#DIV/0!</v>
      </c>
      <c r="N1001" s="48" t="e">
        <f t="shared" si="63"/>
        <v>#DIV/0!</v>
      </c>
    </row>
    <row r="1002" spans="1:14" x14ac:dyDescent="0.25">
      <c r="A1002" s="5">
        <v>2013</v>
      </c>
      <c r="B1002" s="4"/>
      <c r="C1002" s="4">
        <v>1516220</v>
      </c>
      <c r="D1002" s="4"/>
      <c r="E1002" s="4"/>
      <c r="F1002" s="4"/>
      <c r="G1002" s="4">
        <v>3255866.5950000002</v>
      </c>
      <c r="H1002" s="4"/>
      <c r="I1002" s="4"/>
      <c r="K1002" s="48" t="e">
        <f t="shared" si="60"/>
        <v>#DIV/0!</v>
      </c>
      <c r="L1002" s="48">
        <f t="shared" si="61"/>
        <v>2.1473576360950259</v>
      </c>
      <c r="M1002" s="48" t="e">
        <f t="shared" si="62"/>
        <v>#DIV/0!</v>
      </c>
      <c r="N1002" s="48" t="e">
        <f t="shared" si="63"/>
        <v>#DIV/0!</v>
      </c>
    </row>
    <row r="1003" spans="1:14" x14ac:dyDescent="0.25">
      <c r="A1003" s="5">
        <v>2014</v>
      </c>
      <c r="B1003" s="4"/>
      <c r="C1003" s="4">
        <v>5043769</v>
      </c>
      <c r="D1003" s="4"/>
      <c r="E1003" s="4"/>
      <c r="F1003" s="4"/>
      <c r="G1003" s="4">
        <v>11436583.987</v>
      </c>
      <c r="H1003" s="4"/>
      <c r="I1003" s="4"/>
      <c r="K1003" s="48" t="e">
        <f t="shared" si="60"/>
        <v>#DIV/0!</v>
      </c>
      <c r="L1003" s="48">
        <f t="shared" si="61"/>
        <v>2.2674678374445776</v>
      </c>
      <c r="M1003" s="48" t="e">
        <f t="shared" si="62"/>
        <v>#DIV/0!</v>
      </c>
      <c r="N1003" s="48" t="e">
        <f t="shared" si="63"/>
        <v>#DIV/0!</v>
      </c>
    </row>
    <row r="1004" spans="1:14" x14ac:dyDescent="0.25">
      <c r="A1004" s="5">
        <v>2015</v>
      </c>
      <c r="B1004" s="4"/>
      <c r="C1004" s="4">
        <v>1691109</v>
      </c>
      <c r="D1004" s="4"/>
      <c r="E1004" s="4"/>
      <c r="F1004" s="4"/>
      <c r="G1004" s="4">
        <v>5876263.4539999999</v>
      </c>
      <c r="H1004" s="4"/>
      <c r="I1004" s="4"/>
      <c r="K1004" s="48" t="e">
        <f t="shared" si="60"/>
        <v>#DIV/0!</v>
      </c>
      <c r="L1004" s="48">
        <f t="shared" si="61"/>
        <v>3.4747987586843898</v>
      </c>
      <c r="M1004" s="48" t="e">
        <f t="shared" si="62"/>
        <v>#DIV/0!</v>
      </c>
      <c r="N1004" s="48" t="e">
        <f t="shared" si="63"/>
        <v>#DIV/0!</v>
      </c>
    </row>
    <row r="1005" spans="1:14" x14ac:dyDescent="0.25">
      <c r="A1005" s="5">
        <v>2016</v>
      </c>
      <c r="B1005" s="4"/>
      <c r="C1005" s="4">
        <v>2341758</v>
      </c>
      <c r="D1005" s="4"/>
      <c r="E1005" s="4"/>
      <c r="F1005" s="4"/>
      <c r="G1005" s="4">
        <v>7709067.7939999998</v>
      </c>
      <c r="H1005" s="4"/>
      <c r="I1005" s="4"/>
      <c r="K1005" s="48" t="e">
        <f t="shared" si="60"/>
        <v>#DIV/0!</v>
      </c>
      <c r="L1005" s="48">
        <f t="shared" si="61"/>
        <v>3.2920001955795604</v>
      </c>
      <c r="M1005" s="48" t="e">
        <f t="shared" si="62"/>
        <v>#DIV/0!</v>
      </c>
      <c r="N1005" s="48" t="e">
        <f t="shared" si="63"/>
        <v>#DIV/0!</v>
      </c>
    </row>
    <row r="1006" spans="1:14" x14ac:dyDescent="0.25">
      <c r="A1006" s="5">
        <v>2019</v>
      </c>
      <c r="B1006" s="4"/>
      <c r="C1006" s="4">
        <v>4354533</v>
      </c>
      <c r="D1006" s="4"/>
      <c r="E1006" s="4"/>
      <c r="F1006" s="4"/>
      <c r="G1006" s="4">
        <v>9696908.8279999997</v>
      </c>
      <c r="H1006" s="4"/>
      <c r="I1006" s="4"/>
      <c r="K1006" s="48" t="e">
        <f t="shared" si="60"/>
        <v>#DIV/0!</v>
      </c>
      <c r="L1006" s="48">
        <f t="shared" si="61"/>
        <v>2.2268539078702583</v>
      </c>
      <c r="M1006" s="48" t="e">
        <f t="shared" si="62"/>
        <v>#DIV/0!</v>
      </c>
      <c r="N1006" s="48" t="e">
        <f t="shared" si="63"/>
        <v>#DIV/0!</v>
      </c>
    </row>
    <row r="1007" spans="1:14" x14ac:dyDescent="0.25">
      <c r="A1007" s="5">
        <v>2020</v>
      </c>
      <c r="B1007" s="4"/>
      <c r="C1007" s="4">
        <v>1702353</v>
      </c>
      <c r="D1007" s="4"/>
      <c r="E1007" s="4"/>
      <c r="F1007" s="4"/>
      <c r="G1007" s="4">
        <v>3338643.3569999998</v>
      </c>
      <c r="H1007" s="4"/>
      <c r="I1007" s="4"/>
      <c r="K1007" s="48" t="e">
        <f t="shared" si="60"/>
        <v>#DIV/0!</v>
      </c>
      <c r="L1007" s="48">
        <f t="shared" si="61"/>
        <v>1.9611933347548951</v>
      </c>
      <c r="M1007" s="48" t="e">
        <f t="shared" si="62"/>
        <v>#DIV/0!</v>
      </c>
      <c r="N1007" s="48" t="e">
        <f t="shared" si="63"/>
        <v>#DIV/0!</v>
      </c>
    </row>
    <row r="1008" spans="1:14" x14ac:dyDescent="0.25">
      <c r="A1008" s="5">
        <v>2023</v>
      </c>
      <c r="B1008" s="4"/>
      <c r="C1008" s="4">
        <v>7435210</v>
      </c>
      <c r="D1008" s="4"/>
      <c r="E1008" s="4"/>
      <c r="F1008" s="4"/>
      <c r="G1008" s="4">
        <v>12208681.499</v>
      </c>
      <c r="H1008" s="4"/>
      <c r="I1008" s="4"/>
      <c r="K1008" s="48" t="e">
        <f t="shared" si="60"/>
        <v>#DIV/0!</v>
      </c>
      <c r="L1008" s="48">
        <f t="shared" si="61"/>
        <v>1.6420089680049386</v>
      </c>
      <c r="M1008" s="48" t="e">
        <f t="shared" si="62"/>
        <v>#DIV/0!</v>
      </c>
      <c r="N1008" s="48" t="e">
        <f t="shared" si="63"/>
        <v>#DIV/0!</v>
      </c>
    </row>
    <row r="1009" spans="1:14" x14ac:dyDescent="0.25">
      <c r="A1009" s="5">
        <v>2024</v>
      </c>
      <c r="B1009" s="4"/>
      <c r="C1009" s="4">
        <v>9834968</v>
      </c>
      <c r="D1009" s="4"/>
      <c r="E1009" s="4"/>
      <c r="F1009" s="4"/>
      <c r="G1009" s="4">
        <v>16997139.964000002</v>
      </c>
      <c r="H1009" s="4"/>
      <c r="I1009" s="4"/>
      <c r="K1009" s="48" t="e">
        <f t="shared" si="60"/>
        <v>#DIV/0!</v>
      </c>
      <c r="L1009" s="48">
        <f t="shared" si="61"/>
        <v>1.7282354110353995</v>
      </c>
      <c r="M1009" s="48" t="e">
        <f t="shared" si="62"/>
        <v>#DIV/0!</v>
      </c>
      <c r="N1009" s="48" t="e">
        <f t="shared" si="63"/>
        <v>#DIV/0!</v>
      </c>
    </row>
    <row r="1010" spans="1:14" x14ac:dyDescent="0.25">
      <c r="A1010" s="5">
        <v>2025</v>
      </c>
      <c r="B1010" s="4"/>
      <c r="C1010" s="4">
        <v>5744174</v>
      </c>
      <c r="D1010" s="4"/>
      <c r="E1010" s="4"/>
      <c r="F1010" s="4"/>
      <c r="G1010" s="4">
        <v>10250815.347999999</v>
      </c>
      <c r="H1010" s="4"/>
      <c r="I1010" s="4"/>
      <c r="K1010" s="48" t="e">
        <f t="shared" si="60"/>
        <v>#DIV/0!</v>
      </c>
      <c r="L1010" s="48">
        <f t="shared" si="61"/>
        <v>1.7845586411553689</v>
      </c>
      <c r="M1010" s="48" t="e">
        <f t="shared" si="62"/>
        <v>#DIV/0!</v>
      </c>
      <c r="N1010" s="48" t="e">
        <f t="shared" si="63"/>
        <v>#DIV/0!</v>
      </c>
    </row>
    <row r="1011" spans="1:14" x14ac:dyDescent="0.25">
      <c r="A1011" s="3" t="s">
        <v>64</v>
      </c>
      <c r="B1011" s="4"/>
      <c r="C1011" s="4">
        <v>76483596</v>
      </c>
      <c r="D1011" s="4">
        <v>72747039</v>
      </c>
      <c r="E1011" s="4"/>
      <c r="F1011" s="4"/>
      <c r="G1011" s="4">
        <v>208520966</v>
      </c>
      <c r="H1011" s="4">
        <v>350895083</v>
      </c>
      <c r="I1011" s="4"/>
      <c r="K1011" s="48" t="e">
        <f t="shared" si="60"/>
        <v>#DIV/0!</v>
      </c>
      <c r="L1011" s="48">
        <f t="shared" si="61"/>
        <v>2.7263488761694732</v>
      </c>
      <c r="M1011" s="48">
        <f t="shared" si="62"/>
        <v>4.8234964312430639</v>
      </c>
      <c r="N1011" s="48" t="e">
        <f t="shared" si="63"/>
        <v>#DIV/0!</v>
      </c>
    </row>
    <row r="1012" spans="1:14" x14ac:dyDescent="0.25">
      <c r="A1012" s="5">
        <v>2010</v>
      </c>
      <c r="B1012" s="4"/>
      <c r="C1012" s="4">
        <v>4221461</v>
      </c>
      <c r="D1012" s="4">
        <v>1699135</v>
      </c>
      <c r="E1012" s="4"/>
      <c r="F1012" s="4"/>
      <c r="G1012" s="4">
        <v>12953270</v>
      </c>
      <c r="H1012" s="4">
        <v>6208381</v>
      </c>
      <c r="I1012" s="4"/>
      <c r="K1012" s="48" t="e">
        <f t="shared" si="60"/>
        <v>#DIV/0!</v>
      </c>
      <c r="L1012" s="48">
        <f t="shared" si="61"/>
        <v>3.0684329430024344</v>
      </c>
      <c r="M1012" s="48">
        <f t="shared" si="62"/>
        <v>3.6538479873582737</v>
      </c>
      <c r="N1012" s="48" t="e">
        <f t="shared" si="63"/>
        <v>#DIV/0!</v>
      </c>
    </row>
    <row r="1013" spans="1:14" x14ac:dyDescent="0.25">
      <c r="A1013" s="5">
        <v>2011</v>
      </c>
      <c r="B1013" s="4"/>
      <c r="C1013" s="4">
        <v>1693130</v>
      </c>
      <c r="D1013" s="4">
        <v>1804583</v>
      </c>
      <c r="E1013" s="4"/>
      <c r="F1013" s="4"/>
      <c r="G1013" s="4">
        <v>5500141</v>
      </c>
      <c r="H1013" s="4">
        <v>6663508</v>
      </c>
      <c r="I1013" s="4"/>
      <c r="K1013" s="48" t="e">
        <f t="shared" si="60"/>
        <v>#DIV/0!</v>
      </c>
      <c r="L1013" s="48">
        <f t="shared" si="61"/>
        <v>3.248504840148128</v>
      </c>
      <c r="M1013" s="48">
        <f t="shared" si="62"/>
        <v>3.6925472532989616</v>
      </c>
      <c r="N1013" s="48" t="e">
        <f t="shared" si="63"/>
        <v>#DIV/0!</v>
      </c>
    </row>
    <row r="1014" spans="1:14" x14ac:dyDescent="0.25">
      <c r="A1014" s="5">
        <v>2012</v>
      </c>
      <c r="B1014" s="4"/>
      <c r="C1014" s="4">
        <v>2383084</v>
      </c>
      <c r="D1014" s="4">
        <v>3033067</v>
      </c>
      <c r="E1014" s="4"/>
      <c r="F1014" s="4"/>
      <c r="G1014" s="4">
        <v>6997003</v>
      </c>
      <c r="H1014" s="4">
        <v>13521997</v>
      </c>
      <c r="I1014" s="4"/>
      <c r="K1014" s="48" t="e">
        <f t="shared" si="60"/>
        <v>#DIV/0!</v>
      </c>
      <c r="L1014" s="48">
        <f t="shared" si="61"/>
        <v>2.9361126170961662</v>
      </c>
      <c r="M1014" s="48">
        <f t="shared" si="62"/>
        <v>4.4581926479039202</v>
      </c>
      <c r="N1014" s="48" t="e">
        <f t="shared" si="63"/>
        <v>#DIV/0!</v>
      </c>
    </row>
    <row r="1015" spans="1:14" x14ac:dyDescent="0.25">
      <c r="A1015" s="5">
        <v>2013</v>
      </c>
      <c r="B1015" s="4"/>
      <c r="C1015" s="4">
        <v>2106894</v>
      </c>
      <c r="D1015" s="4">
        <v>3606543</v>
      </c>
      <c r="E1015" s="4"/>
      <c r="F1015" s="4"/>
      <c r="G1015" s="4">
        <v>6211250</v>
      </c>
      <c r="H1015" s="4">
        <v>16574360</v>
      </c>
      <c r="I1015" s="4"/>
      <c r="K1015" s="48" t="e">
        <f t="shared" si="60"/>
        <v>#DIV/0!</v>
      </c>
      <c r="L1015" s="48">
        <f t="shared" si="61"/>
        <v>2.9480600352936599</v>
      </c>
      <c r="M1015" s="48">
        <f t="shared" si="62"/>
        <v>4.5956363198775119</v>
      </c>
      <c r="N1015" s="48" t="e">
        <f t="shared" si="63"/>
        <v>#DIV/0!</v>
      </c>
    </row>
    <row r="1016" spans="1:14" x14ac:dyDescent="0.25">
      <c r="A1016" s="5">
        <v>2014</v>
      </c>
      <c r="B1016" s="4"/>
      <c r="C1016" s="4">
        <v>2791791</v>
      </c>
      <c r="D1016" s="4">
        <v>3481963</v>
      </c>
      <c r="E1016" s="4"/>
      <c r="F1016" s="4"/>
      <c r="G1016" s="4">
        <v>7217008</v>
      </c>
      <c r="H1016" s="4">
        <v>17273452</v>
      </c>
      <c r="I1016" s="4"/>
      <c r="K1016" s="48" t="e">
        <f t="shared" si="60"/>
        <v>#DIV/0!</v>
      </c>
      <c r="L1016" s="48">
        <f t="shared" si="61"/>
        <v>2.5850817629256633</v>
      </c>
      <c r="M1016" s="48">
        <f t="shared" si="62"/>
        <v>4.9608373207871539</v>
      </c>
      <c r="N1016" s="48" t="e">
        <f t="shared" si="63"/>
        <v>#DIV/0!</v>
      </c>
    </row>
    <row r="1017" spans="1:14" x14ac:dyDescent="0.25">
      <c r="A1017" s="5">
        <v>2015</v>
      </c>
      <c r="B1017" s="4"/>
      <c r="C1017" s="4">
        <v>3627443</v>
      </c>
      <c r="D1017" s="4">
        <v>3924407</v>
      </c>
      <c r="E1017" s="4"/>
      <c r="F1017" s="4"/>
      <c r="G1017" s="4">
        <v>6385054</v>
      </c>
      <c r="H1017" s="4">
        <v>19233002</v>
      </c>
      <c r="I1017" s="4"/>
      <c r="K1017" s="48" t="e">
        <f t="shared" si="60"/>
        <v>#DIV/0!</v>
      </c>
      <c r="L1017" s="48">
        <f t="shared" si="61"/>
        <v>1.7602079481331616</v>
      </c>
      <c r="M1017" s="48">
        <f t="shared" si="62"/>
        <v>4.9008683350121434</v>
      </c>
      <c r="N1017" s="48" t="e">
        <f t="shared" si="63"/>
        <v>#DIV/0!</v>
      </c>
    </row>
    <row r="1018" spans="1:14" x14ac:dyDescent="0.25">
      <c r="A1018" s="5">
        <v>2016</v>
      </c>
      <c r="B1018" s="4"/>
      <c r="C1018" s="4">
        <v>5602307</v>
      </c>
      <c r="D1018" s="4">
        <v>3722314</v>
      </c>
      <c r="E1018" s="4"/>
      <c r="F1018" s="4"/>
      <c r="G1018" s="4">
        <v>11229026</v>
      </c>
      <c r="H1018" s="4">
        <v>16138018</v>
      </c>
      <c r="I1018" s="4"/>
      <c r="K1018" s="48" t="e">
        <f t="shared" si="60"/>
        <v>#DIV/0!</v>
      </c>
      <c r="L1018" s="48">
        <f t="shared" si="61"/>
        <v>2.0043574905837898</v>
      </c>
      <c r="M1018" s="48">
        <f t="shared" si="62"/>
        <v>4.3354800266715809</v>
      </c>
      <c r="N1018" s="48" t="e">
        <f t="shared" si="63"/>
        <v>#DIV/0!</v>
      </c>
    </row>
    <row r="1019" spans="1:14" x14ac:dyDescent="0.25">
      <c r="A1019" s="5">
        <v>2017</v>
      </c>
      <c r="B1019" s="4"/>
      <c r="C1019" s="4">
        <v>2613937</v>
      </c>
      <c r="D1019" s="4">
        <v>5100847</v>
      </c>
      <c r="E1019" s="4"/>
      <c r="F1019" s="4"/>
      <c r="G1019" s="4">
        <v>6261956</v>
      </c>
      <c r="H1019" s="4">
        <v>23213615</v>
      </c>
      <c r="I1019" s="4"/>
      <c r="K1019" s="48" t="e">
        <f t="shared" si="60"/>
        <v>#DIV/0!</v>
      </c>
      <c r="L1019" s="48">
        <f t="shared" si="61"/>
        <v>2.3956032605223463</v>
      </c>
      <c r="M1019" s="48">
        <f t="shared" si="62"/>
        <v>4.5509334038052893</v>
      </c>
      <c r="N1019" s="48" t="e">
        <f t="shared" si="63"/>
        <v>#DIV/0!</v>
      </c>
    </row>
    <row r="1020" spans="1:14" x14ac:dyDescent="0.25">
      <c r="A1020" s="5">
        <v>2018</v>
      </c>
      <c r="B1020" s="4"/>
      <c r="C1020" s="4">
        <v>7500887</v>
      </c>
      <c r="D1020" s="4">
        <v>5233685</v>
      </c>
      <c r="E1020" s="4"/>
      <c r="F1020" s="4"/>
      <c r="G1020" s="4">
        <v>16163648</v>
      </c>
      <c r="H1020" s="4">
        <v>26808828</v>
      </c>
      <c r="I1020" s="4"/>
      <c r="K1020" s="48" t="e">
        <f t="shared" si="60"/>
        <v>#DIV/0!</v>
      </c>
      <c r="L1020" s="48">
        <f t="shared" si="61"/>
        <v>2.1548982140378863</v>
      </c>
      <c r="M1020" s="48">
        <f t="shared" si="62"/>
        <v>5.122361777600295</v>
      </c>
      <c r="N1020" s="48" t="e">
        <f t="shared" si="63"/>
        <v>#DIV/0!</v>
      </c>
    </row>
    <row r="1021" spans="1:14" x14ac:dyDescent="0.25">
      <c r="A1021" s="5">
        <v>2019</v>
      </c>
      <c r="B1021" s="4"/>
      <c r="C1021" s="4">
        <v>4252692</v>
      </c>
      <c r="D1021" s="4">
        <v>4832066</v>
      </c>
      <c r="E1021" s="4"/>
      <c r="F1021" s="4"/>
      <c r="G1021" s="4">
        <v>10714054</v>
      </c>
      <c r="H1021" s="4">
        <v>23972832</v>
      </c>
      <c r="I1021" s="4"/>
      <c r="K1021" s="48" t="e">
        <f t="shared" si="60"/>
        <v>#DIV/0!</v>
      </c>
      <c r="L1021" s="48">
        <f t="shared" si="61"/>
        <v>2.5193580912984057</v>
      </c>
      <c r="M1021" s="48">
        <f t="shared" si="62"/>
        <v>4.9611971359662723</v>
      </c>
      <c r="N1021" s="48" t="e">
        <f t="shared" si="63"/>
        <v>#DIV/0!</v>
      </c>
    </row>
    <row r="1022" spans="1:14" x14ac:dyDescent="0.25">
      <c r="A1022" s="5">
        <v>2020</v>
      </c>
      <c r="B1022" s="4"/>
      <c r="C1022" s="4">
        <v>6381789</v>
      </c>
      <c r="D1022" s="4">
        <v>7019499</v>
      </c>
      <c r="E1022" s="4"/>
      <c r="F1022" s="4"/>
      <c r="G1022" s="4">
        <v>16043482</v>
      </c>
      <c r="H1022" s="4">
        <v>31541969</v>
      </c>
      <c r="I1022" s="4"/>
      <c r="K1022" s="48" t="e">
        <f t="shared" si="60"/>
        <v>#DIV/0!</v>
      </c>
      <c r="L1022" s="48">
        <f t="shared" si="61"/>
        <v>2.5139474213265278</v>
      </c>
      <c r="M1022" s="48">
        <f t="shared" si="62"/>
        <v>4.4934786656426624</v>
      </c>
      <c r="N1022" s="48" t="e">
        <f t="shared" si="63"/>
        <v>#DIV/0!</v>
      </c>
    </row>
    <row r="1023" spans="1:14" x14ac:dyDescent="0.25">
      <c r="A1023" s="5">
        <v>2021</v>
      </c>
      <c r="B1023" s="4"/>
      <c r="C1023" s="4">
        <v>5641924</v>
      </c>
      <c r="D1023" s="4">
        <v>7228328</v>
      </c>
      <c r="E1023" s="4"/>
      <c r="F1023" s="4"/>
      <c r="G1023" s="4">
        <v>13830475</v>
      </c>
      <c r="H1023" s="4">
        <v>33574409</v>
      </c>
      <c r="I1023" s="4"/>
      <c r="K1023" s="48" t="e">
        <f t="shared" si="60"/>
        <v>#DIV/0!</v>
      </c>
      <c r="L1023" s="48">
        <f t="shared" si="61"/>
        <v>2.4513756300155762</v>
      </c>
      <c r="M1023" s="48">
        <f t="shared" si="62"/>
        <v>4.6448375059903206</v>
      </c>
      <c r="N1023" s="48" t="e">
        <f t="shared" si="63"/>
        <v>#DIV/0!</v>
      </c>
    </row>
    <row r="1024" spans="1:14" x14ac:dyDescent="0.25">
      <c r="A1024" s="5">
        <v>2022</v>
      </c>
      <c r="B1024" s="4"/>
      <c r="C1024" s="4">
        <v>4877982</v>
      </c>
      <c r="D1024" s="4">
        <v>6054123</v>
      </c>
      <c r="E1024" s="4"/>
      <c r="F1024" s="4"/>
      <c r="G1024" s="4">
        <v>16115345</v>
      </c>
      <c r="H1024" s="4">
        <v>30392701</v>
      </c>
      <c r="I1024" s="4"/>
      <c r="K1024" s="48" t="e">
        <f t="shared" si="60"/>
        <v>#DIV/0!</v>
      </c>
      <c r="L1024" s="48">
        <f t="shared" si="61"/>
        <v>3.30369095252914</v>
      </c>
      <c r="M1024" s="48">
        <f t="shared" si="62"/>
        <v>5.0201657614158153</v>
      </c>
      <c r="N1024" s="48" t="e">
        <f t="shared" si="63"/>
        <v>#DIV/0!</v>
      </c>
    </row>
    <row r="1025" spans="1:14" x14ac:dyDescent="0.25">
      <c r="A1025" s="5">
        <v>2023</v>
      </c>
      <c r="B1025" s="4"/>
      <c r="C1025" s="4">
        <v>5125895</v>
      </c>
      <c r="D1025" s="4">
        <v>5372613</v>
      </c>
      <c r="E1025" s="4"/>
      <c r="F1025" s="4"/>
      <c r="G1025" s="4">
        <v>14701272</v>
      </c>
      <c r="H1025" s="4">
        <v>28038779</v>
      </c>
      <c r="I1025" s="4"/>
      <c r="K1025" s="48" t="e">
        <f t="shared" si="60"/>
        <v>#DIV/0!</v>
      </c>
      <c r="L1025" s="48">
        <f t="shared" si="61"/>
        <v>2.8680400203281575</v>
      </c>
      <c r="M1025" s="48">
        <f t="shared" si="62"/>
        <v>5.2188346713228739</v>
      </c>
      <c r="N1025" s="48" t="e">
        <f t="shared" si="63"/>
        <v>#DIV/0!</v>
      </c>
    </row>
    <row r="1026" spans="1:14" x14ac:dyDescent="0.25">
      <c r="A1026" s="5">
        <v>2024</v>
      </c>
      <c r="B1026" s="4"/>
      <c r="C1026" s="4">
        <v>7026652</v>
      </c>
      <c r="D1026" s="4">
        <v>6207366</v>
      </c>
      <c r="E1026" s="4"/>
      <c r="F1026" s="4"/>
      <c r="G1026" s="4">
        <v>21979117</v>
      </c>
      <c r="H1026" s="4">
        <v>33749549</v>
      </c>
      <c r="I1026" s="4"/>
      <c r="K1026" s="48" t="e">
        <f t="shared" si="60"/>
        <v>#DIV/0!</v>
      </c>
      <c r="L1026" s="48">
        <f t="shared" si="61"/>
        <v>3.1279643562823374</v>
      </c>
      <c r="M1026" s="48">
        <f t="shared" si="62"/>
        <v>5.4370161192364037</v>
      </c>
      <c r="N1026" s="48" t="e">
        <f t="shared" si="63"/>
        <v>#DIV/0!</v>
      </c>
    </row>
    <row r="1027" spans="1:14" x14ac:dyDescent="0.25">
      <c r="A1027" s="5">
        <v>2025</v>
      </c>
      <c r="B1027" s="4"/>
      <c r="C1027" s="4">
        <v>10635728</v>
      </c>
      <c r="D1027" s="4">
        <v>4426500</v>
      </c>
      <c r="E1027" s="4"/>
      <c r="F1027" s="4"/>
      <c r="G1027" s="4">
        <v>36218865</v>
      </c>
      <c r="H1027" s="4">
        <v>23989683</v>
      </c>
      <c r="I1027" s="4"/>
      <c r="K1027" s="48" t="e">
        <f t="shared" si="60"/>
        <v>#DIV/0!</v>
      </c>
      <c r="L1027" s="48">
        <f t="shared" si="61"/>
        <v>3.4053959446875663</v>
      </c>
      <c r="M1027" s="48">
        <f t="shared" si="62"/>
        <v>5.4195601491019989</v>
      </c>
      <c r="N1027" s="48" t="e">
        <f t="shared" si="63"/>
        <v>#DIV/0!</v>
      </c>
    </row>
    <row r="1028" spans="1:14" x14ac:dyDescent="0.25">
      <c r="A1028" s="3" t="s">
        <v>108</v>
      </c>
      <c r="B1028" s="4"/>
      <c r="C1028" s="4"/>
      <c r="D1028" s="4">
        <v>4243871</v>
      </c>
      <c r="E1028" s="4"/>
      <c r="F1028" s="4"/>
      <c r="G1028" s="4"/>
      <c r="H1028" s="4">
        <v>13978715</v>
      </c>
      <c r="I1028" s="4"/>
      <c r="K1028" s="48" t="e">
        <f t="shared" si="60"/>
        <v>#DIV/0!</v>
      </c>
      <c r="L1028" s="48" t="e">
        <f t="shared" si="61"/>
        <v>#DIV/0!</v>
      </c>
      <c r="M1028" s="48">
        <f t="shared" si="62"/>
        <v>3.2938595447411103</v>
      </c>
      <c r="N1028" s="48" t="e">
        <f t="shared" si="63"/>
        <v>#DIV/0!</v>
      </c>
    </row>
    <row r="1029" spans="1:14" x14ac:dyDescent="0.25">
      <c r="A1029" s="5">
        <v>2013</v>
      </c>
      <c r="B1029" s="4"/>
      <c r="C1029" s="4"/>
      <c r="D1029" s="4">
        <v>935834</v>
      </c>
      <c r="E1029" s="4"/>
      <c r="F1029" s="4"/>
      <c r="G1029" s="4"/>
      <c r="H1029" s="4">
        <v>2866894</v>
      </c>
      <c r="I1029" s="4"/>
      <c r="K1029" s="48" t="e">
        <f t="shared" si="60"/>
        <v>#DIV/0!</v>
      </c>
      <c r="L1029" s="48" t="e">
        <f t="shared" si="61"/>
        <v>#DIV/0!</v>
      </c>
      <c r="M1029" s="48">
        <f t="shared" si="62"/>
        <v>3.0634642468642945</v>
      </c>
      <c r="N1029" s="48" t="e">
        <f t="shared" si="63"/>
        <v>#DIV/0!</v>
      </c>
    </row>
    <row r="1030" spans="1:14" x14ac:dyDescent="0.25">
      <c r="A1030" s="5">
        <v>2014</v>
      </c>
      <c r="B1030" s="4"/>
      <c r="C1030" s="4"/>
      <c r="D1030" s="4">
        <v>1204818</v>
      </c>
      <c r="E1030" s="4"/>
      <c r="F1030" s="4"/>
      <c r="G1030" s="4"/>
      <c r="H1030" s="4">
        <v>3347153</v>
      </c>
      <c r="I1030" s="4"/>
      <c r="K1030" s="48" t="e">
        <f t="shared" si="60"/>
        <v>#DIV/0!</v>
      </c>
      <c r="L1030" s="48" t="e">
        <f t="shared" si="61"/>
        <v>#DIV/0!</v>
      </c>
      <c r="M1030" s="48">
        <f t="shared" si="62"/>
        <v>2.7781399348283311</v>
      </c>
      <c r="N1030" s="48" t="e">
        <f t="shared" si="63"/>
        <v>#DIV/0!</v>
      </c>
    </row>
    <row r="1031" spans="1:14" x14ac:dyDescent="0.25">
      <c r="A1031" s="5">
        <v>2018</v>
      </c>
      <c r="B1031" s="4"/>
      <c r="C1031" s="4"/>
      <c r="D1031" s="4">
        <v>1127416</v>
      </c>
      <c r="E1031" s="4"/>
      <c r="F1031" s="4"/>
      <c r="G1031" s="4"/>
      <c r="H1031" s="4">
        <v>4291676</v>
      </c>
      <c r="I1031" s="4"/>
      <c r="K1031" s="48" t="e">
        <f t="shared" ref="K1031:K1094" si="64">F1031/B1031</f>
        <v>#DIV/0!</v>
      </c>
      <c r="L1031" s="48" t="e">
        <f t="shared" ref="L1031:L1094" si="65">G1031/C1031</f>
        <v>#DIV/0!</v>
      </c>
      <c r="M1031" s="48">
        <f t="shared" ref="M1031:M1094" si="66">H1031/D1031</f>
        <v>3.8066481227869748</v>
      </c>
      <c r="N1031" s="48" t="e">
        <f t="shared" ref="N1031:N1094" si="67">I1031/E1031</f>
        <v>#DIV/0!</v>
      </c>
    </row>
    <row r="1032" spans="1:14" x14ac:dyDescent="0.25">
      <c r="A1032" s="5">
        <v>2019</v>
      </c>
      <c r="B1032" s="4"/>
      <c r="C1032" s="4"/>
      <c r="D1032" s="4">
        <v>975803</v>
      </c>
      <c r="E1032" s="4"/>
      <c r="F1032" s="4"/>
      <c r="G1032" s="4"/>
      <c r="H1032" s="4">
        <v>3472992</v>
      </c>
      <c r="I1032" s="4"/>
      <c r="K1032" s="48" t="e">
        <f t="shared" si="64"/>
        <v>#DIV/0!</v>
      </c>
      <c r="L1032" s="48" t="e">
        <f t="shared" si="65"/>
        <v>#DIV/0!</v>
      </c>
      <c r="M1032" s="48">
        <f t="shared" si="66"/>
        <v>3.5591118289244856</v>
      </c>
      <c r="N1032" s="48" t="e">
        <f t="shared" si="67"/>
        <v>#DIV/0!</v>
      </c>
    </row>
    <row r="1033" spans="1:14" x14ac:dyDescent="0.25">
      <c r="A1033" s="3" t="s">
        <v>42</v>
      </c>
      <c r="B1033" s="4">
        <v>226775700.778</v>
      </c>
      <c r="C1033" s="4">
        <v>24006306.028999999</v>
      </c>
      <c r="D1033" s="4">
        <v>176706593.77200001</v>
      </c>
      <c r="E1033" s="4">
        <v>69533176.112000003</v>
      </c>
      <c r="F1033" s="4">
        <v>338957594.61700004</v>
      </c>
      <c r="G1033" s="4">
        <v>37162993.310000002</v>
      </c>
      <c r="H1033" s="4">
        <v>800947536.72300005</v>
      </c>
      <c r="I1033" s="4">
        <v>327928306.64999998</v>
      </c>
      <c r="K1033" s="48">
        <f t="shared" si="64"/>
        <v>1.4946821615108556</v>
      </c>
      <c r="L1033" s="48">
        <f t="shared" si="65"/>
        <v>1.5480513022331097</v>
      </c>
      <c r="M1033" s="48">
        <f t="shared" si="66"/>
        <v>4.5326409141044399</v>
      </c>
      <c r="N1033" s="48">
        <f t="shared" si="67"/>
        <v>4.7161416317556402</v>
      </c>
    </row>
    <row r="1034" spans="1:14" x14ac:dyDescent="0.25">
      <c r="A1034" s="5">
        <v>2010</v>
      </c>
      <c r="B1034" s="4">
        <v>12075817.77</v>
      </c>
      <c r="C1034" s="4"/>
      <c r="D1034" s="4">
        <v>7700343.4000000004</v>
      </c>
      <c r="E1034" s="4">
        <v>2590288.87</v>
      </c>
      <c r="F1034" s="4">
        <v>15950793.699999999</v>
      </c>
      <c r="G1034" s="4"/>
      <c r="H1034" s="4">
        <v>30778883.48</v>
      </c>
      <c r="I1034" s="4">
        <v>10387079.609999999</v>
      </c>
      <c r="K1034" s="48">
        <f t="shared" si="64"/>
        <v>1.320887247870419</v>
      </c>
      <c r="L1034" s="48" t="e">
        <f t="shared" si="65"/>
        <v>#DIV/0!</v>
      </c>
      <c r="M1034" s="48">
        <f t="shared" si="66"/>
        <v>3.9970793354488579</v>
      </c>
      <c r="N1034" s="48">
        <f t="shared" si="67"/>
        <v>4.0100082003595219</v>
      </c>
    </row>
    <row r="1035" spans="1:14" x14ac:dyDescent="0.25">
      <c r="A1035" s="5">
        <v>2011</v>
      </c>
      <c r="B1035" s="4">
        <v>8155254.9500000002</v>
      </c>
      <c r="C1035" s="4"/>
      <c r="D1035" s="4">
        <v>11705994.130000001</v>
      </c>
      <c r="E1035" s="4">
        <v>2177255.0699999998</v>
      </c>
      <c r="F1035" s="4">
        <v>12423979.09</v>
      </c>
      <c r="G1035" s="4"/>
      <c r="H1035" s="4">
        <v>47500773.329999998</v>
      </c>
      <c r="I1035" s="4">
        <v>10226268.380000001</v>
      </c>
      <c r="K1035" s="48">
        <f t="shared" si="64"/>
        <v>1.5234323348775258</v>
      </c>
      <c r="L1035" s="48" t="e">
        <f t="shared" si="65"/>
        <v>#DIV/0!</v>
      </c>
      <c r="M1035" s="48">
        <f t="shared" si="66"/>
        <v>4.0578162608390098</v>
      </c>
      <c r="N1035" s="48">
        <f t="shared" si="67"/>
        <v>4.6968628163534376</v>
      </c>
    </row>
    <row r="1036" spans="1:14" x14ac:dyDescent="0.25">
      <c r="A1036" s="5">
        <v>2012</v>
      </c>
      <c r="B1036" s="4">
        <v>8888713.6199999992</v>
      </c>
      <c r="C1036" s="4"/>
      <c r="D1036" s="4">
        <v>10316229.560000001</v>
      </c>
      <c r="E1036" s="4"/>
      <c r="F1036" s="4">
        <v>17732201.030000001</v>
      </c>
      <c r="G1036" s="4"/>
      <c r="H1036" s="4">
        <v>55213287.189999998</v>
      </c>
      <c r="I1036" s="4"/>
      <c r="K1036" s="48">
        <f t="shared" si="64"/>
        <v>1.9949119510501232</v>
      </c>
      <c r="L1036" s="48" t="e">
        <f t="shared" si="65"/>
        <v>#DIV/0!</v>
      </c>
      <c r="M1036" s="48">
        <f t="shared" si="66"/>
        <v>5.3520801247078875</v>
      </c>
      <c r="N1036" s="48" t="e">
        <f t="shared" si="67"/>
        <v>#DIV/0!</v>
      </c>
    </row>
    <row r="1037" spans="1:14" x14ac:dyDescent="0.25">
      <c r="A1037" s="5">
        <v>2013</v>
      </c>
      <c r="B1037" s="4">
        <v>12638897.109999999</v>
      </c>
      <c r="C1037" s="4"/>
      <c r="D1037" s="4">
        <v>13372139.73</v>
      </c>
      <c r="E1037" s="4">
        <v>3366439.36</v>
      </c>
      <c r="F1037" s="4">
        <v>27354786.920000002</v>
      </c>
      <c r="G1037" s="4"/>
      <c r="H1037" s="4">
        <v>73514345.5</v>
      </c>
      <c r="I1037" s="4">
        <v>19536923.949999999</v>
      </c>
      <c r="K1037" s="48">
        <f t="shared" si="64"/>
        <v>2.1643333814591044</v>
      </c>
      <c r="L1037" s="48" t="e">
        <f t="shared" si="65"/>
        <v>#DIV/0!</v>
      </c>
      <c r="M1037" s="48">
        <f t="shared" si="66"/>
        <v>5.4975753308255326</v>
      </c>
      <c r="N1037" s="48">
        <f t="shared" si="67"/>
        <v>5.803438547605384</v>
      </c>
    </row>
    <row r="1038" spans="1:14" x14ac:dyDescent="0.25">
      <c r="A1038" s="5">
        <v>2014</v>
      </c>
      <c r="B1038" s="4">
        <v>16359989.449999999</v>
      </c>
      <c r="C1038" s="4"/>
      <c r="D1038" s="4">
        <v>11131571.52</v>
      </c>
      <c r="E1038" s="4">
        <v>2813887</v>
      </c>
      <c r="F1038" s="4">
        <v>24529073.670000002</v>
      </c>
      <c r="G1038" s="4"/>
      <c r="H1038" s="4">
        <v>51290798.399999999</v>
      </c>
      <c r="I1038" s="4">
        <v>14194099.039999999</v>
      </c>
      <c r="K1038" s="48">
        <f t="shared" si="64"/>
        <v>1.4993330982863198</v>
      </c>
      <c r="L1038" s="48" t="e">
        <f t="shared" si="65"/>
        <v>#DIV/0!</v>
      </c>
      <c r="M1038" s="48">
        <f t="shared" si="66"/>
        <v>4.6076870914269614</v>
      </c>
      <c r="N1038" s="48">
        <f t="shared" si="67"/>
        <v>5.0443031436585759</v>
      </c>
    </row>
    <row r="1039" spans="1:14" x14ac:dyDescent="0.25">
      <c r="A1039" s="5">
        <v>2015</v>
      </c>
      <c r="B1039" s="4">
        <v>18584255.02</v>
      </c>
      <c r="C1039" s="4"/>
      <c r="D1039" s="4">
        <v>15800513.77</v>
      </c>
      <c r="E1039" s="4">
        <v>4479036.05</v>
      </c>
      <c r="F1039" s="4">
        <v>20248775.75</v>
      </c>
      <c r="G1039" s="4"/>
      <c r="H1039" s="4">
        <v>66726704.020000003</v>
      </c>
      <c r="I1039" s="4">
        <v>18180634.93</v>
      </c>
      <c r="K1039" s="48">
        <f t="shared" si="64"/>
        <v>1.0895661799845449</v>
      </c>
      <c r="L1039" s="48" t="e">
        <f t="shared" si="65"/>
        <v>#DIV/0!</v>
      </c>
      <c r="M1039" s="48">
        <f t="shared" si="66"/>
        <v>4.2230717931901784</v>
      </c>
      <c r="N1039" s="48">
        <f t="shared" si="67"/>
        <v>4.0590508151860041</v>
      </c>
    </row>
    <row r="1040" spans="1:14" x14ac:dyDescent="0.25">
      <c r="A1040" s="5">
        <v>2016</v>
      </c>
      <c r="B1040" s="4">
        <v>30744951.859999999</v>
      </c>
      <c r="C1040" s="4">
        <v>10448203.539999999</v>
      </c>
      <c r="D1040" s="4">
        <v>13654235.07</v>
      </c>
      <c r="E1040" s="4">
        <v>2192917.0299999998</v>
      </c>
      <c r="F1040" s="4">
        <v>36967399.259999998</v>
      </c>
      <c r="G1040" s="4">
        <v>15080299.220000001</v>
      </c>
      <c r="H1040" s="4">
        <v>56850872.630000003</v>
      </c>
      <c r="I1040" s="4">
        <v>8380722.7300000004</v>
      </c>
      <c r="K1040" s="48">
        <f t="shared" si="64"/>
        <v>1.2023892386735386</v>
      </c>
      <c r="L1040" s="48">
        <f t="shared" si="65"/>
        <v>1.443338958919248</v>
      </c>
      <c r="M1040" s="48">
        <f t="shared" si="66"/>
        <v>4.1636072865706124</v>
      </c>
      <c r="N1040" s="48">
        <f t="shared" si="67"/>
        <v>3.8217235834043395</v>
      </c>
    </row>
    <row r="1041" spans="1:14" x14ac:dyDescent="0.25">
      <c r="A1041" s="5">
        <v>2017</v>
      </c>
      <c r="B1041" s="4">
        <v>16570543.25</v>
      </c>
      <c r="C1041" s="4">
        <v>8304314.9299999997</v>
      </c>
      <c r="D1041" s="4">
        <v>16180912.859999999</v>
      </c>
      <c r="E1041" s="4">
        <v>4916708.3099999996</v>
      </c>
      <c r="F1041" s="4">
        <v>27044949.530000001</v>
      </c>
      <c r="G1041" s="4">
        <v>14182672.619999999</v>
      </c>
      <c r="H1041" s="4">
        <v>72373986.120000005</v>
      </c>
      <c r="I1041" s="4">
        <v>23342663.41</v>
      </c>
      <c r="K1041" s="48">
        <f t="shared" si="64"/>
        <v>1.632110011239372</v>
      </c>
      <c r="L1041" s="48">
        <f t="shared" si="65"/>
        <v>1.7078678662298756</v>
      </c>
      <c r="M1041" s="48">
        <f t="shared" si="66"/>
        <v>4.472799943130032</v>
      </c>
      <c r="N1041" s="48">
        <f t="shared" si="67"/>
        <v>4.7476201430383416</v>
      </c>
    </row>
    <row r="1042" spans="1:14" x14ac:dyDescent="0.25">
      <c r="A1042" s="5">
        <v>2018</v>
      </c>
      <c r="B1042" s="4">
        <v>30339726.300000001</v>
      </c>
      <c r="C1042" s="4">
        <v>1517219.5</v>
      </c>
      <c r="D1042" s="4">
        <v>14463637.619999999</v>
      </c>
      <c r="E1042" s="4">
        <v>9874284.2799999993</v>
      </c>
      <c r="F1042" s="4">
        <v>50999369.200000003</v>
      </c>
      <c r="G1042" s="4">
        <v>3118502.37</v>
      </c>
      <c r="H1042" s="4">
        <v>67339108.310000002</v>
      </c>
      <c r="I1042" s="4">
        <v>50541675.990000002</v>
      </c>
      <c r="K1042" s="48">
        <f t="shared" si="64"/>
        <v>1.680943614840718</v>
      </c>
      <c r="L1042" s="48">
        <f t="shared" si="65"/>
        <v>2.0554062019371622</v>
      </c>
      <c r="M1042" s="48">
        <f t="shared" si="66"/>
        <v>4.6557518986015642</v>
      </c>
      <c r="N1042" s="48">
        <f t="shared" si="67"/>
        <v>5.1185153836790294</v>
      </c>
    </row>
    <row r="1043" spans="1:14" x14ac:dyDescent="0.25">
      <c r="A1043" s="5">
        <v>2019</v>
      </c>
      <c r="B1043" s="4">
        <v>24270221.02</v>
      </c>
      <c r="C1043" s="4"/>
      <c r="D1043" s="4">
        <v>24159107.300000001</v>
      </c>
      <c r="E1043" s="4">
        <v>9182488.5500000007</v>
      </c>
      <c r="F1043" s="4">
        <v>35235320.159999996</v>
      </c>
      <c r="G1043" s="4"/>
      <c r="H1043" s="4">
        <v>104049948.94</v>
      </c>
      <c r="I1043" s="4">
        <v>41095118.280000001</v>
      </c>
      <c r="K1043" s="48">
        <f t="shared" si="64"/>
        <v>1.4517923067517247</v>
      </c>
      <c r="L1043" s="48" t="e">
        <f t="shared" si="65"/>
        <v>#DIV/0!</v>
      </c>
      <c r="M1043" s="48">
        <f t="shared" si="66"/>
        <v>4.3068623210262409</v>
      </c>
      <c r="N1043" s="48">
        <f t="shared" si="67"/>
        <v>4.4753792020791572</v>
      </c>
    </row>
    <row r="1044" spans="1:14" x14ac:dyDescent="0.25">
      <c r="A1044" s="5">
        <v>2020</v>
      </c>
      <c r="B1044" s="4">
        <v>9792930.4000000004</v>
      </c>
      <c r="C1044" s="4"/>
      <c r="D1044" s="4">
        <v>7861751.4000000004</v>
      </c>
      <c r="E1044" s="4">
        <v>3791524</v>
      </c>
      <c r="F1044" s="4">
        <v>11256440.25</v>
      </c>
      <c r="G1044" s="4"/>
      <c r="H1044" s="4">
        <v>30780500.02</v>
      </c>
      <c r="I1044" s="4">
        <v>16766320.07</v>
      </c>
      <c r="K1044" s="48">
        <f t="shared" si="64"/>
        <v>1.1494455479842887</v>
      </c>
      <c r="L1044" s="48" t="e">
        <f t="shared" si="65"/>
        <v>#DIV/0!</v>
      </c>
      <c r="M1044" s="48">
        <f t="shared" si="66"/>
        <v>3.9152217430838627</v>
      </c>
      <c r="N1044" s="48">
        <f t="shared" si="67"/>
        <v>4.4220529976864187</v>
      </c>
    </row>
    <row r="1045" spans="1:14" x14ac:dyDescent="0.25">
      <c r="A1045" s="5">
        <v>2024</v>
      </c>
      <c r="B1045" s="4">
        <v>27060350.028000001</v>
      </c>
      <c r="C1045" s="4">
        <v>2343789.0389999999</v>
      </c>
      <c r="D1045" s="4">
        <v>19104546.48</v>
      </c>
      <c r="E1045" s="4">
        <v>17709957.295000002</v>
      </c>
      <c r="F1045" s="4">
        <v>39350048.553000003</v>
      </c>
      <c r="G1045" s="4">
        <v>3212743.96</v>
      </c>
      <c r="H1045" s="4">
        <v>91757530.162</v>
      </c>
      <c r="I1045" s="4">
        <v>84711030.157000005</v>
      </c>
      <c r="K1045" s="48">
        <f t="shared" si="64"/>
        <v>1.4541588897513724</v>
      </c>
      <c r="L1045" s="48">
        <f t="shared" si="65"/>
        <v>1.3707479242119625</v>
      </c>
      <c r="M1045" s="48">
        <f t="shared" si="66"/>
        <v>4.8029159058058939</v>
      </c>
      <c r="N1045" s="48">
        <f t="shared" si="67"/>
        <v>4.7832430505586938</v>
      </c>
    </row>
    <row r="1046" spans="1:14" x14ac:dyDescent="0.25">
      <c r="A1046" s="5">
        <v>2025</v>
      </c>
      <c r="B1046" s="4">
        <v>11294050</v>
      </c>
      <c r="C1046" s="4">
        <v>1392779.02</v>
      </c>
      <c r="D1046" s="4">
        <v>11255610.932</v>
      </c>
      <c r="E1046" s="4">
        <v>6438390.2970000003</v>
      </c>
      <c r="F1046" s="4">
        <v>19864457.504000001</v>
      </c>
      <c r="G1046" s="4">
        <v>1568775.14</v>
      </c>
      <c r="H1046" s="4">
        <v>52770798.620999999</v>
      </c>
      <c r="I1046" s="4">
        <v>30565770.103</v>
      </c>
      <c r="K1046" s="48">
        <f t="shared" si="64"/>
        <v>1.7588427095683126</v>
      </c>
      <c r="L1046" s="48">
        <f t="shared" si="65"/>
        <v>1.1263632762073053</v>
      </c>
      <c r="M1046" s="48">
        <f t="shared" si="66"/>
        <v>4.6883993183320882</v>
      </c>
      <c r="N1046" s="48">
        <f t="shared" si="67"/>
        <v>4.7474242307494583</v>
      </c>
    </row>
    <row r="1047" spans="1:14" x14ac:dyDescent="0.25">
      <c r="A1047" s="3" t="s">
        <v>43</v>
      </c>
      <c r="B1047" s="4">
        <v>2475590883.7939997</v>
      </c>
      <c r="C1047" s="4">
        <v>331129984.10400009</v>
      </c>
      <c r="D1047" s="4">
        <v>31955697.380999997</v>
      </c>
      <c r="E1047" s="4">
        <v>1316444377.108</v>
      </c>
      <c r="F1047" s="4">
        <v>2987173617.8199997</v>
      </c>
      <c r="G1047" s="4">
        <v>1246288612</v>
      </c>
      <c r="H1047" s="4">
        <v>104913392.75</v>
      </c>
      <c r="I1047" s="4">
        <v>5079136038</v>
      </c>
      <c r="K1047" s="48">
        <f t="shared" si="64"/>
        <v>1.2066507585623223</v>
      </c>
      <c r="L1047" s="48">
        <f t="shared" si="65"/>
        <v>3.7637443657430016</v>
      </c>
      <c r="M1047" s="48">
        <f t="shared" si="66"/>
        <v>3.2830888182205249</v>
      </c>
      <c r="N1047" s="48">
        <f t="shared" si="67"/>
        <v>3.8582230486319378</v>
      </c>
    </row>
    <row r="1048" spans="1:14" x14ac:dyDescent="0.25">
      <c r="A1048" s="5">
        <v>2010</v>
      </c>
      <c r="B1048" s="4">
        <v>55146844</v>
      </c>
      <c r="C1048" s="4">
        <v>29644069</v>
      </c>
      <c r="D1048" s="4"/>
      <c r="E1048" s="4">
        <v>76799755</v>
      </c>
      <c r="F1048" s="4">
        <v>63575999</v>
      </c>
      <c r="G1048" s="4">
        <v>104050419</v>
      </c>
      <c r="H1048" s="4"/>
      <c r="I1048" s="4">
        <v>231029960</v>
      </c>
      <c r="K1048" s="48">
        <f t="shared" si="64"/>
        <v>1.1528492727525803</v>
      </c>
      <c r="L1048" s="48">
        <f t="shared" si="65"/>
        <v>3.5099911216641684</v>
      </c>
      <c r="M1048" s="48" t="e">
        <f t="shared" si="66"/>
        <v>#DIV/0!</v>
      </c>
      <c r="N1048" s="48">
        <f t="shared" si="67"/>
        <v>3.0082122006769421</v>
      </c>
    </row>
    <row r="1049" spans="1:14" x14ac:dyDescent="0.25">
      <c r="A1049" s="5">
        <v>2011</v>
      </c>
      <c r="B1049" s="4">
        <v>52290065</v>
      </c>
      <c r="C1049" s="4">
        <v>16854730</v>
      </c>
      <c r="D1049" s="4"/>
      <c r="E1049" s="4">
        <v>51903511</v>
      </c>
      <c r="F1049" s="4">
        <v>59943374</v>
      </c>
      <c r="G1049" s="4">
        <v>82632511</v>
      </c>
      <c r="H1049" s="4"/>
      <c r="I1049" s="4">
        <v>209778958</v>
      </c>
      <c r="K1049" s="48">
        <f t="shared" si="64"/>
        <v>1.1463625834085309</v>
      </c>
      <c r="L1049" s="48">
        <f t="shared" si="65"/>
        <v>4.9026303595489216</v>
      </c>
      <c r="M1049" s="48" t="e">
        <f t="shared" si="66"/>
        <v>#DIV/0!</v>
      </c>
      <c r="N1049" s="48">
        <f t="shared" si="67"/>
        <v>4.0417103575131943</v>
      </c>
    </row>
    <row r="1050" spans="1:14" x14ac:dyDescent="0.25">
      <c r="A1050" s="5">
        <v>2012</v>
      </c>
      <c r="B1050" s="4">
        <v>56433369</v>
      </c>
      <c r="C1050" s="4">
        <v>17912574</v>
      </c>
      <c r="D1050" s="4"/>
      <c r="E1050" s="4">
        <v>38795733</v>
      </c>
      <c r="F1050" s="4">
        <v>79172173</v>
      </c>
      <c r="G1050" s="4">
        <v>106455739</v>
      </c>
      <c r="H1050" s="4"/>
      <c r="I1050" s="4">
        <v>304879638</v>
      </c>
      <c r="K1050" s="48">
        <f t="shared" si="64"/>
        <v>1.4029318894641927</v>
      </c>
      <c r="L1050" s="48">
        <f t="shared" si="65"/>
        <v>5.9430732288949653</v>
      </c>
      <c r="M1050" s="48" t="e">
        <f t="shared" si="66"/>
        <v>#DIV/0!</v>
      </c>
      <c r="N1050" s="48">
        <f t="shared" si="67"/>
        <v>7.8585868708808775</v>
      </c>
    </row>
    <row r="1051" spans="1:14" x14ac:dyDescent="0.25">
      <c r="A1051" s="5">
        <v>2013</v>
      </c>
      <c r="B1051" s="4">
        <v>64538224</v>
      </c>
      <c r="C1051" s="4">
        <v>18119086</v>
      </c>
      <c r="D1051" s="4"/>
      <c r="E1051" s="4">
        <v>21112721</v>
      </c>
      <c r="F1051" s="4">
        <v>89897837</v>
      </c>
      <c r="G1051" s="4">
        <v>99249006</v>
      </c>
      <c r="H1051" s="4"/>
      <c r="I1051" s="4">
        <v>561004563</v>
      </c>
      <c r="K1051" s="48">
        <f t="shared" si="64"/>
        <v>1.3929394307472731</v>
      </c>
      <c r="L1051" s="48">
        <f t="shared" si="65"/>
        <v>5.4775945100100527</v>
      </c>
      <c r="M1051" s="48" t="e">
        <f t="shared" si="66"/>
        <v>#DIV/0!</v>
      </c>
      <c r="N1051" s="48">
        <f t="shared" si="67"/>
        <v>26.571874037458269</v>
      </c>
    </row>
    <row r="1052" spans="1:14" x14ac:dyDescent="0.25">
      <c r="A1052" s="5">
        <v>2014</v>
      </c>
      <c r="B1052" s="4">
        <v>87330164.819999993</v>
      </c>
      <c r="C1052" s="4">
        <v>22762059.059999999</v>
      </c>
      <c r="D1052" s="4"/>
      <c r="E1052" s="4">
        <v>75353939.060000002</v>
      </c>
      <c r="F1052" s="4">
        <v>84240594</v>
      </c>
      <c r="G1052" s="4">
        <v>89817526</v>
      </c>
      <c r="H1052" s="4"/>
      <c r="I1052" s="4">
        <v>326001560</v>
      </c>
      <c r="K1052" s="48">
        <f t="shared" si="64"/>
        <v>0.96462195134558559</v>
      </c>
      <c r="L1052" s="48">
        <f t="shared" si="65"/>
        <v>3.9459315066024612</v>
      </c>
      <c r="M1052" s="48" t="e">
        <f t="shared" si="66"/>
        <v>#DIV/0!</v>
      </c>
      <c r="N1052" s="48">
        <f t="shared" si="67"/>
        <v>4.3262709828669177</v>
      </c>
    </row>
    <row r="1053" spans="1:14" x14ac:dyDescent="0.25">
      <c r="A1053" s="5">
        <v>2015</v>
      </c>
      <c r="B1053" s="4">
        <v>136157253.63</v>
      </c>
      <c r="C1053" s="4">
        <v>19412622.23</v>
      </c>
      <c r="D1053" s="4">
        <v>1022888.9</v>
      </c>
      <c r="E1053" s="4">
        <v>75114819.299999997</v>
      </c>
      <c r="F1053" s="4">
        <v>171324987.16999999</v>
      </c>
      <c r="G1053" s="4">
        <v>56902728</v>
      </c>
      <c r="H1053" s="4">
        <v>2332415.75</v>
      </c>
      <c r="I1053" s="4">
        <v>229495174</v>
      </c>
      <c r="K1053" s="48">
        <f t="shared" si="64"/>
        <v>1.2582876240700802</v>
      </c>
      <c r="L1053" s="48">
        <f t="shared" si="65"/>
        <v>2.9312231663408821</v>
      </c>
      <c r="M1053" s="48">
        <f t="shared" si="66"/>
        <v>2.2802239324329356</v>
      </c>
      <c r="N1053" s="48">
        <f t="shared" si="67"/>
        <v>3.0552582850984775</v>
      </c>
    </row>
    <row r="1054" spans="1:14" x14ac:dyDescent="0.25">
      <c r="A1054" s="5">
        <v>2016</v>
      </c>
      <c r="B1054" s="4">
        <v>730735446.71500003</v>
      </c>
      <c r="C1054" s="4">
        <v>18125421.260000002</v>
      </c>
      <c r="D1054" s="4">
        <v>1744649.4310000001</v>
      </c>
      <c r="E1054" s="4">
        <v>71977677.998999998</v>
      </c>
      <c r="F1054" s="4">
        <v>179329313</v>
      </c>
      <c r="G1054" s="4">
        <v>66299911</v>
      </c>
      <c r="H1054" s="4">
        <v>3156930</v>
      </c>
      <c r="I1054" s="4">
        <v>179168302</v>
      </c>
      <c r="K1054" s="48">
        <f t="shared" si="64"/>
        <v>0.2454093527365748</v>
      </c>
      <c r="L1054" s="48">
        <f t="shared" si="65"/>
        <v>3.6578411088471436</v>
      </c>
      <c r="M1054" s="48">
        <f t="shared" si="66"/>
        <v>1.809492465308923</v>
      </c>
      <c r="N1054" s="48">
        <f t="shared" si="67"/>
        <v>2.48922036638205</v>
      </c>
    </row>
    <row r="1055" spans="1:14" x14ac:dyDescent="0.25">
      <c r="A1055" s="5">
        <v>2017</v>
      </c>
      <c r="B1055" s="4">
        <v>131494241.55</v>
      </c>
      <c r="C1055" s="4">
        <v>30049054.863000002</v>
      </c>
      <c r="D1055" s="4">
        <v>1210836.26</v>
      </c>
      <c r="E1055" s="4">
        <v>174756373.13999999</v>
      </c>
      <c r="F1055" s="4">
        <v>206890228</v>
      </c>
      <c r="G1055" s="4">
        <v>115074747</v>
      </c>
      <c r="H1055" s="4">
        <v>2429630</v>
      </c>
      <c r="I1055" s="4">
        <v>294307135</v>
      </c>
      <c r="K1055" s="48">
        <f t="shared" si="64"/>
        <v>1.5733786176585616</v>
      </c>
      <c r="L1055" s="48">
        <f t="shared" si="65"/>
        <v>3.8295629438147096</v>
      </c>
      <c r="M1055" s="48">
        <f t="shared" si="66"/>
        <v>2.0065718877629251</v>
      </c>
      <c r="N1055" s="48">
        <f t="shared" si="67"/>
        <v>1.6840995822465719</v>
      </c>
    </row>
    <row r="1056" spans="1:14" x14ac:dyDescent="0.25">
      <c r="A1056" s="5">
        <v>2018</v>
      </c>
      <c r="B1056" s="4">
        <v>144782166.46000001</v>
      </c>
      <c r="C1056" s="4">
        <v>30567443.75</v>
      </c>
      <c r="D1056" s="4">
        <v>1634889.62</v>
      </c>
      <c r="E1056" s="4">
        <v>141466225.83399999</v>
      </c>
      <c r="F1056" s="4">
        <v>223282220.65000001</v>
      </c>
      <c r="G1056" s="4">
        <v>125069271</v>
      </c>
      <c r="H1056" s="4">
        <v>5005461</v>
      </c>
      <c r="I1056" s="4">
        <v>353021521</v>
      </c>
      <c r="K1056" s="48">
        <f t="shared" si="64"/>
        <v>1.542194222599147</v>
      </c>
      <c r="L1056" s="48">
        <f t="shared" si="65"/>
        <v>4.0915842365785</v>
      </c>
      <c r="M1056" s="48">
        <f t="shared" si="66"/>
        <v>3.0616507308915448</v>
      </c>
      <c r="N1056" s="48">
        <f t="shared" si="67"/>
        <v>2.4954473685771776</v>
      </c>
    </row>
    <row r="1057" spans="1:14" x14ac:dyDescent="0.25">
      <c r="A1057" s="5">
        <v>2019</v>
      </c>
      <c r="B1057" s="4">
        <v>161124444.324</v>
      </c>
      <c r="C1057" s="4">
        <v>48633298.126999997</v>
      </c>
      <c r="D1057" s="4">
        <v>2939319.5</v>
      </c>
      <c r="E1057" s="4">
        <v>87068665.5</v>
      </c>
      <c r="F1057" s="4">
        <v>279742026</v>
      </c>
      <c r="G1057" s="4">
        <v>116237204</v>
      </c>
      <c r="H1057" s="4">
        <v>9454637</v>
      </c>
      <c r="I1057" s="4">
        <v>356167458</v>
      </c>
      <c r="K1057" s="48">
        <f t="shared" si="64"/>
        <v>1.7361861334800057</v>
      </c>
      <c r="L1057" s="48">
        <f t="shared" si="65"/>
        <v>2.3900744649573333</v>
      </c>
      <c r="M1057" s="48">
        <f t="shared" si="66"/>
        <v>3.2166074494453563</v>
      </c>
      <c r="N1057" s="48">
        <f t="shared" si="67"/>
        <v>4.0906502466148398</v>
      </c>
    </row>
    <row r="1058" spans="1:14" x14ac:dyDescent="0.25">
      <c r="A1058" s="5">
        <v>2020</v>
      </c>
      <c r="B1058" s="4">
        <v>160311297.25099999</v>
      </c>
      <c r="C1058" s="4"/>
      <c r="D1058" s="4">
        <v>4829101.8899999997</v>
      </c>
      <c r="E1058" s="4">
        <v>88547407.079999998</v>
      </c>
      <c r="F1058" s="4">
        <v>249892256</v>
      </c>
      <c r="G1058" s="4"/>
      <c r="H1058" s="4">
        <v>15815240</v>
      </c>
      <c r="I1058" s="4">
        <v>344406121</v>
      </c>
      <c r="K1058" s="48">
        <f t="shared" si="64"/>
        <v>1.5587937985976295</v>
      </c>
      <c r="L1058" s="48" t="e">
        <f t="shared" si="65"/>
        <v>#DIV/0!</v>
      </c>
      <c r="M1058" s="48">
        <f t="shared" si="66"/>
        <v>3.2749857758747769</v>
      </c>
      <c r="N1058" s="48">
        <f t="shared" si="67"/>
        <v>3.8895110806445086</v>
      </c>
    </row>
    <row r="1059" spans="1:14" x14ac:dyDescent="0.25">
      <c r="A1059" s="5">
        <v>2021</v>
      </c>
      <c r="B1059" s="4">
        <v>147951301.39500001</v>
      </c>
      <c r="C1059" s="4">
        <v>11150604.741</v>
      </c>
      <c r="D1059" s="4">
        <v>4118809.17</v>
      </c>
      <c r="E1059" s="4">
        <v>82993200</v>
      </c>
      <c r="F1059" s="4">
        <v>258052196</v>
      </c>
      <c r="G1059" s="4">
        <v>41613587</v>
      </c>
      <c r="H1059" s="4">
        <v>15113728</v>
      </c>
      <c r="I1059" s="4">
        <v>345060161</v>
      </c>
      <c r="K1059" s="48">
        <f t="shared" si="64"/>
        <v>1.7441698286320098</v>
      </c>
      <c r="L1059" s="48">
        <f t="shared" si="65"/>
        <v>3.7319578593786691</v>
      </c>
      <c r="M1059" s="48">
        <f t="shared" si="66"/>
        <v>3.6694411846227877</v>
      </c>
      <c r="N1059" s="48">
        <f t="shared" si="67"/>
        <v>4.1576919675346895</v>
      </c>
    </row>
    <row r="1060" spans="1:14" x14ac:dyDescent="0.25">
      <c r="A1060" s="5">
        <v>2022</v>
      </c>
      <c r="B1060" s="4">
        <v>147066857.09200001</v>
      </c>
      <c r="C1060" s="4">
        <v>13652372.202</v>
      </c>
      <c r="D1060" s="4">
        <v>3497635.88</v>
      </c>
      <c r="E1060" s="4">
        <v>77457931.594999999</v>
      </c>
      <c r="F1060" s="4">
        <v>281350159</v>
      </c>
      <c r="G1060" s="4">
        <v>60505273</v>
      </c>
      <c r="H1060" s="4">
        <v>13240606</v>
      </c>
      <c r="I1060" s="4">
        <v>339936782</v>
      </c>
      <c r="K1060" s="48">
        <f t="shared" si="64"/>
        <v>1.9130765732213679</v>
      </c>
      <c r="L1060" s="48">
        <f t="shared" si="65"/>
        <v>4.4318505315242067</v>
      </c>
      <c r="M1060" s="48">
        <f t="shared" si="66"/>
        <v>3.7855873093342125</v>
      </c>
      <c r="N1060" s="48">
        <f t="shared" si="67"/>
        <v>4.3886633040681833</v>
      </c>
    </row>
    <row r="1061" spans="1:14" x14ac:dyDescent="0.25">
      <c r="A1061" s="5">
        <v>2023</v>
      </c>
      <c r="B1061" s="4">
        <v>121530526.127</v>
      </c>
      <c r="C1061" s="4">
        <v>19203458.291000001</v>
      </c>
      <c r="D1061" s="4">
        <v>4200112.88</v>
      </c>
      <c r="E1061" s="4">
        <v>68805553.930000007</v>
      </c>
      <c r="F1061" s="4">
        <v>271591653</v>
      </c>
      <c r="G1061" s="4">
        <v>75766709</v>
      </c>
      <c r="H1061" s="4">
        <v>15825153</v>
      </c>
      <c r="I1061" s="4">
        <v>319081602</v>
      </c>
      <c r="K1061" s="48">
        <f t="shared" si="64"/>
        <v>2.2347607770263855</v>
      </c>
      <c r="L1061" s="48">
        <f t="shared" si="65"/>
        <v>3.9454721046525898</v>
      </c>
      <c r="M1061" s="48">
        <f t="shared" si="66"/>
        <v>3.7677923075248398</v>
      </c>
      <c r="N1061" s="48">
        <f t="shared" si="67"/>
        <v>4.6374396218744307</v>
      </c>
    </row>
    <row r="1062" spans="1:14" x14ac:dyDescent="0.25">
      <c r="A1062" s="5">
        <v>2024</v>
      </c>
      <c r="B1062" s="4">
        <v>159922325.46000001</v>
      </c>
      <c r="C1062" s="4">
        <v>20282199.98</v>
      </c>
      <c r="D1062" s="4">
        <v>1883867.21</v>
      </c>
      <c r="E1062" s="4">
        <v>110426190.31</v>
      </c>
      <c r="F1062" s="4">
        <v>273942865</v>
      </c>
      <c r="G1062" s="4">
        <v>63306050</v>
      </c>
      <c r="H1062" s="4">
        <v>4907265</v>
      </c>
      <c r="I1062" s="4">
        <v>415698282</v>
      </c>
      <c r="K1062" s="48">
        <f t="shared" si="64"/>
        <v>1.7129744969129965</v>
      </c>
      <c r="L1062" s="48">
        <f t="shared" si="65"/>
        <v>3.1212615033095634</v>
      </c>
      <c r="M1062" s="48">
        <f t="shared" si="66"/>
        <v>2.6048890144438577</v>
      </c>
      <c r="N1062" s="48">
        <f t="shared" si="67"/>
        <v>3.7644899351594772</v>
      </c>
    </row>
    <row r="1063" spans="1:14" x14ac:dyDescent="0.25">
      <c r="A1063" s="5">
        <v>2025</v>
      </c>
      <c r="B1063" s="4">
        <v>118776356.97</v>
      </c>
      <c r="C1063" s="4">
        <v>14760990.6</v>
      </c>
      <c r="D1063" s="4">
        <v>4873586.6399999997</v>
      </c>
      <c r="E1063" s="4">
        <v>73864673.359999895</v>
      </c>
      <c r="F1063" s="4">
        <v>214945737</v>
      </c>
      <c r="G1063" s="4">
        <v>43307931</v>
      </c>
      <c r="H1063" s="4">
        <v>17632327</v>
      </c>
      <c r="I1063" s="4">
        <v>270098821</v>
      </c>
      <c r="K1063" s="48">
        <f t="shared" si="64"/>
        <v>1.8096677022539935</v>
      </c>
      <c r="L1063" s="48">
        <f t="shared" si="65"/>
        <v>2.9339447584229204</v>
      </c>
      <c r="M1063" s="48">
        <f t="shared" si="66"/>
        <v>3.6179365018942193</v>
      </c>
      <c r="N1063" s="48">
        <f t="shared" si="67"/>
        <v>3.6566711624594719</v>
      </c>
    </row>
    <row r="1064" spans="1:14" x14ac:dyDescent="0.25">
      <c r="A1064" s="3" t="s">
        <v>88</v>
      </c>
      <c r="B1064" s="4">
        <v>1321200</v>
      </c>
      <c r="C1064" s="4"/>
      <c r="D1064" s="4">
        <v>191689081.954</v>
      </c>
      <c r="E1064" s="4"/>
      <c r="F1064" s="4">
        <v>3528258.0079999999</v>
      </c>
      <c r="G1064" s="4"/>
      <c r="H1064" s="4">
        <v>851566348.09599996</v>
      </c>
      <c r="I1064" s="4"/>
      <c r="K1064" s="48">
        <f t="shared" si="64"/>
        <v>2.6704950105964276</v>
      </c>
      <c r="L1064" s="48" t="e">
        <f t="shared" si="65"/>
        <v>#DIV/0!</v>
      </c>
      <c r="M1064" s="48">
        <f t="shared" si="66"/>
        <v>4.4424353198183297</v>
      </c>
      <c r="N1064" s="48" t="e">
        <f t="shared" si="67"/>
        <v>#DIV/0!</v>
      </c>
    </row>
    <row r="1065" spans="1:14" x14ac:dyDescent="0.25">
      <c r="A1065" s="5">
        <v>2004</v>
      </c>
      <c r="B1065" s="4"/>
      <c r="C1065" s="4"/>
      <c r="D1065" s="4">
        <v>7114406</v>
      </c>
      <c r="E1065" s="4"/>
      <c r="F1065" s="4"/>
      <c r="G1065" s="4"/>
      <c r="H1065" s="4">
        <v>13281551</v>
      </c>
      <c r="I1065" s="4"/>
      <c r="K1065" s="48" t="e">
        <f t="shared" si="64"/>
        <v>#DIV/0!</v>
      </c>
      <c r="L1065" s="48" t="e">
        <f t="shared" si="65"/>
        <v>#DIV/0!</v>
      </c>
      <c r="M1065" s="48">
        <f t="shared" si="66"/>
        <v>1.8668531146521579</v>
      </c>
      <c r="N1065" s="48" t="e">
        <f t="shared" si="67"/>
        <v>#DIV/0!</v>
      </c>
    </row>
    <row r="1066" spans="1:14" x14ac:dyDescent="0.25">
      <c r="A1066" s="5">
        <v>2005</v>
      </c>
      <c r="B1066" s="4"/>
      <c r="C1066" s="4"/>
      <c r="D1066" s="4">
        <v>5958086.4689999996</v>
      </c>
      <c r="E1066" s="4"/>
      <c r="F1066" s="4"/>
      <c r="G1066" s="4"/>
      <c r="H1066" s="4">
        <v>13776737</v>
      </c>
      <c r="I1066" s="4"/>
      <c r="K1066" s="48" t="e">
        <f t="shared" si="64"/>
        <v>#DIV/0!</v>
      </c>
      <c r="L1066" s="48" t="e">
        <f t="shared" si="65"/>
        <v>#DIV/0!</v>
      </c>
      <c r="M1066" s="48">
        <f t="shared" si="66"/>
        <v>2.3122754380421533</v>
      </c>
      <c r="N1066" s="48" t="e">
        <f t="shared" si="67"/>
        <v>#DIV/0!</v>
      </c>
    </row>
    <row r="1067" spans="1:14" x14ac:dyDescent="0.25">
      <c r="A1067" s="5">
        <v>2006</v>
      </c>
      <c r="B1067" s="4"/>
      <c r="C1067" s="4"/>
      <c r="D1067" s="4">
        <v>5583920.9079999998</v>
      </c>
      <c r="E1067" s="4"/>
      <c r="F1067" s="4"/>
      <c r="G1067" s="4"/>
      <c r="H1067" s="4">
        <v>14268663</v>
      </c>
      <c r="I1067" s="4"/>
      <c r="K1067" s="48" t="e">
        <f t="shared" si="64"/>
        <v>#DIV/0!</v>
      </c>
      <c r="L1067" s="48" t="e">
        <f t="shared" si="65"/>
        <v>#DIV/0!</v>
      </c>
      <c r="M1067" s="48">
        <f t="shared" si="66"/>
        <v>2.555312518763921</v>
      </c>
      <c r="N1067" s="48" t="e">
        <f t="shared" si="67"/>
        <v>#DIV/0!</v>
      </c>
    </row>
    <row r="1068" spans="1:14" x14ac:dyDescent="0.25">
      <c r="A1068" s="5">
        <v>2007</v>
      </c>
      <c r="B1068" s="4"/>
      <c r="C1068" s="4"/>
      <c r="D1068" s="4">
        <v>4902310</v>
      </c>
      <c r="E1068" s="4"/>
      <c r="F1068" s="4"/>
      <c r="G1068" s="4"/>
      <c r="H1068" s="4">
        <v>16243532</v>
      </c>
      <c r="I1068" s="4"/>
      <c r="K1068" s="48" t="e">
        <f t="shared" si="64"/>
        <v>#DIV/0!</v>
      </c>
      <c r="L1068" s="48" t="e">
        <f t="shared" si="65"/>
        <v>#DIV/0!</v>
      </c>
      <c r="M1068" s="48">
        <f t="shared" si="66"/>
        <v>3.3134444782153718</v>
      </c>
      <c r="N1068" s="48" t="e">
        <f t="shared" si="67"/>
        <v>#DIV/0!</v>
      </c>
    </row>
    <row r="1069" spans="1:14" x14ac:dyDescent="0.25">
      <c r="A1069" s="5">
        <v>2008</v>
      </c>
      <c r="B1069" s="4"/>
      <c r="C1069" s="4"/>
      <c r="D1069" s="4">
        <v>6799704</v>
      </c>
      <c r="E1069" s="4"/>
      <c r="F1069" s="4"/>
      <c r="G1069" s="4"/>
      <c r="H1069" s="4">
        <v>30727502</v>
      </c>
      <c r="I1069" s="4"/>
      <c r="K1069" s="48" t="e">
        <f t="shared" si="64"/>
        <v>#DIV/0!</v>
      </c>
      <c r="L1069" s="48" t="e">
        <f t="shared" si="65"/>
        <v>#DIV/0!</v>
      </c>
      <c r="M1069" s="48">
        <f t="shared" si="66"/>
        <v>4.518947001222406</v>
      </c>
      <c r="N1069" s="48" t="e">
        <f t="shared" si="67"/>
        <v>#DIV/0!</v>
      </c>
    </row>
    <row r="1070" spans="1:14" x14ac:dyDescent="0.25">
      <c r="A1070" s="5">
        <v>2009</v>
      </c>
      <c r="B1070" s="4"/>
      <c r="C1070" s="4"/>
      <c r="D1070" s="4">
        <v>6210117</v>
      </c>
      <c r="E1070" s="4"/>
      <c r="F1070" s="4"/>
      <c r="G1070" s="4"/>
      <c r="H1070" s="4">
        <v>23339993</v>
      </c>
      <c r="I1070" s="4"/>
      <c r="K1070" s="48" t="e">
        <f t="shared" si="64"/>
        <v>#DIV/0!</v>
      </c>
      <c r="L1070" s="48" t="e">
        <f t="shared" si="65"/>
        <v>#DIV/0!</v>
      </c>
      <c r="M1070" s="48">
        <f t="shared" si="66"/>
        <v>3.758382168967187</v>
      </c>
      <c r="N1070" s="48" t="e">
        <f t="shared" si="67"/>
        <v>#DIV/0!</v>
      </c>
    </row>
    <row r="1071" spans="1:14" x14ac:dyDescent="0.25">
      <c r="A1071" s="5">
        <v>2010</v>
      </c>
      <c r="B1071" s="4">
        <v>1321200</v>
      </c>
      <c r="C1071" s="4"/>
      <c r="D1071" s="4">
        <v>7669100</v>
      </c>
      <c r="E1071" s="4"/>
      <c r="F1071" s="4">
        <v>3528258.0079999999</v>
      </c>
      <c r="G1071" s="4"/>
      <c r="H1071" s="4">
        <v>26979709.429000001</v>
      </c>
      <c r="I1071" s="4"/>
      <c r="K1071" s="48">
        <f t="shared" si="64"/>
        <v>2.6704950105964276</v>
      </c>
      <c r="L1071" s="48" t="e">
        <f t="shared" si="65"/>
        <v>#DIV/0!</v>
      </c>
      <c r="M1071" s="48">
        <f t="shared" si="66"/>
        <v>3.5179759592390245</v>
      </c>
      <c r="N1071" s="48" t="e">
        <f t="shared" si="67"/>
        <v>#DIV/0!</v>
      </c>
    </row>
    <row r="1072" spans="1:14" x14ac:dyDescent="0.25">
      <c r="A1072" s="5">
        <v>2011</v>
      </c>
      <c r="B1072" s="4"/>
      <c r="C1072" s="4"/>
      <c r="D1072" s="4">
        <v>6929502</v>
      </c>
      <c r="E1072" s="4"/>
      <c r="F1072" s="4"/>
      <c r="G1072" s="4"/>
      <c r="H1072" s="4">
        <v>27740342</v>
      </c>
      <c r="I1072" s="4"/>
      <c r="K1072" s="48" t="e">
        <f t="shared" si="64"/>
        <v>#DIV/0!</v>
      </c>
      <c r="L1072" s="48" t="e">
        <f t="shared" si="65"/>
        <v>#DIV/0!</v>
      </c>
      <c r="M1072" s="48">
        <f t="shared" si="66"/>
        <v>4.0032230310345538</v>
      </c>
      <c r="N1072" s="48" t="e">
        <f t="shared" si="67"/>
        <v>#DIV/0!</v>
      </c>
    </row>
    <row r="1073" spans="1:14" x14ac:dyDescent="0.25">
      <c r="A1073" s="5">
        <v>2012</v>
      </c>
      <c r="B1073" s="4"/>
      <c r="C1073" s="4"/>
      <c r="D1073" s="4">
        <v>5240661</v>
      </c>
      <c r="E1073" s="4"/>
      <c r="F1073" s="4"/>
      <c r="G1073" s="4"/>
      <c r="H1073" s="4">
        <v>26003252</v>
      </c>
      <c r="I1073" s="4"/>
      <c r="K1073" s="48" t="e">
        <f t="shared" si="64"/>
        <v>#DIV/0!</v>
      </c>
      <c r="L1073" s="48" t="e">
        <f t="shared" si="65"/>
        <v>#DIV/0!</v>
      </c>
      <c r="M1073" s="48">
        <f t="shared" si="66"/>
        <v>4.9618267619294585</v>
      </c>
      <c r="N1073" s="48" t="e">
        <f t="shared" si="67"/>
        <v>#DIV/0!</v>
      </c>
    </row>
    <row r="1074" spans="1:14" x14ac:dyDescent="0.25">
      <c r="A1074" s="5">
        <v>2013</v>
      </c>
      <c r="B1074" s="4"/>
      <c r="C1074" s="4"/>
      <c r="D1074" s="4">
        <v>9001682</v>
      </c>
      <c r="E1074" s="4"/>
      <c r="F1074" s="4"/>
      <c r="G1074" s="4"/>
      <c r="H1074" s="4">
        <v>48018837.667000003</v>
      </c>
      <c r="I1074" s="4"/>
      <c r="K1074" s="48" t="e">
        <f t="shared" si="64"/>
        <v>#DIV/0!</v>
      </c>
      <c r="L1074" s="48" t="e">
        <f t="shared" si="65"/>
        <v>#DIV/0!</v>
      </c>
      <c r="M1074" s="48">
        <f t="shared" si="66"/>
        <v>5.3344294618494636</v>
      </c>
      <c r="N1074" s="48" t="e">
        <f t="shared" si="67"/>
        <v>#DIV/0!</v>
      </c>
    </row>
    <row r="1075" spans="1:14" x14ac:dyDescent="0.25">
      <c r="A1075" s="5">
        <v>2014</v>
      </c>
      <c r="B1075" s="4"/>
      <c r="C1075" s="4"/>
      <c r="D1075" s="4">
        <v>7589378</v>
      </c>
      <c r="E1075" s="4"/>
      <c r="F1075" s="4"/>
      <c r="G1075" s="4"/>
      <c r="H1075" s="4">
        <v>35376969</v>
      </c>
      <c r="I1075" s="4"/>
      <c r="K1075" s="48" t="e">
        <f t="shared" si="64"/>
        <v>#DIV/0!</v>
      </c>
      <c r="L1075" s="48" t="e">
        <f t="shared" si="65"/>
        <v>#DIV/0!</v>
      </c>
      <c r="M1075" s="48">
        <f t="shared" si="66"/>
        <v>4.6613792329226449</v>
      </c>
      <c r="N1075" s="48" t="e">
        <f t="shared" si="67"/>
        <v>#DIV/0!</v>
      </c>
    </row>
    <row r="1076" spans="1:14" x14ac:dyDescent="0.25">
      <c r="A1076" s="5">
        <v>2015</v>
      </c>
      <c r="B1076" s="4"/>
      <c r="C1076" s="4"/>
      <c r="D1076" s="4">
        <v>9191487</v>
      </c>
      <c r="E1076" s="4"/>
      <c r="F1076" s="4"/>
      <c r="G1076" s="4"/>
      <c r="H1076" s="4">
        <v>34439941</v>
      </c>
      <c r="I1076" s="4"/>
      <c r="K1076" s="48" t="e">
        <f t="shared" si="64"/>
        <v>#DIV/0!</v>
      </c>
      <c r="L1076" s="48" t="e">
        <f t="shared" si="65"/>
        <v>#DIV/0!</v>
      </c>
      <c r="M1076" s="48">
        <f t="shared" si="66"/>
        <v>3.7469389882181194</v>
      </c>
      <c r="N1076" s="48" t="e">
        <f t="shared" si="67"/>
        <v>#DIV/0!</v>
      </c>
    </row>
    <row r="1077" spans="1:14" x14ac:dyDescent="0.25">
      <c r="A1077" s="5">
        <v>2016</v>
      </c>
      <c r="B1077" s="4"/>
      <c r="C1077" s="4"/>
      <c r="D1077" s="4">
        <v>9425279</v>
      </c>
      <c r="E1077" s="4"/>
      <c r="F1077" s="4"/>
      <c r="G1077" s="4"/>
      <c r="H1077" s="4">
        <v>36602555</v>
      </c>
      <c r="I1077" s="4"/>
      <c r="K1077" s="48" t="e">
        <f t="shared" si="64"/>
        <v>#DIV/0!</v>
      </c>
      <c r="L1077" s="48" t="e">
        <f t="shared" si="65"/>
        <v>#DIV/0!</v>
      </c>
      <c r="M1077" s="48">
        <f t="shared" si="66"/>
        <v>3.8834452539813409</v>
      </c>
      <c r="N1077" s="48" t="e">
        <f t="shared" si="67"/>
        <v>#DIV/0!</v>
      </c>
    </row>
    <row r="1078" spans="1:14" x14ac:dyDescent="0.25">
      <c r="A1078" s="5">
        <v>2017</v>
      </c>
      <c r="B1078" s="4"/>
      <c r="C1078" s="4"/>
      <c r="D1078" s="4">
        <v>7449044</v>
      </c>
      <c r="E1078" s="4"/>
      <c r="F1078" s="4"/>
      <c r="G1078" s="4"/>
      <c r="H1078" s="4">
        <v>32324843</v>
      </c>
      <c r="I1078" s="4"/>
      <c r="K1078" s="48" t="e">
        <f t="shared" si="64"/>
        <v>#DIV/0!</v>
      </c>
      <c r="L1078" s="48" t="e">
        <f t="shared" si="65"/>
        <v>#DIV/0!</v>
      </c>
      <c r="M1078" s="48">
        <f t="shared" si="66"/>
        <v>4.3394619497481823</v>
      </c>
      <c r="N1078" s="48" t="e">
        <f t="shared" si="67"/>
        <v>#DIV/0!</v>
      </c>
    </row>
    <row r="1079" spans="1:14" x14ac:dyDescent="0.25">
      <c r="A1079" s="5">
        <v>2018</v>
      </c>
      <c r="B1079" s="4"/>
      <c r="C1079" s="4"/>
      <c r="D1079" s="4">
        <v>8765435</v>
      </c>
      <c r="E1079" s="4"/>
      <c r="F1079" s="4"/>
      <c r="G1079" s="4"/>
      <c r="H1079" s="4">
        <v>43991890</v>
      </c>
      <c r="I1079" s="4"/>
      <c r="K1079" s="48" t="e">
        <f t="shared" si="64"/>
        <v>#DIV/0!</v>
      </c>
      <c r="L1079" s="48" t="e">
        <f t="shared" si="65"/>
        <v>#DIV/0!</v>
      </c>
      <c r="M1079" s="48">
        <f t="shared" si="66"/>
        <v>5.0187914233577686</v>
      </c>
      <c r="N1079" s="48" t="e">
        <f t="shared" si="67"/>
        <v>#DIV/0!</v>
      </c>
    </row>
    <row r="1080" spans="1:14" x14ac:dyDescent="0.25">
      <c r="A1080" s="5">
        <v>2019</v>
      </c>
      <c r="B1080" s="4"/>
      <c r="C1080" s="4"/>
      <c r="D1080" s="4">
        <v>10159247</v>
      </c>
      <c r="E1080" s="4"/>
      <c r="F1080" s="4"/>
      <c r="G1080" s="4"/>
      <c r="H1080" s="4">
        <v>48595616</v>
      </c>
      <c r="I1080" s="4"/>
      <c r="K1080" s="48" t="e">
        <f t="shared" si="64"/>
        <v>#DIV/0!</v>
      </c>
      <c r="L1080" s="48" t="e">
        <f t="shared" si="65"/>
        <v>#DIV/0!</v>
      </c>
      <c r="M1080" s="48">
        <f t="shared" si="66"/>
        <v>4.7833875876824337</v>
      </c>
      <c r="N1080" s="48" t="e">
        <f t="shared" si="67"/>
        <v>#DIV/0!</v>
      </c>
    </row>
    <row r="1081" spans="1:14" x14ac:dyDescent="0.25">
      <c r="A1081" s="5">
        <v>2020</v>
      </c>
      <c r="B1081" s="4"/>
      <c r="C1081" s="4"/>
      <c r="D1081" s="4">
        <v>11877280.225</v>
      </c>
      <c r="E1081" s="4"/>
      <c r="F1081" s="4"/>
      <c r="G1081" s="4"/>
      <c r="H1081" s="4">
        <v>46475572</v>
      </c>
      <c r="I1081" s="4"/>
      <c r="K1081" s="48" t="e">
        <f t="shared" si="64"/>
        <v>#DIV/0!</v>
      </c>
      <c r="L1081" s="48" t="e">
        <f t="shared" si="65"/>
        <v>#DIV/0!</v>
      </c>
      <c r="M1081" s="48">
        <f t="shared" si="66"/>
        <v>3.9129810124522848</v>
      </c>
      <c r="N1081" s="48" t="e">
        <f t="shared" si="67"/>
        <v>#DIV/0!</v>
      </c>
    </row>
    <row r="1082" spans="1:14" x14ac:dyDescent="0.25">
      <c r="A1082" s="5">
        <v>2021</v>
      </c>
      <c r="B1082" s="4"/>
      <c r="C1082" s="4"/>
      <c r="D1082" s="4">
        <v>11395396.697000001</v>
      </c>
      <c r="E1082" s="4"/>
      <c r="F1082" s="4"/>
      <c r="G1082" s="4"/>
      <c r="H1082" s="4">
        <v>55368077</v>
      </c>
      <c r="I1082" s="4"/>
      <c r="K1082" s="48" t="e">
        <f t="shared" si="64"/>
        <v>#DIV/0!</v>
      </c>
      <c r="L1082" s="48" t="e">
        <f t="shared" si="65"/>
        <v>#DIV/0!</v>
      </c>
      <c r="M1082" s="48">
        <f t="shared" si="66"/>
        <v>4.8588108402208086</v>
      </c>
      <c r="N1082" s="48" t="e">
        <f t="shared" si="67"/>
        <v>#DIV/0!</v>
      </c>
    </row>
    <row r="1083" spans="1:14" x14ac:dyDescent="0.25">
      <c r="A1083" s="5">
        <v>2022</v>
      </c>
      <c r="B1083" s="4"/>
      <c r="C1083" s="4"/>
      <c r="D1083" s="4">
        <v>11950993</v>
      </c>
      <c r="E1083" s="4"/>
      <c r="F1083" s="4"/>
      <c r="G1083" s="4"/>
      <c r="H1083" s="4">
        <v>59223745</v>
      </c>
      <c r="I1083" s="4"/>
      <c r="K1083" s="48" t="e">
        <f t="shared" si="64"/>
        <v>#DIV/0!</v>
      </c>
      <c r="L1083" s="48" t="e">
        <f t="shared" si="65"/>
        <v>#DIV/0!</v>
      </c>
      <c r="M1083" s="48">
        <f t="shared" si="66"/>
        <v>4.9555501371308646</v>
      </c>
      <c r="N1083" s="48" t="e">
        <f t="shared" si="67"/>
        <v>#DIV/0!</v>
      </c>
    </row>
    <row r="1084" spans="1:14" x14ac:dyDescent="0.25">
      <c r="A1084" s="5">
        <v>2023</v>
      </c>
      <c r="B1084" s="4"/>
      <c r="C1084" s="4"/>
      <c r="D1084" s="4">
        <v>11671383.539000001</v>
      </c>
      <c r="E1084" s="4"/>
      <c r="F1084" s="4"/>
      <c r="G1084" s="4"/>
      <c r="H1084" s="4">
        <v>64062035</v>
      </c>
      <c r="I1084" s="4"/>
      <c r="K1084" s="48" t="e">
        <f t="shared" si="64"/>
        <v>#DIV/0!</v>
      </c>
      <c r="L1084" s="48" t="e">
        <f t="shared" si="65"/>
        <v>#DIV/0!</v>
      </c>
      <c r="M1084" s="48">
        <f t="shared" si="66"/>
        <v>5.4888124262163362</v>
      </c>
      <c r="N1084" s="48" t="e">
        <f t="shared" si="67"/>
        <v>#DIV/0!</v>
      </c>
    </row>
    <row r="1085" spans="1:14" x14ac:dyDescent="0.25">
      <c r="A1085" s="5">
        <v>2024</v>
      </c>
      <c r="B1085" s="4"/>
      <c r="C1085" s="4"/>
      <c r="D1085" s="4">
        <v>14278603.116</v>
      </c>
      <c r="E1085" s="4"/>
      <c r="F1085" s="4"/>
      <c r="G1085" s="4"/>
      <c r="H1085" s="4">
        <v>82516662</v>
      </c>
      <c r="I1085" s="4"/>
      <c r="K1085" s="48" t="e">
        <f t="shared" si="64"/>
        <v>#DIV/0!</v>
      </c>
      <c r="L1085" s="48" t="e">
        <f t="shared" si="65"/>
        <v>#DIV/0!</v>
      </c>
      <c r="M1085" s="48">
        <f t="shared" si="66"/>
        <v>5.7790430429105006</v>
      </c>
      <c r="N1085" s="48" t="e">
        <f t="shared" si="67"/>
        <v>#DIV/0!</v>
      </c>
    </row>
    <row r="1086" spans="1:14" x14ac:dyDescent="0.25">
      <c r="A1086" s="5">
        <v>2025</v>
      </c>
      <c r="B1086" s="4"/>
      <c r="C1086" s="4"/>
      <c r="D1086" s="4">
        <v>12526066</v>
      </c>
      <c r="E1086" s="4"/>
      <c r="F1086" s="4"/>
      <c r="G1086" s="4"/>
      <c r="H1086" s="4">
        <v>72208324</v>
      </c>
      <c r="I1086" s="4"/>
      <c r="K1086" s="48" t="e">
        <f t="shared" si="64"/>
        <v>#DIV/0!</v>
      </c>
      <c r="L1086" s="48" t="e">
        <f t="shared" si="65"/>
        <v>#DIV/0!</v>
      </c>
      <c r="M1086" s="48">
        <f t="shared" si="66"/>
        <v>5.7646450210305451</v>
      </c>
      <c r="N1086" s="48" t="e">
        <f t="shared" si="67"/>
        <v>#DIV/0!</v>
      </c>
    </row>
    <row r="1087" spans="1:14" x14ac:dyDescent="0.25">
      <c r="A1087" s="3" t="s">
        <v>44</v>
      </c>
      <c r="B1087" s="4">
        <v>398616054.68700004</v>
      </c>
      <c r="C1087" s="4">
        <v>147622070.67900002</v>
      </c>
      <c r="D1087" s="4">
        <v>359032692.12900007</v>
      </c>
      <c r="E1087" s="4">
        <v>245952379.384</v>
      </c>
      <c r="F1087" s="4">
        <v>1170735043.181</v>
      </c>
      <c r="G1087" s="4">
        <v>758031851.02200007</v>
      </c>
      <c r="H1087" s="4">
        <v>1906861272.207</v>
      </c>
      <c r="I1087" s="4">
        <v>1497660376.2290001</v>
      </c>
      <c r="K1087" s="48">
        <f t="shared" si="64"/>
        <v>2.9369992237274052</v>
      </c>
      <c r="L1087" s="48">
        <f t="shared" si="65"/>
        <v>5.1349493170998715</v>
      </c>
      <c r="M1087" s="48">
        <f t="shared" si="66"/>
        <v>5.3111076345155412</v>
      </c>
      <c r="N1087" s="48">
        <f t="shared" si="67"/>
        <v>6.089229061251471</v>
      </c>
    </row>
    <row r="1088" spans="1:14" x14ac:dyDescent="0.25">
      <c r="A1088" s="5">
        <v>2010</v>
      </c>
      <c r="B1088" s="4">
        <v>13835383</v>
      </c>
      <c r="C1088" s="4">
        <v>5394410</v>
      </c>
      <c r="D1088" s="4">
        <v>12628747</v>
      </c>
      <c r="E1088" s="4">
        <v>4421489</v>
      </c>
      <c r="F1088" s="4">
        <v>21556506.973999999</v>
      </c>
      <c r="G1088" s="4">
        <v>19900172.602000002</v>
      </c>
      <c r="H1088" s="4">
        <v>59534107.840000004</v>
      </c>
      <c r="I1088" s="4">
        <v>27894707.682</v>
      </c>
      <c r="K1088" s="48">
        <f t="shared" si="64"/>
        <v>1.5580708516706765</v>
      </c>
      <c r="L1088" s="48">
        <f t="shared" si="65"/>
        <v>3.6890359839166846</v>
      </c>
      <c r="M1088" s="48">
        <f t="shared" si="66"/>
        <v>4.7141737687832377</v>
      </c>
      <c r="N1088" s="48">
        <f t="shared" si="67"/>
        <v>6.3088945108763133</v>
      </c>
    </row>
    <row r="1089" spans="1:14" x14ac:dyDescent="0.25">
      <c r="A1089" s="5">
        <v>2011</v>
      </c>
      <c r="B1089" s="4">
        <v>13361795</v>
      </c>
      <c r="C1089" s="4">
        <v>5300652</v>
      </c>
      <c r="D1089" s="4">
        <v>13493079</v>
      </c>
      <c r="E1089" s="4">
        <v>7666385</v>
      </c>
      <c r="F1089" s="4">
        <v>27847590.059999999</v>
      </c>
      <c r="G1089" s="4">
        <v>27674479.568999998</v>
      </c>
      <c r="H1089" s="4">
        <v>70971200.562999994</v>
      </c>
      <c r="I1089" s="4">
        <v>45871003.721000001</v>
      </c>
      <c r="K1089" s="48">
        <f t="shared" si="64"/>
        <v>2.0841204389080956</v>
      </c>
      <c r="L1089" s="48">
        <f t="shared" si="65"/>
        <v>5.220957642380597</v>
      </c>
      <c r="M1089" s="48">
        <f t="shared" si="66"/>
        <v>5.2598225032996542</v>
      </c>
      <c r="N1089" s="48">
        <f t="shared" si="67"/>
        <v>5.9833942230921098</v>
      </c>
    </row>
    <row r="1090" spans="1:14" x14ac:dyDescent="0.25">
      <c r="A1090" s="5">
        <v>2012</v>
      </c>
      <c r="B1090" s="4">
        <v>14490939</v>
      </c>
      <c r="C1090" s="4">
        <v>6193570</v>
      </c>
      <c r="D1090" s="4">
        <v>12870082</v>
      </c>
      <c r="E1090" s="4">
        <v>8214169</v>
      </c>
      <c r="F1090" s="4">
        <v>47118223.93</v>
      </c>
      <c r="G1090" s="4">
        <v>33231041.635000002</v>
      </c>
      <c r="H1090" s="4">
        <v>79593615.430000007</v>
      </c>
      <c r="I1090" s="4">
        <v>56434633.594999999</v>
      </c>
      <c r="K1090" s="48">
        <f t="shared" si="64"/>
        <v>3.2515645763190362</v>
      </c>
      <c r="L1090" s="48">
        <f t="shared" si="65"/>
        <v>5.3654098742728351</v>
      </c>
      <c r="M1090" s="48">
        <f t="shared" si="66"/>
        <v>6.1843907000747942</v>
      </c>
      <c r="N1090" s="48">
        <f t="shared" si="67"/>
        <v>6.8704008396954093</v>
      </c>
    </row>
    <row r="1091" spans="1:14" x14ac:dyDescent="0.25">
      <c r="A1091" s="5">
        <v>2013</v>
      </c>
      <c r="B1091" s="4">
        <v>22173982</v>
      </c>
      <c r="C1091" s="4">
        <v>10557120</v>
      </c>
      <c r="D1091" s="4">
        <v>17809624</v>
      </c>
      <c r="E1091" s="4">
        <v>9742412</v>
      </c>
      <c r="F1091" s="4">
        <v>61654648.748000003</v>
      </c>
      <c r="G1091" s="4">
        <v>46098513.969999999</v>
      </c>
      <c r="H1091" s="4">
        <v>122862426.926</v>
      </c>
      <c r="I1091" s="4">
        <v>73011132.607999995</v>
      </c>
      <c r="K1091" s="48">
        <f t="shared" si="64"/>
        <v>2.7804951202720378</v>
      </c>
      <c r="L1091" s="48">
        <f t="shared" si="65"/>
        <v>4.3665804660740806</v>
      </c>
      <c r="M1091" s="48">
        <f t="shared" si="66"/>
        <v>6.898653611440646</v>
      </c>
      <c r="N1091" s="48">
        <f t="shared" si="67"/>
        <v>7.4941536662584172</v>
      </c>
    </row>
    <row r="1092" spans="1:14" x14ac:dyDescent="0.25">
      <c r="A1092" s="5">
        <v>2014</v>
      </c>
      <c r="B1092" s="4">
        <v>22637373</v>
      </c>
      <c r="C1092" s="4">
        <v>16322396</v>
      </c>
      <c r="D1092" s="4">
        <v>21109221</v>
      </c>
      <c r="E1092" s="4">
        <v>13651925</v>
      </c>
      <c r="F1092" s="4">
        <v>53261356.397</v>
      </c>
      <c r="G1092" s="4">
        <v>60045516.784000002</v>
      </c>
      <c r="H1092" s="4">
        <v>125509309.51100001</v>
      </c>
      <c r="I1092" s="4">
        <v>81673126.070000097</v>
      </c>
      <c r="K1092" s="48">
        <f t="shared" si="64"/>
        <v>2.3528064142866754</v>
      </c>
      <c r="L1092" s="48">
        <f t="shared" si="65"/>
        <v>3.6787195203449299</v>
      </c>
      <c r="M1092" s="48">
        <f t="shared" si="66"/>
        <v>5.9457101477595975</v>
      </c>
      <c r="N1092" s="48">
        <f t="shared" si="67"/>
        <v>5.982535508362381</v>
      </c>
    </row>
    <row r="1093" spans="1:14" x14ac:dyDescent="0.25">
      <c r="A1093" s="5">
        <v>2015</v>
      </c>
      <c r="B1093" s="4">
        <v>22216429</v>
      </c>
      <c r="C1093" s="4">
        <v>9751169</v>
      </c>
      <c r="D1093" s="4">
        <v>17963354</v>
      </c>
      <c r="E1093" s="4">
        <v>10070954</v>
      </c>
      <c r="F1093" s="4">
        <v>48490117.545000002</v>
      </c>
      <c r="G1093" s="4">
        <v>38954647.579999998</v>
      </c>
      <c r="H1093" s="4">
        <v>82867766.725999996</v>
      </c>
      <c r="I1093" s="4">
        <v>56873938.952</v>
      </c>
      <c r="K1093" s="48">
        <f t="shared" si="64"/>
        <v>2.1826242887639595</v>
      </c>
      <c r="L1093" s="48">
        <f t="shared" si="65"/>
        <v>3.9948694951343779</v>
      </c>
      <c r="M1093" s="48">
        <f t="shared" si="66"/>
        <v>4.613156692564206</v>
      </c>
      <c r="N1093" s="48">
        <f t="shared" si="67"/>
        <v>5.647323873388757</v>
      </c>
    </row>
    <row r="1094" spans="1:14" x14ac:dyDescent="0.25">
      <c r="A1094" s="5">
        <v>2016</v>
      </c>
      <c r="B1094" s="4">
        <v>27760467.734999999</v>
      </c>
      <c r="C1094" s="4">
        <v>6823647.6799999997</v>
      </c>
      <c r="D1094" s="4">
        <v>20108858</v>
      </c>
      <c r="E1094" s="4">
        <v>13673809.173</v>
      </c>
      <c r="F1094" s="4">
        <v>66464001.217</v>
      </c>
      <c r="G1094" s="4">
        <v>30698594.085000001</v>
      </c>
      <c r="H1094" s="4">
        <v>90806279.943000004</v>
      </c>
      <c r="I1094" s="4">
        <v>72663252.604000002</v>
      </c>
      <c r="K1094" s="48">
        <f t="shared" si="64"/>
        <v>2.3941960146875747</v>
      </c>
      <c r="L1094" s="48">
        <f t="shared" si="65"/>
        <v>4.4988539157695788</v>
      </c>
      <c r="M1094" s="48">
        <f t="shared" si="66"/>
        <v>4.5157353014775881</v>
      </c>
      <c r="N1094" s="48">
        <f t="shared" si="67"/>
        <v>5.3140461216527175</v>
      </c>
    </row>
    <row r="1095" spans="1:14" x14ac:dyDescent="0.25">
      <c r="A1095" s="5">
        <v>2017</v>
      </c>
      <c r="B1095" s="4">
        <v>31222363</v>
      </c>
      <c r="C1095" s="4">
        <v>7242207.2740000002</v>
      </c>
      <c r="D1095" s="4">
        <v>21624953</v>
      </c>
      <c r="E1095" s="4">
        <v>14964213.927999999</v>
      </c>
      <c r="F1095" s="4">
        <v>85947341.804000005</v>
      </c>
      <c r="G1095" s="4">
        <v>35775176.538999997</v>
      </c>
      <c r="H1095" s="4">
        <v>116884232.366</v>
      </c>
      <c r="I1095" s="4">
        <v>92427681.920000002</v>
      </c>
      <c r="K1095" s="48">
        <f t="shared" ref="K1095:K1158" si="68">F1095/B1095</f>
        <v>2.7527494252757232</v>
      </c>
      <c r="L1095" s="48">
        <f t="shared" ref="L1095:L1158" si="69">G1095/C1095</f>
        <v>4.939816714088705</v>
      </c>
      <c r="M1095" s="48">
        <f t="shared" ref="M1095:M1158" si="70">H1095/D1095</f>
        <v>5.4050629550963647</v>
      </c>
      <c r="N1095" s="48">
        <f t="shared" ref="N1095:N1158" si="71">I1095/E1095</f>
        <v>6.1765811665560149</v>
      </c>
    </row>
    <row r="1096" spans="1:14" x14ac:dyDescent="0.25">
      <c r="A1096" s="5">
        <v>2018</v>
      </c>
      <c r="B1096" s="4">
        <v>26626989</v>
      </c>
      <c r="C1096" s="4">
        <v>8694691.625</v>
      </c>
      <c r="D1096" s="4">
        <v>20029551.004000001</v>
      </c>
      <c r="E1096" s="4">
        <v>13199511.353</v>
      </c>
      <c r="F1096" s="4">
        <v>80243063.185000002</v>
      </c>
      <c r="G1096" s="4">
        <v>39915729.880999997</v>
      </c>
      <c r="H1096" s="4">
        <v>117130771.501</v>
      </c>
      <c r="I1096" s="4">
        <v>101060500.483</v>
      </c>
      <c r="K1096" s="48">
        <f t="shared" si="68"/>
        <v>3.0135988408227457</v>
      </c>
      <c r="L1096" s="48">
        <f t="shared" si="69"/>
        <v>4.5908160522024257</v>
      </c>
      <c r="M1096" s="48">
        <f t="shared" si="70"/>
        <v>5.8478980121725348</v>
      </c>
      <c r="N1096" s="48">
        <f t="shared" si="71"/>
        <v>7.6563819508387221</v>
      </c>
    </row>
    <row r="1097" spans="1:14" x14ac:dyDescent="0.25">
      <c r="A1097" s="5">
        <v>2019</v>
      </c>
      <c r="B1097" s="4">
        <v>24434268</v>
      </c>
      <c r="C1097" s="4">
        <v>8289249.2120000003</v>
      </c>
      <c r="D1097" s="4">
        <v>20756234</v>
      </c>
      <c r="E1097" s="4">
        <v>13128472.273</v>
      </c>
      <c r="F1097" s="4">
        <v>65690984.450999998</v>
      </c>
      <c r="G1097" s="4">
        <v>37856235.717</v>
      </c>
      <c r="H1097" s="4">
        <v>111514209.226</v>
      </c>
      <c r="I1097" s="4">
        <v>87759549.804000005</v>
      </c>
      <c r="K1097" s="48">
        <f t="shared" si="68"/>
        <v>2.6884776925177376</v>
      </c>
      <c r="L1097" s="48">
        <f t="shared" si="69"/>
        <v>4.5669076594050404</v>
      </c>
      <c r="M1097" s="48">
        <f t="shared" si="70"/>
        <v>5.3725646582130455</v>
      </c>
      <c r="N1097" s="48">
        <f t="shared" si="71"/>
        <v>6.6846734318421941</v>
      </c>
    </row>
    <row r="1098" spans="1:14" x14ac:dyDescent="0.25">
      <c r="A1098" s="5">
        <v>2020</v>
      </c>
      <c r="B1098" s="4">
        <v>25742507</v>
      </c>
      <c r="C1098" s="4">
        <v>4621654.3119999999</v>
      </c>
      <c r="D1098" s="4">
        <v>27028139.333999999</v>
      </c>
      <c r="E1098" s="4">
        <v>17226856.230999999</v>
      </c>
      <c r="F1098" s="4">
        <v>66911644.770000003</v>
      </c>
      <c r="G1098" s="4">
        <v>23759531.295000002</v>
      </c>
      <c r="H1098" s="4">
        <v>132597822.54099999</v>
      </c>
      <c r="I1098" s="4">
        <v>102328617.366</v>
      </c>
      <c r="K1098" s="48">
        <f t="shared" si="68"/>
        <v>2.5992668379190884</v>
      </c>
      <c r="L1098" s="48">
        <f t="shared" si="69"/>
        <v>5.140914852352549</v>
      </c>
      <c r="M1098" s="48">
        <f t="shared" si="70"/>
        <v>4.9059175292247659</v>
      </c>
      <c r="N1098" s="48">
        <f t="shared" si="71"/>
        <v>5.9400633518876207</v>
      </c>
    </row>
    <row r="1099" spans="1:14" x14ac:dyDescent="0.25">
      <c r="A1099" s="5">
        <v>2021</v>
      </c>
      <c r="B1099" s="4">
        <v>28282621.91</v>
      </c>
      <c r="C1099" s="4">
        <v>8486831.4499999993</v>
      </c>
      <c r="D1099" s="4">
        <v>25311546.27</v>
      </c>
      <c r="E1099" s="4">
        <v>18664494.530000001</v>
      </c>
      <c r="F1099" s="4">
        <v>79259805.618000001</v>
      </c>
      <c r="G1099" s="4">
        <v>42103849.340000004</v>
      </c>
      <c r="H1099" s="4">
        <v>120763953.91</v>
      </c>
      <c r="I1099" s="4">
        <v>102668952.15800001</v>
      </c>
      <c r="K1099" s="48">
        <f t="shared" si="68"/>
        <v>2.8024207186383876</v>
      </c>
      <c r="L1099" s="48">
        <f t="shared" si="69"/>
        <v>4.961079949337277</v>
      </c>
      <c r="M1099" s="48">
        <f t="shared" si="70"/>
        <v>4.7711014025695082</v>
      </c>
      <c r="N1099" s="48">
        <f t="shared" si="71"/>
        <v>5.5007625303207179</v>
      </c>
    </row>
    <row r="1100" spans="1:14" x14ac:dyDescent="0.25">
      <c r="A1100" s="5">
        <v>2022</v>
      </c>
      <c r="B1100" s="4">
        <v>27816104.18</v>
      </c>
      <c r="C1100" s="4">
        <v>8415707.5940000005</v>
      </c>
      <c r="D1100" s="4">
        <v>27347669.188999999</v>
      </c>
      <c r="E1100" s="4">
        <v>21007243</v>
      </c>
      <c r="F1100" s="4">
        <v>100642856.207</v>
      </c>
      <c r="G1100" s="4">
        <v>57026251.586999997</v>
      </c>
      <c r="H1100" s="4">
        <v>139664280.22400001</v>
      </c>
      <c r="I1100" s="4">
        <v>117747921.301</v>
      </c>
      <c r="K1100" s="48">
        <f t="shared" si="68"/>
        <v>3.61815067831688</v>
      </c>
      <c r="L1100" s="48">
        <f t="shared" si="69"/>
        <v>6.77616836731079</v>
      </c>
      <c r="M1100" s="48">
        <f t="shared" si="70"/>
        <v>5.1069902615385194</v>
      </c>
      <c r="N1100" s="48">
        <f t="shared" si="71"/>
        <v>5.6051106421247185</v>
      </c>
    </row>
    <row r="1101" spans="1:14" x14ac:dyDescent="0.25">
      <c r="A1101" s="5">
        <v>2023</v>
      </c>
      <c r="B1101" s="4">
        <v>27833269.519000001</v>
      </c>
      <c r="C1101" s="4">
        <v>10869567</v>
      </c>
      <c r="D1101" s="4">
        <v>30768901</v>
      </c>
      <c r="E1101" s="4">
        <v>24072107.375999998</v>
      </c>
      <c r="F1101" s="4">
        <v>103047345.178</v>
      </c>
      <c r="G1101" s="4">
        <v>74439443.638999999</v>
      </c>
      <c r="H1101" s="4">
        <v>171781486.722</v>
      </c>
      <c r="I1101" s="4">
        <v>145377038.86899999</v>
      </c>
      <c r="K1101" s="48">
        <f t="shared" si="68"/>
        <v>3.7023083151498297</v>
      </c>
      <c r="L1101" s="48">
        <f t="shared" si="69"/>
        <v>6.8484276916458589</v>
      </c>
      <c r="M1101" s="48">
        <f t="shared" si="70"/>
        <v>5.5829581538190141</v>
      </c>
      <c r="N1101" s="48">
        <f t="shared" si="71"/>
        <v>6.0392319043052112</v>
      </c>
    </row>
    <row r="1102" spans="1:14" x14ac:dyDescent="0.25">
      <c r="A1102" s="5">
        <v>2024</v>
      </c>
      <c r="B1102" s="4">
        <v>34345183</v>
      </c>
      <c r="C1102" s="4">
        <v>13937119.532</v>
      </c>
      <c r="D1102" s="4">
        <v>35353598.219999999</v>
      </c>
      <c r="E1102" s="4">
        <v>29571986.243000001</v>
      </c>
      <c r="F1102" s="4">
        <v>122897938.502</v>
      </c>
      <c r="G1102" s="4">
        <v>88065028.334000006</v>
      </c>
      <c r="H1102" s="4">
        <v>174777148.69</v>
      </c>
      <c r="I1102" s="4">
        <v>166728604.81200001</v>
      </c>
      <c r="K1102" s="48">
        <f t="shared" si="68"/>
        <v>3.5783166012538064</v>
      </c>
      <c r="L1102" s="48">
        <f t="shared" si="69"/>
        <v>6.3187395452697626</v>
      </c>
      <c r="M1102" s="48">
        <f t="shared" si="70"/>
        <v>4.9436877005386757</v>
      </c>
      <c r="N1102" s="48">
        <f t="shared" si="71"/>
        <v>5.6380590550107677</v>
      </c>
    </row>
    <row r="1103" spans="1:14" x14ac:dyDescent="0.25">
      <c r="A1103" s="5">
        <v>2025</v>
      </c>
      <c r="B1103" s="4">
        <v>35836380.343000002</v>
      </c>
      <c r="C1103" s="4">
        <v>16722078</v>
      </c>
      <c r="D1103" s="4">
        <v>34829135.112000003</v>
      </c>
      <c r="E1103" s="4">
        <v>26676351.276999999</v>
      </c>
      <c r="F1103" s="4">
        <v>139701618.595</v>
      </c>
      <c r="G1103" s="4">
        <v>102487638.465</v>
      </c>
      <c r="H1103" s="4">
        <v>189602660.088</v>
      </c>
      <c r="I1103" s="4">
        <v>167139714.28400001</v>
      </c>
      <c r="K1103" s="48">
        <f t="shared" si="68"/>
        <v>3.8983183362236029</v>
      </c>
      <c r="L1103" s="48">
        <f t="shared" si="69"/>
        <v>6.1288817373654165</v>
      </c>
      <c r="M1103" s="48">
        <f t="shared" si="70"/>
        <v>5.4437946701316289</v>
      </c>
      <c r="N1103" s="48">
        <f t="shared" si="71"/>
        <v>6.2654638390560438</v>
      </c>
    </row>
    <row r="1104" spans="1:14" x14ac:dyDescent="0.25">
      <c r="A1104" s="3" t="s">
        <v>87</v>
      </c>
      <c r="B1104" s="4">
        <v>2076798.9</v>
      </c>
      <c r="C1104" s="4"/>
      <c r="D1104" s="4">
        <v>28664008.178999998</v>
      </c>
      <c r="E1104" s="4"/>
      <c r="F1104" s="4">
        <v>1324325.3230000001</v>
      </c>
      <c r="G1104" s="4"/>
      <c r="H1104" s="4">
        <v>142361341.31099999</v>
      </c>
      <c r="I1104" s="4"/>
      <c r="K1104" s="48">
        <f t="shared" si="68"/>
        <v>0.63767624443560722</v>
      </c>
      <c r="L1104" s="48" t="e">
        <f t="shared" si="69"/>
        <v>#DIV/0!</v>
      </c>
      <c r="M1104" s="48">
        <f t="shared" si="70"/>
        <v>4.9665538895323662</v>
      </c>
      <c r="N1104" s="48" t="e">
        <f t="shared" si="71"/>
        <v>#DIV/0!</v>
      </c>
    </row>
    <row r="1105" spans="1:14" x14ac:dyDescent="0.25">
      <c r="A1105" s="5">
        <v>2012</v>
      </c>
      <c r="B1105" s="4"/>
      <c r="C1105" s="4"/>
      <c r="D1105" s="4">
        <v>2225759.17</v>
      </c>
      <c r="E1105" s="4"/>
      <c r="F1105" s="4"/>
      <c r="G1105" s="4"/>
      <c r="H1105" s="4">
        <v>11192060.976</v>
      </c>
      <c r="I1105" s="4"/>
      <c r="K1105" s="48" t="e">
        <f t="shared" si="68"/>
        <v>#DIV/0!</v>
      </c>
      <c r="L1105" s="48" t="e">
        <f t="shared" si="69"/>
        <v>#DIV/0!</v>
      </c>
      <c r="M1105" s="48">
        <f t="shared" si="70"/>
        <v>5.0284240662029935</v>
      </c>
      <c r="N1105" s="48" t="e">
        <f t="shared" si="71"/>
        <v>#DIV/0!</v>
      </c>
    </row>
    <row r="1106" spans="1:14" x14ac:dyDescent="0.25">
      <c r="A1106" s="5">
        <v>2013</v>
      </c>
      <c r="B1106" s="4">
        <v>2076798.9</v>
      </c>
      <c r="C1106" s="4"/>
      <c r="D1106" s="4">
        <v>1668870.3</v>
      </c>
      <c r="E1106" s="4"/>
      <c r="F1106" s="4">
        <v>1324325.3230000001</v>
      </c>
      <c r="G1106" s="4"/>
      <c r="H1106" s="4">
        <v>9742052.3420000002</v>
      </c>
      <c r="I1106" s="4"/>
      <c r="K1106" s="48">
        <f t="shared" si="68"/>
        <v>0.63767624443560722</v>
      </c>
      <c r="L1106" s="48" t="e">
        <f t="shared" si="69"/>
        <v>#DIV/0!</v>
      </c>
      <c r="M1106" s="48">
        <f t="shared" si="70"/>
        <v>5.8375131620474043</v>
      </c>
      <c r="N1106" s="48" t="e">
        <f t="shared" si="71"/>
        <v>#DIV/0!</v>
      </c>
    </row>
    <row r="1107" spans="1:14" x14ac:dyDescent="0.25">
      <c r="A1107" s="5">
        <v>2014</v>
      </c>
      <c r="B1107" s="4"/>
      <c r="C1107" s="4"/>
      <c r="D1107" s="4">
        <v>1722658.3</v>
      </c>
      <c r="E1107" s="4"/>
      <c r="F1107" s="4"/>
      <c r="G1107" s="4"/>
      <c r="H1107" s="4">
        <v>9024802.1669999994</v>
      </c>
      <c r="I1107" s="4"/>
      <c r="K1107" s="48" t="e">
        <f t="shared" si="68"/>
        <v>#DIV/0!</v>
      </c>
      <c r="L1107" s="48" t="e">
        <f t="shared" si="69"/>
        <v>#DIV/0!</v>
      </c>
      <c r="M1107" s="48">
        <f t="shared" si="70"/>
        <v>5.2388811913540829</v>
      </c>
      <c r="N1107" s="48" t="e">
        <f t="shared" si="71"/>
        <v>#DIV/0!</v>
      </c>
    </row>
    <row r="1108" spans="1:14" x14ac:dyDescent="0.25">
      <c r="A1108" s="5">
        <v>2015</v>
      </c>
      <c r="B1108" s="4"/>
      <c r="C1108" s="4"/>
      <c r="D1108" s="4">
        <v>2687384.41</v>
      </c>
      <c r="E1108" s="4"/>
      <c r="F1108" s="4"/>
      <c r="G1108" s="4"/>
      <c r="H1108" s="4">
        <v>14522450.794</v>
      </c>
      <c r="I1108" s="4"/>
      <c r="K1108" s="48" t="e">
        <f t="shared" si="68"/>
        <v>#DIV/0!</v>
      </c>
      <c r="L1108" s="48" t="e">
        <f t="shared" si="69"/>
        <v>#DIV/0!</v>
      </c>
      <c r="M1108" s="48">
        <f t="shared" si="70"/>
        <v>5.4039350455262927</v>
      </c>
      <c r="N1108" s="48" t="e">
        <f t="shared" si="71"/>
        <v>#DIV/0!</v>
      </c>
    </row>
    <row r="1109" spans="1:14" x14ac:dyDescent="0.25">
      <c r="A1109" s="5">
        <v>2016</v>
      </c>
      <c r="B1109" s="4"/>
      <c r="C1109" s="4"/>
      <c r="D1109" s="4">
        <v>2615136.88</v>
      </c>
      <c r="E1109" s="4"/>
      <c r="F1109" s="4"/>
      <c r="G1109" s="4"/>
      <c r="H1109" s="4">
        <v>13842601.982999999</v>
      </c>
      <c r="I1109" s="4"/>
      <c r="K1109" s="48" t="e">
        <f t="shared" si="68"/>
        <v>#DIV/0!</v>
      </c>
      <c r="L1109" s="48" t="e">
        <f t="shared" si="69"/>
        <v>#DIV/0!</v>
      </c>
      <c r="M1109" s="48">
        <f t="shared" si="70"/>
        <v>5.2932609718692811</v>
      </c>
      <c r="N1109" s="48" t="e">
        <f t="shared" si="71"/>
        <v>#DIV/0!</v>
      </c>
    </row>
    <row r="1110" spans="1:14" x14ac:dyDescent="0.25">
      <c r="A1110" s="5">
        <v>2017</v>
      </c>
      <c r="B1110" s="4"/>
      <c r="C1110" s="4"/>
      <c r="D1110" s="4">
        <v>2710011.83</v>
      </c>
      <c r="E1110" s="4"/>
      <c r="F1110" s="4"/>
      <c r="G1110" s="4"/>
      <c r="H1110" s="4">
        <v>13620334.938999999</v>
      </c>
      <c r="I1110" s="4"/>
      <c r="K1110" s="48" t="e">
        <f t="shared" si="68"/>
        <v>#DIV/0!</v>
      </c>
      <c r="L1110" s="48" t="e">
        <f t="shared" si="69"/>
        <v>#DIV/0!</v>
      </c>
      <c r="M1110" s="48">
        <f t="shared" si="70"/>
        <v>5.0259319122603232</v>
      </c>
      <c r="N1110" s="48" t="e">
        <f t="shared" si="71"/>
        <v>#DIV/0!</v>
      </c>
    </row>
    <row r="1111" spans="1:14" x14ac:dyDescent="0.25">
      <c r="A1111" s="5">
        <v>2018</v>
      </c>
      <c r="B1111" s="4"/>
      <c r="C1111" s="4"/>
      <c r="D1111" s="4">
        <v>2716003.2</v>
      </c>
      <c r="E1111" s="4"/>
      <c r="F1111" s="4"/>
      <c r="G1111" s="4"/>
      <c r="H1111" s="4">
        <v>12624133.280999999</v>
      </c>
      <c r="I1111" s="4"/>
      <c r="K1111" s="48" t="e">
        <f t="shared" si="68"/>
        <v>#DIV/0!</v>
      </c>
      <c r="L1111" s="48" t="e">
        <f t="shared" si="69"/>
        <v>#DIV/0!</v>
      </c>
      <c r="M1111" s="48">
        <f t="shared" si="70"/>
        <v>4.6480553782116303</v>
      </c>
      <c r="N1111" s="48" t="e">
        <f t="shared" si="71"/>
        <v>#DIV/0!</v>
      </c>
    </row>
    <row r="1112" spans="1:14" x14ac:dyDescent="0.25">
      <c r="A1112" s="5">
        <v>2019</v>
      </c>
      <c r="B1112" s="4"/>
      <c r="C1112" s="4"/>
      <c r="D1112" s="4">
        <v>2929073.7</v>
      </c>
      <c r="E1112" s="4"/>
      <c r="F1112" s="4"/>
      <c r="G1112" s="4"/>
      <c r="H1112" s="4">
        <v>12090987.771</v>
      </c>
      <c r="I1112" s="4"/>
      <c r="K1112" s="48" t="e">
        <f t="shared" si="68"/>
        <v>#DIV/0!</v>
      </c>
      <c r="L1112" s="48" t="e">
        <f t="shared" si="69"/>
        <v>#DIV/0!</v>
      </c>
      <c r="M1112" s="48">
        <f t="shared" si="70"/>
        <v>4.1279220017577565</v>
      </c>
      <c r="N1112" s="48" t="e">
        <f t="shared" si="71"/>
        <v>#DIV/0!</v>
      </c>
    </row>
    <row r="1113" spans="1:14" x14ac:dyDescent="0.25">
      <c r="A1113" s="5">
        <v>2020</v>
      </c>
      <c r="B1113" s="4"/>
      <c r="C1113" s="4"/>
      <c r="D1113" s="4">
        <v>2508287</v>
      </c>
      <c r="E1113" s="4"/>
      <c r="F1113" s="4"/>
      <c r="G1113" s="4"/>
      <c r="H1113" s="4">
        <v>10821201.819</v>
      </c>
      <c r="I1113" s="4"/>
      <c r="K1113" s="48" t="e">
        <f t="shared" si="68"/>
        <v>#DIV/0!</v>
      </c>
      <c r="L1113" s="48" t="e">
        <f t="shared" si="69"/>
        <v>#DIV/0!</v>
      </c>
      <c r="M1113" s="48">
        <f t="shared" si="70"/>
        <v>4.3141800834593491</v>
      </c>
      <c r="N1113" s="48" t="e">
        <f t="shared" si="71"/>
        <v>#DIV/0!</v>
      </c>
    </row>
    <row r="1114" spans="1:14" x14ac:dyDescent="0.25">
      <c r="A1114" s="5">
        <v>2021</v>
      </c>
      <c r="B1114" s="4"/>
      <c r="C1114" s="4"/>
      <c r="D1114" s="4">
        <v>2086906.66</v>
      </c>
      <c r="E1114" s="4"/>
      <c r="F1114" s="4"/>
      <c r="G1114" s="4"/>
      <c r="H1114" s="4">
        <v>9685615.3800000008</v>
      </c>
      <c r="I1114" s="4"/>
      <c r="K1114" s="48" t="e">
        <f t="shared" si="68"/>
        <v>#DIV/0!</v>
      </c>
      <c r="L1114" s="48" t="e">
        <f t="shared" si="69"/>
        <v>#DIV/0!</v>
      </c>
      <c r="M1114" s="48">
        <f t="shared" si="70"/>
        <v>4.6411349226323333</v>
      </c>
      <c r="N1114" s="48" t="e">
        <f t="shared" si="71"/>
        <v>#DIV/0!</v>
      </c>
    </row>
    <row r="1115" spans="1:14" x14ac:dyDescent="0.25">
      <c r="A1115" s="5">
        <v>2022</v>
      </c>
      <c r="B1115" s="4"/>
      <c r="C1115" s="4"/>
      <c r="D1115" s="4">
        <v>2940137.29</v>
      </c>
      <c r="E1115" s="4"/>
      <c r="F1115" s="4"/>
      <c r="G1115" s="4"/>
      <c r="H1115" s="4">
        <v>14746544.596999999</v>
      </c>
      <c r="I1115" s="4"/>
      <c r="K1115" s="48" t="e">
        <f t="shared" si="68"/>
        <v>#DIV/0!</v>
      </c>
      <c r="L1115" s="48" t="e">
        <f t="shared" si="69"/>
        <v>#DIV/0!</v>
      </c>
      <c r="M1115" s="48">
        <f t="shared" si="70"/>
        <v>5.0155972808330995</v>
      </c>
      <c r="N1115" s="48" t="e">
        <f t="shared" si="71"/>
        <v>#DIV/0!</v>
      </c>
    </row>
    <row r="1116" spans="1:14" x14ac:dyDescent="0.25">
      <c r="A1116" s="5">
        <v>2023</v>
      </c>
      <c r="B1116" s="4"/>
      <c r="C1116" s="4"/>
      <c r="D1116" s="4">
        <v>1853779.439</v>
      </c>
      <c r="E1116" s="4"/>
      <c r="F1116" s="4"/>
      <c r="G1116" s="4"/>
      <c r="H1116" s="4">
        <v>10448555.262</v>
      </c>
      <c r="I1116" s="4"/>
      <c r="K1116" s="48" t="e">
        <f t="shared" si="68"/>
        <v>#DIV/0!</v>
      </c>
      <c r="L1116" s="48" t="e">
        <f t="shared" si="69"/>
        <v>#DIV/0!</v>
      </c>
      <c r="M1116" s="48">
        <f t="shared" si="70"/>
        <v>5.6363529782358324</v>
      </c>
      <c r="N1116" s="48" t="e">
        <f t="shared" si="71"/>
        <v>#DIV/0!</v>
      </c>
    </row>
    <row r="1117" spans="1:14" x14ac:dyDescent="0.25">
      <c r="A1117" s="3" t="s">
        <v>45</v>
      </c>
      <c r="B1117" s="4">
        <v>137937147.97600001</v>
      </c>
      <c r="C1117" s="4">
        <v>1998674379.1630003</v>
      </c>
      <c r="D1117" s="4">
        <v>23353185.671</v>
      </c>
      <c r="E1117" s="4">
        <v>26706267.261999998</v>
      </c>
      <c r="F1117" s="4">
        <v>1817370251</v>
      </c>
      <c r="G1117" s="4">
        <v>5241100206</v>
      </c>
      <c r="H1117" s="4">
        <v>115434358</v>
      </c>
      <c r="I1117" s="4">
        <v>169211897</v>
      </c>
      <c r="K1117" s="48">
        <f t="shared" si="68"/>
        <v>13.175350350988904</v>
      </c>
      <c r="L1117" s="48">
        <f t="shared" si="69"/>
        <v>2.6222881829279538</v>
      </c>
      <c r="M1117" s="48">
        <f t="shared" si="70"/>
        <v>4.9429812114818432</v>
      </c>
      <c r="N1117" s="48">
        <f t="shared" si="71"/>
        <v>6.3360369811309951</v>
      </c>
    </row>
    <row r="1118" spans="1:14" x14ac:dyDescent="0.25">
      <c r="A1118" s="5">
        <v>2015</v>
      </c>
      <c r="B1118" s="4">
        <v>14441475</v>
      </c>
      <c r="C1118" s="4">
        <v>215971379.80000001</v>
      </c>
      <c r="D1118" s="4">
        <v>1692444.7520000001</v>
      </c>
      <c r="E1118" s="4">
        <v>1853406.5</v>
      </c>
      <c r="F1118" s="4">
        <v>127413378</v>
      </c>
      <c r="G1118" s="4">
        <v>448401485</v>
      </c>
      <c r="H1118" s="4">
        <v>8702001</v>
      </c>
      <c r="I1118" s="4">
        <v>12852247</v>
      </c>
      <c r="K1118" s="48">
        <f t="shared" si="68"/>
        <v>8.8227399209568276</v>
      </c>
      <c r="L1118" s="48">
        <f t="shared" si="69"/>
        <v>2.076207900395143</v>
      </c>
      <c r="M1118" s="48">
        <f t="shared" si="70"/>
        <v>5.1416750766703903</v>
      </c>
      <c r="N1118" s="48">
        <f t="shared" si="71"/>
        <v>6.9343918886655462</v>
      </c>
    </row>
    <row r="1119" spans="1:14" x14ac:dyDescent="0.25">
      <c r="A1119" s="5">
        <v>2016</v>
      </c>
      <c r="B1119" s="4">
        <v>12860352.220000001</v>
      </c>
      <c r="C1119" s="4">
        <v>217253041.75</v>
      </c>
      <c r="D1119" s="4">
        <v>1374745.4650000001</v>
      </c>
      <c r="E1119" s="4">
        <v>1996059.18</v>
      </c>
      <c r="F1119" s="4">
        <v>134796534</v>
      </c>
      <c r="G1119" s="4">
        <v>530452203</v>
      </c>
      <c r="H1119" s="4">
        <v>7525849</v>
      </c>
      <c r="I1119" s="4">
        <v>11866163</v>
      </c>
      <c r="K1119" s="48">
        <f t="shared" si="68"/>
        <v>10.48155849031637</v>
      </c>
      <c r="L1119" s="48">
        <f t="shared" si="69"/>
        <v>2.4416330318192196</v>
      </c>
      <c r="M1119" s="48">
        <f t="shared" si="70"/>
        <v>5.474358120541245</v>
      </c>
      <c r="N1119" s="48">
        <f t="shared" si="71"/>
        <v>5.9447951838782656</v>
      </c>
    </row>
    <row r="1120" spans="1:14" x14ac:dyDescent="0.25">
      <c r="A1120" s="5">
        <v>2017</v>
      </c>
      <c r="B1120" s="4">
        <v>16627830.73</v>
      </c>
      <c r="C1120" s="4">
        <v>186126369.30000001</v>
      </c>
      <c r="D1120" s="4">
        <v>1065483.77</v>
      </c>
      <c r="E1120" s="4">
        <v>1888188.1</v>
      </c>
      <c r="F1120" s="4">
        <v>181212507</v>
      </c>
      <c r="G1120" s="4">
        <v>578813697</v>
      </c>
      <c r="H1120" s="4">
        <v>6334230</v>
      </c>
      <c r="I1120" s="4">
        <v>11435347</v>
      </c>
      <c r="K1120" s="48">
        <f t="shared" si="68"/>
        <v>10.898144799673457</v>
      </c>
      <c r="L1120" s="48">
        <f t="shared" si="69"/>
        <v>3.1097887912220719</v>
      </c>
      <c r="M1120" s="48">
        <f t="shared" si="70"/>
        <v>5.9449333517299845</v>
      </c>
      <c r="N1120" s="48">
        <f t="shared" si="71"/>
        <v>6.0562541412055291</v>
      </c>
    </row>
    <row r="1121" spans="1:14" x14ac:dyDescent="0.25">
      <c r="A1121" s="5">
        <v>2018</v>
      </c>
      <c r="B1121" s="4">
        <v>17002884.77</v>
      </c>
      <c r="C1121" s="4">
        <v>208880897.88999999</v>
      </c>
      <c r="D1121" s="4">
        <v>1364297.35</v>
      </c>
      <c r="E1121" s="4">
        <v>2232058.66</v>
      </c>
      <c r="F1121" s="4">
        <v>201979512</v>
      </c>
      <c r="G1121" s="4">
        <v>567755169</v>
      </c>
      <c r="H1121" s="4">
        <v>6793957</v>
      </c>
      <c r="I1121" s="4">
        <v>13313399</v>
      </c>
      <c r="K1121" s="48">
        <f t="shared" si="68"/>
        <v>11.87913196685153</v>
      </c>
      <c r="L1121" s="48">
        <f t="shared" si="69"/>
        <v>2.7180808524625788</v>
      </c>
      <c r="M1121" s="48">
        <f t="shared" si="70"/>
        <v>4.9798212977544809</v>
      </c>
      <c r="N1121" s="48">
        <f t="shared" si="71"/>
        <v>5.9646277396670211</v>
      </c>
    </row>
    <row r="1122" spans="1:14" x14ac:dyDescent="0.25">
      <c r="A1122" s="5">
        <v>2019</v>
      </c>
      <c r="B1122" s="4">
        <v>12923785.470000001</v>
      </c>
      <c r="C1122" s="4">
        <v>230304315.12</v>
      </c>
      <c r="D1122" s="4">
        <v>1366014.82</v>
      </c>
      <c r="E1122" s="4">
        <v>2558622.92</v>
      </c>
      <c r="F1122" s="4">
        <v>178316075</v>
      </c>
      <c r="G1122" s="4">
        <v>517276604</v>
      </c>
      <c r="H1122" s="4">
        <v>5867083</v>
      </c>
      <c r="I1122" s="4">
        <v>15061230</v>
      </c>
      <c r="K1122" s="48">
        <f t="shared" si="68"/>
        <v>13.79751121789551</v>
      </c>
      <c r="L1122" s="48">
        <f t="shared" si="69"/>
        <v>2.2460569344107735</v>
      </c>
      <c r="M1122" s="48">
        <f t="shared" si="70"/>
        <v>4.2950361255963534</v>
      </c>
      <c r="N1122" s="48">
        <f t="shared" si="71"/>
        <v>5.8864594240404911</v>
      </c>
    </row>
    <row r="1123" spans="1:14" x14ac:dyDescent="0.25">
      <c r="A1123" s="5">
        <v>2020</v>
      </c>
      <c r="B1123" s="4">
        <v>12412329.1</v>
      </c>
      <c r="C1123" s="4">
        <v>206580139.62599999</v>
      </c>
      <c r="D1123" s="4">
        <v>1326730.628</v>
      </c>
      <c r="E1123" s="4">
        <v>3057763.95</v>
      </c>
      <c r="F1123" s="4">
        <v>166256064</v>
      </c>
      <c r="G1123" s="4">
        <v>475291067</v>
      </c>
      <c r="H1123" s="4">
        <v>6518461</v>
      </c>
      <c r="I1123" s="4">
        <v>17965204</v>
      </c>
      <c r="K1123" s="48">
        <f t="shared" si="68"/>
        <v>13.394429253410628</v>
      </c>
      <c r="L1123" s="48">
        <f t="shared" si="69"/>
        <v>2.3007587653899537</v>
      </c>
      <c r="M1123" s="48">
        <f t="shared" si="70"/>
        <v>4.9131759397356731</v>
      </c>
      <c r="N1123" s="48">
        <f t="shared" si="71"/>
        <v>5.8752749701297251</v>
      </c>
    </row>
    <row r="1124" spans="1:14" x14ac:dyDescent="0.25">
      <c r="A1124" s="5">
        <v>2021</v>
      </c>
      <c r="B1124" s="4">
        <v>13264604.92</v>
      </c>
      <c r="C1124" s="4">
        <v>167337281.23500001</v>
      </c>
      <c r="D1124" s="4">
        <v>1450333.828</v>
      </c>
      <c r="E1124" s="4">
        <v>3612704.5419999999</v>
      </c>
      <c r="F1124" s="4">
        <v>181507165</v>
      </c>
      <c r="G1124" s="4">
        <v>517799580</v>
      </c>
      <c r="H1124" s="4">
        <v>7482973</v>
      </c>
      <c r="I1124" s="4">
        <v>21323591</v>
      </c>
      <c r="K1124" s="48">
        <f t="shared" si="68"/>
        <v>13.683571134962985</v>
      </c>
      <c r="L1124" s="48">
        <f t="shared" si="69"/>
        <v>3.0943467957557433</v>
      </c>
      <c r="M1124" s="48">
        <f t="shared" si="70"/>
        <v>5.1594831862392443</v>
      </c>
      <c r="N1124" s="48">
        <f t="shared" si="71"/>
        <v>5.9023899552536392</v>
      </c>
    </row>
    <row r="1125" spans="1:14" x14ac:dyDescent="0.25">
      <c r="A1125" s="5">
        <v>2022</v>
      </c>
      <c r="B1125" s="4">
        <v>15227120.567</v>
      </c>
      <c r="C1125" s="4">
        <v>164860072.03</v>
      </c>
      <c r="D1125" s="4">
        <v>1983560.2749999999</v>
      </c>
      <c r="E1125" s="4">
        <v>3048818.4139999999</v>
      </c>
      <c r="F1125" s="4">
        <v>244806359</v>
      </c>
      <c r="G1125" s="4">
        <v>544906966</v>
      </c>
      <c r="H1125" s="4">
        <v>9907134</v>
      </c>
      <c r="I1125" s="4">
        <v>19988836</v>
      </c>
      <c r="K1125" s="48">
        <f t="shared" si="68"/>
        <v>16.076996167649771</v>
      </c>
      <c r="L1125" s="48">
        <f t="shared" si="69"/>
        <v>3.3052694887870842</v>
      </c>
      <c r="M1125" s="48">
        <f t="shared" si="70"/>
        <v>4.9946221069586612</v>
      </c>
      <c r="N1125" s="48">
        <f t="shared" si="71"/>
        <v>6.5562566495309813</v>
      </c>
    </row>
    <row r="1126" spans="1:14" x14ac:dyDescent="0.25">
      <c r="A1126" s="5">
        <v>2023</v>
      </c>
      <c r="B1126" s="4">
        <v>12627552.779999999</v>
      </c>
      <c r="C1126" s="4">
        <v>175909038.40000001</v>
      </c>
      <c r="D1126" s="4">
        <v>4898372.5889999997</v>
      </c>
      <c r="E1126" s="4">
        <v>3233872.4559999998</v>
      </c>
      <c r="F1126" s="4">
        <v>273040468</v>
      </c>
      <c r="G1126" s="4">
        <v>517083689</v>
      </c>
      <c r="H1126" s="4">
        <v>24116044</v>
      </c>
      <c r="I1126" s="4">
        <v>22929505</v>
      </c>
      <c r="K1126" s="48">
        <f t="shared" si="68"/>
        <v>21.622595664969378</v>
      </c>
      <c r="L1126" s="48">
        <f t="shared" si="69"/>
        <v>2.9394947167194565</v>
      </c>
      <c r="M1126" s="48">
        <f t="shared" si="70"/>
        <v>4.9232767744446484</v>
      </c>
      <c r="N1126" s="48">
        <f t="shared" si="71"/>
        <v>7.0904172356759148</v>
      </c>
    </row>
    <row r="1127" spans="1:14" x14ac:dyDescent="0.25">
      <c r="A1127" s="5">
        <v>2024</v>
      </c>
      <c r="B1127" s="4">
        <v>10549212.419</v>
      </c>
      <c r="C1127" s="4">
        <v>225451844.01199999</v>
      </c>
      <c r="D1127" s="4">
        <v>6831202.1940000001</v>
      </c>
      <c r="E1127" s="4">
        <v>3224772.54</v>
      </c>
      <c r="F1127" s="4">
        <v>128042189</v>
      </c>
      <c r="G1127" s="4">
        <v>543319746</v>
      </c>
      <c r="H1127" s="4">
        <v>32186626</v>
      </c>
      <c r="I1127" s="4">
        <v>22476375</v>
      </c>
      <c r="K1127" s="48">
        <f t="shared" si="68"/>
        <v>12.137606478506914</v>
      </c>
      <c r="L1127" s="48">
        <f t="shared" si="69"/>
        <v>2.409914846254622</v>
      </c>
      <c r="M1127" s="48">
        <f t="shared" si="70"/>
        <v>4.711707410486289</v>
      </c>
      <c r="N1127" s="48">
        <f t="shared" si="71"/>
        <v>6.9699101940380572</v>
      </c>
    </row>
    <row r="1128" spans="1:14" x14ac:dyDescent="0.25">
      <c r="A1128" s="3" t="s">
        <v>107</v>
      </c>
      <c r="B1128" s="4"/>
      <c r="C1128" s="4"/>
      <c r="D1128" s="4">
        <v>93357687.646999985</v>
      </c>
      <c r="E1128" s="4"/>
      <c r="F1128" s="4"/>
      <c r="G1128" s="4"/>
      <c r="H1128" s="4">
        <v>475392848.07000005</v>
      </c>
      <c r="I1128" s="4"/>
      <c r="K1128" s="48" t="e">
        <f t="shared" si="68"/>
        <v>#DIV/0!</v>
      </c>
      <c r="L1128" s="48" t="e">
        <f t="shared" si="69"/>
        <v>#DIV/0!</v>
      </c>
      <c r="M1128" s="48">
        <f t="shared" si="70"/>
        <v>5.0921660556496935</v>
      </c>
      <c r="N1128" s="48" t="e">
        <f t="shared" si="71"/>
        <v>#DIV/0!</v>
      </c>
    </row>
    <row r="1129" spans="1:14" x14ac:dyDescent="0.25">
      <c r="A1129" s="5">
        <v>2000</v>
      </c>
      <c r="B1129" s="4"/>
      <c r="C1129" s="4"/>
      <c r="D1129" s="4">
        <v>736935</v>
      </c>
      <c r="E1129" s="4"/>
      <c r="F1129" s="4"/>
      <c r="G1129" s="4"/>
      <c r="H1129" s="4">
        <v>937187.5</v>
      </c>
      <c r="I1129" s="4"/>
      <c r="K1129" s="48" t="e">
        <f t="shared" si="68"/>
        <v>#DIV/0!</v>
      </c>
      <c r="L1129" s="48" t="e">
        <f t="shared" si="69"/>
        <v>#DIV/0!</v>
      </c>
      <c r="M1129" s="48">
        <f t="shared" si="70"/>
        <v>1.2717369917292569</v>
      </c>
      <c r="N1129" s="48" t="e">
        <f t="shared" si="71"/>
        <v>#DIV/0!</v>
      </c>
    </row>
    <row r="1130" spans="1:14" x14ac:dyDescent="0.25">
      <c r="A1130" s="5">
        <v>2001</v>
      </c>
      <c r="B1130" s="4"/>
      <c r="C1130" s="4"/>
      <c r="D1130" s="4">
        <v>1325728.3799999999</v>
      </c>
      <c r="E1130" s="4"/>
      <c r="F1130" s="4"/>
      <c r="G1130" s="4"/>
      <c r="H1130" s="4">
        <v>1279314.96</v>
      </c>
      <c r="I1130" s="4"/>
      <c r="K1130" s="48" t="e">
        <f t="shared" si="68"/>
        <v>#DIV/0!</v>
      </c>
      <c r="L1130" s="48" t="e">
        <f t="shared" si="69"/>
        <v>#DIV/0!</v>
      </c>
      <c r="M1130" s="48">
        <f t="shared" si="70"/>
        <v>0.96499024936012912</v>
      </c>
      <c r="N1130" s="48" t="e">
        <f t="shared" si="71"/>
        <v>#DIV/0!</v>
      </c>
    </row>
    <row r="1131" spans="1:14" x14ac:dyDescent="0.25">
      <c r="A1131" s="5">
        <v>2003</v>
      </c>
      <c r="B1131" s="4"/>
      <c r="C1131" s="4"/>
      <c r="D1131" s="4">
        <v>1548307.16</v>
      </c>
      <c r="E1131" s="4"/>
      <c r="F1131" s="4"/>
      <c r="G1131" s="4"/>
      <c r="H1131" s="4">
        <v>2420019.2400000002</v>
      </c>
      <c r="I1131" s="4"/>
      <c r="K1131" s="48" t="e">
        <f t="shared" si="68"/>
        <v>#DIV/0!</v>
      </c>
      <c r="L1131" s="48" t="e">
        <f t="shared" si="69"/>
        <v>#DIV/0!</v>
      </c>
      <c r="M1131" s="48">
        <f t="shared" si="70"/>
        <v>1.5630097841826167</v>
      </c>
      <c r="N1131" s="48" t="e">
        <f t="shared" si="71"/>
        <v>#DIV/0!</v>
      </c>
    </row>
    <row r="1132" spans="1:14" x14ac:dyDescent="0.25">
      <c r="A1132" s="5">
        <v>2004</v>
      </c>
      <c r="B1132" s="4"/>
      <c r="C1132" s="4"/>
      <c r="D1132" s="4">
        <v>1665384.17</v>
      </c>
      <c r="E1132" s="4"/>
      <c r="F1132" s="4"/>
      <c r="G1132" s="4"/>
      <c r="H1132" s="4">
        <v>2963137.78</v>
      </c>
      <c r="I1132" s="4"/>
      <c r="K1132" s="48" t="e">
        <f t="shared" si="68"/>
        <v>#DIV/0!</v>
      </c>
      <c r="L1132" s="48" t="e">
        <f t="shared" si="69"/>
        <v>#DIV/0!</v>
      </c>
      <c r="M1132" s="48">
        <f t="shared" si="70"/>
        <v>1.7792517987005965</v>
      </c>
      <c r="N1132" s="48" t="e">
        <f t="shared" si="71"/>
        <v>#DIV/0!</v>
      </c>
    </row>
    <row r="1133" spans="1:14" x14ac:dyDescent="0.25">
      <c r="A1133" s="5">
        <v>2005</v>
      </c>
      <c r="B1133" s="4"/>
      <c r="C1133" s="4"/>
      <c r="D1133" s="4">
        <v>2358102</v>
      </c>
      <c r="E1133" s="4"/>
      <c r="F1133" s="4"/>
      <c r="G1133" s="4"/>
      <c r="H1133" s="4">
        <v>4618585.6399999997</v>
      </c>
      <c r="I1133" s="4"/>
      <c r="K1133" s="48" t="e">
        <f t="shared" si="68"/>
        <v>#DIV/0!</v>
      </c>
      <c r="L1133" s="48" t="e">
        <f t="shared" si="69"/>
        <v>#DIV/0!</v>
      </c>
      <c r="M1133" s="48">
        <f t="shared" si="70"/>
        <v>1.9586029951206521</v>
      </c>
      <c r="N1133" s="48" t="e">
        <f t="shared" si="71"/>
        <v>#DIV/0!</v>
      </c>
    </row>
    <row r="1134" spans="1:14" x14ac:dyDescent="0.25">
      <c r="A1134" s="5">
        <v>2006</v>
      </c>
      <c r="B1134" s="4"/>
      <c r="C1134" s="4"/>
      <c r="D1134" s="4">
        <v>3617869.03</v>
      </c>
      <c r="E1134" s="4"/>
      <c r="F1134" s="4"/>
      <c r="G1134" s="4"/>
      <c r="H1134" s="4">
        <v>8235709.6299999999</v>
      </c>
      <c r="I1134" s="4"/>
      <c r="K1134" s="48" t="e">
        <f t="shared" si="68"/>
        <v>#DIV/0!</v>
      </c>
      <c r="L1134" s="48" t="e">
        <f t="shared" si="69"/>
        <v>#DIV/0!</v>
      </c>
      <c r="M1134" s="48">
        <f t="shared" si="70"/>
        <v>2.2763979463347241</v>
      </c>
      <c r="N1134" s="48" t="e">
        <f t="shared" si="71"/>
        <v>#DIV/0!</v>
      </c>
    </row>
    <row r="1135" spans="1:14" x14ac:dyDescent="0.25">
      <c r="A1135" s="5">
        <v>2007</v>
      </c>
      <c r="B1135" s="4"/>
      <c r="C1135" s="4"/>
      <c r="D1135" s="4">
        <v>2266076.2000000002</v>
      </c>
      <c r="E1135" s="4"/>
      <c r="F1135" s="4"/>
      <c r="G1135" s="4"/>
      <c r="H1135" s="4">
        <v>6206445</v>
      </c>
      <c r="I1135" s="4"/>
      <c r="K1135" s="48" t="e">
        <f t="shared" si="68"/>
        <v>#DIV/0!</v>
      </c>
      <c r="L1135" s="48" t="e">
        <f t="shared" si="69"/>
        <v>#DIV/0!</v>
      </c>
      <c r="M1135" s="48">
        <f t="shared" si="70"/>
        <v>2.7388509706778614</v>
      </c>
      <c r="N1135" s="48" t="e">
        <f t="shared" si="71"/>
        <v>#DIV/0!</v>
      </c>
    </row>
    <row r="1136" spans="1:14" x14ac:dyDescent="0.25">
      <c r="A1136" s="5">
        <v>2008</v>
      </c>
      <c r="B1136" s="4"/>
      <c r="C1136" s="4"/>
      <c r="D1136" s="4">
        <v>2846168.2</v>
      </c>
      <c r="E1136" s="4"/>
      <c r="F1136" s="4"/>
      <c r="G1136" s="4"/>
      <c r="H1136" s="4">
        <v>11504849.67</v>
      </c>
      <c r="I1136" s="4"/>
      <c r="K1136" s="48" t="e">
        <f t="shared" si="68"/>
        <v>#DIV/0!</v>
      </c>
      <c r="L1136" s="48" t="e">
        <f t="shared" si="69"/>
        <v>#DIV/0!</v>
      </c>
      <c r="M1136" s="48">
        <f t="shared" si="70"/>
        <v>4.0422240927293052</v>
      </c>
      <c r="N1136" s="48" t="e">
        <f t="shared" si="71"/>
        <v>#DIV/0!</v>
      </c>
    </row>
    <row r="1137" spans="1:14" x14ac:dyDescent="0.25">
      <c r="A1137" s="5">
        <v>2009</v>
      </c>
      <c r="B1137" s="4"/>
      <c r="C1137" s="4"/>
      <c r="D1137" s="4">
        <v>1993168.5</v>
      </c>
      <c r="E1137" s="4"/>
      <c r="F1137" s="4"/>
      <c r="G1137" s="4"/>
      <c r="H1137" s="4">
        <v>9143631.3900000006</v>
      </c>
      <c r="I1137" s="4"/>
      <c r="K1137" s="48" t="e">
        <f t="shared" si="68"/>
        <v>#DIV/0!</v>
      </c>
      <c r="L1137" s="48" t="e">
        <f t="shared" si="69"/>
        <v>#DIV/0!</v>
      </c>
      <c r="M1137" s="48">
        <f t="shared" si="70"/>
        <v>4.5874853982490693</v>
      </c>
      <c r="N1137" s="48" t="e">
        <f t="shared" si="71"/>
        <v>#DIV/0!</v>
      </c>
    </row>
    <row r="1138" spans="1:14" x14ac:dyDescent="0.25">
      <c r="A1138" s="5">
        <v>2010</v>
      </c>
      <c r="B1138" s="4"/>
      <c r="C1138" s="4"/>
      <c r="D1138" s="4">
        <v>1854429.1170000001</v>
      </c>
      <c r="E1138" s="4"/>
      <c r="F1138" s="4"/>
      <c r="G1138" s="4"/>
      <c r="H1138" s="4">
        <v>6920873.8159999996</v>
      </c>
      <c r="I1138" s="4"/>
      <c r="K1138" s="48" t="e">
        <f t="shared" si="68"/>
        <v>#DIV/0!</v>
      </c>
      <c r="L1138" s="48" t="e">
        <f t="shared" si="69"/>
        <v>#DIV/0!</v>
      </c>
      <c r="M1138" s="48">
        <f t="shared" si="70"/>
        <v>3.7320778413985609</v>
      </c>
      <c r="N1138" s="48" t="e">
        <f t="shared" si="71"/>
        <v>#DIV/0!</v>
      </c>
    </row>
    <row r="1139" spans="1:14" x14ac:dyDescent="0.25">
      <c r="A1139" s="5">
        <v>2011</v>
      </c>
      <c r="B1139" s="4"/>
      <c r="C1139" s="4"/>
      <c r="D1139" s="4">
        <v>2597996.16</v>
      </c>
      <c r="E1139" s="4"/>
      <c r="F1139" s="4"/>
      <c r="G1139" s="4"/>
      <c r="H1139" s="4">
        <v>10244534.16</v>
      </c>
      <c r="I1139" s="4"/>
      <c r="K1139" s="48" t="e">
        <f t="shared" si="68"/>
        <v>#DIV/0!</v>
      </c>
      <c r="L1139" s="48" t="e">
        <f t="shared" si="69"/>
        <v>#DIV/0!</v>
      </c>
      <c r="M1139" s="48">
        <f t="shared" si="70"/>
        <v>3.9432445350496592</v>
      </c>
      <c r="N1139" s="48" t="e">
        <f t="shared" si="71"/>
        <v>#DIV/0!</v>
      </c>
    </row>
    <row r="1140" spans="1:14" x14ac:dyDescent="0.25">
      <c r="A1140" s="5">
        <v>2012</v>
      </c>
      <c r="B1140" s="4"/>
      <c r="C1140" s="4"/>
      <c r="D1140" s="4">
        <v>3032877.46</v>
      </c>
      <c r="E1140" s="4"/>
      <c r="F1140" s="4"/>
      <c r="G1140" s="4"/>
      <c r="H1140" s="4">
        <v>14463050.220000001</v>
      </c>
      <c r="I1140" s="4"/>
      <c r="K1140" s="48" t="e">
        <f t="shared" si="68"/>
        <v>#DIV/0!</v>
      </c>
      <c r="L1140" s="48" t="e">
        <f t="shared" si="69"/>
        <v>#DIV/0!</v>
      </c>
      <c r="M1140" s="48">
        <f t="shared" si="70"/>
        <v>4.768755220331256</v>
      </c>
      <c r="N1140" s="48" t="e">
        <f t="shared" si="71"/>
        <v>#DIV/0!</v>
      </c>
    </row>
    <row r="1141" spans="1:14" x14ac:dyDescent="0.25">
      <c r="A1141" s="5">
        <v>2013</v>
      </c>
      <c r="B1141" s="4"/>
      <c r="C1141" s="4"/>
      <c r="D1141" s="4">
        <v>2897203.98</v>
      </c>
      <c r="E1141" s="4"/>
      <c r="F1141" s="4"/>
      <c r="G1141" s="4"/>
      <c r="H1141" s="4">
        <v>17099683.138</v>
      </c>
      <c r="I1141" s="4"/>
      <c r="K1141" s="48" t="e">
        <f t="shared" si="68"/>
        <v>#DIV/0!</v>
      </c>
      <c r="L1141" s="48" t="e">
        <f t="shared" si="69"/>
        <v>#DIV/0!</v>
      </c>
      <c r="M1141" s="48">
        <f t="shared" si="70"/>
        <v>5.9021329723563341</v>
      </c>
      <c r="N1141" s="48" t="e">
        <f t="shared" si="71"/>
        <v>#DIV/0!</v>
      </c>
    </row>
    <row r="1142" spans="1:14" x14ac:dyDescent="0.25">
      <c r="A1142" s="5">
        <v>2014</v>
      </c>
      <c r="B1142" s="4"/>
      <c r="C1142" s="4"/>
      <c r="D1142" s="4">
        <v>3167612</v>
      </c>
      <c r="E1142" s="4"/>
      <c r="F1142" s="4"/>
      <c r="G1142" s="4"/>
      <c r="H1142" s="4">
        <v>16979268.120000001</v>
      </c>
      <c r="I1142" s="4"/>
      <c r="K1142" s="48" t="e">
        <f t="shared" si="68"/>
        <v>#DIV/0!</v>
      </c>
      <c r="L1142" s="48" t="e">
        <f t="shared" si="69"/>
        <v>#DIV/0!</v>
      </c>
      <c r="M1142" s="48">
        <f t="shared" si="70"/>
        <v>5.3602739603208986</v>
      </c>
      <c r="N1142" s="48" t="e">
        <f t="shared" si="71"/>
        <v>#DIV/0!</v>
      </c>
    </row>
    <row r="1143" spans="1:14" x14ac:dyDescent="0.25">
      <c r="A1143" s="5">
        <v>2015</v>
      </c>
      <c r="B1143" s="4"/>
      <c r="C1143" s="4"/>
      <c r="D1143" s="4">
        <v>2696366.38</v>
      </c>
      <c r="E1143" s="4"/>
      <c r="F1143" s="4"/>
      <c r="G1143" s="4"/>
      <c r="H1143" s="4">
        <v>16834825.532000002</v>
      </c>
      <c r="I1143" s="4"/>
      <c r="K1143" s="48" t="e">
        <f t="shared" si="68"/>
        <v>#DIV/0!</v>
      </c>
      <c r="L1143" s="48" t="e">
        <f t="shared" si="69"/>
        <v>#DIV/0!</v>
      </c>
      <c r="M1143" s="48">
        <f t="shared" si="70"/>
        <v>6.2435230081751731</v>
      </c>
      <c r="N1143" s="48" t="e">
        <f t="shared" si="71"/>
        <v>#DIV/0!</v>
      </c>
    </row>
    <row r="1144" spans="1:14" x14ac:dyDescent="0.25">
      <c r="A1144" s="5">
        <v>2016</v>
      </c>
      <c r="B1144" s="4"/>
      <c r="C1144" s="4"/>
      <c r="D1144" s="4">
        <v>3475196</v>
      </c>
      <c r="E1144" s="4"/>
      <c r="F1144" s="4"/>
      <c r="G1144" s="4"/>
      <c r="H1144" s="4">
        <v>20340296.763999999</v>
      </c>
      <c r="I1144" s="4"/>
      <c r="K1144" s="48" t="e">
        <f t="shared" si="68"/>
        <v>#DIV/0!</v>
      </c>
      <c r="L1144" s="48" t="e">
        <f t="shared" si="69"/>
        <v>#DIV/0!</v>
      </c>
      <c r="M1144" s="48">
        <f t="shared" si="70"/>
        <v>5.8529926841536417</v>
      </c>
      <c r="N1144" s="48" t="e">
        <f t="shared" si="71"/>
        <v>#DIV/0!</v>
      </c>
    </row>
    <row r="1145" spans="1:14" x14ac:dyDescent="0.25">
      <c r="A1145" s="5">
        <v>2017</v>
      </c>
      <c r="B1145" s="4"/>
      <c r="C1145" s="4"/>
      <c r="D1145" s="4">
        <v>5070771.8</v>
      </c>
      <c r="E1145" s="4"/>
      <c r="F1145" s="4"/>
      <c r="G1145" s="4"/>
      <c r="H1145" s="4">
        <v>28505103.16</v>
      </c>
      <c r="I1145" s="4"/>
      <c r="K1145" s="48" t="e">
        <f t="shared" si="68"/>
        <v>#DIV/0!</v>
      </c>
      <c r="L1145" s="48" t="e">
        <f t="shared" si="69"/>
        <v>#DIV/0!</v>
      </c>
      <c r="M1145" s="48">
        <f t="shared" si="70"/>
        <v>5.6214525686208168</v>
      </c>
      <c r="N1145" s="48" t="e">
        <f t="shared" si="71"/>
        <v>#DIV/0!</v>
      </c>
    </row>
    <row r="1146" spans="1:14" x14ac:dyDescent="0.25">
      <c r="A1146" s="5">
        <v>2018</v>
      </c>
      <c r="B1146" s="4"/>
      <c r="C1146" s="4"/>
      <c r="D1146" s="4">
        <v>5171543.0710000005</v>
      </c>
      <c r="E1146" s="4"/>
      <c r="F1146" s="4"/>
      <c r="G1146" s="4"/>
      <c r="H1146" s="4">
        <v>31168792.59</v>
      </c>
      <c r="I1146" s="4"/>
      <c r="K1146" s="48" t="e">
        <f t="shared" si="68"/>
        <v>#DIV/0!</v>
      </c>
      <c r="L1146" s="48" t="e">
        <f t="shared" si="69"/>
        <v>#DIV/0!</v>
      </c>
      <c r="M1146" s="48">
        <f t="shared" si="70"/>
        <v>6.0269811470356789</v>
      </c>
      <c r="N1146" s="48" t="e">
        <f t="shared" si="71"/>
        <v>#DIV/0!</v>
      </c>
    </row>
    <row r="1147" spans="1:14" x14ac:dyDescent="0.25">
      <c r="A1147" s="5">
        <v>2019</v>
      </c>
      <c r="B1147" s="4"/>
      <c r="C1147" s="4"/>
      <c r="D1147" s="4">
        <v>5458543.7300000004</v>
      </c>
      <c r="E1147" s="4"/>
      <c r="F1147" s="4"/>
      <c r="G1147" s="4"/>
      <c r="H1147" s="4">
        <v>30563187.530000001</v>
      </c>
      <c r="I1147" s="4"/>
      <c r="K1147" s="48" t="e">
        <f t="shared" si="68"/>
        <v>#DIV/0!</v>
      </c>
      <c r="L1147" s="48" t="e">
        <f t="shared" si="69"/>
        <v>#DIV/0!</v>
      </c>
      <c r="M1147" s="48">
        <f t="shared" si="70"/>
        <v>5.5991467764608345</v>
      </c>
      <c r="N1147" s="48" t="e">
        <f t="shared" si="71"/>
        <v>#DIV/0!</v>
      </c>
    </row>
    <row r="1148" spans="1:14" x14ac:dyDescent="0.25">
      <c r="A1148" s="5">
        <v>2020</v>
      </c>
      <c r="B1148" s="4"/>
      <c r="C1148" s="4"/>
      <c r="D1148" s="4">
        <v>6498196.4000000004</v>
      </c>
      <c r="E1148" s="4"/>
      <c r="F1148" s="4"/>
      <c r="G1148" s="4"/>
      <c r="H1148" s="4">
        <v>35482113.219999999</v>
      </c>
      <c r="I1148" s="4"/>
      <c r="K1148" s="48" t="e">
        <f t="shared" si="68"/>
        <v>#DIV/0!</v>
      </c>
      <c r="L1148" s="48" t="e">
        <f t="shared" si="69"/>
        <v>#DIV/0!</v>
      </c>
      <c r="M1148" s="48">
        <f t="shared" si="70"/>
        <v>5.4603017569613623</v>
      </c>
      <c r="N1148" s="48" t="e">
        <f t="shared" si="71"/>
        <v>#DIV/0!</v>
      </c>
    </row>
    <row r="1149" spans="1:14" x14ac:dyDescent="0.25">
      <c r="A1149" s="5">
        <v>2021</v>
      </c>
      <c r="B1149" s="4"/>
      <c r="C1149" s="4"/>
      <c r="D1149" s="4">
        <v>6883109.8600000003</v>
      </c>
      <c r="E1149" s="4"/>
      <c r="F1149" s="4"/>
      <c r="G1149" s="4"/>
      <c r="H1149" s="4">
        <v>39180462</v>
      </c>
      <c r="I1149" s="4"/>
      <c r="K1149" s="48" t="e">
        <f t="shared" si="68"/>
        <v>#DIV/0!</v>
      </c>
      <c r="L1149" s="48" t="e">
        <f t="shared" si="69"/>
        <v>#DIV/0!</v>
      </c>
      <c r="M1149" s="48">
        <f t="shared" si="70"/>
        <v>5.6922616080400612</v>
      </c>
      <c r="N1149" s="48" t="e">
        <f t="shared" si="71"/>
        <v>#DIV/0!</v>
      </c>
    </row>
    <row r="1150" spans="1:14" x14ac:dyDescent="0.25">
      <c r="A1150" s="5">
        <v>2022</v>
      </c>
      <c r="B1150" s="4"/>
      <c r="C1150" s="4"/>
      <c r="D1150" s="4">
        <v>6765722.2999999998</v>
      </c>
      <c r="E1150" s="4"/>
      <c r="F1150" s="4"/>
      <c r="G1150" s="4"/>
      <c r="H1150" s="4">
        <v>36510467.159999996</v>
      </c>
      <c r="I1150" s="4"/>
      <c r="K1150" s="48" t="e">
        <f t="shared" si="68"/>
        <v>#DIV/0!</v>
      </c>
      <c r="L1150" s="48" t="e">
        <f t="shared" si="69"/>
        <v>#DIV/0!</v>
      </c>
      <c r="M1150" s="48">
        <f t="shared" si="70"/>
        <v>5.3963886693960221</v>
      </c>
      <c r="N1150" s="48" t="e">
        <f t="shared" si="71"/>
        <v>#DIV/0!</v>
      </c>
    </row>
    <row r="1151" spans="1:14" x14ac:dyDescent="0.25">
      <c r="A1151" s="5">
        <v>2023</v>
      </c>
      <c r="B1151" s="4"/>
      <c r="C1151" s="4"/>
      <c r="D1151" s="4">
        <v>6459730.5769999996</v>
      </c>
      <c r="E1151" s="4"/>
      <c r="F1151" s="4"/>
      <c r="G1151" s="4"/>
      <c r="H1151" s="4">
        <v>41363148.520000003</v>
      </c>
      <c r="I1151" s="4"/>
      <c r="K1151" s="48" t="e">
        <f t="shared" si="68"/>
        <v>#DIV/0!</v>
      </c>
      <c r="L1151" s="48" t="e">
        <f t="shared" si="69"/>
        <v>#DIV/0!</v>
      </c>
      <c r="M1151" s="48">
        <f t="shared" si="70"/>
        <v>6.4032312225643473</v>
      </c>
      <c r="N1151" s="48" t="e">
        <f t="shared" si="71"/>
        <v>#DIV/0!</v>
      </c>
    </row>
    <row r="1152" spans="1:14" x14ac:dyDescent="0.25">
      <c r="A1152" s="5">
        <v>2024</v>
      </c>
      <c r="B1152" s="4"/>
      <c r="C1152" s="4"/>
      <c r="D1152" s="4">
        <v>7520040.7019999996</v>
      </c>
      <c r="E1152" s="4"/>
      <c r="F1152" s="4"/>
      <c r="G1152" s="4"/>
      <c r="H1152" s="4">
        <v>46420998.590000004</v>
      </c>
      <c r="I1152" s="4"/>
      <c r="K1152" s="48" t="e">
        <f t="shared" si="68"/>
        <v>#DIV/0!</v>
      </c>
      <c r="L1152" s="48" t="e">
        <f t="shared" si="69"/>
        <v>#DIV/0!</v>
      </c>
      <c r="M1152" s="48">
        <f t="shared" si="70"/>
        <v>6.1729717204395005</v>
      </c>
      <c r="N1152" s="48" t="e">
        <f t="shared" si="71"/>
        <v>#DIV/0!</v>
      </c>
    </row>
    <row r="1153" spans="1:14" x14ac:dyDescent="0.25">
      <c r="A1153" s="5">
        <v>2025</v>
      </c>
      <c r="B1153" s="4"/>
      <c r="C1153" s="4"/>
      <c r="D1153" s="4">
        <v>5450609.4699999997</v>
      </c>
      <c r="E1153" s="4"/>
      <c r="F1153" s="4"/>
      <c r="G1153" s="4"/>
      <c r="H1153" s="4">
        <v>36007162.740000002</v>
      </c>
      <c r="I1153" s="4"/>
      <c r="K1153" s="48" t="e">
        <f t="shared" si="68"/>
        <v>#DIV/0!</v>
      </c>
      <c r="L1153" s="48" t="e">
        <f t="shared" si="69"/>
        <v>#DIV/0!</v>
      </c>
      <c r="M1153" s="48">
        <f t="shared" si="70"/>
        <v>6.6060800976812608</v>
      </c>
      <c r="N1153" s="48" t="e">
        <f t="shared" si="71"/>
        <v>#DIV/0!</v>
      </c>
    </row>
    <row r="1154" spans="1:14" x14ac:dyDescent="0.25">
      <c r="A1154" s="3" t="s">
        <v>86</v>
      </c>
      <c r="B1154" s="4">
        <v>25900047.479999997</v>
      </c>
      <c r="C1154" s="4"/>
      <c r="D1154" s="4">
        <v>52412664.884000003</v>
      </c>
      <c r="E1154" s="4"/>
      <c r="F1154" s="4">
        <v>164952965.94</v>
      </c>
      <c r="G1154" s="4"/>
      <c r="H1154" s="4">
        <v>172435237.38999999</v>
      </c>
      <c r="I1154" s="4"/>
      <c r="K1154" s="48">
        <f t="shared" si="68"/>
        <v>6.3688287084174879</v>
      </c>
      <c r="L1154" s="48" t="e">
        <f t="shared" si="69"/>
        <v>#DIV/0!</v>
      </c>
      <c r="M1154" s="48">
        <f t="shared" si="70"/>
        <v>3.2899536356648644</v>
      </c>
      <c r="N1154" s="48" t="e">
        <f t="shared" si="71"/>
        <v>#DIV/0!</v>
      </c>
    </row>
    <row r="1155" spans="1:14" x14ac:dyDescent="0.25">
      <c r="A1155" s="5">
        <v>2013</v>
      </c>
      <c r="B1155" s="4">
        <v>1837857</v>
      </c>
      <c r="C1155" s="4"/>
      <c r="D1155" s="4">
        <v>5452743</v>
      </c>
      <c r="E1155" s="4"/>
      <c r="F1155" s="4">
        <v>14775782</v>
      </c>
      <c r="G1155" s="4"/>
      <c r="H1155" s="4">
        <v>20942979</v>
      </c>
      <c r="I1155" s="4"/>
      <c r="K1155" s="48">
        <f t="shared" si="68"/>
        <v>8.0396799098079992</v>
      </c>
      <c r="L1155" s="48" t="e">
        <f t="shared" si="69"/>
        <v>#DIV/0!</v>
      </c>
      <c r="M1155" s="48">
        <f t="shared" si="70"/>
        <v>3.8408153474315587</v>
      </c>
      <c r="N1155" s="48" t="e">
        <f t="shared" si="71"/>
        <v>#DIV/0!</v>
      </c>
    </row>
    <row r="1156" spans="1:14" x14ac:dyDescent="0.25">
      <c r="A1156" s="5">
        <v>2014</v>
      </c>
      <c r="B1156" s="4"/>
      <c r="C1156" s="4"/>
      <c r="D1156" s="4">
        <v>6766753</v>
      </c>
      <c r="E1156" s="4"/>
      <c r="F1156" s="4"/>
      <c r="G1156" s="4"/>
      <c r="H1156" s="4">
        <v>23304263</v>
      </c>
      <c r="I1156" s="4"/>
      <c r="K1156" s="48" t="e">
        <f t="shared" si="68"/>
        <v>#DIV/0!</v>
      </c>
      <c r="L1156" s="48" t="e">
        <f t="shared" si="69"/>
        <v>#DIV/0!</v>
      </c>
      <c r="M1156" s="48">
        <f t="shared" si="70"/>
        <v>3.4439358138238534</v>
      </c>
      <c r="N1156" s="48" t="e">
        <f t="shared" si="71"/>
        <v>#DIV/0!</v>
      </c>
    </row>
    <row r="1157" spans="1:14" x14ac:dyDescent="0.25">
      <c r="A1157" s="5">
        <v>2015</v>
      </c>
      <c r="B1157" s="4">
        <v>1954218</v>
      </c>
      <c r="C1157" s="4"/>
      <c r="D1157" s="4">
        <v>5378541</v>
      </c>
      <c r="E1157" s="4"/>
      <c r="F1157" s="4">
        <v>11956498</v>
      </c>
      <c r="G1157" s="4"/>
      <c r="H1157" s="4">
        <v>14873886</v>
      </c>
      <c r="I1157" s="4"/>
      <c r="K1157" s="48">
        <f t="shared" si="68"/>
        <v>6.1183030757059855</v>
      </c>
      <c r="L1157" s="48" t="e">
        <f t="shared" si="69"/>
        <v>#DIV/0!</v>
      </c>
      <c r="M1157" s="48">
        <f t="shared" si="70"/>
        <v>2.765412776438815</v>
      </c>
      <c r="N1157" s="48" t="e">
        <f t="shared" si="71"/>
        <v>#DIV/0!</v>
      </c>
    </row>
    <row r="1158" spans="1:14" x14ac:dyDescent="0.25">
      <c r="A1158" s="5">
        <v>2016</v>
      </c>
      <c r="B1158" s="4"/>
      <c r="C1158" s="4"/>
      <c r="D1158" s="4">
        <v>5840992.7599999998</v>
      </c>
      <c r="E1158" s="4"/>
      <c r="F1158" s="4"/>
      <c r="G1158" s="4"/>
      <c r="H1158" s="4">
        <v>15666142.57</v>
      </c>
      <c r="I1158" s="4"/>
      <c r="K1158" s="48" t="e">
        <f t="shared" si="68"/>
        <v>#DIV/0!</v>
      </c>
      <c r="L1158" s="48" t="e">
        <f t="shared" si="69"/>
        <v>#DIV/0!</v>
      </c>
      <c r="M1158" s="48">
        <f t="shared" si="70"/>
        <v>2.6821027201547158</v>
      </c>
      <c r="N1158" s="48" t="e">
        <f t="shared" si="71"/>
        <v>#DIV/0!</v>
      </c>
    </row>
    <row r="1159" spans="1:14" x14ac:dyDescent="0.25">
      <c r="A1159" s="5">
        <v>2017</v>
      </c>
      <c r="B1159" s="4">
        <v>2680641.19</v>
      </c>
      <c r="C1159" s="4"/>
      <c r="D1159" s="4">
        <v>4185858.28</v>
      </c>
      <c r="E1159" s="4"/>
      <c r="F1159" s="4">
        <v>14087555.26</v>
      </c>
      <c r="G1159" s="4"/>
      <c r="H1159" s="4">
        <v>13672031.539999999</v>
      </c>
      <c r="I1159" s="4"/>
      <c r="K1159" s="48">
        <f t="shared" ref="K1159:K1222" si="72">F1159/B1159</f>
        <v>5.2552931412652057</v>
      </c>
      <c r="L1159" s="48" t="e">
        <f t="shared" ref="L1159:L1222" si="73">G1159/C1159</f>
        <v>#DIV/0!</v>
      </c>
      <c r="M1159" s="48">
        <f t="shared" ref="M1159:M1222" si="74">H1159/D1159</f>
        <v>3.2662432947921016</v>
      </c>
      <c r="N1159" s="48" t="e">
        <f t="shared" ref="N1159:N1222" si="75">I1159/E1159</f>
        <v>#DIV/0!</v>
      </c>
    </row>
    <row r="1160" spans="1:14" x14ac:dyDescent="0.25">
      <c r="A1160" s="5">
        <v>2018</v>
      </c>
      <c r="B1160" s="4">
        <v>3464304.86</v>
      </c>
      <c r="C1160" s="4"/>
      <c r="D1160" s="4">
        <v>4663052.6900000004</v>
      </c>
      <c r="E1160" s="4"/>
      <c r="F1160" s="4">
        <v>23123630.789999999</v>
      </c>
      <c r="G1160" s="4"/>
      <c r="H1160" s="4">
        <v>16493369.560000001</v>
      </c>
      <c r="I1160" s="4"/>
      <c r="K1160" s="48">
        <f t="shared" si="72"/>
        <v>6.6748256070050367</v>
      </c>
      <c r="L1160" s="48" t="e">
        <f t="shared" si="73"/>
        <v>#DIV/0!</v>
      </c>
      <c r="M1160" s="48">
        <f t="shared" si="74"/>
        <v>3.5370326385910942</v>
      </c>
      <c r="N1160" s="48" t="e">
        <f t="shared" si="75"/>
        <v>#DIV/0!</v>
      </c>
    </row>
    <row r="1161" spans="1:14" x14ac:dyDescent="0.25">
      <c r="A1161" s="5">
        <v>2019</v>
      </c>
      <c r="B1161" s="4">
        <v>6110446.3899999997</v>
      </c>
      <c r="C1161" s="4"/>
      <c r="D1161" s="4">
        <v>7054197.04</v>
      </c>
      <c r="E1161" s="4"/>
      <c r="F1161" s="4">
        <v>40442416.329999998</v>
      </c>
      <c r="G1161" s="4"/>
      <c r="H1161" s="4">
        <v>23448150.199999999</v>
      </c>
      <c r="I1161" s="4"/>
      <c r="K1161" s="48">
        <f t="shared" si="72"/>
        <v>6.6185698636004231</v>
      </c>
      <c r="L1161" s="48" t="e">
        <f t="shared" si="73"/>
        <v>#DIV/0!</v>
      </c>
      <c r="M1161" s="48">
        <f t="shared" si="74"/>
        <v>3.3239998921266309</v>
      </c>
      <c r="N1161" s="48" t="e">
        <f t="shared" si="75"/>
        <v>#DIV/0!</v>
      </c>
    </row>
    <row r="1162" spans="1:14" x14ac:dyDescent="0.25">
      <c r="A1162" s="5">
        <v>2020</v>
      </c>
      <c r="B1162" s="4">
        <v>3879046.53</v>
      </c>
      <c r="C1162" s="4"/>
      <c r="D1162" s="4">
        <v>6715987.9840000002</v>
      </c>
      <c r="E1162" s="4"/>
      <c r="F1162" s="4">
        <v>21904667.280000001</v>
      </c>
      <c r="G1162" s="4"/>
      <c r="H1162" s="4">
        <v>22007718.82</v>
      </c>
      <c r="I1162" s="4"/>
      <c r="K1162" s="48">
        <f t="shared" si="72"/>
        <v>5.6469204766151648</v>
      </c>
      <c r="L1162" s="48" t="e">
        <f t="shared" si="73"/>
        <v>#DIV/0!</v>
      </c>
      <c r="M1162" s="48">
        <f t="shared" si="74"/>
        <v>3.2769145615552966</v>
      </c>
      <c r="N1162" s="48" t="e">
        <f t="shared" si="75"/>
        <v>#DIV/0!</v>
      </c>
    </row>
    <row r="1163" spans="1:14" x14ac:dyDescent="0.25">
      <c r="A1163" s="5">
        <v>2021</v>
      </c>
      <c r="B1163" s="4">
        <v>5973533.5099999998</v>
      </c>
      <c r="C1163" s="4"/>
      <c r="D1163" s="4">
        <v>6354539.1299999999</v>
      </c>
      <c r="E1163" s="4"/>
      <c r="F1163" s="4">
        <v>38662416.280000001</v>
      </c>
      <c r="G1163" s="4"/>
      <c r="H1163" s="4">
        <v>22026696.699999999</v>
      </c>
      <c r="I1163" s="4"/>
      <c r="K1163" s="48">
        <f t="shared" si="72"/>
        <v>6.4722858280240905</v>
      </c>
      <c r="L1163" s="48" t="e">
        <f t="shared" si="73"/>
        <v>#DIV/0!</v>
      </c>
      <c r="M1163" s="48">
        <f t="shared" si="74"/>
        <v>3.4662933454939635</v>
      </c>
      <c r="N1163" s="48" t="e">
        <f t="shared" si="75"/>
        <v>#DIV/0!</v>
      </c>
    </row>
    <row r="1164" spans="1:14" x14ac:dyDescent="0.25">
      <c r="A1164" s="3" t="s">
        <v>63</v>
      </c>
      <c r="B1164" s="4"/>
      <c r="C1164" s="4">
        <v>2072357.95</v>
      </c>
      <c r="D1164" s="4"/>
      <c r="E1164" s="4"/>
      <c r="F1164" s="4"/>
      <c r="G1164" s="4">
        <v>5846626.5209999997</v>
      </c>
      <c r="H1164" s="4"/>
      <c r="I1164" s="4"/>
      <c r="K1164" s="48" t="e">
        <f t="shared" si="72"/>
        <v>#DIV/0!</v>
      </c>
      <c r="L1164" s="48">
        <f t="shared" si="73"/>
        <v>2.8212435602642874</v>
      </c>
      <c r="M1164" s="48" t="e">
        <f t="shared" si="74"/>
        <v>#DIV/0!</v>
      </c>
      <c r="N1164" s="48" t="e">
        <f t="shared" si="75"/>
        <v>#DIV/0!</v>
      </c>
    </row>
    <row r="1165" spans="1:14" x14ac:dyDescent="0.25">
      <c r="A1165" s="5">
        <v>2018</v>
      </c>
      <c r="B1165" s="4"/>
      <c r="C1165" s="4">
        <v>2072357.95</v>
      </c>
      <c r="D1165" s="4"/>
      <c r="E1165" s="4"/>
      <c r="F1165" s="4"/>
      <c r="G1165" s="4">
        <v>5846626.5209999997</v>
      </c>
      <c r="H1165" s="4"/>
      <c r="I1165" s="4"/>
      <c r="K1165" s="48" t="e">
        <f t="shared" si="72"/>
        <v>#DIV/0!</v>
      </c>
      <c r="L1165" s="48">
        <f t="shared" si="73"/>
        <v>2.8212435602642874</v>
      </c>
      <c r="M1165" s="48" t="e">
        <f t="shared" si="74"/>
        <v>#DIV/0!</v>
      </c>
      <c r="N1165" s="48" t="e">
        <f t="shared" si="75"/>
        <v>#DIV/0!</v>
      </c>
    </row>
    <row r="1166" spans="1:14" x14ac:dyDescent="0.25">
      <c r="A1166" s="3" t="s">
        <v>85</v>
      </c>
      <c r="B1166" s="4">
        <v>21512552</v>
      </c>
      <c r="C1166" s="4"/>
      <c r="D1166" s="4">
        <v>225971547</v>
      </c>
      <c r="E1166" s="4"/>
      <c r="F1166" s="4">
        <v>54059797.846999995</v>
      </c>
      <c r="G1166" s="4"/>
      <c r="H1166" s="4">
        <v>928372108.05799997</v>
      </c>
      <c r="I1166" s="4"/>
      <c r="K1166" s="48">
        <f t="shared" si="72"/>
        <v>2.5129421115170341</v>
      </c>
      <c r="L1166" s="48" t="e">
        <f t="shared" si="73"/>
        <v>#DIV/0!</v>
      </c>
      <c r="M1166" s="48">
        <f t="shared" si="74"/>
        <v>4.108358421151137</v>
      </c>
      <c r="N1166" s="48" t="e">
        <f t="shared" si="75"/>
        <v>#DIV/0!</v>
      </c>
    </row>
    <row r="1167" spans="1:14" x14ac:dyDescent="0.25">
      <c r="A1167" s="5">
        <v>2015</v>
      </c>
      <c r="B1167" s="4"/>
      <c r="C1167" s="4"/>
      <c r="D1167" s="4">
        <v>33968730</v>
      </c>
      <c r="E1167" s="4"/>
      <c r="F1167" s="4"/>
      <c r="G1167" s="4"/>
      <c r="H1167" s="4">
        <v>138681011.25600001</v>
      </c>
      <c r="I1167" s="4"/>
      <c r="K1167" s="48" t="e">
        <f t="shared" si="72"/>
        <v>#DIV/0!</v>
      </c>
      <c r="L1167" s="48" t="e">
        <f t="shared" si="73"/>
        <v>#DIV/0!</v>
      </c>
      <c r="M1167" s="48">
        <f t="shared" si="74"/>
        <v>4.0826080708934365</v>
      </c>
      <c r="N1167" s="48" t="e">
        <f t="shared" si="75"/>
        <v>#DIV/0!</v>
      </c>
    </row>
    <row r="1168" spans="1:14" x14ac:dyDescent="0.25">
      <c r="A1168" s="5">
        <v>2016</v>
      </c>
      <c r="B1168" s="4"/>
      <c r="C1168" s="4"/>
      <c r="D1168" s="4">
        <v>38961000</v>
      </c>
      <c r="E1168" s="4"/>
      <c r="F1168" s="4"/>
      <c r="G1168" s="4"/>
      <c r="H1168" s="4">
        <v>158209264.428</v>
      </c>
      <c r="I1168" s="4"/>
      <c r="K1168" s="48" t="e">
        <f t="shared" si="72"/>
        <v>#DIV/0!</v>
      </c>
      <c r="L1168" s="48" t="e">
        <f t="shared" si="73"/>
        <v>#DIV/0!</v>
      </c>
      <c r="M1168" s="48">
        <f t="shared" si="74"/>
        <v>4.0607085143605142</v>
      </c>
      <c r="N1168" s="48" t="e">
        <f t="shared" si="75"/>
        <v>#DIV/0!</v>
      </c>
    </row>
    <row r="1169" spans="1:14" x14ac:dyDescent="0.25">
      <c r="A1169" s="5">
        <v>2017</v>
      </c>
      <c r="B1169" s="4"/>
      <c r="C1169" s="4"/>
      <c r="D1169" s="4">
        <v>26804000</v>
      </c>
      <c r="E1169" s="4"/>
      <c r="F1169" s="4"/>
      <c r="G1169" s="4"/>
      <c r="H1169" s="4">
        <v>115186445.01100001</v>
      </c>
      <c r="I1169" s="4"/>
      <c r="K1169" s="48" t="e">
        <f t="shared" si="72"/>
        <v>#DIV/0!</v>
      </c>
      <c r="L1169" s="48" t="e">
        <f t="shared" si="73"/>
        <v>#DIV/0!</v>
      </c>
      <c r="M1169" s="48">
        <f t="shared" si="74"/>
        <v>4.2973602824578423</v>
      </c>
      <c r="N1169" s="48" t="e">
        <f t="shared" si="75"/>
        <v>#DIV/0!</v>
      </c>
    </row>
    <row r="1170" spans="1:14" x14ac:dyDescent="0.25">
      <c r="A1170" s="5">
        <v>2020</v>
      </c>
      <c r="B1170" s="4"/>
      <c r="C1170" s="4"/>
      <c r="D1170" s="4">
        <v>65673444</v>
      </c>
      <c r="E1170" s="4"/>
      <c r="F1170" s="4"/>
      <c r="G1170" s="4"/>
      <c r="H1170" s="4">
        <v>262697833.167</v>
      </c>
      <c r="I1170" s="4"/>
      <c r="K1170" s="48" t="e">
        <f t="shared" si="72"/>
        <v>#DIV/0!</v>
      </c>
      <c r="L1170" s="48" t="e">
        <f t="shared" si="73"/>
        <v>#DIV/0!</v>
      </c>
      <c r="M1170" s="48">
        <f t="shared" si="74"/>
        <v>4.0000617778930554</v>
      </c>
      <c r="N1170" s="48" t="e">
        <f t="shared" si="75"/>
        <v>#DIV/0!</v>
      </c>
    </row>
    <row r="1171" spans="1:14" x14ac:dyDescent="0.25">
      <c r="A1171" s="5">
        <v>2021</v>
      </c>
      <c r="B1171" s="4">
        <v>2454440</v>
      </c>
      <c r="C1171" s="4"/>
      <c r="D1171" s="4">
        <v>44284308</v>
      </c>
      <c r="E1171" s="4"/>
      <c r="F1171" s="4">
        <v>5667496.1279999996</v>
      </c>
      <c r="G1171" s="4"/>
      <c r="H1171" s="4">
        <v>184005562.067</v>
      </c>
      <c r="I1171" s="4"/>
      <c r="K1171" s="48">
        <f t="shared" si="72"/>
        <v>2.3090791088802334</v>
      </c>
      <c r="L1171" s="48" t="e">
        <f t="shared" si="73"/>
        <v>#DIV/0!</v>
      </c>
      <c r="M1171" s="48">
        <f t="shared" si="74"/>
        <v>4.155096249149925</v>
      </c>
      <c r="N1171" s="48" t="e">
        <f t="shared" si="75"/>
        <v>#DIV/0!</v>
      </c>
    </row>
    <row r="1172" spans="1:14" x14ac:dyDescent="0.25">
      <c r="A1172" s="5">
        <v>2022</v>
      </c>
      <c r="B1172" s="4">
        <v>7236203</v>
      </c>
      <c r="C1172" s="4"/>
      <c r="D1172" s="4"/>
      <c r="E1172" s="4"/>
      <c r="F1172" s="4">
        <v>20235880.820999999</v>
      </c>
      <c r="G1172" s="4"/>
      <c r="H1172" s="4"/>
      <c r="I1172" s="4"/>
      <c r="K1172" s="48">
        <f t="shared" si="72"/>
        <v>2.7964777689348956</v>
      </c>
      <c r="L1172" s="48" t="e">
        <f t="shared" si="73"/>
        <v>#DIV/0!</v>
      </c>
      <c r="M1172" s="48" t="e">
        <f t="shared" si="74"/>
        <v>#DIV/0!</v>
      </c>
      <c r="N1172" s="48" t="e">
        <f t="shared" si="75"/>
        <v>#DIV/0!</v>
      </c>
    </row>
    <row r="1173" spans="1:14" x14ac:dyDescent="0.25">
      <c r="A1173" s="5">
        <v>2023</v>
      </c>
      <c r="B1173" s="4">
        <v>4583862</v>
      </c>
      <c r="C1173" s="4"/>
      <c r="D1173" s="4"/>
      <c r="E1173" s="4"/>
      <c r="F1173" s="4">
        <v>10068922.682</v>
      </c>
      <c r="G1173" s="4"/>
      <c r="H1173" s="4"/>
      <c r="I1173" s="4"/>
      <c r="K1173" s="48">
        <f t="shared" si="72"/>
        <v>2.1966024897782699</v>
      </c>
      <c r="L1173" s="48" t="e">
        <f t="shared" si="73"/>
        <v>#DIV/0!</v>
      </c>
      <c r="M1173" s="48" t="e">
        <f t="shared" si="74"/>
        <v>#DIV/0!</v>
      </c>
      <c r="N1173" s="48" t="e">
        <f t="shared" si="75"/>
        <v>#DIV/0!</v>
      </c>
    </row>
    <row r="1174" spans="1:14" x14ac:dyDescent="0.25">
      <c r="A1174" s="5">
        <v>2024</v>
      </c>
      <c r="B1174" s="4">
        <v>5186567</v>
      </c>
      <c r="C1174" s="4"/>
      <c r="D1174" s="4"/>
      <c r="E1174" s="4"/>
      <c r="F1174" s="4">
        <v>13722313.791999999</v>
      </c>
      <c r="G1174" s="4"/>
      <c r="H1174" s="4"/>
      <c r="I1174" s="4"/>
      <c r="K1174" s="48">
        <f t="shared" si="72"/>
        <v>2.6457411601932455</v>
      </c>
      <c r="L1174" s="48" t="e">
        <f t="shared" si="73"/>
        <v>#DIV/0!</v>
      </c>
      <c r="M1174" s="48" t="e">
        <f t="shared" si="74"/>
        <v>#DIV/0!</v>
      </c>
      <c r="N1174" s="48" t="e">
        <f t="shared" si="75"/>
        <v>#DIV/0!</v>
      </c>
    </row>
    <row r="1175" spans="1:14" x14ac:dyDescent="0.25">
      <c r="A1175" s="5">
        <v>2025</v>
      </c>
      <c r="B1175" s="4">
        <v>2051480</v>
      </c>
      <c r="C1175" s="4"/>
      <c r="D1175" s="4">
        <v>16280065</v>
      </c>
      <c r="E1175" s="4"/>
      <c r="F1175" s="4">
        <v>4365184.4239999996</v>
      </c>
      <c r="G1175" s="4"/>
      <c r="H1175" s="4">
        <v>69591992.128999993</v>
      </c>
      <c r="I1175" s="4"/>
      <c r="K1175" s="48">
        <f t="shared" si="72"/>
        <v>2.1278220718700642</v>
      </c>
      <c r="L1175" s="48" t="e">
        <f t="shared" si="73"/>
        <v>#DIV/0!</v>
      </c>
      <c r="M1175" s="48">
        <f t="shared" si="74"/>
        <v>4.2746753240235833</v>
      </c>
      <c r="N1175" s="48" t="e">
        <f t="shared" si="75"/>
        <v>#DIV/0!</v>
      </c>
    </row>
    <row r="1176" spans="1:14" x14ac:dyDescent="0.25">
      <c r="A1176" s="3" t="s">
        <v>46</v>
      </c>
      <c r="B1176" s="4">
        <v>80274882</v>
      </c>
      <c r="C1176" s="4">
        <v>253273773.25999999</v>
      </c>
      <c r="D1176" s="4"/>
      <c r="E1176" s="4">
        <v>40205899</v>
      </c>
      <c r="F1176" s="4">
        <v>124946350.36600001</v>
      </c>
      <c r="G1176" s="4">
        <v>327953226.56699997</v>
      </c>
      <c r="H1176" s="4"/>
      <c r="I1176" s="4">
        <v>211381036.21600002</v>
      </c>
      <c r="K1176" s="48">
        <f t="shared" si="72"/>
        <v>1.5564812710157583</v>
      </c>
      <c r="L1176" s="48">
        <f t="shared" si="73"/>
        <v>1.2948566381183781</v>
      </c>
      <c r="M1176" s="48" t="e">
        <f t="shared" si="74"/>
        <v>#DIV/0!</v>
      </c>
      <c r="N1176" s="48">
        <f t="shared" si="75"/>
        <v>5.2574632447840557</v>
      </c>
    </row>
    <row r="1177" spans="1:14" x14ac:dyDescent="0.25">
      <c r="A1177" s="5">
        <v>2010</v>
      </c>
      <c r="B1177" s="4">
        <v>5524528</v>
      </c>
      <c r="C1177" s="4">
        <v>8890663</v>
      </c>
      <c r="D1177" s="4"/>
      <c r="E1177" s="4"/>
      <c r="F1177" s="4">
        <v>4373454.7450000001</v>
      </c>
      <c r="G1177" s="4">
        <v>12039186.563999999</v>
      </c>
      <c r="H1177" s="4"/>
      <c r="I1177" s="4"/>
      <c r="K1177" s="48">
        <f t="shared" si="72"/>
        <v>0.79164314942380598</v>
      </c>
      <c r="L1177" s="48">
        <f t="shared" si="73"/>
        <v>1.3541382193881377</v>
      </c>
      <c r="M1177" s="48" t="e">
        <f t="shared" si="74"/>
        <v>#DIV/0!</v>
      </c>
      <c r="N1177" s="48" t="e">
        <f t="shared" si="75"/>
        <v>#DIV/0!</v>
      </c>
    </row>
    <row r="1178" spans="1:14" x14ac:dyDescent="0.25">
      <c r="A1178" s="5">
        <v>2011</v>
      </c>
      <c r="B1178" s="4">
        <v>13071135</v>
      </c>
      <c r="C1178" s="4">
        <v>13807616</v>
      </c>
      <c r="D1178" s="4"/>
      <c r="E1178" s="4"/>
      <c r="F1178" s="4">
        <v>15676804.232000001</v>
      </c>
      <c r="G1178" s="4">
        <v>19179579.833000001</v>
      </c>
      <c r="H1178" s="4"/>
      <c r="I1178" s="4"/>
      <c r="K1178" s="48">
        <f t="shared" si="72"/>
        <v>1.1993452926620374</v>
      </c>
      <c r="L1178" s="48">
        <f t="shared" si="73"/>
        <v>1.3890580265992334</v>
      </c>
      <c r="M1178" s="48" t="e">
        <f t="shared" si="74"/>
        <v>#DIV/0!</v>
      </c>
      <c r="N1178" s="48" t="e">
        <f t="shared" si="75"/>
        <v>#DIV/0!</v>
      </c>
    </row>
    <row r="1179" spans="1:14" x14ac:dyDescent="0.25">
      <c r="A1179" s="5">
        <v>2012</v>
      </c>
      <c r="B1179" s="4">
        <v>7480530</v>
      </c>
      <c r="C1179" s="4">
        <v>6501727</v>
      </c>
      <c r="D1179" s="4"/>
      <c r="E1179" s="4"/>
      <c r="F1179" s="4">
        <v>13126044.720000001</v>
      </c>
      <c r="G1179" s="4">
        <v>9485475.0879999995</v>
      </c>
      <c r="H1179" s="4"/>
      <c r="I1179" s="4"/>
      <c r="K1179" s="48">
        <f t="shared" si="72"/>
        <v>1.7546944828775501</v>
      </c>
      <c r="L1179" s="48">
        <f t="shared" si="73"/>
        <v>1.4589162368706037</v>
      </c>
      <c r="M1179" s="48" t="e">
        <f t="shared" si="74"/>
        <v>#DIV/0!</v>
      </c>
      <c r="N1179" s="48" t="e">
        <f t="shared" si="75"/>
        <v>#DIV/0!</v>
      </c>
    </row>
    <row r="1180" spans="1:14" x14ac:dyDescent="0.25">
      <c r="A1180" s="5">
        <v>2013</v>
      </c>
      <c r="B1180" s="4">
        <v>7021836</v>
      </c>
      <c r="C1180" s="4">
        <v>26799396</v>
      </c>
      <c r="D1180" s="4"/>
      <c r="E1180" s="4">
        <v>2436010</v>
      </c>
      <c r="F1180" s="4">
        <v>14166036.106000001</v>
      </c>
      <c r="G1180" s="4">
        <v>26127218.456</v>
      </c>
      <c r="H1180" s="4"/>
      <c r="I1180" s="4">
        <v>10659377.538000001</v>
      </c>
      <c r="K1180" s="48">
        <f t="shared" si="72"/>
        <v>2.0174262267019625</v>
      </c>
      <c r="L1180" s="48">
        <f t="shared" si="73"/>
        <v>0.97491818308143963</v>
      </c>
      <c r="M1180" s="48" t="e">
        <f t="shared" si="74"/>
        <v>#DIV/0!</v>
      </c>
      <c r="N1180" s="48">
        <f t="shared" si="75"/>
        <v>4.3757527834450602</v>
      </c>
    </row>
    <row r="1181" spans="1:14" x14ac:dyDescent="0.25">
      <c r="A1181" s="5">
        <v>2014</v>
      </c>
      <c r="B1181" s="4">
        <v>7041583</v>
      </c>
      <c r="C1181" s="4">
        <v>5080646</v>
      </c>
      <c r="D1181" s="4"/>
      <c r="E1181" s="4">
        <v>2992006</v>
      </c>
      <c r="F1181" s="4">
        <v>11628129.852</v>
      </c>
      <c r="G1181" s="4">
        <v>6075378.2429999998</v>
      </c>
      <c r="H1181" s="4"/>
      <c r="I1181" s="4">
        <v>13474742.83</v>
      </c>
      <c r="K1181" s="48">
        <f t="shared" si="72"/>
        <v>1.6513516707819818</v>
      </c>
      <c r="L1181" s="48">
        <f t="shared" si="73"/>
        <v>1.1957885361428449</v>
      </c>
      <c r="M1181" s="48" t="e">
        <f t="shared" si="74"/>
        <v>#DIV/0!</v>
      </c>
      <c r="N1181" s="48">
        <f t="shared" si="75"/>
        <v>4.5035814868018313</v>
      </c>
    </row>
    <row r="1182" spans="1:14" x14ac:dyDescent="0.25">
      <c r="A1182" s="5">
        <v>2015</v>
      </c>
      <c r="B1182" s="4">
        <v>5974169</v>
      </c>
      <c r="C1182" s="4">
        <v>6770029</v>
      </c>
      <c r="D1182" s="4"/>
      <c r="E1182" s="4">
        <v>3401379</v>
      </c>
      <c r="F1182" s="4">
        <v>6959718.0820000004</v>
      </c>
      <c r="G1182" s="4">
        <v>7746930.9460000005</v>
      </c>
      <c r="H1182" s="4"/>
      <c r="I1182" s="4">
        <v>11238653.567</v>
      </c>
      <c r="K1182" s="48">
        <f t="shared" si="72"/>
        <v>1.1649683967761877</v>
      </c>
      <c r="L1182" s="48">
        <f t="shared" si="73"/>
        <v>1.1442980445135464</v>
      </c>
      <c r="M1182" s="48" t="e">
        <f t="shared" si="74"/>
        <v>#DIV/0!</v>
      </c>
      <c r="N1182" s="48">
        <f t="shared" si="75"/>
        <v>3.3041462204006082</v>
      </c>
    </row>
    <row r="1183" spans="1:14" x14ac:dyDescent="0.25">
      <c r="A1183" s="5">
        <v>2016</v>
      </c>
      <c r="B1183" s="4">
        <v>6953302</v>
      </c>
      <c r="C1183" s="4">
        <v>21973090</v>
      </c>
      <c r="D1183" s="4"/>
      <c r="E1183" s="4"/>
      <c r="F1183" s="4">
        <v>10112777.655999999</v>
      </c>
      <c r="G1183" s="4">
        <v>28623256.811999999</v>
      </c>
      <c r="H1183" s="4"/>
      <c r="I1183" s="4"/>
      <c r="K1183" s="48">
        <f t="shared" si="72"/>
        <v>1.4543849319359348</v>
      </c>
      <c r="L1183" s="48">
        <f t="shared" si="73"/>
        <v>1.3026505062328511</v>
      </c>
      <c r="M1183" s="48" t="e">
        <f t="shared" si="74"/>
        <v>#DIV/0!</v>
      </c>
      <c r="N1183" s="48" t="e">
        <f t="shared" si="75"/>
        <v>#DIV/0!</v>
      </c>
    </row>
    <row r="1184" spans="1:14" x14ac:dyDescent="0.25">
      <c r="A1184" s="5">
        <v>2017</v>
      </c>
      <c r="B1184" s="4">
        <v>10253805</v>
      </c>
      <c r="C1184" s="4">
        <v>29946430</v>
      </c>
      <c r="D1184" s="4"/>
      <c r="E1184" s="4">
        <v>1814282</v>
      </c>
      <c r="F1184" s="4">
        <v>18660705.249000002</v>
      </c>
      <c r="G1184" s="4">
        <v>45369342.744999997</v>
      </c>
      <c r="H1184" s="4"/>
      <c r="I1184" s="4">
        <v>10552021.193</v>
      </c>
      <c r="K1184" s="48">
        <f t="shared" si="72"/>
        <v>1.8198810343087275</v>
      </c>
      <c r="L1184" s="48">
        <f t="shared" si="73"/>
        <v>1.5150167397249019</v>
      </c>
      <c r="M1184" s="48" t="e">
        <f t="shared" si="74"/>
        <v>#DIV/0!</v>
      </c>
      <c r="N1184" s="48">
        <f t="shared" si="75"/>
        <v>5.8160865802559911</v>
      </c>
    </row>
    <row r="1185" spans="1:14" x14ac:dyDescent="0.25">
      <c r="A1185" s="5">
        <v>2018</v>
      </c>
      <c r="B1185" s="4">
        <v>11310159</v>
      </c>
      <c r="C1185" s="4">
        <v>40697674</v>
      </c>
      <c r="D1185" s="4"/>
      <c r="E1185" s="4">
        <v>3285760</v>
      </c>
      <c r="F1185" s="4">
        <v>21650248.576000001</v>
      </c>
      <c r="G1185" s="4">
        <v>60637151.542000003</v>
      </c>
      <c r="H1185" s="4"/>
      <c r="I1185" s="4">
        <v>20949425.651000001</v>
      </c>
      <c r="K1185" s="48">
        <f t="shared" si="72"/>
        <v>1.9142302575940799</v>
      </c>
      <c r="L1185" s="48">
        <f t="shared" si="73"/>
        <v>1.489941453214255</v>
      </c>
      <c r="M1185" s="48" t="e">
        <f t="shared" si="74"/>
        <v>#DIV/0!</v>
      </c>
      <c r="N1185" s="48">
        <f t="shared" si="75"/>
        <v>6.3758234475433389</v>
      </c>
    </row>
    <row r="1186" spans="1:14" x14ac:dyDescent="0.25">
      <c r="A1186" s="5">
        <v>2019</v>
      </c>
      <c r="B1186" s="4">
        <v>3638831</v>
      </c>
      <c r="C1186" s="4">
        <v>36815554</v>
      </c>
      <c r="D1186" s="4"/>
      <c r="E1186" s="4">
        <v>11462311</v>
      </c>
      <c r="F1186" s="4">
        <v>5976301.0049999999</v>
      </c>
      <c r="G1186" s="4">
        <v>44900657.140000001</v>
      </c>
      <c r="H1186" s="4"/>
      <c r="I1186" s="4">
        <v>67996572.969999999</v>
      </c>
      <c r="K1186" s="48">
        <f t="shared" si="72"/>
        <v>1.642368388364285</v>
      </c>
      <c r="L1186" s="48">
        <f t="shared" si="73"/>
        <v>1.2196110681914498</v>
      </c>
      <c r="M1186" s="48" t="e">
        <f t="shared" si="74"/>
        <v>#DIV/0!</v>
      </c>
      <c r="N1186" s="48">
        <f t="shared" si="75"/>
        <v>5.9321870580897693</v>
      </c>
    </row>
    <row r="1187" spans="1:14" x14ac:dyDescent="0.25">
      <c r="A1187" s="5">
        <v>2020</v>
      </c>
      <c r="B1187" s="4"/>
      <c r="C1187" s="4">
        <v>36530197.259999998</v>
      </c>
      <c r="D1187" s="4"/>
      <c r="E1187" s="4">
        <v>10133081</v>
      </c>
      <c r="F1187" s="4"/>
      <c r="G1187" s="4">
        <v>40482798.825999998</v>
      </c>
      <c r="H1187" s="4"/>
      <c r="I1187" s="4">
        <v>51027203.306000002</v>
      </c>
      <c r="K1187" s="48" t="e">
        <f t="shared" si="72"/>
        <v>#DIV/0!</v>
      </c>
      <c r="L1187" s="48">
        <f t="shared" si="73"/>
        <v>1.1082009368268053</v>
      </c>
      <c r="M1187" s="48" t="e">
        <f t="shared" si="74"/>
        <v>#DIV/0!</v>
      </c>
      <c r="N1187" s="48">
        <f t="shared" si="75"/>
        <v>5.035704669290614</v>
      </c>
    </row>
    <row r="1188" spans="1:14" x14ac:dyDescent="0.25">
      <c r="A1188" s="5">
        <v>2022</v>
      </c>
      <c r="B1188" s="4">
        <v>2005004</v>
      </c>
      <c r="C1188" s="4">
        <v>19460751</v>
      </c>
      <c r="D1188" s="4"/>
      <c r="E1188" s="4">
        <v>4681070</v>
      </c>
      <c r="F1188" s="4">
        <v>2616130.1430000002</v>
      </c>
      <c r="G1188" s="4">
        <v>27286250.372000001</v>
      </c>
      <c r="H1188" s="4"/>
      <c r="I1188" s="4">
        <v>25483039.160999998</v>
      </c>
      <c r="K1188" s="48">
        <f t="shared" si="72"/>
        <v>1.3048004607472106</v>
      </c>
      <c r="L1188" s="48">
        <f t="shared" si="73"/>
        <v>1.4021170288854732</v>
      </c>
      <c r="M1188" s="48" t="e">
        <f t="shared" si="74"/>
        <v>#DIV/0!</v>
      </c>
      <c r="N1188" s="48">
        <f t="shared" si="75"/>
        <v>5.4438491970852816</v>
      </c>
    </row>
    <row r="1189" spans="1:14" x14ac:dyDescent="0.25">
      <c r="A1189" s="3" t="s">
        <v>106</v>
      </c>
      <c r="B1189" s="4"/>
      <c r="C1189" s="4"/>
      <c r="D1189" s="4">
        <v>81587573</v>
      </c>
      <c r="E1189" s="4"/>
      <c r="F1189" s="4"/>
      <c r="G1189" s="4"/>
      <c r="H1189" s="4">
        <v>258675541</v>
      </c>
      <c r="I1189" s="4"/>
      <c r="K1189" s="48" t="e">
        <f t="shared" si="72"/>
        <v>#DIV/0!</v>
      </c>
      <c r="L1189" s="48" t="e">
        <f t="shared" si="73"/>
        <v>#DIV/0!</v>
      </c>
      <c r="M1189" s="48">
        <f t="shared" si="74"/>
        <v>3.1705262393330416</v>
      </c>
      <c r="N1189" s="48" t="e">
        <f t="shared" si="75"/>
        <v>#DIV/0!</v>
      </c>
    </row>
    <row r="1190" spans="1:14" x14ac:dyDescent="0.25">
      <c r="A1190" s="5">
        <v>2010</v>
      </c>
      <c r="B1190" s="4"/>
      <c r="C1190" s="4"/>
      <c r="D1190" s="4">
        <v>5449921</v>
      </c>
      <c r="E1190" s="4"/>
      <c r="F1190" s="4"/>
      <c r="G1190" s="4"/>
      <c r="H1190" s="4">
        <v>16328634</v>
      </c>
      <c r="I1190" s="4"/>
      <c r="K1190" s="48" t="e">
        <f t="shared" si="72"/>
        <v>#DIV/0!</v>
      </c>
      <c r="L1190" s="48" t="e">
        <f t="shared" si="73"/>
        <v>#DIV/0!</v>
      </c>
      <c r="M1190" s="48">
        <f t="shared" si="74"/>
        <v>2.9961230630682536</v>
      </c>
      <c r="N1190" s="48" t="e">
        <f t="shared" si="75"/>
        <v>#DIV/0!</v>
      </c>
    </row>
    <row r="1191" spans="1:14" x14ac:dyDescent="0.25">
      <c r="A1191" s="5">
        <v>2011</v>
      </c>
      <c r="B1191" s="4"/>
      <c r="C1191" s="4"/>
      <c r="D1191" s="4">
        <v>5560901</v>
      </c>
      <c r="E1191" s="4"/>
      <c r="F1191" s="4"/>
      <c r="G1191" s="4"/>
      <c r="H1191" s="4">
        <v>20586068</v>
      </c>
      <c r="I1191" s="4"/>
      <c r="K1191" s="48" t="e">
        <f t="shared" si="72"/>
        <v>#DIV/0!</v>
      </c>
      <c r="L1191" s="48" t="e">
        <f t="shared" si="73"/>
        <v>#DIV/0!</v>
      </c>
      <c r="M1191" s="48">
        <f t="shared" si="74"/>
        <v>3.7019303166878892</v>
      </c>
      <c r="N1191" s="48" t="e">
        <f t="shared" si="75"/>
        <v>#DIV/0!</v>
      </c>
    </row>
    <row r="1192" spans="1:14" x14ac:dyDescent="0.25">
      <c r="A1192" s="5">
        <v>2012</v>
      </c>
      <c r="B1192" s="4"/>
      <c r="C1192" s="4"/>
      <c r="D1192" s="4">
        <v>3886604</v>
      </c>
      <c r="E1192" s="4"/>
      <c r="F1192" s="4"/>
      <c r="G1192" s="4"/>
      <c r="H1192" s="4">
        <v>15896837</v>
      </c>
      <c r="I1192" s="4"/>
      <c r="K1192" s="48" t="e">
        <f t="shared" si="72"/>
        <v>#DIV/0!</v>
      </c>
      <c r="L1192" s="48" t="e">
        <f t="shared" si="73"/>
        <v>#DIV/0!</v>
      </c>
      <c r="M1192" s="48">
        <f t="shared" si="74"/>
        <v>4.0901612307299642</v>
      </c>
      <c r="N1192" s="48" t="e">
        <f t="shared" si="75"/>
        <v>#DIV/0!</v>
      </c>
    </row>
    <row r="1193" spans="1:14" x14ac:dyDescent="0.25">
      <c r="A1193" s="5">
        <v>2013</v>
      </c>
      <c r="B1193" s="4"/>
      <c r="C1193" s="4"/>
      <c r="D1193" s="4">
        <v>3514141</v>
      </c>
      <c r="E1193" s="4"/>
      <c r="F1193" s="4"/>
      <c r="G1193" s="4"/>
      <c r="H1193" s="4">
        <v>15860302</v>
      </c>
      <c r="I1193" s="4"/>
      <c r="K1193" s="48" t="e">
        <f t="shared" si="72"/>
        <v>#DIV/0!</v>
      </c>
      <c r="L1193" s="48" t="e">
        <f t="shared" si="73"/>
        <v>#DIV/0!</v>
      </c>
      <c r="M1193" s="48">
        <f t="shared" si="74"/>
        <v>4.5132799167705562</v>
      </c>
      <c r="N1193" s="48" t="e">
        <f t="shared" si="75"/>
        <v>#DIV/0!</v>
      </c>
    </row>
    <row r="1194" spans="1:14" x14ac:dyDescent="0.25">
      <c r="A1194" s="5">
        <v>2014</v>
      </c>
      <c r="B1194" s="4"/>
      <c r="C1194" s="4"/>
      <c r="D1194" s="4">
        <v>3088157</v>
      </c>
      <c r="E1194" s="4"/>
      <c r="F1194" s="4"/>
      <c r="G1194" s="4"/>
      <c r="H1194" s="4">
        <v>12529267</v>
      </c>
      <c r="I1194" s="4"/>
      <c r="K1194" s="48" t="e">
        <f t="shared" si="72"/>
        <v>#DIV/0!</v>
      </c>
      <c r="L1194" s="48" t="e">
        <f t="shared" si="73"/>
        <v>#DIV/0!</v>
      </c>
      <c r="M1194" s="48">
        <f t="shared" si="74"/>
        <v>4.0571988406029877</v>
      </c>
      <c r="N1194" s="48" t="e">
        <f t="shared" si="75"/>
        <v>#DIV/0!</v>
      </c>
    </row>
    <row r="1195" spans="1:14" x14ac:dyDescent="0.25">
      <c r="A1195" s="5">
        <v>2015</v>
      </c>
      <c r="B1195" s="4"/>
      <c r="C1195" s="4"/>
      <c r="D1195" s="4">
        <v>13120449</v>
      </c>
      <c r="E1195" s="4"/>
      <c r="F1195" s="4"/>
      <c r="G1195" s="4"/>
      <c r="H1195" s="4">
        <v>6457665</v>
      </c>
      <c r="I1195" s="4"/>
      <c r="K1195" s="48" t="e">
        <f t="shared" si="72"/>
        <v>#DIV/0!</v>
      </c>
      <c r="L1195" s="48" t="e">
        <f t="shared" si="73"/>
        <v>#DIV/0!</v>
      </c>
      <c r="M1195" s="48">
        <f t="shared" si="74"/>
        <v>0.49218323244882856</v>
      </c>
      <c r="N1195" s="48" t="e">
        <f t="shared" si="75"/>
        <v>#DIV/0!</v>
      </c>
    </row>
    <row r="1196" spans="1:14" x14ac:dyDescent="0.25">
      <c r="A1196" s="5">
        <v>2016</v>
      </c>
      <c r="B1196" s="4"/>
      <c r="C1196" s="4"/>
      <c r="D1196" s="4">
        <v>4243063</v>
      </c>
      <c r="E1196" s="4"/>
      <c r="F1196" s="4"/>
      <c r="G1196" s="4"/>
      <c r="H1196" s="4">
        <v>8776209</v>
      </c>
      <c r="I1196" s="4"/>
      <c r="K1196" s="48" t="e">
        <f t="shared" si="72"/>
        <v>#DIV/0!</v>
      </c>
      <c r="L1196" s="48" t="e">
        <f t="shared" si="73"/>
        <v>#DIV/0!</v>
      </c>
      <c r="M1196" s="48">
        <f t="shared" si="74"/>
        <v>2.0683664136026261</v>
      </c>
      <c r="N1196" s="48" t="e">
        <f t="shared" si="75"/>
        <v>#DIV/0!</v>
      </c>
    </row>
    <row r="1197" spans="1:14" x14ac:dyDescent="0.25">
      <c r="A1197" s="5">
        <v>2017</v>
      </c>
      <c r="B1197" s="4"/>
      <c r="C1197" s="4"/>
      <c r="D1197" s="4">
        <v>4794498</v>
      </c>
      <c r="E1197" s="4"/>
      <c r="F1197" s="4"/>
      <c r="G1197" s="4"/>
      <c r="H1197" s="4">
        <v>15504051</v>
      </c>
      <c r="I1197" s="4"/>
      <c r="K1197" s="48" t="e">
        <f t="shared" si="72"/>
        <v>#DIV/0!</v>
      </c>
      <c r="L1197" s="48" t="e">
        <f t="shared" si="73"/>
        <v>#DIV/0!</v>
      </c>
      <c r="M1197" s="48">
        <f t="shared" si="74"/>
        <v>3.2337172734246629</v>
      </c>
      <c r="N1197" s="48" t="e">
        <f t="shared" si="75"/>
        <v>#DIV/0!</v>
      </c>
    </row>
    <row r="1198" spans="1:14" x14ac:dyDescent="0.25">
      <c r="A1198" s="5">
        <v>2018</v>
      </c>
      <c r="B1198" s="4"/>
      <c r="C1198" s="4"/>
      <c r="D1198" s="4">
        <v>4374915</v>
      </c>
      <c r="E1198" s="4"/>
      <c r="F1198" s="4"/>
      <c r="G1198" s="4"/>
      <c r="H1198" s="4">
        <v>14982136</v>
      </c>
      <c r="I1198" s="4"/>
      <c r="K1198" s="48" t="e">
        <f t="shared" si="72"/>
        <v>#DIV/0!</v>
      </c>
      <c r="L1198" s="48" t="e">
        <f t="shared" si="73"/>
        <v>#DIV/0!</v>
      </c>
      <c r="M1198" s="48">
        <f t="shared" si="74"/>
        <v>3.4245547627782482</v>
      </c>
      <c r="N1198" s="48" t="e">
        <f t="shared" si="75"/>
        <v>#DIV/0!</v>
      </c>
    </row>
    <row r="1199" spans="1:14" x14ac:dyDescent="0.25">
      <c r="A1199" s="5">
        <v>2019</v>
      </c>
      <c r="B1199" s="4"/>
      <c r="C1199" s="4"/>
      <c r="D1199" s="4">
        <v>4297045</v>
      </c>
      <c r="E1199" s="4"/>
      <c r="F1199" s="4"/>
      <c r="G1199" s="4"/>
      <c r="H1199" s="4">
        <v>14755705</v>
      </c>
      <c r="I1199" s="4"/>
      <c r="K1199" s="48" t="e">
        <f t="shared" si="72"/>
        <v>#DIV/0!</v>
      </c>
      <c r="L1199" s="48" t="e">
        <f t="shared" si="73"/>
        <v>#DIV/0!</v>
      </c>
      <c r="M1199" s="48">
        <f t="shared" si="74"/>
        <v>3.4339191234906781</v>
      </c>
      <c r="N1199" s="48" t="e">
        <f t="shared" si="75"/>
        <v>#DIV/0!</v>
      </c>
    </row>
    <row r="1200" spans="1:14" x14ac:dyDescent="0.25">
      <c r="A1200" s="5">
        <v>2020</v>
      </c>
      <c r="B1200" s="4"/>
      <c r="C1200" s="4"/>
      <c r="D1200" s="4">
        <v>4377991</v>
      </c>
      <c r="E1200" s="4"/>
      <c r="F1200" s="4"/>
      <c r="G1200" s="4"/>
      <c r="H1200" s="4">
        <v>13944678</v>
      </c>
      <c r="I1200" s="4"/>
      <c r="K1200" s="48" t="e">
        <f t="shared" si="72"/>
        <v>#DIV/0!</v>
      </c>
      <c r="L1200" s="48" t="e">
        <f t="shared" si="73"/>
        <v>#DIV/0!</v>
      </c>
      <c r="M1200" s="48">
        <f t="shared" si="74"/>
        <v>3.1851774021463268</v>
      </c>
      <c r="N1200" s="48" t="e">
        <f t="shared" si="75"/>
        <v>#DIV/0!</v>
      </c>
    </row>
    <row r="1201" spans="1:14" x14ac:dyDescent="0.25">
      <c r="A1201" s="5">
        <v>2021</v>
      </c>
      <c r="B1201" s="4"/>
      <c r="C1201" s="4"/>
      <c r="D1201" s="4">
        <v>4887703</v>
      </c>
      <c r="E1201" s="4"/>
      <c r="F1201" s="4"/>
      <c r="G1201" s="4"/>
      <c r="H1201" s="4">
        <v>17504626</v>
      </c>
      <c r="I1201" s="4"/>
      <c r="K1201" s="48" t="e">
        <f t="shared" si="72"/>
        <v>#DIV/0!</v>
      </c>
      <c r="L1201" s="48" t="e">
        <f t="shared" si="73"/>
        <v>#DIV/0!</v>
      </c>
      <c r="M1201" s="48">
        <f t="shared" si="74"/>
        <v>3.5813604059002766</v>
      </c>
      <c r="N1201" s="48" t="e">
        <f t="shared" si="75"/>
        <v>#DIV/0!</v>
      </c>
    </row>
    <row r="1202" spans="1:14" x14ac:dyDescent="0.25">
      <c r="A1202" s="5">
        <v>2022</v>
      </c>
      <c r="B1202" s="4"/>
      <c r="C1202" s="4"/>
      <c r="D1202" s="4">
        <v>5402201</v>
      </c>
      <c r="E1202" s="4"/>
      <c r="F1202" s="4"/>
      <c r="G1202" s="4"/>
      <c r="H1202" s="4">
        <v>19690873</v>
      </c>
      <c r="I1202" s="4"/>
      <c r="K1202" s="48" t="e">
        <f t="shared" si="72"/>
        <v>#DIV/0!</v>
      </c>
      <c r="L1202" s="48" t="e">
        <f t="shared" si="73"/>
        <v>#DIV/0!</v>
      </c>
      <c r="M1202" s="48">
        <f t="shared" si="74"/>
        <v>3.644972299253582</v>
      </c>
      <c r="N1202" s="48" t="e">
        <f t="shared" si="75"/>
        <v>#DIV/0!</v>
      </c>
    </row>
    <row r="1203" spans="1:14" x14ac:dyDescent="0.25">
      <c r="A1203" s="5">
        <v>2023</v>
      </c>
      <c r="B1203" s="4"/>
      <c r="C1203" s="4"/>
      <c r="D1203" s="4">
        <v>5092829</v>
      </c>
      <c r="E1203" s="4"/>
      <c r="F1203" s="4"/>
      <c r="G1203" s="4"/>
      <c r="H1203" s="4">
        <v>21405098</v>
      </c>
      <c r="I1203" s="4"/>
      <c r="K1203" s="48" t="e">
        <f t="shared" si="72"/>
        <v>#DIV/0!</v>
      </c>
      <c r="L1203" s="48" t="e">
        <f t="shared" si="73"/>
        <v>#DIV/0!</v>
      </c>
      <c r="M1203" s="48">
        <f t="shared" si="74"/>
        <v>4.2029877696659366</v>
      </c>
      <c r="N1203" s="48" t="e">
        <f t="shared" si="75"/>
        <v>#DIV/0!</v>
      </c>
    </row>
    <row r="1204" spans="1:14" x14ac:dyDescent="0.25">
      <c r="A1204" s="5">
        <v>2024</v>
      </c>
      <c r="B1204" s="4"/>
      <c r="C1204" s="4"/>
      <c r="D1204" s="4">
        <v>5273429</v>
      </c>
      <c r="E1204" s="4"/>
      <c r="F1204" s="4"/>
      <c r="G1204" s="4"/>
      <c r="H1204" s="4">
        <v>24416640</v>
      </c>
      <c r="I1204" s="4"/>
      <c r="K1204" s="48" t="e">
        <f t="shared" si="72"/>
        <v>#DIV/0!</v>
      </c>
      <c r="L1204" s="48" t="e">
        <f t="shared" si="73"/>
        <v>#DIV/0!</v>
      </c>
      <c r="M1204" s="48">
        <f t="shared" si="74"/>
        <v>4.6301258630769464</v>
      </c>
      <c r="N1204" s="48" t="e">
        <f t="shared" si="75"/>
        <v>#DIV/0!</v>
      </c>
    </row>
    <row r="1205" spans="1:14" x14ac:dyDescent="0.25">
      <c r="A1205" s="5">
        <v>2025</v>
      </c>
      <c r="B1205" s="4"/>
      <c r="C1205" s="4"/>
      <c r="D1205" s="4">
        <v>4223726</v>
      </c>
      <c r="E1205" s="4"/>
      <c r="F1205" s="4"/>
      <c r="G1205" s="4"/>
      <c r="H1205" s="4">
        <v>20036752</v>
      </c>
      <c r="I1205" s="4"/>
      <c r="K1205" s="48" t="e">
        <f t="shared" si="72"/>
        <v>#DIV/0!</v>
      </c>
      <c r="L1205" s="48" t="e">
        <f t="shared" si="73"/>
        <v>#DIV/0!</v>
      </c>
      <c r="M1205" s="48">
        <f t="shared" si="74"/>
        <v>4.7438569642064854</v>
      </c>
      <c r="N1205" s="48" t="e">
        <f t="shared" si="75"/>
        <v>#DIV/0!</v>
      </c>
    </row>
    <row r="1206" spans="1:14" x14ac:dyDescent="0.25">
      <c r="A1206" s="3" t="s">
        <v>47</v>
      </c>
      <c r="B1206" s="4">
        <v>1402184490.085</v>
      </c>
      <c r="C1206" s="4">
        <v>365968535.10400003</v>
      </c>
      <c r="D1206" s="4"/>
      <c r="E1206" s="4">
        <v>824844844.16499996</v>
      </c>
      <c r="F1206" s="4">
        <v>4307457699.6800003</v>
      </c>
      <c r="G1206" s="4">
        <v>707386811.58700013</v>
      </c>
      <c r="H1206" s="4"/>
      <c r="I1206" s="4">
        <v>9536337870.0859985</v>
      </c>
      <c r="K1206" s="48">
        <f t="shared" si="72"/>
        <v>3.0719621634232195</v>
      </c>
      <c r="L1206" s="48">
        <f t="shared" si="73"/>
        <v>1.9329170235522479</v>
      </c>
      <c r="M1206" s="48" t="e">
        <f t="shared" si="74"/>
        <v>#DIV/0!</v>
      </c>
      <c r="N1206" s="48">
        <f t="shared" si="75"/>
        <v>11.561371738632548</v>
      </c>
    </row>
    <row r="1207" spans="1:14" x14ac:dyDescent="0.25">
      <c r="A1207" s="5">
        <v>2003</v>
      </c>
      <c r="B1207" s="4">
        <v>72000000</v>
      </c>
      <c r="C1207" s="4"/>
      <c r="D1207" s="4"/>
      <c r="E1207" s="4">
        <v>28821703</v>
      </c>
      <c r="F1207" s="4">
        <v>164967761.08899999</v>
      </c>
      <c r="G1207" s="4"/>
      <c r="H1207" s="4"/>
      <c r="I1207" s="4">
        <v>458115737.73100001</v>
      </c>
      <c r="K1207" s="48">
        <f t="shared" si="72"/>
        <v>2.2912189040138888</v>
      </c>
      <c r="L1207" s="48" t="e">
        <f t="shared" si="73"/>
        <v>#DIV/0!</v>
      </c>
      <c r="M1207" s="48" t="e">
        <f t="shared" si="74"/>
        <v>#DIV/0!</v>
      </c>
      <c r="N1207" s="48">
        <f t="shared" si="75"/>
        <v>15.894818489074016</v>
      </c>
    </row>
    <row r="1208" spans="1:14" x14ac:dyDescent="0.25">
      <c r="A1208" s="5">
        <v>2004</v>
      </c>
      <c r="B1208" s="4">
        <v>81561471</v>
      </c>
      <c r="C1208" s="4"/>
      <c r="D1208" s="4"/>
      <c r="E1208" s="4">
        <v>37053312</v>
      </c>
      <c r="F1208" s="4">
        <v>221189817.03099999</v>
      </c>
      <c r="G1208" s="4"/>
      <c r="H1208" s="4"/>
      <c r="I1208" s="4">
        <v>507789452.93699998</v>
      </c>
      <c r="K1208" s="48">
        <f t="shared" si="72"/>
        <v>2.7119400167635526</v>
      </c>
      <c r="L1208" s="48" t="e">
        <f t="shared" si="73"/>
        <v>#DIV/0!</v>
      </c>
      <c r="M1208" s="48" t="e">
        <f t="shared" si="74"/>
        <v>#DIV/0!</v>
      </c>
      <c r="N1208" s="48">
        <f t="shared" si="75"/>
        <v>13.704293233948965</v>
      </c>
    </row>
    <row r="1209" spans="1:14" x14ac:dyDescent="0.25">
      <c r="A1209" s="5">
        <v>2005</v>
      </c>
      <c r="B1209" s="4">
        <v>69528017.906000003</v>
      </c>
      <c r="C1209" s="4"/>
      <c r="D1209" s="4"/>
      <c r="E1209" s="4">
        <v>29616246</v>
      </c>
      <c r="F1209" s="4">
        <v>210696922.294</v>
      </c>
      <c r="G1209" s="4"/>
      <c r="H1209" s="4"/>
      <c r="I1209" s="4">
        <v>439864010.18900001</v>
      </c>
      <c r="K1209" s="48">
        <f t="shared" si="72"/>
        <v>3.0303887359317008</v>
      </c>
      <c r="L1209" s="48" t="e">
        <f t="shared" si="73"/>
        <v>#DIV/0!</v>
      </c>
      <c r="M1209" s="48" t="e">
        <f t="shared" si="74"/>
        <v>#DIV/0!</v>
      </c>
      <c r="N1209" s="48">
        <f t="shared" si="75"/>
        <v>14.852119008904776</v>
      </c>
    </row>
    <row r="1210" spans="1:14" x14ac:dyDescent="0.25">
      <c r="A1210" s="5">
        <v>2006</v>
      </c>
      <c r="B1210" s="4">
        <v>48029189</v>
      </c>
      <c r="C1210" s="4"/>
      <c r="D1210" s="4"/>
      <c r="E1210" s="4">
        <v>24771491</v>
      </c>
      <c r="F1210" s="4">
        <v>281666568.05599999</v>
      </c>
      <c r="G1210" s="4"/>
      <c r="H1210" s="4"/>
      <c r="I1210" s="4">
        <v>562220839.43900001</v>
      </c>
      <c r="K1210" s="48">
        <f t="shared" si="72"/>
        <v>5.8644872820151095</v>
      </c>
      <c r="L1210" s="48" t="e">
        <f t="shared" si="73"/>
        <v>#DIV/0!</v>
      </c>
      <c r="M1210" s="48" t="e">
        <f t="shared" si="74"/>
        <v>#DIV/0!</v>
      </c>
      <c r="N1210" s="48">
        <f t="shared" si="75"/>
        <v>22.696285800438901</v>
      </c>
    </row>
    <row r="1211" spans="1:14" x14ac:dyDescent="0.25">
      <c r="A1211" s="5">
        <v>2007</v>
      </c>
      <c r="B1211" s="4">
        <v>211424320.002</v>
      </c>
      <c r="C1211" s="4"/>
      <c r="D1211" s="4"/>
      <c r="E1211" s="4">
        <v>34843646</v>
      </c>
      <c r="F1211" s="4">
        <v>299922714.22399998</v>
      </c>
      <c r="G1211" s="4"/>
      <c r="H1211" s="4"/>
      <c r="I1211" s="4">
        <v>574809124.32299995</v>
      </c>
      <c r="K1211" s="48">
        <f t="shared" si="72"/>
        <v>1.4185819030713345</v>
      </c>
      <c r="L1211" s="48" t="e">
        <f t="shared" si="73"/>
        <v>#DIV/0!</v>
      </c>
      <c r="M1211" s="48" t="e">
        <f t="shared" si="74"/>
        <v>#DIV/0!</v>
      </c>
      <c r="N1211" s="48">
        <f t="shared" si="75"/>
        <v>16.496813345050054</v>
      </c>
    </row>
    <row r="1212" spans="1:14" x14ac:dyDescent="0.25">
      <c r="A1212" s="5">
        <v>2008</v>
      </c>
      <c r="B1212" s="4">
        <v>35406884.890000001</v>
      </c>
      <c r="C1212" s="4"/>
      <c r="D1212" s="4"/>
      <c r="E1212" s="4">
        <v>13533977</v>
      </c>
      <c r="F1212" s="4">
        <v>195588746.98899999</v>
      </c>
      <c r="G1212" s="4"/>
      <c r="H1212" s="4"/>
      <c r="I1212" s="4">
        <v>304974750.71200001</v>
      </c>
      <c r="K1212" s="48">
        <f t="shared" si="72"/>
        <v>5.5240314870015661</v>
      </c>
      <c r="L1212" s="48" t="e">
        <f t="shared" si="73"/>
        <v>#DIV/0!</v>
      </c>
      <c r="M1212" s="48" t="e">
        <f t="shared" si="74"/>
        <v>#DIV/0!</v>
      </c>
      <c r="N1212" s="48">
        <f t="shared" si="75"/>
        <v>22.534008348913257</v>
      </c>
    </row>
    <row r="1213" spans="1:14" x14ac:dyDescent="0.25">
      <c r="A1213" s="5">
        <v>2009</v>
      </c>
      <c r="B1213" s="4"/>
      <c r="C1213" s="4">
        <v>18012921.305</v>
      </c>
      <c r="D1213" s="4"/>
      <c r="E1213" s="4">
        <v>2332834.2000000002</v>
      </c>
      <c r="F1213" s="4"/>
      <c r="G1213" s="4">
        <v>166577728.16600001</v>
      </c>
      <c r="H1213" s="4"/>
      <c r="I1213" s="4">
        <v>6722711.9539999999</v>
      </c>
      <c r="K1213" s="48" t="e">
        <f t="shared" si="72"/>
        <v>#DIV/0!</v>
      </c>
      <c r="L1213" s="48">
        <f t="shared" si="73"/>
        <v>9.2476797819441767</v>
      </c>
      <c r="M1213" s="48" t="e">
        <f t="shared" si="74"/>
        <v>#DIV/0!</v>
      </c>
      <c r="N1213" s="48">
        <f t="shared" si="75"/>
        <v>2.8817787196363973</v>
      </c>
    </row>
    <row r="1214" spans="1:14" x14ac:dyDescent="0.25">
      <c r="A1214" s="5">
        <v>2010</v>
      </c>
      <c r="B1214" s="4">
        <v>69702217</v>
      </c>
      <c r="C1214" s="4">
        <v>23356752.289999999</v>
      </c>
      <c r="D1214" s="4"/>
      <c r="E1214" s="4">
        <v>27349968.399999999</v>
      </c>
      <c r="F1214" s="4">
        <v>282191094.73799998</v>
      </c>
      <c r="G1214" s="4">
        <v>63607714.681000002</v>
      </c>
      <c r="H1214" s="4"/>
      <c r="I1214" s="4">
        <v>561273047.58399999</v>
      </c>
      <c r="K1214" s="48">
        <f t="shared" si="72"/>
        <v>4.0485239477820336</v>
      </c>
      <c r="L1214" s="48">
        <f t="shared" si="73"/>
        <v>2.7233116099036216</v>
      </c>
      <c r="M1214" s="48" t="e">
        <f t="shared" si="74"/>
        <v>#DIV/0!</v>
      </c>
      <c r="N1214" s="48">
        <f t="shared" si="75"/>
        <v>20.521890167302718</v>
      </c>
    </row>
    <row r="1215" spans="1:14" x14ac:dyDescent="0.25">
      <c r="A1215" s="5">
        <v>2011</v>
      </c>
      <c r="B1215" s="4">
        <v>69635330.010000005</v>
      </c>
      <c r="C1215" s="4">
        <v>6818195.2769999998</v>
      </c>
      <c r="D1215" s="4"/>
      <c r="E1215" s="4">
        <v>55440963.880999997</v>
      </c>
      <c r="F1215" s="4">
        <v>436619872.96600002</v>
      </c>
      <c r="G1215" s="4">
        <v>20125073.936000001</v>
      </c>
      <c r="H1215" s="4"/>
      <c r="I1215" s="4">
        <v>798224346.08899999</v>
      </c>
      <c r="K1215" s="48">
        <f t="shared" si="72"/>
        <v>6.2700912439604881</v>
      </c>
      <c r="L1215" s="48">
        <f t="shared" si="73"/>
        <v>2.9516716841314961</v>
      </c>
      <c r="M1215" s="48" t="e">
        <f t="shared" si="74"/>
        <v>#DIV/0!</v>
      </c>
      <c r="N1215" s="48">
        <f t="shared" si="75"/>
        <v>14.397735721231879</v>
      </c>
    </row>
    <row r="1216" spans="1:14" x14ac:dyDescent="0.25">
      <c r="A1216" s="5">
        <v>2012</v>
      </c>
      <c r="B1216" s="4">
        <v>62810848.560000002</v>
      </c>
      <c r="C1216" s="4"/>
      <c r="D1216" s="4"/>
      <c r="E1216" s="4">
        <v>155911564.80700001</v>
      </c>
      <c r="F1216" s="4">
        <v>434351368.41000003</v>
      </c>
      <c r="G1216" s="4"/>
      <c r="H1216" s="4"/>
      <c r="I1216" s="4">
        <v>1194233632.4949999</v>
      </c>
      <c r="K1216" s="48">
        <f t="shared" si="72"/>
        <v>6.9152284735508118</v>
      </c>
      <c r="L1216" s="48" t="e">
        <f t="shared" si="73"/>
        <v>#DIV/0!</v>
      </c>
      <c r="M1216" s="48" t="e">
        <f t="shared" si="74"/>
        <v>#DIV/0!</v>
      </c>
      <c r="N1216" s="48">
        <f t="shared" si="75"/>
        <v>7.6596860147822854</v>
      </c>
    </row>
    <row r="1217" spans="1:14" x14ac:dyDescent="0.25">
      <c r="A1217" s="5">
        <v>2013</v>
      </c>
      <c r="B1217" s="4">
        <v>56045262.219999999</v>
      </c>
      <c r="C1217" s="4">
        <v>7614532</v>
      </c>
      <c r="D1217" s="4"/>
      <c r="E1217" s="4">
        <v>49953333.590000004</v>
      </c>
      <c r="F1217" s="4">
        <v>405079300.69</v>
      </c>
      <c r="G1217" s="4">
        <v>53212737.008000001</v>
      </c>
      <c r="H1217" s="4"/>
      <c r="I1217" s="4">
        <v>1126285330.4719999</v>
      </c>
      <c r="K1217" s="48">
        <f t="shared" si="72"/>
        <v>7.2277171101439803</v>
      </c>
      <c r="L1217" s="48">
        <f t="shared" si="73"/>
        <v>6.9883135310219986</v>
      </c>
      <c r="M1217" s="48" t="e">
        <f t="shared" si="74"/>
        <v>#DIV/0!</v>
      </c>
      <c r="N1217" s="48">
        <f t="shared" si="75"/>
        <v>22.54675012715202</v>
      </c>
    </row>
    <row r="1218" spans="1:14" x14ac:dyDescent="0.25">
      <c r="A1218" s="5">
        <v>2014</v>
      </c>
      <c r="B1218" s="4">
        <v>66971603.266999997</v>
      </c>
      <c r="C1218" s="4"/>
      <c r="D1218" s="4"/>
      <c r="E1218" s="4">
        <v>32561244.199999999</v>
      </c>
      <c r="F1218" s="4">
        <v>377894408.30000001</v>
      </c>
      <c r="G1218" s="4"/>
      <c r="H1218" s="4"/>
      <c r="I1218" s="4">
        <v>959077778.80999994</v>
      </c>
      <c r="K1218" s="48">
        <f t="shared" si="72"/>
        <v>5.6426065655532254</v>
      </c>
      <c r="L1218" s="48" t="e">
        <f t="shared" si="73"/>
        <v>#DIV/0!</v>
      </c>
      <c r="M1218" s="48" t="e">
        <f t="shared" si="74"/>
        <v>#DIV/0!</v>
      </c>
      <c r="N1218" s="48">
        <f t="shared" si="75"/>
        <v>29.454580203357217</v>
      </c>
    </row>
    <row r="1219" spans="1:14" x14ac:dyDescent="0.25">
      <c r="A1219" s="5">
        <v>2015</v>
      </c>
      <c r="B1219" s="4">
        <v>54222621.359999999</v>
      </c>
      <c r="C1219" s="4"/>
      <c r="D1219" s="4"/>
      <c r="E1219" s="4">
        <v>43180313</v>
      </c>
      <c r="F1219" s="4">
        <v>77003965.761000007</v>
      </c>
      <c r="G1219" s="4"/>
      <c r="H1219" s="4"/>
      <c r="I1219" s="4">
        <v>228391538.403</v>
      </c>
      <c r="K1219" s="48">
        <f t="shared" si="72"/>
        <v>1.4201446523536354</v>
      </c>
      <c r="L1219" s="48" t="e">
        <f t="shared" si="73"/>
        <v>#DIV/0!</v>
      </c>
      <c r="M1219" s="48" t="e">
        <f t="shared" si="74"/>
        <v>#DIV/0!</v>
      </c>
      <c r="N1219" s="48">
        <f t="shared" si="75"/>
        <v>5.2892515717289958</v>
      </c>
    </row>
    <row r="1220" spans="1:14" x14ac:dyDescent="0.25">
      <c r="A1220" s="5">
        <v>2016</v>
      </c>
      <c r="B1220" s="4">
        <v>68231708.984999999</v>
      </c>
      <c r="C1220" s="4">
        <v>12829812.33</v>
      </c>
      <c r="D1220" s="4"/>
      <c r="E1220" s="4">
        <v>37834674.899999999</v>
      </c>
      <c r="F1220" s="4">
        <v>107091886.941</v>
      </c>
      <c r="G1220" s="4">
        <v>16050915.709000001</v>
      </c>
      <c r="H1220" s="4"/>
      <c r="I1220" s="4">
        <v>256761349.72299999</v>
      </c>
      <c r="K1220" s="48">
        <f t="shared" si="72"/>
        <v>1.569532531634859</v>
      </c>
      <c r="L1220" s="48">
        <f t="shared" si="73"/>
        <v>1.2510639513773776</v>
      </c>
      <c r="M1220" s="48" t="e">
        <f t="shared" si="74"/>
        <v>#DIV/0!</v>
      </c>
      <c r="N1220" s="48">
        <f t="shared" si="75"/>
        <v>6.7864029597621833</v>
      </c>
    </row>
    <row r="1221" spans="1:14" x14ac:dyDescent="0.25">
      <c r="A1221" s="5">
        <v>2017</v>
      </c>
      <c r="B1221" s="4">
        <v>76686726.946999997</v>
      </c>
      <c r="C1221" s="4">
        <v>25841206.690000001</v>
      </c>
      <c r="D1221" s="4"/>
      <c r="E1221" s="4">
        <v>34700897.020000003</v>
      </c>
      <c r="F1221" s="4">
        <v>158771567.986</v>
      </c>
      <c r="G1221" s="4">
        <v>37149758.484999999</v>
      </c>
      <c r="H1221" s="4"/>
      <c r="I1221" s="4">
        <v>255867116.36199999</v>
      </c>
      <c r="K1221" s="48">
        <f t="shared" si="72"/>
        <v>2.0703917653928663</v>
      </c>
      <c r="L1221" s="48">
        <f t="shared" si="73"/>
        <v>1.4376170172957197</v>
      </c>
      <c r="M1221" s="48" t="e">
        <f t="shared" si="74"/>
        <v>#DIV/0!</v>
      </c>
      <c r="N1221" s="48">
        <f t="shared" si="75"/>
        <v>7.373501503852478</v>
      </c>
    </row>
    <row r="1222" spans="1:14" x14ac:dyDescent="0.25">
      <c r="A1222" s="5">
        <v>2018</v>
      </c>
      <c r="B1222" s="4">
        <v>78393665.490999997</v>
      </c>
      <c r="C1222" s="4">
        <v>44938505.991999999</v>
      </c>
      <c r="D1222" s="4"/>
      <c r="E1222" s="4">
        <v>35480352.170000002</v>
      </c>
      <c r="F1222" s="4">
        <v>157763907.82100001</v>
      </c>
      <c r="G1222" s="4">
        <v>75515465.318000004</v>
      </c>
      <c r="H1222" s="4"/>
      <c r="I1222" s="4">
        <v>274376972.699</v>
      </c>
      <c r="K1222" s="48">
        <f t="shared" si="72"/>
        <v>2.0124573437519913</v>
      </c>
      <c r="L1222" s="48">
        <f t="shared" si="73"/>
        <v>1.6804177987457649</v>
      </c>
      <c r="M1222" s="48" t="e">
        <f t="shared" si="74"/>
        <v>#DIV/0!</v>
      </c>
      <c r="N1222" s="48">
        <f t="shared" si="75"/>
        <v>7.7332088301816873</v>
      </c>
    </row>
    <row r="1223" spans="1:14" x14ac:dyDescent="0.25">
      <c r="A1223" s="5">
        <v>2019</v>
      </c>
      <c r="B1223" s="4">
        <v>63881087.229999997</v>
      </c>
      <c r="C1223" s="4">
        <v>30242258.620000001</v>
      </c>
      <c r="D1223" s="4"/>
      <c r="E1223" s="4">
        <v>35040399.960000001</v>
      </c>
      <c r="F1223" s="4">
        <v>102658176.381</v>
      </c>
      <c r="G1223" s="4">
        <v>54445716.773999996</v>
      </c>
      <c r="H1223" s="4"/>
      <c r="I1223" s="4">
        <v>226941357.88499999</v>
      </c>
      <c r="K1223" s="48">
        <f t="shared" ref="K1223:K1286" si="76">F1223/B1223</f>
        <v>1.6070198682027035</v>
      </c>
      <c r="L1223" s="48">
        <f t="shared" ref="L1223:L1286" si="77">G1223/C1223</f>
        <v>1.8003191315212685</v>
      </c>
      <c r="M1223" s="48" t="e">
        <f t="shared" ref="M1223:M1286" si="78">H1223/D1223</f>
        <v>#DIV/0!</v>
      </c>
      <c r="N1223" s="48">
        <f t="shared" ref="N1223:N1286" si="79">I1223/E1223</f>
        <v>6.4765629999675376</v>
      </c>
    </row>
    <row r="1224" spans="1:14" x14ac:dyDescent="0.25">
      <c r="A1224" s="5">
        <v>2020</v>
      </c>
      <c r="B1224" s="4">
        <v>76641630.899000004</v>
      </c>
      <c r="C1224" s="4">
        <v>56719885.799999997</v>
      </c>
      <c r="D1224" s="4"/>
      <c r="E1224" s="4">
        <v>44997010.467</v>
      </c>
      <c r="F1224" s="4">
        <v>131918071.22</v>
      </c>
      <c r="G1224" s="4">
        <v>64368619.773999996</v>
      </c>
      <c r="H1224" s="4"/>
      <c r="I1224" s="4">
        <v>226748518.70899999</v>
      </c>
      <c r="K1224" s="48">
        <f t="shared" si="76"/>
        <v>1.7212325686785617</v>
      </c>
      <c r="L1224" s="48">
        <f t="shared" si="77"/>
        <v>1.134851011530069</v>
      </c>
      <c r="M1224" s="48" t="e">
        <f t="shared" si="78"/>
        <v>#DIV/0!</v>
      </c>
      <c r="N1224" s="48">
        <f t="shared" si="79"/>
        <v>5.0391907452450262</v>
      </c>
    </row>
    <row r="1225" spans="1:14" x14ac:dyDescent="0.25">
      <c r="A1225" s="5">
        <v>2021</v>
      </c>
      <c r="B1225" s="4">
        <v>72131927.180000007</v>
      </c>
      <c r="C1225" s="4">
        <v>106739496.63</v>
      </c>
      <c r="D1225" s="4"/>
      <c r="E1225" s="4">
        <v>47982546.770000003</v>
      </c>
      <c r="F1225" s="4">
        <v>123334500.494</v>
      </c>
      <c r="G1225" s="4">
        <v>97152628.109999999</v>
      </c>
      <c r="H1225" s="4"/>
      <c r="I1225" s="4">
        <v>270513615.03399998</v>
      </c>
      <c r="K1225" s="48">
        <f t="shared" si="76"/>
        <v>1.7098461848416677</v>
      </c>
      <c r="L1225" s="48">
        <f t="shared" si="77"/>
        <v>0.91018443197992815</v>
      </c>
      <c r="M1225" s="48" t="e">
        <f t="shared" si="78"/>
        <v>#DIV/0!</v>
      </c>
      <c r="N1225" s="48">
        <f t="shared" si="79"/>
        <v>5.6377502497039709</v>
      </c>
    </row>
    <row r="1226" spans="1:14" x14ac:dyDescent="0.25">
      <c r="A1226" s="5">
        <v>2022</v>
      </c>
      <c r="B1226" s="4">
        <v>68879978.137999997</v>
      </c>
      <c r="C1226" s="4">
        <v>32854968.170000002</v>
      </c>
      <c r="D1226" s="4"/>
      <c r="E1226" s="4">
        <v>53438365.799999997</v>
      </c>
      <c r="F1226" s="4">
        <v>138747048.289</v>
      </c>
      <c r="G1226" s="4">
        <v>59180453.626000002</v>
      </c>
      <c r="H1226" s="4"/>
      <c r="I1226" s="4">
        <v>303146638.53600001</v>
      </c>
      <c r="K1226" s="48">
        <f t="shared" si="76"/>
        <v>2.0143306086860595</v>
      </c>
      <c r="L1226" s="48">
        <f t="shared" si="77"/>
        <v>1.8012634594495789</v>
      </c>
      <c r="M1226" s="48" t="e">
        <f t="shared" si="78"/>
        <v>#DIV/0!</v>
      </c>
      <c r="N1226" s="48">
        <f t="shared" si="79"/>
        <v>5.6728276398003183</v>
      </c>
    </row>
    <row r="1227" spans="1:14" x14ac:dyDescent="0.25">
      <c r="A1227" s="3" t="s">
        <v>62</v>
      </c>
      <c r="B1227" s="4">
        <v>56488271.257000014</v>
      </c>
      <c r="C1227" s="4">
        <v>40149516.795000002</v>
      </c>
      <c r="D1227" s="4">
        <v>38697863.907000005</v>
      </c>
      <c r="E1227" s="4"/>
      <c r="F1227" s="4">
        <v>276504895.958</v>
      </c>
      <c r="G1227" s="4">
        <v>145107031.64700001</v>
      </c>
      <c r="H1227" s="4">
        <v>194352519.47999999</v>
      </c>
      <c r="I1227" s="4"/>
      <c r="K1227" s="48">
        <f t="shared" si="76"/>
        <v>4.8949080898583102</v>
      </c>
      <c r="L1227" s="48">
        <f t="shared" si="77"/>
        <v>3.6141663270296402</v>
      </c>
      <c r="M1227" s="48">
        <f t="shared" si="78"/>
        <v>5.0223061393536979</v>
      </c>
      <c r="N1227" s="48" t="e">
        <f t="shared" si="79"/>
        <v>#DIV/0!</v>
      </c>
    </row>
    <row r="1228" spans="1:14" x14ac:dyDescent="0.25">
      <c r="A1228" s="5">
        <v>2010</v>
      </c>
      <c r="B1228" s="4"/>
      <c r="C1228" s="4"/>
      <c r="D1228" s="4">
        <v>2316269.2599999998</v>
      </c>
      <c r="E1228" s="4"/>
      <c r="F1228" s="4"/>
      <c r="G1228" s="4"/>
      <c r="H1228" s="4">
        <v>11316722</v>
      </c>
      <c r="I1228" s="4"/>
      <c r="K1228" s="48" t="e">
        <f t="shared" si="76"/>
        <v>#DIV/0!</v>
      </c>
      <c r="L1228" s="48" t="e">
        <f t="shared" si="77"/>
        <v>#DIV/0!</v>
      </c>
      <c r="M1228" s="48">
        <f t="shared" si="78"/>
        <v>4.8857540854296024</v>
      </c>
      <c r="N1228" s="48" t="e">
        <f t="shared" si="79"/>
        <v>#DIV/0!</v>
      </c>
    </row>
    <row r="1229" spans="1:14" x14ac:dyDescent="0.25">
      <c r="A1229" s="5">
        <v>2011</v>
      </c>
      <c r="B1229" s="4">
        <v>6652770</v>
      </c>
      <c r="C1229" s="4">
        <v>5365990</v>
      </c>
      <c r="D1229" s="4">
        <v>2180010.04</v>
      </c>
      <c r="E1229" s="4"/>
      <c r="F1229" s="4">
        <v>27251019</v>
      </c>
      <c r="G1229" s="4">
        <v>17480956</v>
      </c>
      <c r="H1229" s="4">
        <v>12040882</v>
      </c>
      <c r="I1229" s="4"/>
      <c r="K1229" s="48">
        <f t="shared" si="76"/>
        <v>4.0961913608917788</v>
      </c>
      <c r="L1229" s="48">
        <f t="shared" si="77"/>
        <v>3.257731751270502</v>
      </c>
      <c r="M1229" s="48">
        <f t="shared" si="78"/>
        <v>5.5233149293202333</v>
      </c>
      <c r="N1229" s="48" t="e">
        <f t="shared" si="79"/>
        <v>#DIV/0!</v>
      </c>
    </row>
    <row r="1230" spans="1:14" x14ac:dyDescent="0.25">
      <c r="A1230" s="5">
        <v>2012</v>
      </c>
      <c r="B1230" s="4">
        <v>6880660</v>
      </c>
      <c r="C1230" s="4">
        <v>6242220</v>
      </c>
      <c r="D1230" s="4">
        <v>2483658.0299999998</v>
      </c>
      <c r="E1230" s="4"/>
      <c r="F1230" s="4">
        <v>39549251</v>
      </c>
      <c r="G1230" s="4">
        <v>36473537</v>
      </c>
      <c r="H1230" s="4">
        <v>15515067</v>
      </c>
      <c r="I1230" s="4"/>
      <c r="K1230" s="48">
        <f t="shared" si="76"/>
        <v>5.7478862492842255</v>
      </c>
      <c r="L1230" s="48">
        <f t="shared" si="77"/>
        <v>5.8430393353646624</v>
      </c>
      <c r="M1230" s="48">
        <f t="shared" si="78"/>
        <v>6.2468612073780552</v>
      </c>
      <c r="N1230" s="48" t="e">
        <f t="shared" si="79"/>
        <v>#DIV/0!</v>
      </c>
    </row>
    <row r="1231" spans="1:14" x14ac:dyDescent="0.25">
      <c r="A1231" s="5">
        <v>2013</v>
      </c>
      <c r="B1231" s="4">
        <v>3249390</v>
      </c>
      <c r="C1231" s="4">
        <v>2430070</v>
      </c>
      <c r="D1231" s="4">
        <v>2530986.4700000002</v>
      </c>
      <c r="E1231" s="4"/>
      <c r="F1231" s="4">
        <v>16439288.081</v>
      </c>
      <c r="G1231" s="4">
        <v>9189930.7899999991</v>
      </c>
      <c r="H1231" s="4">
        <v>12705170.033</v>
      </c>
      <c r="I1231" s="4"/>
      <c r="K1231" s="48">
        <f t="shared" si="76"/>
        <v>5.0591920578939433</v>
      </c>
      <c r="L1231" s="48">
        <f t="shared" si="77"/>
        <v>3.7817555831725009</v>
      </c>
      <c r="M1231" s="48">
        <f t="shared" si="78"/>
        <v>5.0198490523736377</v>
      </c>
      <c r="N1231" s="48" t="e">
        <f t="shared" si="79"/>
        <v>#DIV/0!</v>
      </c>
    </row>
    <row r="1232" spans="1:14" x14ac:dyDescent="0.25">
      <c r="A1232" s="5">
        <v>2014</v>
      </c>
      <c r="B1232" s="4">
        <v>3121830</v>
      </c>
      <c r="C1232" s="4">
        <v>2151220</v>
      </c>
      <c r="D1232" s="4">
        <v>2543893.79</v>
      </c>
      <c r="E1232" s="4"/>
      <c r="F1232" s="4">
        <v>16468049.652000001</v>
      </c>
      <c r="G1232" s="4">
        <v>8948553.3340000007</v>
      </c>
      <c r="H1232" s="4">
        <v>12034678.714</v>
      </c>
      <c r="I1232" s="4"/>
      <c r="K1232" s="48">
        <f t="shared" si="76"/>
        <v>5.2751269774459217</v>
      </c>
      <c r="L1232" s="48">
        <f t="shared" si="77"/>
        <v>4.1597574092840341</v>
      </c>
      <c r="M1232" s="48">
        <f t="shared" si="78"/>
        <v>4.7308102096510876</v>
      </c>
      <c r="N1232" s="48" t="e">
        <f t="shared" si="79"/>
        <v>#DIV/0!</v>
      </c>
    </row>
    <row r="1233" spans="1:14" x14ac:dyDescent="0.25">
      <c r="A1233" s="5">
        <v>2015</v>
      </c>
      <c r="B1233" s="4">
        <v>6196690</v>
      </c>
      <c r="C1233" s="4">
        <v>5526910</v>
      </c>
      <c r="D1233" s="4">
        <v>2220541.9900000002</v>
      </c>
      <c r="E1233" s="4"/>
      <c r="F1233" s="4">
        <v>27037007.954999998</v>
      </c>
      <c r="G1233" s="4">
        <v>21664149.809999999</v>
      </c>
      <c r="H1233" s="4">
        <v>10962577.352</v>
      </c>
      <c r="I1233" s="4"/>
      <c r="K1233" s="48">
        <f t="shared" si="76"/>
        <v>4.3631370868963915</v>
      </c>
      <c r="L1233" s="48">
        <f t="shared" si="77"/>
        <v>3.9197580221136219</v>
      </c>
      <c r="M1233" s="48">
        <f t="shared" si="78"/>
        <v>4.9368926151223098</v>
      </c>
      <c r="N1233" s="48" t="e">
        <f t="shared" si="79"/>
        <v>#DIV/0!</v>
      </c>
    </row>
    <row r="1234" spans="1:14" x14ac:dyDescent="0.25">
      <c r="A1234" s="5">
        <v>2016</v>
      </c>
      <c r="B1234" s="4"/>
      <c r="C1234" s="4">
        <v>1741253.1</v>
      </c>
      <c r="D1234" s="4">
        <v>2690631.827</v>
      </c>
      <c r="E1234" s="4"/>
      <c r="F1234" s="4"/>
      <c r="G1234" s="4">
        <v>6665392.0899999999</v>
      </c>
      <c r="H1234" s="4">
        <v>12172298.118000001</v>
      </c>
      <c r="I1234" s="4"/>
      <c r="K1234" s="48" t="e">
        <f t="shared" si="76"/>
        <v>#DIV/0!</v>
      </c>
      <c r="L1234" s="48">
        <f t="shared" si="77"/>
        <v>3.8279283408023792</v>
      </c>
      <c r="M1234" s="48">
        <f t="shared" si="78"/>
        <v>4.5239553014474918</v>
      </c>
      <c r="N1234" s="48" t="e">
        <f t="shared" si="79"/>
        <v>#DIV/0!</v>
      </c>
    </row>
    <row r="1235" spans="1:14" x14ac:dyDescent="0.25">
      <c r="A1235" s="5">
        <v>2017</v>
      </c>
      <c r="B1235" s="4">
        <v>2510830.0010000002</v>
      </c>
      <c r="C1235" s="4"/>
      <c r="D1235" s="4">
        <v>2117318.52</v>
      </c>
      <c r="E1235" s="4"/>
      <c r="F1235" s="4">
        <v>13756064.756999999</v>
      </c>
      <c r="G1235" s="4"/>
      <c r="H1235" s="4">
        <v>10496958.174000001</v>
      </c>
      <c r="I1235" s="4"/>
      <c r="K1235" s="48">
        <f t="shared" si="76"/>
        <v>5.4786922059722505</v>
      </c>
      <c r="L1235" s="48" t="e">
        <f t="shared" si="77"/>
        <v>#DIV/0!</v>
      </c>
      <c r="M1235" s="48">
        <f t="shared" si="78"/>
        <v>4.9576660643387749</v>
      </c>
      <c r="N1235" s="48" t="e">
        <f t="shared" si="79"/>
        <v>#DIV/0!</v>
      </c>
    </row>
    <row r="1236" spans="1:14" x14ac:dyDescent="0.25">
      <c r="A1236" s="5">
        <v>2018</v>
      </c>
      <c r="B1236" s="4">
        <v>2180780.5019999999</v>
      </c>
      <c r="C1236" s="4"/>
      <c r="D1236" s="4">
        <v>2295462.5699999998</v>
      </c>
      <c r="E1236" s="4"/>
      <c r="F1236" s="4">
        <v>12581224.385</v>
      </c>
      <c r="G1236" s="4"/>
      <c r="H1236" s="4">
        <v>11700502.425000001</v>
      </c>
      <c r="I1236" s="4"/>
      <c r="K1236" s="48">
        <f t="shared" si="76"/>
        <v>5.7691383307314625</v>
      </c>
      <c r="L1236" s="48" t="e">
        <f t="shared" si="77"/>
        <v>#DIV/0!</v>
      </c>
      <c r="M1236" s="48">
        <f t="shared" si="78"/>
        <v>5.0972307620768573</v>
      </c>
      <c r="N1236" s="48" t="e">
        <f t="shared" si="79"/>
        <v>#DIV/0!</v>
      </c>
    </row>
    <row r="1237" spans="1:14" x14ac:dyDescent="0.25">
      <c r="A1237" s="5">
        <v>2019</v>
      </c>
      <c r="B1237" s="4">
        <v>3552811.8050000002</v>
      </c>
      <c r="C1237" s="4">
        <v>2294414.9309999999</v>
      </c>
      <c r="D1237" s="4">
        <v>2361052.0699999998</v>
      </c>
      <c r="E1237" s="4"/>
      <c r="F1237" s="4">
        <v>15178801.127</v>
      </c>
      <c r="G1237" s="4">
        <v>6311843.7240000004</v>
      </c>
      <c r="H1237" s="4">
        <v>11689691.717</v>
      </c>
      <c r="I1237" s="4"/>
      <c r="K1237" s="48">
        <f t="shared" si="76"/>
        <v>4.2723346915359617</v>
      </c>
      <c r="L1237" s="48">
        <f t="shared" si="77"/>
        <v>2.7509600110774386</v>
      </c>
      <c r="M1237" s="48">
        <f t="shared" si="78"/>
        <v>4.9510520608721693</v>
      </c>
      <c r="N1237" s="48" t="e">
        <f t="shared" si="79"/>
        <v>#DIV/0!</v>
      </c>
    </row>
    <row r="1238" spans="1:14" x14ac:dyDescent="0.25">
      <c r="A1238" s="5">
        <v>2020</v>
      </c>
      <c r="B1238" s="4">
        <v>4290854.6880000001</v>
      </c>
      <c r="C1238" s="4">
        <v>3057803.3050000002</v>
      </c>
      <c r="D1238" s="4">
        <v>6538041.6600000001</v>
      </c>
      <c r="E1238" s="4"/>
      <c r="F1238" s="4">
        <v>15936818.572000001</v>
      </c>
      <c r="G1238" s="4">
        <v>7523662.8250000002</v>
      </c>
      <c r="H1238" s="4">
        <v>29000140.423999999</v>
      </c>
      <c r="I1238" s="4"/>
      <c r="K1238" s="48">
        <f t="shared" si="76"/>
        <v>3.714136164193496</v>
      </c>
      <c r="L1238" s="48">
        <f t="shared" si="77"/>
        <v>2.4604796563263576</v>
      </c>
      <c r="M1238" s="48">
        <f t="shared" si="78"/>
        <v>4.4356004339072994</v>
      </c>
      <c r="N1238" s="48" t="e">
        <f t="shared" si="79"/>
        <v>#DIV/0!</v>
      </c>
    </row>
    <row r="1239" spans="1:14" x14ac:dyDescent="0.25">
      <c r="A1239" s="5">
        <v>2021</v>
      </c>
      <c r="B1239" s="4">
        <v>2061393.3189999999</v>
      </c>
      <c r="C1239" s="4"/>
      <c r="D1239" s="4">
        <v>2182229.3199999998</v>
      </c>
      <c r="E1239" s="4"/>
      <c r="F1239" s="4">
        <v>14233083.789000001</v>
      </c>
      <c r="G1239" s="4"/>
      <c r="H1239" s="4">
        <v>12012170.978</v>
      </c>
      <c r="I1239" s="4"/>
      <c r="K1239" s="48">
        <f t="shared" si="76"/>
        <v>6.9045939257747255</v>
      </c>
      <c r="L1239" s="48" t="e">
        <f t="shared" si="77"/>
        <v>#DIV/0!</v>
      </c>
      <c r="M1239" s="48">
        <f t="shared" si="78"/>
        <v>5.5045410983663263</v>
      </c>
      <c r="N1239" s="48" t="e">
        <f t="shared" si="79"/>
        <v>#DIV/0!</v>
      </c>
    </row>
    <row r="1240" spans="1:14" x14ac:dyDescent="0.25">
      <c r="A1240" s="5">
        <v>2022</v>
      </c>
      <c r="B1240" s="4">
        <v>2061370.108</v>
      </c>
      <c r="C1240" s="4"/>
      <c r="D1240" s="4">
        <v>2125925.59</v>
      </c>
      <c r="E1240" s="4"/>
      <c r="F1240" s="4">
        <v>16702452.978</v>
      </c>
      <c r="G1240" s="4"/>
      <c r="H1240" s="4">
        <v>10968075.765000001</v>
      </c>
      <c r="I1240" s="4"/>
      <c r="K1240" s="48">
        <f t="shared" si="76"/>
        <v>8.1025978368363916</v>
      </c>
      <c r="L1240" s="48" t="e">
        <f t="shared" si="77"/>
        <v>#DIV/0!</v>
      </c>
      <c r="M1240" s="48">
        <f t="shared" si="78"/>
        <v>5.1592002168805928</v>
      </c>
      <c r="N1240" s="48" t="e">
        <f t="shared" si="79"/>
        <v>#DIV/0!</v>
      </c>
    </row>
    <row r="1241" spans="1:14" x14ac:dyDescent="0.25">
      <c r="A1241" s="5">
        <v>2023</v>
      </c>
      <c r="B1241" s="4">
        <v>3748394.4130000002</v>
      </c>
      <c r="C1241" s="4">
        <v>2700955.4330000002</v>
      </c>
      <c r="D1241" s="4">
        <v>1969067.57</v>
      </c>
      <c r="E1241" s="4"/>
      <c r="F1241" s="4">
        <v>19939134.188000001</v>
      </c>
      <c r="G1241" s="4">
        <v>6917568.1239999998</v>
      </c>
      <c r="H1241" s="4">
        <v>10438627.106000001</v>
      </c>
      <c r="I1241" s="4"/>
      <c r="K1241" s="48">
        <f t="shared" si="76"/>
        <v>5.3193799774239503</v>
      </c>
      <c r="L1241" s="48">
        <f t="shared" si="77"/>
        <v>2.561155967063304</v>
      </c>
      <c r="M1241" s="48">
        <f t="shared" si="78"/>
        <v>5.3013046708193974</v>
      </c>
      <c r="N1241" s="48" t="e">
        <f t="shared" si="79"/>
        <v>#DIV/0!</v>
      </c>
    </row>
    <row r="1242" spans="1:14" x14ac:dyDescent="0.25">
      <c r="A1242" s="5">
        <v>2024</v>
      </c>
      <c r="B1242" s="4">
        <v>8028130.7029999997</v>
      </c>
      <c r="C1242" s="4">
        <v>6911319.3030000003</v>
      </c>
      <c r="D1242" s="4">
        <v>2142775.2000000002</v>
      </c>
      <c r="E1242" s="4"/>
      <c r="F1242" s="4">
        <v>33561478.222999997</v>
      </c>
      <c r="G1242" s="4">
        <v>19307684.395</v>
      </c>
      <c r="H1242" s="4">
        <v>11298957.674000001</v>
      </c>
      <c r="I1242" s="4"/>
      <c r="K1242" s="48">
        <f t="shared" si="76"/>
        <v>4.1804847809040462</v>
      </c>
      <c r="L1242" s="48">
        <f t="shared" si="77"/>
        <v>2.7936322355442473</v>
      </c>
      <c r="M1242" s="48">
        <f t="shared" si="78"/>
        <v>5.273048555910111</v>
      </c>
      <c r="N1242" s="48" t="e">
        <f t="shared" si="79"/>
        <v>#DIV/0!</v>
      </c>
    </row>
    <row r="1243" spans="1:14" x14ac:dyDescent="0.25">
      <c r="A1243" s="5">
        <v>2025</v>
      </c>
      <c r="B1243" s="4">
        <v>1952365.7180000001</v>
      </c>
      <c r="C1243" s="4">
        <v>1727360.723</v>
      </c>
      <c r="D1243" s="4"/>
      <c r="E1243" s="4"/>
      <c r="F1243" s="4">
        <v>7871222.2510000002</v>
      </c>
      <c r="G1243" s="4">
        <v>4623753.5549999997</v>
      </c>
      <c r="H1243" s="4"/>
      <c r="I1243" s="4"/>
      <c r="K1243" s="48">
        <f t="shared" si="76"/>
        <v>4.0316330994908398</v>
      </c>
      <c r="L1243" s="48">
        <f t="shared" si="77"/>
        <v>2.6767735849462171</v>
      </c>
      <c r="M1243" s="48" t="e">
        <f t="shared" si="78"/>
        <v>#DIV/0!</v>
      </c>
      <c r="N1243" s="48" t="e">
        <f t="shared" si="79"/>
        <v>#DIV/0!</v>
      </c>
    </row>
    <row r="1244" spans="1:14" x14ac:dyDescent="0.25">
      <c r="A1244" s="3" t="s">
        <v>105</v>
      </c>
      <c r="B1244" s="4"/>
      <c r="C1244" s="4"/>
      <c r="D1244" s="4">
        <v>41233047.806999996</v>
      </c>
      <c r="E1244" s="4"/>
      <c r="F1244" s="4"/>
      <c r="G1244" s="4"/>
      <c r="H1244" s="4">
        <v>242724403.41000003</v>
      </c>
      <c r="I1244" s="4"/>
      <c r="K1244" s="48" t="e">
        <f t="shared" si="76"/>
        <v>#DIV/0!</v>
      </c>
      <c r="L1244" s="48" t="e">
        <f t="shared" si="77"/>
        <v>#DIV/0!</v>
      </c>
      <c r="M1244" s="48">
        <f t="shared" si="78"/>
        <v>5.8866471512395337</v>
      </c>
      <c r="N1244" s="48" t="e">
        <f t="shared" si="79"/>
        <v>#DIV/0!</v>
      </c>
    </row>
    <row r="1245" spans="1:14" x14ac:dyDescent="0.25">
      <c r="A1245" s="5">
        <v>2010</v>
      </c>
      <c r="B1245" s="4"/>
      <c r="C1245" s="4"/>
      <c r="D1245" s="4">
        <v>1362977.936</v>
      </c>
      <c r="E1245" s="4"/>
      <c r="F1245" s="4"/>
      <c r="G1245" s="4"/>
      <c r="H1245" s="4">
        <v>6466426.398</v>
      </c>
      <c r="I1245" s="4"/>
      <c r="K1245" s="48" t="e">
        <f t="shared" si="76"/>
        <v>#DIV/0!</v>
      </c>
      <c r="L1245" s="48" t="e">
        <f t="shared" si="77"/>
        <v>#DIV/0!</v>
      </c>
      <c r="M1245" s="48">
        <f t="shared" si="78"/>
        <v>4.7443368136811861</v>
      </c>
      <c r="N1245" s="48" t="e">
        <f t="shared" si="79"/>
        <v>#DIV/0!</v>
      </c>
    </row>
    <row r="1246" spans="1:14" x14ac:dyDescent="0.25">
      <c r="A1246" s="5">
        <v>2011</v>
      </c>
      <c r="B1246" s="4"/>
      <c r="C1246" s="4"/>
      <c r="D1246" s="4">
        <v>1760673.7579999999</v>
      </c>
      <c r="E1246" s="4"/>
      <c r="F1246" s="4"/>
      <c r="G1246" s="4"/>
      <c r="H1246" s="4">
        <v>9470427.7719999999</v>
      </c>
      <c r="I1246" s="4"/>
      <c r="K1246" s="48" t="e">
        <f t="shared" si="76"/>
        <v>#DIV/0!</v>
      </c>
      <c r="L1246" s="48" t="e">
        <f t="shared" si="77"/>
        <v>#DIV/0!</v>
      </c>
      <c r="M1246" s="48">
        <f t="shared" si="78"/>
        <v>5.3788657489606315</v>
      </c>
      <c r="N1246" s="48" t="e">
        <f t="shared" si="79"/>
        <v>#DIV/0!</v>
      </c>
    </row>
    <row r="1247" spans="1:14" x14ac:dyDescent="0.25">
      <c r="A1247" s="5">
        <v>2012</v>
      </c>
      <c r="B1247" s="4"/>
      <c r="C1247" s="4"/>
      <c r="D1247" s="4">
        <v>1636975.906</v>
      </c>
      <c r="E1247" s="4"/>
      <c r="F1247" s="4"/>
      <c r="G1247" s="4"/>
      <c r="H1247" s="4">
        <v>9286721.5989999995</v>
      </c>
      <c r="I1247" s="4"/>
      <c r="K1247" s="48" t="e">
        <f t="shared" si="76"/>
        <v>#DIV/0!</v>
      </c>
      <c r="L1247" s="48" t="e">
        <f t="shared" si="77"/>
        <v>#DIV/0!</v>
      </c>
      <c r="M1247" s="48">
        <f t="shared" si="78"/>
        <v>5.6730960822095327</v>
      </c>
      <c r="N1247" s="48" t="e">
        <f t="shared" si="79"/>
        <v>#DIV/0!</v>
      </c>
    </row>
    <row r="1248" spans="1:14" x14ac:dyDescent="0.25">
      <c r="A1248" s="5">
        <v>2013</v>
      </c>
      <c r="B1248" s="4"/>
      <c r="C1248" s="4"/>
      <c r="D1248" s="4">
        <v>1962574.2080000001</v>
      </c>
      <c r="E1248" s="4"/>
      <c r="F1248" s="4"/>
      <c r="G1248" s="4"/>
      <c r="H1248" s="4">
        <v>12265647.502</v>
      </c>
      <c r="I1248" s="4"/>
      <c r="K1248" s="48" t="e">
        <f t="shared" si="76"/>
        <v>#DIV/0!</v>
      </c>
      <c r="L1248" s="48" t="e">
        <f t="shared" si="77"/>
        <v>#DIV/0!</v>
      </c>
      <c r="M1248" s="48">
        <f t="shared" si="78"/>
        <v>6.2497751432795754</v>
      </c>
      <c r="N1248" s="48" t="e">
        <f t="shared" si="79"/>
        <v>#DIV/0!</v>
      </c>
    </row>
    <row r="1249" spans="1:14" x14ac:dyDescent="0.25">
      <c r="A1249" s="5">
        <v>2014</v>
      </c>
      <c r="B1249" s="4"/>
      <c r="C1249" s="4"/>
      <c r="D1249" s="4">
        <v>1974592.368</v>
      </c>
      <c r="E1249" s="4"/>
      <c r="F1249" s="4"/>
      <c r="G1249" s="4"/>
      <c r="H1249" s="4">
        <v>12565740.664000001</v>
      </c>
      <c r="I1249" s="4"/>
      <c r="K1249" s="48" t="e">
        <f t="shared" si="76"/>
        <v>#DIV/0!</v>
      </c>
      <c r="L1249" s="48" t="e">
        <f t="shared" si="77"/>
        <v>#DIV/0!</v>
      </c>
      <c r="M1249" s="48">
        <f t="shared" si="78"/>
        <v>6.3637137809498512</v>
      </c>
      <c r="N1249" s="48" t="e">
        <f t="shared" si="79"/>
        <v>#DIV/0!</v>
      </c>
    </row>
    <row r="1250" spans="1:14" x14ac:dyDescent="0.25">
      <c r="A1250" s="5">
        <v>2015</v>
      </c>
      <c r="B1250" s="4"/>
      <c r="C1250" s="4"/>
      <c r="D1250" s="4">
        <v>2458666</v>
      </c>
      <c r="E1250" s="4"/>
      <c r="F1250" s="4"/>
      <c r="G1250" s="4"/>
      <c r="H1250" s="4">
        <v>12225952.484999999</v>
      </c>
      <c r="I1250" s="4"/>
      <c r="K1250" s="48" t="e">
        <f t="shared" si="76"/>
        <v>#DIV/0!</v>
      </c>
      <c r="L1250" s="48" t="e">
        <f t="shared" si="77"/>
        <v>#DIV/0!</v>
      </c>
      <c r="M1250" s="48">
        <f t="shared" si="78"/>
        <v>4.9725959056659175</v>
      </c>
      <c r="N1250" s="48" t="e">
        <f t="shared" si="79"/>
        <v>#DIV/0!</v>
      </c>
    </row>
    <row r="1251" spans="1:14" x14ac:dyDescent="0.25">
      <c r="A1251" s="5">
        <v>2016</v>
      </c>
      <c r="B1251" s="4"/>
      <c r="C1251" s="4"/>
      <c r="D1251" s="4">
        <v>2191443</v>
      </c>
      <c r="E1251" s="4"/>
      <c r="F1251" s="4"/>
      <c r="G1251" s="4"/>
      <c r="H1251" s="4">
        <v>11054415.528000001</v>
      </c>
      <c r="I1251" s="4"/>
      <c r="K1251" s="48" t="e">
        <f t="shared" si="76"/>
        <v>#DIV/0!</v>
      </c>
      <c r="L1251" s="48" t="e">
        <f t="shared" si="77"/>
        <v>#DIV/0!</v>
      </c>
      <c r="M1251" s="48">
        <f t="shared" si="78"/>
        <v>5.0443545773264473</v>
      </c>
      <c r="N1251" s="48" t="e">
        <f t="shared" si="79"/>
        <v>#DIV/0!</v>
      </c>
    </row>
    <row r="1252" spans="1:14" x14ac:dyDescent="0.25">
      <c r="A1252" s="5">
        <v>2017</v>
      </c>
      <c r="B1252" s="4"/>
      <c r="C1252" s="4"/>
      <c r="D1252" s="4">
        <v>2186989.5060000001</v>
      </c>
      <c r="E1252" s="4"/>
      <c r="F1252" s="4"/>
      <c r="G1252" s="4"/>
      <c r="H1252" s="4">
        <v>13139342.362</v>
      </c>
      <c r="I1252" s="4"/>
      <c r="K1252" s="48" t="e">
        <f t="shared" si="76"/>
        <v>#DIV/0!</v>
      </c>
      <c r="L1252" s="48" t="e">
        <f t="shared" si="77"/>
        <v>#DIV/0!</v>
      </c>
      <c r="M1252" s="48">
        <f t="shared" si="78"/>
        <v>6.00795857773997</v>
      </c>
      <c r="N1252" s="48" t="e">
        <f t="shared" si="79"/>
        <v>#DIV/0!</v>
      </c>
    </row>
    <row r="1253" spans="1:14" x14ac:dyDescent="0.25">
      <c r="A1253" s="5">
        <v>2018</v>
      </c>
      <c r="B1253" s="4"/>
      <c r="C1253" s="4"/>
      <c r="D1253" s="4">
        <v>2777599</v>
      </c>
      <c r="E1253" s="4"/>
      <c r="F1253" s="4"/>
      <c r="G1253" s="4"/>
      <c r="H1253" s="4">
        <v>16343841.537</v>
      </c>
      <c r="I1253" s="4"/>
      <c r="K1253" s="48" t="e">
        <f t="shared" si="76"/>
        <v>#DIV/0!</v>
      </c>
      <c r="L1253" s="48" t="e">
        <f t="shared" si="77"/>
        <v>#DIV/0!</v>
      </c>
      <c r="M1253" s="48">
        <f t="shared" si="78"/>
        <v>5.8841616579643068</v>
      </c>
      <c r="N1253" s="48" t="e">
        <f t="shared" si="79"/>
        <v>#DIV/0!</v>
      </c>
    </row>
    <row r="1254" spans="1:14" x14ac:dyDescent="0.25">
      <c r="A1254" s="5">
        <v>2019</v>
      </c>
      <c r="B1254" s="4"/>
      <c r="C1254" s="4"/>
      <c r="D1254" s="4">
        <v>3044811</v>
      </c>
      <c r="E1254" s="4"/>
      <c r="F1254" s="4"/>
      <c r="G1254" s="4"/>
      <c r="H1254" s="4">
        <v>16867116.440000001</v>
      </c>
      <c r="I1254" s="4"/>
      <c r="K1254" s="48" t="e">
        <f t="shared" si="76"/>
        <v>#DIV/0!</v>
      </c>
      <c r="L1254" s="48" t="e">
        <f t="shared" si="77"/>
        <v>#DIV/0!</v>
      </c>
      <c r="M1254" s="48">
        <f t="shared" si="78"/>
        <v>5.5396267420210981</v>
      </c>
      <c r="N1254" s="48" t="e">
        <f t="shared" si="79"/>
        <v>#DIV/0!</v>
      </c>
    </row>
    <row r="1255" spans="1:14" x14ac:dyDescent="0.25">
      <c r="A1255" s="5">
        <v>2020</v>
      </c>
      <c r="B1255" s="4"/>
      <c r="C1255" s="4"/>
      <c r="D1255" s="4">
        <v>3302316</v>
      </c>
      <c r="E1255" s="4"/>
      <c r="F1255" s="4"/>
      <c r="G1255" s="4"/>
      <c r="H1255" s="4">
        <v>17978268.778999999</v>
      </c>
      <c r="I1255" s="4"/>
      <c r="K1255" s="48" t="e">
        <f t="shared" si="76"/>
        <v>#DIV/0!</v>
      </c>
      <c r="L1255" s="48" t="e">
        <f t="shared" si="77"/>
        <v>#DIV/0!</v>
      </c>
      <c r="M1255" s="48">
        <f t="shared" si="78"/>
        <v>5.4441394400172483</v>
      </c>
      <c r="N1255" s="48" t="e">
        <f t="shared" si="79"/>
        <v>#DIV/0!</v>
      </c>
    </row>
    <row r="1256" spans="1:14" x14ac:dyDescent="0.25">
      <c r="A1256" s="5">
        <v>2021</v>
      </c>
      <c r="B1256" s="4"/>
      <c r="C1256" s="4"/>
      <c r="D1256" s="4">
        <v>2901323.0589999999</v>
      </c>
      <c r="E1256" s="4"/>
      <c r="F1256" s="4"/>
      <c r="G1256" s="4"/>
      <c r="H1256" s="4">
        <v>17668516.958000001</v>
      </c>
      <c r="I1256" s="4"/>
      <c r="K1256" s="48" t="e">
        <f t="shared" si="76"/>
        <v>#DIV/0!</v>
      </c>
      <c r="L1256" s="48" t="e">
        <f t="shared" si="77"/>
        <v>#DIV/0!</v>
      </c>
      <c r="M1256" s="48">
        <f t="shared" si="78"/>
        <v>6.0898137155707905</v>
      </c>
      <c r="N1256" s="48" t="e">
        <f t="shared" si="79"/>
        <v>#DIV/0!</v>
      </c>
    </row>
    <row r="1257" spans="1:14" x14ac:dyDescent="0.25">
      <c r="A1257" s="5">
        <v>2022</v>
      </c>
      <c r="B1257" s="4"/>
      <c r="C1257" s="4"/>
      <c r="D1257" s="4">
        <v>3791238.27</v>
      </c>
      <c r="E1257" s="4"/>
      <c r="F1257" s="4"/>
      <c r="G1257" s="4"/>
      <c r="H1257" s="4">
        <v>22563665.993000001</v>
      </c>
      <c r="I1257" s="4"/>
      <c r="K1257" s="48" t="e">
        <f t="shared" si="76"/>
        <v>#DIV/0!</v>
      </c>
      <c r="L1257" s="48" t="e">
        <f t="shared" si="77"/>
        <v>#DIV/0!</v>
      </c>
      <c r="M1257" s="48">
        <f t="shared" si="78"/>
        <v>5.9515293912139162</v>
      </c>
      <c r="N1257" s="48" t="e">
        <f t="shared" si="79"/>
        <v>#DIV/0!</v>
      </c>
    </row>
    <row r="1258" spans="1:14" x14ac:dyDescent="0.25">
      <c r="A1258" s="5">
        <v>2023</v>
      </c>
      <c r="B1258" s="4"/>
      <c r="C1258" s="4"/>
      <c r="D1258" s="4">
        <v>3600257.0469999998</v>
      </c>
      <c r="E1258" s="4"/>
      <c r="F1258" s="4"/>
      <c r="G1258" s="4"/>
      <c r="H1258" s="4">
        <v>21138197.704999998</v>
      </c>
      <c r="I1258" s="4"/>
      <c r="K1258" s="48" t="e">
        <f t="shared" si="76"/>
        <v>#DIV/0!</v>
      </c>
      <c r="L1258" s="48" t="e">
        <f t="shared" si="77"/>
        <v>#DIV/0!</v>
      </c>
      <c r="M1258" s="48">
        <f t="shared" si="78"/>
        <v>5.871302362317131</v>
      </c>
      <c r="N1258" s="48" t="e">
        <f t="shared" si="79"/>
        <v>#DIV/0!</v>
      </c>
    </row>
    <row r="1259" spans="1:14" x14ac:dyDescent="0.25">
      <c r="A1259" s="5">
        <v>2024</v>
      </c>
      <c r="B1259" s="4"/>
      <c r="C1259" s="4"/>
      <c r="D1259" s="4">
        <v>3554945.7489999998</v>
      </c>
      <c r="E1259" s="4"/>
      <c r="F1259" s="4"/>
      <c r="G1259" s="4"/>
      <c r="H1259" s="4">
        <v>24747661.18</v>
      </c>
      <c r="I1259" s="4"/>
      <c r="K1259" s="48" t="e">
        <f t="shared" si="76"/>
        <v>#DIV/0!</v>
      </c>
      <c r="L1259" s="48" t="e">
        <f t="shared" si="77"/>
        <v>#DIV/0!</v>
      </c>
      <c r="M1259" s="48">
        <f t="shared" si="78"/>
        <v>6.9614736559514236</v>
      </c>
      <c r="N1259" s="48" t="e">
        <f t="shared" si="79"/>
        <v>#DIV/0!</v>
      </c>
    </row>
    <row r="1260" spans="1:14" x14ac:dyDescent="0.25">
      <c r="A1260" s="5">
        <v>2025</v>
      </c>
      <c r="B1260" s="4"/>
      <c r="C1260" s="4"/>
      <c r="D1260" s="4">
        <v>2725665</v>
      </c>
      <c r="E1260" s="4"/>
      <c r="F1260" s="4"/>
      <c r="G1260" s="4"/>
      <c r="H1260" s="4">
        <v>18942460.508000001</v>
      </c>
      <c r="I1260" s="4"/>
      <c r="K1260" s="48" t="e">
        <f t="shared" si="76"/>
        <v>#DIV/0!</v>
      </c>
      <c r="L1260" s="48" t="e">
        <f t="shared" si="77"/>
        <v>#DIV/0!</v>
      </c>
      <c r="M1260" s="48">
        <f t="shared" si="78"/>
        <v>6.9496656808521964</v>
      </c>
      <c r="N1260" s="48" t="e">
        <f t="shared" si="79"/>
        <v>#DIV/0!</v>
      </c>
    </row>
    <row r="1261" spans="1:14" x14ac:dyDescent="0.25">
      <c r="A1261" s="3" t="s">
        <v>84</v>
      </c>
      <c r="B1261" s="4">
        <v>2389592.165</v>
      </c>
      <c r="C1261" s="4"/>
      <c r="D1261" s="4">
        <v>46198753.719999999</v>
      </c>
      <c r="E1261" s="4"/>
      <c r="F1261" s="4">
        <v>21584700.388</v>
      </c>
      <c r="G1261" s="4"/>
      <c r="H1261" s="4">
        <v>341734991.59400004</v>
      </c>
      <c r="I1261" s="4"/>
      <c r="K1261" s="48">
        <f t="shared" si="76"/>
        <v>9.0327967693181659</v>
      </c>
      <c r="L1261" s="48" t="e">
        <f t="shared" si="77"/>
        <v>#DIV/0!</v>
      </c>
      <c r="M1261" s="48">
        <f t="shared" si="78"/>
        <v>7.3970608312331771</v>
      </c>
      <c r="N1261" s="48" t="e">
        <f t="shared" si="79"/>
        <v>#DIV/0!</v>
      </c>
    </row>
    <row r="1262" spans="1:14" x14ac:dyDescent="0.25">
      <c r="A1262" s="5">
        <v>2010</v>
      </c>
      <c r="B1262" s="4"/>
      <c r="C1262" s="4"/>
      <c r="D1262" s="4">
        <v>2658346.554</v>
      </c>
      <c r="E1262" s="4"/>
      <c r="F1262" s="4"/>
      <c r="G1262" s="4"/>
      <c r="H1262" s="4">
        <v>16368591.066</v>
      </c>
      <c r="I1262" s="4"/>
      <c r="K1262" s="48" t="e">
        <f t="shared" si="76"/>
        <v>#DIV/0!</v>
      </c>
      <c r="L1262" s="48" t="e">
        <f t="shared" si="77"/>
        <v>#DIV/0!</v>
      </c>
      <c r="M1262" s="48">
        <f t="shared" si="78"/>
        <v>6.1574331011772214</v>
      </c>
      <c r="N1262" s="48" t="e">
        <f t="shared" si="79"/>
        <v>#DIV/0!</v>
      </c>
    </row>
    <row r="1263" spans="1:14" x14ac:dyDescent="0.25">
      <c r="A1263" s="5">
        <v>2011</v>
      </c>
      <c r="B1263" s="4"/>
      <c r="C1263" s="4"/>
      <c r="D1263" s="4">
        <v>2952364.8220000002</v>
      </c>
      <c r="E1263" s="4"/>
      <c r="F1263" s="4"/>
      <c r="G1263" s="4"/>
      <c r="H1263" s="4">
        <v>21298932.441</v>
      </c>
      <c r="I1263" s="4"/>
      <c r="K1263" s="48" t="e">
        <f t="shared" si="76"/>
        <v>#DIV/0!</v>
      </c>
      <c r="L1263" s="48" t="e">
        <f t="shared" si="77"/>
        <v>#DIV/0!</v>
      </c>
      <c r="M1263" s="48">
        <f t="shared" si="78"/>
        <v>7.2141939513327529</v>
      </c>
      <c r="N1263" s="48" t="e">
        <f t="shared" si="79"/>
        <v>#DIV/0!</v>
      </c>
    </row>
    <row r="1264" spans="1:14" x14ac:dyDescent="0.25">
      <c r="A1264" s="5">
        <v>2012</v>
      </c>
      <c r="B1264" s="4"/>
      <c r="C1264" s="4"/>
      <c r="D1264" s="4">
        <v>2705570.577</v>
      </c>
      <c r="E1264" s="4"/>
      <c r="F1264" s="4"/>
      <c r="G1264" s="4"/>
      <c r="H1264" s="4">
        <v>19990568.017000001</v>
      </c>
      <c r="I1264" s="4"/>
      <c r="K1264" s="48" t="e">
        <f t="shared" si="76"/>
        <v>#DIV/0!</v>
      </c>
      <c r="L1264" s="48" t="e">
        <f t="shared" si="77"/>
        <v>#DIV/0!</v>
      </c>
      <c r="M1264" s="48">
        <f t="shared" si="78"/>
        <v>7.3886699489340284</v>
      </c>
      <c r="N1264" s="48" t="e">
        <f t="shared" si="79"/>
        <v>#DIV/0!</v>
      </c>
    </row>
    <row r="1265" spans="1:14" x14ac:dyDescent="0.25">
      <c r="A1265" s="5">
        <v>2013</v>
      </c>
      <c r="B1265" s="4"/>
      <c r="C1265" s="4"/>
      <c r="D1265" s="4">
        <v>2666902.0660000001</v>
      </c>
      <c r="E1265" s="4"/>
      <c r="F1265" s="4"/>
      <c r="G1265" s="4"/>
      <c r="H1265" s="4">
        <v>23325817.191</v>
      </c>
      <c r="I1265" s="4"/>
      <c r="K1265" s="48" t="e">
        <f t="shared" si="76"/>
        <v>#DIV/0!</v>
      </c>
      <c r="L1265" s="48" t="e">
        <f t="shared" si="77"/>
        <v>#DIV/0!</v>
      </c>
      <c r="M1265" s="48">
        <f t="shared" si="78"/>
        <v>8.7464093595253889</v>
      </c>
      <c r="N1265" s="48" t="e">
        <f t="shared" si="79"/>
        <v>#DIV/0!</v>
      </c>
    </row>
    <row r="1266" spans="1:14" x14ac:dyDescent="0.25">
      <c r="A1266" s="5">
        <v>2014</v>
      </c>
      <c r="B1266" s="4"/>
      <c r="C1266" s="4"/>
      <c r="D1266" s="4">
        <v>2814873.355</v>
      </c>
      <c r="E1266" s="4"/>
      <c r="F1266" s="4"/>
      <c r="G1266" s="4"/>
      <c r="H1266" s="4">
        <v>22388418.250999998</v>
      </c>
      <c r="I1266" s="4"/>
      <c r="K1266" s="48" t="e">
        <f t="shared" si="76"/>
        <v>#DIV/0!</v>
      </c>
      <c r="L1266" s="48" t="e">
        <f t="shared" si="77"/>
        <v>#DIV/0!</v>
      </c>
      <c r="M1266" s="48">
        <f t="shared" si="78"/>
        <v>7.9536147554318655</v>
      </c>
      <c r="N1266" s="48" t="e">
        <f t="shared" si="79"/>
        <v>#DIV/0!</v>
      </c>
    </row>
    <row r="1267" spans="1:14" x14ac:dyDescent="0.25">
      <c r="A1267" s="5">
        <v>2015</v>
      </c>
      <c r="B1267" s="4"/>
      <c r="C1267" s="4"/>
      <c r="D1267" s="4">
        <v>2783873.395</v>
      </c>
      <c r="E1267" s="4"/>
      <c r="F1267" s="4"/>
      <c r="G1267" s="4"/>
      <c r="H1267" s="4">
        <v>17424525.035</v>
      </c>
      <c r="I1267" s="4"/>
      <c r="K1267" s="48" t="e">
        <f t="shared" si="76"/>
        <v>#DIV/0!</v>
      </c>
      <c r="L1267" s="48" t="e">
        <f t="shared" si="77"/>
        <v>#DIV/0!</v>
      </c>
      <c r="M1267" s="48">
        <f t="shared" si="78"/>
        <v>6.2590939179545559</v>
      </c>
      <c r="N1267" s="48" t="e">
        <f t="shared" si="79"/>
        <v>#DIV/0!</v>
      </c>
    </row>
    <row r="1268" spans="1:14" x14ac:dyDescent="0.25">
      <c r="A1268" s="5">
        <v>2016</v>
      </c>
      <c r="B1268" s="4"/>
      <c r="C1268" s="4"/>
      <c r="D1268" s="4">
        <v>1552378.2509999999</v>
      </c>
      <c r="E1268" s="4"/>
      <c r="F1268" s="4"/>
      <c r="G1268" s="4"/>
      <c r="H1268" s="4">
        <v>16910019.230999999</v>
      </c>
      <c r="I1268" s="4"/>
      <c r="K1268" s="48" t="e">
        <f t="shared" si="76"/>
        <v>#DIV/0!</v>
      </c>
      <c r="L1268" s="48" t="e">
        <f t="shared" si="77"/>
        <v>#DIV/0!</v>
      </c>
      <c r="M1268" s="48">
        <f t="shared" si="78"/>
        <v>10.892976128792723</v>
      </c>
      <c r="N1268" s="48" t="e">
        <f t="shared" si="79"/>
        <v>#DIV/0!</v>
      </c>
    </row>
    <row r="1269" spans="1:14" x14ac:dyDescent="0.25">
      <c r="A1269" s="5">
        <v>2017</v>
      </c>
      <c r="B1269" s="4"/>
      <c r="C1269" s="4"/>
      <c r="D1269" s="4">
        <v>2927124.95</v>
      </c>
      <c r="E1269" s="4"/>
      <c r="F1269" s="4"/>
      <c r="G1269" s="4"/>
      <c r="H1269" s="4">
        <v>19888849.27</v>
      </c>
      <c r="I1269" s="4"/>
      <c r="K1269" s="48" t="e">
        <f t="shared" si="76"/>
        <v>#DIV/0!</v>
      </c>
      <c r="L1269" s="48" t="e">
        <f t="shared" si="77"/>
        <v>#DIV/0!</v>
      </c>
      <c r="M1269" s="48">
        <f t="shared" si="78"/>
        <v>6.7946704051700966</v>
      </c>
      <c r="N1269" s="48" t="e">
        <f t="shared" si="79"/>
        <v>#DIV/0!</v>
      </c>
    </row>
    <row r="1270" spans="1:14" x14ac:dyDescent="0.25">
      <c r="A1270" s="5">
        <v>2018</v>
      </c>
      <c r="B1270" s="4"/>
      <c r="C1270" s="4"/>
      <c r="D1270" s="4">
        <v>2795320.68</v>
      </c>
      <c r="E1270" s="4"/>
      <c r="F1270" s="4"/>
      <c r="G1270" s="4"/>
      <c r="H1270" s="4">
        <v>20028689.350000001</v>
      </c>
      <c r="I1270" s="4"/>
      <c r="K1270" s="48" t="e">
        <f t="shared" si="76"/>
        <v>#DIV/0!</v>
      </c>
      <c r="L1270" s="48" t="e">
        <f t="shared" si="77"/>
        <v>#DIV/0!</v>
      </c>
      <c r="M1270" s="48">
        <f t="shared" si="78"/>
        <v>7.1650775144696457</v>
      </c>
      <c r="N1270" s="48" t="e">
        <f t="shared" si="79"/>
        <v>#DIV/0!</v>
      </c>
    </row>
    <row r="1271" spans="1:14" x14ac:dyDescent="0.25">
      <c r="A1271" s="5">
        <v>2019</v>
      </c>
      <c r="B1271" s="4"/>
      <c r="C1271" s="4"/>
      <c r="D1271" s="4">
        <v>3016154.997</v>
      </c>
      <c r="E1271" s="4"/>
      <c r="F1271" s="4"/>
      <c r="G1271" s="4"/>
      <c r="H1271" s="4">
        <v>20323551.269000001</v>
      </c>
      <c r="I1271" s="4"/>
      <c r="K1271" s="48" t="e">
        <f t="shared" si="76"/>
        <v>#DIV/0!</v>
      </c>
      <c r="L1271" s="48" t="e">
        <f t="shared" si="77"/>
        <v>#DIV/0!</v>
      </c>
      <c r="M1271" s="48">
        <f t="shared" si="78"/>
        <v>6.738231718600237</v>
      </c>
      <c r="N1271" s="48" t="e">
        <f t="shared" si="79"/>
        <v>#DIV/0!</v>
      </c>
    </row>
    <row r="1272" spans="1:14" x14ac:dyDescent="0.25">
      <c r="A1272" s="5">
        <v>2020</v>
      </c>
      <c r="B1272" s="4"/>
      <c r="C1272" s="4"/>
      <c r="D1272" s="4">
        <v>3463222.8470000001</v>
      </c>
      <c r="E1272" s="4"/>
      <c r="F1272" s="4"/>
      <c r="G1272" s="4"/>
      <c r="H1272" s="4">
        <v>23144057.934999999</v>
      </c>
      <c r="I1272" s="4"/>
      <c r="K1272" s="48" t="e">
        <f t="shared" si="76"/>
        <v>#DIV/0!</v>
      </c>
      <c r="L1272" s="48" t="e">
        <f t="shared" si="77"/>
        <v>#DIV/0!</v>
      </c>
      <c r="M1272" s="48">
        <f t="shared" si="78"/>
        <v>6.6828093245713101</v>
      </c>
      <c r="N1272" s="48" t="e">
        <f t="shared" si="79"/>
        <v>#DIV/0!</v>
      </c>
    </row>
    <row r="1273" spans="1:14" x14ac:dyDescent="0.25">
      <c r="A1273" s="5">
        <v>2021</v>
      </c>
      <c r="B1273" s="4"/>
      <c r="C1273" s="4"/>
      <c r="D1273" s="4">
        <v>3367016.45</v>
      </c>
      <c r="E1273" s="4"/>
      <c r="F1273" s="4"/>
      <c r="G1273" s="4"/>
      <c r="H1273" s="4">
        <v>23119974.223999999</v>
      </c>
      <c r="I1273" s="4"/>
      <c r="K1273" s="48" t="e">
        <f t="shared" si="76"/>
        <v>#DIV/0!</v>
      </c>
      <c r="L1273" s="48" t="e">
        <f t="shared" si="77"/>
        <v>#DIV/0!</v>
      </c>
      <c r="M1273" s="48">
        <f t="shared" si="78"/>
        <v>6.8666056633017041</v>
      </c>
      <c r="N1273" s="48" t="e">
        <f t="shared" si="79"/>
        <v>#DIV/0!</v>
      </c>
    </row>
    <row r="1274" spans="1:14" x14ac:dyDescent="0.25">
      <c r="A1274" s="5">
        <v>2022</v>
      </c>
      <c r="B1274" s="4"/>
      <c r="C1274" s="4"/>
      <c r="D1274" s="4">
        <v>3487841.1030000001</v>
      </c>
      <c r="E1274" s="4"/>
      <c r="F1274" s="4"/>
      <c r="G1274" s="4"/>
      <c r="H1274" s="4">
        <v>23868634.421</v>
      </c>
      <c r="I1274" s="4"/>
      <c r="K1274" s="48" t="e">
        <f t="shared" si="76"/>
        <v>#DIV/0!</v>
      </c>
      <c r="L1274" s="48" t="e">
        <f t="shared" si="77"/>
        <v>#DIV/0!</v>
      </c>
      <c r="M1274" s="48">
        <f t="shared" si="78"/>
        <v>6.8433835476248754</v>
      </c>
      <c r="N1274" s="48" t="e">
        <f t="shared" si="79"/>
        <v>#DIV/0!</v>
      </c>
    </row>
    <row r="1275" spans="1:14" x14ac:dyDescent="0.25">
      <c r="A1275" s="5">
        <v>2023</v>
      </c>
      <c r="B1275" s="4">
        <v>1262453.8589999999</v>
      </c>
      <c r="C1275" s="4"/>
      <c r="D1275" s="4">
        <v>3189400.8339999998</v>
      </c>
      <c r="E1275" s="4"/>
      <c r="F1275" s="4">
        <v>11274328.822000001</v>
      </c>
      <c r="G1275" s="4"/>
      <c r="H1275" s="4">
        <v>25045029.607999999</v>
      </c>
      <c r="I1275" s="4"/>
      <c r="K1275" s="48">
        <f t="shared" si="76"/>
        <v>8.930487828624873</v>
      </c>
      <c r="L1275" s="48" t="e">
        <f t="shared" si="77"/>
        <v>#DIV/0!</v>
      </c>
      <c r="M1275" s="48">
        <f t="shared" si="78"/>
        <v>7.8525813817480179</v>
      </c>
      <c r="N1275" s="48" t="e">
        <f t="shared" si="79"/>
        <v>#DIV/0!</v>
      </c>
    </row>
    <row r="1276" spans="1:14" x14ac:dyDescent="0.25">
      <c r="A1276" s="5">
        <v>2024</v>
      </c>
      <c r="B1276" s="4"/>
      <c r="C1276" s="4"/>
      <c r="D1276" s="4">
        <v>3396183.875</v>
      </c>
      <c r="E1276" s="4"/>
      <c r="F1276" s="4"/>
      <c r="G1276" s="4"/>
      <c r="H1276" s="4">
        <v>28433016.160999998</v>
      </c>
      <c r="I1276" s="4"/>
      <c r="K1276" s="48" t="e">
        <f t="shared" si="76"/>
        <v>#DIV/0!</v>
      </c>
      <c r="L1276" s="48" t="e">
        <f t="shared" si="77"/>
        <v>#DIV/0!</v>
      </c>
      <c r="M1276" s="48">
        <f t="shared" si="78"/>
        <v>8.3720485131271047</v>
      </c>
      <c r="N1276" s="48" t="e">
        <f t="shared" si="79"/>
        <v>#DIV/0!</v>
      </c>
    </row>
    <row r="1277" spans="1:14" x14ac:dyDescent="0.25">
      <c r="A1277" s="5">
        <v>2025</v>
      </c>
      <c r="B1277" s="4">
        <v>1127138.3060000001</v>
      </c>
      <c r="C1277" s="4"/>
      <c r="D1277" s="4">
        <v>2422178.9640000002</v>
      </c>
      <c r="E1277" s="4"/>
      <c r="F1277" s="4">
        <v>10310371.566</v>
      </c>
      <c r="G1277" s="4"/>
      <c r="H1277" s="4">
        <v>20176318.124000002</v>
      </c>
      <c r="I1277" s="4"/>
      <c r="K1277" s="48">
        <f t="shared" si="76"/>
        <v>9.1473881342827852</v>
      </c>
      <c r="L1277" s="48" t="e">
        <f t="shared" si="77"/>
        <v>#DIV/0!</v>
      </c>
      <c r="M1277" s="48">
        <f t="shared" si="78"/>
        <v>8.3298213814394266</v>
      </c>
      <c r="N1277" s="48" t="e">
        <f t="shared" si="79"/>
        <v>#DIV/0!</v>
      </c>
    </row>
    <row r="1278" spans="1:14" x14ac:dyDescent="0.25">
      <c r="A1278" s="3" t="s">
        <v>48</v>
      </c>
      <c r="B1278" s="4"/>
      <c r="C1278" s="4">
        <v>91653973.169999987</v>
      </c>
      <c r="D1278" s="4">
        <v>168649204.12000003</v>
      </c>
      <c r="E1278" s="4">
        <v>873176.51</v>
      </c>
      <c r="F1278" s="4"/>
      <c r="G1278" s="4">
        <v>402427460.31300002</v>
      </c>
      <c r="H1278" s="4">
        <v>601144462.75800002</v>
      </c>
      <c r="I1278" s="4">
        <v>1803648.675</v>
      </c>
      <c r="K1278" s="48" t="e">
        <f t="shared" si="76"/>
        <v>#DIV/0!</v>
      </c>
      <c r="L1278" s="48">
        <f t="shared" si="77"/>
        <v>4.3907257524622167</v>
      </c>
      <c r="M1278" s="48">
        <f t="shared" si="78"/>
        <v>3.5644666448011453</v>
      </c>
      <c r="N1278" s="48">
        <f t="shared" si="79"/>
        <v>2.0656174946804282</v>
      </c>
    </row>
    <row r="1279" spans="1:14" x14ac:dyDescent="0.25">
      <c r="A1279" s="5">
        <v>2010</v>
      </c>
      <c r="B1279" s="4"/>
      <c r="C1279" s="4">
        <v>7730047.0199999996</v>
      </c>
      <c r="D1279" s="4">
        <v>12352099.23</v>
      </c>
      <c r="E1279" s="4"/>
      <c r="F1279" s="4"/>
      <c r="G1279" s="4">
        <v>23475727.693</v>
      </c>
      <c r="H1279" s="4">
        <v>33646563.531000003</v>
      </c>
      <c r="I1279" s="4"/>
      <c r="K1279" s="48" t="e">
        <f t="shared" si="76"/>
        <v>#DIV/0!</v>
      </c>
      <c r="L1279" s="48">
        <f t="shared" si="77"/>
        <v>3.0369450059308956</v>
      </c>
      <c r="M1279" s="48">
        <f t="shared" si="78"/>
        <v>2.7239550868634015</v>
      </c>
      <c r="N1279" s="48" t="e">
        <f t="shared" si="79"/>
        <v>#DIV/0!</v>
      </c>
    </row>
    <row r="1280" spans="1:14" x14ac:dyDescent="0.25">
      <c r="A1280" s="5">
        <v>2011</v>
      </c>
      <c r="B1280" s="4"/>
      <c r="C1280" s="4">
        <v>4158000.18</v>
      </c>
      <c r="D1280" s="4">
        <v>9866276.9000000004</v>
      </c>
      <c r="E1280" s="4"/>
      <c r="F1280" s="4"/>
      <c r="G1280" s="4">
        <v>19946202.072999999</v>
      </c>
      <c r="H1280" s="4">
        <v>31353090.432</v>
      </c>
      <c r="I1280" s="4"/>
      <c r="K1280" s="48" t="e">
        <f t="shared" si="76"/>
        <v>#DIV/0!</v>
      </c>
      <c r="L1280" s="48">
        <f t="shared" si="77"/>
        <v>4.7970661879576921</v>
      </c>
      <c r="M1280" s="48">
        <f t="shared" si="78"/>
        <v>3.17780361830307</v>
      </c>
      <c r="N1280" s="48" t="e">
        <f t="shared" si="79"/>
        <v>#DIV/0!</v>
      </c>
    </row>
    <row r="1281" spans="1:14" x14ac:dyDescent="0.25">
      <c r="A1281" s="5">
        <v>2012</v>
      </c>
      <c r="B1281" s="4"/>
      <c r="C1281" s="4">
        <v>6068284.4900000002</v>
      </c>
      <c r="D1281" s="4">
        <v>11769692.050000001</v>
      </c>
      <c r="E1281" s="4"/>
      <c r="F1281" s="4"/>
      <c r="G1281" s="4">
        <v>21004916.046</v>
      </c>
      <c r="H1281" s="4">
        <v>49823833.011</v>
      </c>
      <c r="I1281" s="4"/>
      <c r="K1281" s="48" t="e">
        <f t="shared" si="76"/>
        <v>#DIV/0!</v>
      </c>
      <c r="L1281" s="48">
        <f t="shared" si="77"/>
        <v>3.4614257259385672</v>
      </c>
      <c r="M1281" s="48">
        <f t="shared" si="78"/>
        <v>4.2332316597017501</v>
      </c>
      <c r="N1281" s="48" t="e">
        <f t="shared" si="79"/>
        <v>#DIV/0!</v>
      </c>
    </row>
    <row r="1282" spans="1:14" x14ac:dyDescent="0.25">
      <c r="A1282" s="5">
        <v>2013</v>
      </c>
      <c r="B1282" s="4"/>
      <c r="C1282" s="4">
        <v>3841395.09</v>
      </c>
      <c r="D1282" s="4">
        <v>12097192.77</v>
      </c>
      <c r="E1282" s="4"/>
      <c r="F1282" s="4"/>
      <c r="G1282" s="4">
        <v>13496316.804</v>
      </c>
      <c r="H1282" s="4">
        <v>51251206.605999999</v>
      </c>
      <c r="I1282" s="4"/>
      <c r="K1282" s="48" t="e">
        <f t="shared" si="76"/>
        <v>#DIV/0!</v>
      </c>
      <c r="L1282" s="48">
        <f t="shared" si="77"/>
        <v>3.5133894035356827</v>
      </c>
      <c r="M1282" s="48">
        <f t="shared" si="78"/>
        <v>4.236619815888079</v>
      </c>
      <c r="N1282" s="48" t="e">
        <f t="shared" si="79"/>
        <v>#DIV/0!</v>
      </c>
    </row>
    <row r="1283" spans="1:14" x14ac:dyDescent="0.25">
      <c r="A1283" s="5">
        <v>2014</v>
      </c>
      <c r="B1283" s="4"/>
      <c r="C1283" s="4">
        <v>7324183.1600000001</v>
      </c>
      <c r="D1283" s="4">
        <v>12920188.01</v>
      </c>
      <c r="E1283" s="4"/>
      <c r="F1283" s="4"/>
      <c r="G1283" s="4">
        <v>23084127.438999999</v>
      </c>
      <c r="H1283" s="4">
        <v>44611831.131999999</v>
      </c>
      <c r="I1283" s="4"/>
      <c r="K1283" s="48" t="e">
        <f t="shared" si="76"/>
        <v>#DIV/0!</v>
      </c>
      <c r="L1283" s="48">
        <f t="shared" si="77"/>
        <v>3.1517681814773182</v>
      </c>
      <c r="M1283" s="48">
        <f t="shared" si="78"/>
        <v>3.4528778604050672</v>
      </c>
      <c r="N1283" s="48" t="e">
        <f t="shared" si="79"/>
        <v>#DIV/0!</v>
      </c>
    </row>
    <row r="1284" spans="1:14" x14ac:dyDescent="0.25">
      <c r="A1284" s="5">
        <v>2015</v>
      </c>
      <c r="B1284" s="4"/>
      <c r="C1284" s="4">
        <v>5668159.4000000004</v>
      </c>
      <c r="D1284" s="4">
        <v>12537893.5</v>
      </c>
      <c r="E1284" s="4"/>
      <c r="F1284" s="4"/>
      <c r="G1284" s="4">
        <v>19029320.295000002</v>
      </c>
      <c r="H1284" s="4">
        <v>37803646.656999998</v>
      </c>
      <c r="I1284" s="4"/>
      <c r="K1284" s="48" t="e">
        <f t="shared" si="76"/>
        <v>#DIV/0!</v>
      </c>
      <c r="L1284" s="48">
        <f t="shared" si="77"/>
        <v>3.3572309725446323</v>
      </c>
      <c r="M1284" s="48">
        <f t="shared" si="78"/>
        <v>3.0151513615106076</v>
      </c>
      <c r="N1284" s="48" t="e">
        <f t="shared" si="79"/>
        <v>#DIV/0!</v>
      </c>
    </row>
    <row r="1285" spans="1:14" x14ac:dyDescent="0.25">
      <c r="A1285" s="5">
        <v>2016</v>
      </c>
      <c r="B1285" s="4"/>
      <c r="C1285" s="4">
        <v>3775152.28</v>
      </c>
      <c r="D1285" s="4">
        <v>7416107.4900000002</v>
      </c>
      <c r="E1285" s="4"/>
      <c r="F1285" s="4"/>
      <c r="G1285" s="4">
        <v>13123667.444</v>
      </c>
      <c r="H1285" s="4">
        <v>23910724.145</v>
      </c>
      <c r="I1285" s="4"/>
      <c r="K1285" s="48" t="e">
        <f t="shared" si="76"/>
        <v>#DIV/0!</v>
      </c>
      <c r="L1285" s="48">
        <f t="shared" si="77"/>
        <v>3.4763279652390606</v>
      </c>
      <c r="M1285" s="48">
        <f t="shared" si="78"/>
        <v>3.2241609465938308</v>
      </c>
      <c r="N1285" s="48" t="e">
        <f t="shared" si="79"/>
        <v>#DIV/0!</v>
      </c>
    </row>
    <row r="1286" spans="1:14" x14ac:dyDescent="0.25">
      <c r="A1286" s="5">
        <v>2017</v>
      </c>
      <c r="B1286" s="4"/>
      <c r="C1286" s="4">
        <v>2761003.68</v>
      </c>
      <c r="D1286" s="4">
        <v>13433807.609999999</v>
      </c>
      <c r="E1286" s="4"/>
      <c r="F1286" s="4"/>
      <c r="G1286" s="4">
        <v>10584489.143999999</v>
      </c>
      <c r="H1286" s="4">
        <v>46739352.033</v>
      </c>
      <c r="I1286" s="4"/>
      <c r="K1286" s="48" t="e">
        <f t="shared" si="76"/>
        <v>#DIV/0!</v>
      </c>
      <c r="L1286" s="48">
        <f t="shared" si="77"/>
        <v>3.8335657502636864</v>
      </c>
      <c r="M1286" s="48">
        <f t="shared" si="78"/>
        <v>3.4792333930856407</v>
      </c>
      <c r="N1286" s="48" t="e">
        <f t="shared" si="79"/>
        <v>#DIV/0!</v>
      </c>
    </row>
    <row r="1287" spans="1:14" x14ac:dyDescent="0.25">
      <c r="A1287" s="5">
        <v>2018</v>
      </c>
      <c r="B1287" s="4"/>
      <c r="C1287" s="4">
        <v>4527381.91</v>
      </c>
      <c r="D1287" s="4">
        <v>10361797.5</v>
      </c>
      <c r="E1287" s="4"/>
      <c r="F1287" s="4"/>
      <c r="G1287" s="4">
        <v>22025251.136</v>
      </c>
      <c r="H1287" s="4">
        <v>39992173.489</v>
      </c>
      <c r="I1287" s="4"/>
      <c r="K1287" s="48" t="e">
        <f t="shared" ref="K1287:K1350" si="80">F1287/B1287</f>
        <v>#DIV/0!</v>
      </c>
      <c r="L1287" s="48">
        <f t="shared" ref="L1287:L1350" si="81">G1287/C1287</f>
        <v>4.8648979860415613</v>
      </c>
      <c r="M1287" s="48">
        <f t="shared" ref="M1287:M1350" si="82">H1287/D1287</f>
        <v>3.8595787544583842</v>
      </c>
      <c r="N1287" s="48" t="e">
        <f t="shared" ref="N1287:N1350" si="83">I1287/E1287</f>
        <v>#DIV/0!</v>
      </c>
    </row>
    <row r="1288" spans="1:14" x14ac:dyDescent="0.25">
      <c r="A1288" s="5">
        <v>2019</v>
      </c>
      <c r="B1288" s="4"/>
      <c r="C1288" s="4">
        <v>5756749.1900000004</v>
      </c>
      <c r="D1288" s="4">
        <v>13025113.93</v>
      </c>
      <c r="E1288" s="4"/>
      <c r="F1288" s="4"/>
      <c r="G1288" s="4">
        <v>28101521.482999999</v>
      </c>
      <c r="H1288" s="4">
        <v>46407730.967</v>
      </c>
      <c r="I1288" s="4"/>
      <c r="K1288" s="48" t="e">
        <f t="shared" si="80"/>
        <v>#DIV/0!</v>
      </c>
      <c r="L1288" s="48">
        <f t="shared" si="81"/>
        <v>4.8814913687424335</v>
      </c>
      <c r="M1288" s="48">
        <f t="shared" si="82"/>
        <v>3.5629424215715861</v>
      </c>
      <c r="N1288" s="48" t="e">
        <f t="shared" si="83"/>
        <v>#DIV/0!</v>
      </c>
    </row>
    <row r="1289" spans="1:14" x14ac:dyDescent="0.25">
      <c r="A1289" s="5">
        <v>2020</v>
      </c>
      <c r="B1289" s="4"/>
      <c r="C1289" s="4">
        <v>5898854.2800000003</v>
      </c>
      <c r="D1289" s="4">
        <v>7986505.8600000003</v>
      </c>
      <c r="E1289" s="4"/>
      <c r="F1289" s="4"/>
      <c r="G1289" s="4">
        <v>25890469.838</v>
      </c>
      <c r="H1289" s="4">
        <v>27181612.339000002</v>
      </c>
      <c r="I1289" s="4"/>
      <c r="K1289" s="48" t="e">
        <f t="shared" si="80"/>
        <v>#DIV/0!</v>
      </c>
      <c r="L1289" s="48">
        <f t="shared" si="81"/>
        <v>4.3890675390611609</v>
      </c>
      <c r="M1289" s="48">
        <f t="shared" si="82"/>
        <v>3.4034423583331597</v>
      </c>
      <c r="N1289" s="48" t="e">
        <f t="shared" si="83"/>
        <v>#DIV/0!</v>
      </c>
    </row>
    <row r="1290" spans="1:14" x14ac:dyDescent="0.25">
      <c r="A1290" s="5">
        <v>2021</v>
      </c>
      <c r="B1290" s="4"/>
      <c r="C1290" s="4">
        <v>7587241.8799999999</v>
      </c>
      <c r="D1290" s="4">
        <v>10360166.289999999</v>
      </c>
      <c r="E1290" s="4"/>
      <c r="F1290" s="4"/>
      <c r="G1290" s="4">
        <v>37329188.044</v>
      </c>
      <c r="H1290" s="4">
        <v>35719424.615999997</v>
      </c>
      <c r="I1290" s="4"/>
      <c r="K1290" s="48" t="e">
        <f t="shared" si="80"/>
        <v>#DIV/0!</v>
      </c>
      <c r="L1290" s="48">
        <f t="shared" si="81"/>
        <v>4.919994463653504</v>
      </c>
      <c r="M1290" s="48">
        <f t="shared" si="82"/>
        <v>3.4477655682493875</v>
      </c>
      <c r="N1290" s="48" t="e">
        <f t="shared" si="83"/>
        <v>#DIV/0!</v>
      </c>
    </row>
    <row r="1291" spans="1:14" x14ac:dyDescent="0.25">
      <c r="A1291" s="5">
        <v>2022</v>
      </c>
      <c r="B1291" s="4"/>
      <c r="C1291" s="4">
        <v>6898721.3099999996</v>
      </c>
      <c r="D1291" s="4">
        <v>9957418.9399999995</v>
      </c>
      <c r="E1291" s="4"/>
      <c r="F1291" s="4"/>
      <c r="G1291" s="4">
        <v>38660580.914999999</v>
      </c>
      <c r="H1291" s="4">
        <v>37012640.895000003</v>
      </c>
      <c r="I1291" s="4"/>
      <c r="K1291" s="48" t="e">
        <f t="shared" si="80"/>
        <v>#DIV/0!</v>
      </c>
      <c r="L1291" s="48">
        <f t="shared" si="81"/>
        <v>5.6040212639057891</v>
      </c>
      <c r="M1291" s="48">
        <f t="shared" si="82"/>
        <v>3.7170918606544041</v>
      </c>
      <c r="N1291" s="48" t="e">
        <f t="shared" si="83"/>
        <v>#DIV/0!</v>
      </c>
    </row>
    <row r="1292" spans="1:14" x14ac:dyDescent="0.25">
      <c r="A1292" s="5">
        <v>2023</v>
      </c>
      <c r="B1292" s="4"/>
      <c r="C1292" s="4">
        <v>5909405.6600000001</v>
      </c>
      <c r="D1292" s="4">
        <v>5944322.7400000002</v>
      </c>
      <c r="E1292" s="4"/>
      <c r="F1292" s="4"/>
      <c r="G1292" s="4">
        <v>38051205.792999998</v>
      </c>
      <c r="H1292" s="4">
        <v>24575438.504999999</v>
      </c>
      <c r="I1292" s="4"/>
      <c r="K1292" s="48" t="e">
        <f t="shared" si="80"/>
        <v>#DIV/0!</v>
      </c>
      <c r="L1292" s="48">
        <f t="shared" si="81"/>
        <v>6.4390918448133743</v>
      </c>
      <c r="M1292" s="48">
        <f t="shared" si="82"/>
        <v>4.1342705603161782</v>
      </c>
      <c r="N1292" s="48" t="e">
        <f t="shared" si="83"/>
        <v>#DIV/0!</v>
      </c>
    </row>
    <row r="1293" spans="1:14" x14ac:dyDescent="0.25">
      <c r="A1293" s="5">
        <v>2024</v>
      </c>
      <c r="B1293" s="4"/>
      <c r="C1293" s="4">
        <v>6740565.5099999998</v>
      </c>
      <c r="D1293" s="4">
        <v>12565010.960000001</v>
      </c>
      <c r="E1293" s="4"/>
      <c r="F1293" s="4"/>
      <c r="G1293" s="4">
        <v>34028178.002999999</v>
      </c>
      <c r="H1293" s="4">
        <v>47773301.384000003</v>
      </c>
      <c r="I1293" s="4"/>
      <c r="K1293" s="48" t="e">
        <f t="shared" si="80"/>
        <v>#DIV/0!</v>
      </c>
      <c r="L1293" s="48">
        <f t="shared" si="81"/>
        <v>5.048267530746096</v>
      </c>
      <c r="M1293" s="48">
        <f t="shared" si="82"/>
        <v>3.8020899095180734</v>
      </c>
      <c r="N1293" s="48" t="e">
        <f t="shared" si="83"/>
        <v>#DIV/0!</v>
      </c>
    </row>
    <row r="1294" spans="1:14" x14ac:dyDescent="0.25">
      <c r="A1294" s="5">
        <v>2025</v>
      </c>
      <c r="B1294" s="4"/>
      <c r="C1294" s="4">
        <v>7008828.1299999999</v>
      </c>
      <c r="D1294" s="4">
        <v>6055610.3399999999</v>
      </c>
      <c r="E1294" s="4">
        <v>873176.51</v>
      </c>
      <c r="F1294" s="4"/>
      <c r="G1294" s="4">
        <v>34596298.163000003</v>
      </c>
      <c r="H1294" s="4">
        <v>23341893.015999999</v>
      </c>
      <c r="I1294" s="4">
        <v>1803648.675</v>
      </c>
      <c r="K1294" s="48" t="e">
        <f t="shared" si="80"/>
        <v>#DIV/0!</v>
      </c>
      <c r="L1294" s="48">
        <f t="shared" si="81"/>
        <v>4.9361030861802577</v>
      </c>
      <c r="M1294" s="48">
        <f t="shared" si="82"/>
        <v>3.8545896623857074</v>
      </c>
      <c r="N1294" s="48">
        <f t="shared" si="83"/>
        <v>2.0656174946804282</v>
      </c>
    </row>
    <row r="1295" spans="1:14" x14ac:dyDescent="0.25">
      <c r="A1295" s="3" t="s">
        <v>49</v>
      </c>
      <c r="B1295" s="4">
        <v>3904352025.0030003</v>
      </c>
      <c r="C1295" s="4">
        <v>4678936657.3570004</v>
      </c>
      <c r="D1295" s="4">
        <v>2489807609.5960002</v>
      </c>
      <c r="E1295" s="4">
        <v>2006296356.5029998</v>
      </c>
      <c r="F1295" s="4">
        <v>9580124042.2719994</v>
      </c>
      <c r="G1295" s="4">
        <v>10635891274.273998</v>
      </c>
      <c r="H1295" s="4">
        <v>12064240132.946001</v>
      </c>
      <c r="I1295" s="4">
        <v>12278661560.994003</v>
      </c>
      <c r="K1295" s="48">
        <f t="shared" si="80"/>
        <v>2.4537039644279099</v>
      </c>
      <c r="L1295" s="48">
        <f t="shared" si="81"/>
        <v>2.2731428213610214</v>
      </c>
      <c r="M1295" s="48">
        <f t="shared" si="82"/>
        <v>4.8454507434426075</v>
      </c>
      <c r="N1295" s="48">
        <f t="shared" si="83"/>
        <v>6.120063728967672</v>
      </c>
    </row>
    <row r="1296" spans="1:14" x14ac:dyDescent="0.25">
      <c r="A1296" s="5">
        <v>2002</v>
      </c>
      <c r="B1296" s="4">
        <v>206176080.36000001</v>
      </c>
      <c r="C1296" s="4">
        <v>139380165.37</v>
      </c>
      <c r="D1296" s="4">
        <v>23180653.050000001</v>
      </c>
      <c r="E1296" s="4">
        <v>58702818.995999999</v>
      </c>
      <c r="F1296" s="4">
        <v>267675826.458</v>
      </c>
      <c r="G1296" s="4">
        <v>240306005.11399999</v>
      </c>
      <c r="H1296" s="4">
        <v>63260874.240000002</v>
      </c>
      <c r="I1296" s="4">
        <v>207129474.38</v>
      </c>
      <c r="K1296" s="48">
        <f t="shared" si="80"/>
        <v>1.2982874928586114</v>
      </c>
      <c r="L1296" s="48">
        <f t="shared" si="81"/>
        <v>1.7241047495967681</v>
      </c>
      <c r="M1296" s="48">
        <f t="shared" si="82"/>
        <v>2.7290376204478846</v>
      </c>
      <c r="N1296" s="48">
        <f t="shared" si="83"/>
        <v>3.5284416987557918</v>
      </c>
    </row>
    <row r="1297" spans="1:14" x14ac:dyDescent="0.25">
      <c r="A1297" s="5">
        <v>2003</v>
      </c>
      <c r="B1297" s="4">
        <v>153583177.22999999</v>
      </c>
      <c r="C1297" s="4">
        <v>149982154.34200001</v>
      </c>
      <c r="D1297" s="4">
        <v>39104270.600000001</v>
      </c>
      <c r="E1297" s="4">
        <v>49202771.215000004</v>
      </c>
      <c r="F1297" s="4">
        <v>200136298.47099999</v>
      </c>
      <c r="G1297" s="4">
        <v>207998869.097</v>
      </c>
      <c r="H1297" s="4">
        <v>107058934.02500001</v>
      </c>
      <c r="I1297" s="4">
        <v>190962183.06200001</v>
      </c>
      <c r="K1297" s="48">
        <f t="shared" si="80"/>
        <v>1.3031134143766534</v>
      </c>
      <c r="L1297" s="48">
        <f t="shared" si="81"/>
        <v>1.3868241192395874</v>
      </c>
      <c r="M1297" s="48">
        <f t="shared" si="82"/>
        <v>2.7377811267754475</v>
      </c>
      <c r="N1297" s="48">
        <f t="shared" si="83"/>
        <v>3.8811265777603823</v>
      </c>
    </row>
    <row r="1298" spans="1:14" x14ac:dyDescent="0.25">
      <c r="A1298" s="5">
        <v>2004</v>
      </c>
      <c r="B1298" s="4">
        <v>128723629.23</v>
      </c>
      <c r="C1298" s="4">
        <v>179678681.66</v>
      </c>
      <c r="D1298" s="4">
        <v>38517622.509999998</v>
      </c>
      <c r="E1298" s="4">
        <v>52762098.990000002</v>
      </c>
      <c r="F1298" s="4">
        <v>207131281.15799999</v>
      </c>
      <c r="G1298" s="4">
        <v>321061359.94199997</v>
      </c>
      <c r="H1298" s="4">
        <v>118133797.634</v>
      </c>
      <c r="I1298" s="4">
        <v>224479252.56999999</v>
      </c>
      <c r="K1298" s="48">
        <f t="shared" si="80"/>
        <v>1.609116231394496</v>
      </c>
      <c r="L1298" s="48">
        <f t="shared" si="81"/>
        <v>1.7868639561232631</v>
      </c>
      <c r="M1298" s="48">
        <f t="shared" si="82"/>
        <v>3.0670064748500492</v>
      </c>
      <c r="N1298" s="48">
        <f t="shared" si="83"/>
        <v>4.2545550095068343</v>
      </c>
    </row>
    <row r="1299" spans="1:14" x14ac:dyDescent="0.25">
      <c r="A1299" s="5">
        <v>2005</v>
      </c>
      <c r="B1299" s="4">
        <v>159301638.81200001</v>
      </c>
      <c r="C1299" s="4">
        <v>179485998.03</v>
      </c>
      <c r="D1299" s="4">
        <v>62645721.859999999</v>
      </c>
      <c r="E1299" s="4">
        <v>67129402.873999998</v>
      </c>
      <c r="F1299" s="4">
        <v>262957792.685</v>
      </c>
      <c r="G1299" s="4">
        <v>258656536.06</v>
      </c>
      <c r="H1299" s="4">
        <v>206899070.84099999</v>
      </c>
      <c r="I1299" s="4">
        <v>286000444.03200001</v>
      </c>
      <c r="K1299" s="48">
        <f t="shared" si="80"/>
        <v>1.6506910703871032</v>
      </c>
      <c r="L1299" s="48">
        <f t="shared" si="81"/>
        <v>1.4410959010672639</v>
      </c>
      <c r="M1299" s="48">
        <f t="shared" si="82"/>
        <v>3.3026847595974047</v>
      </c>
      <c r="N1299" s="48">
        <f t="shared" si="83"/>
        <v>4.2604347988736739</v>
      </c>
    </row>
    <row r="1300" spans="1:14" x14ac:dyDescent="0.25">
      <c r="A1300" s="5">
        <v>2006</v>
      </c>
      <c r="B1300" s="4">
        <v>143303939.81999999</v>
      </c>
      <c r="C1300" s="4">
        <v>179718422.22099999</v>
      </c>
      <c r="D1300" s="4">
        <v>75759711.269999996</v>
      </c>
      <c r="E1300" s="4">
        <v>69327136.086999997</v>
      </c>
      <c r="F1300" s="4">
        <v>250753139.398</v>
      </c>
      <c r="G1300" s="4">
        <v>285186320.49299997</v>
      </c>
      <c r="H1300" s="4">
        <v>270129689.11900002</v>
      </c>
      <c r="I1300" s="4">
        <v>319990850.76499999</v>
      </c>
      <c r="K1300" s="48">
        <f t="shared" si="80"/>
        <v>1.7497993405691699</v>
      </c>
      <c r="L1300" s="48">
        <f t="shared" si="81"/>
        <v>1.5868507911910443</v>
      </c>
      <c r="M1300" s="48">
        <f t="shared" si="82"/>
        <v>3.5656113861929195</v>
      </c>
      <c r="N1300" s="48">
        <f t="shared" si="83"/>
        <v>4.615665218932989</v>
      </c>
    </row>
    <row r="1301" spans="1:14" x14ac:dyDescent="0.25">
      <c r="A1301" s="5">
        <v>2007</v>
      </c>
      <c r="B1301" s="4">
        <v>158404791.97999999</v>
      </c>
      <c r="C1301" s="4">
        <v>168007357.47999999</v>
      </c>
      <c r="D1301" s="4">
        <v>74811098.819999993</v>
      </c>
      <c r="E1301" s="4">
        <v>70485577.781000003</v>
      </c>
      <c r="F1301" s="4">
        <v>349884960.47600001</v>
      </c>
      <c r="G1301" s="4">
        <v>366417696.47100002</v>
      </c>
      <c r="H1301" s="4">
        <v>313074983.22600001</v>
      </c>
      <c r="I1301" s="4">
        <v>361085187.88700002</v>
      </c>
      <c r="K1301" s="48">
        <f t="shared" si="80"/>
        <v>2.2088028783887808</v>
      </c>
      <c r="L1301" s="48">
        <f t="shared" si="81"/>
        <v>2.1809622028881637</v>
      </c>
      <c r="M1301" s="48">
        <f t="shared" si="82"/>
        <v>4.1848734768523759</v>
      </c>
      <c r="N1301" s="48">
        <f t="shared" si="83"/>
        <v>5.122823693222724</v>
      </c>
    </row>
    <row r="1302" spans="1:14" x14ac:dyDescent="0.25">
      <c r="A1302" s="5">
        <v>2008</v>
      </c>
      <c r="B1302" s="4">
        <v>147888570.11000001</v>
      </c>
      <c r="C1302" s="4">
        <v>173397243.55000001</v>
      </c>
      <c r="D1302" s="4">
        <v>80086140.319999993</v>
      </c>
      <c r="E1302" s="4">
        <v>74128347.044</v>
      </c>
      <c r="F1302" s="4">
        <v>368945202.16100001</v>
      </c>
      <c r="G1302" s="4">
        <v>430442101.63200003</v>
      </c>
      <c r="H1302" s="4">
        <v>407854252.11400002</v>
      </c>
      <c r="I1302" s="4">
        <v>463269788.77499998</v>
      </c>
      <c r="K1302" s="48">
        <f t="shared" si="80"/>
        <v>2.4947512974571149</v>
      </c>
      <c r="L1302" s="48">
        <f t="shared" si="81"/>
        <v>2.4824045228139959</v>
      </c>
      <c r="M1302" s="48">
        <f t="shared" si="82"/>
        <v>5.0926945721736345</v>
      </c>
      <c r="N1302" s="48">
        <f t="shared" si="83"/>
        <v>6.2495631866716144</v>
      </c>
    </row>
    <row r="1303" spans="1:14" x14ac:dyDescent="0.25">
      <c r="A1303" s="5">
        <v>2009</v>
      </c>
      <c r="B1303" s="4">
        <v>148941721.67399999</v>
      </c>
      <c r="C1303" s="4">
        <v>196707582.27700001</v>
      </c>
      <c r="D1303" s="4">
        <v>95680432.030000001</v>
      </c>
      <c r="E1303" s="4">
        <v>68958502.276999995</v>
      </c>
      <c r="F1303" s="4">
        <v>306744563.97799999</v>
      </c>
      <c r="G1303" s="4">
        <v>305586580.77700001</v>
      </c>
      <c r="H1303" s="4">
        <v>398069920.91299999</v>
      </c>
      <c r="I1303" s="4">
        <v>392523401.787</v>
      </c>
      <c r="K1303" s="48">
        <f t="shared" si="80"/>
        <v>2.0594938780779977</v>
      </c>
      <c r="L1303" s="48">
        <f t="shared" si="81"/>
        <v>1.5535068716704503</v>
      </c>
      <c r="M1303" s="48">
        <f t="shared" si="82"/>
        <v>4.1604109896597006</v>
      </c>
      <c r="N1303" s="48">
        <f t="shared" si="83"/>
        <v>5.6921683161021885</v>
      </c>
    </row>
    <row r="1304" spans="1:14" x14ac:dyDescent="0.25">
      <c r="A1304" s="5">
        <v>2010</v>
      </c>
      <c r="B1304" s="4">
        <v>151491829.41</v>
      </c>
      <c r="C1304" s="4">
        <v>181386244.47499999</v>
      </c>
      <c r="D1304" s="4">
        <v>93938279.260000005</v>
      </c>
      <c r="E1304" s="4">
        <v>74981659.096000001</v>
      </c>
      <c r="F1304" s="4">
        <v>318276457.83700001</v>
      </c>
      <c r="G1304" s="4">
        <v>296126414.792</v>
      </c>
      <c r="H1304" s="4">
        <v>397843755.51099998</v>
      </c>
      <c r="I1304" s="4">
        <v>402689593.125</v>
      </c>
      <c r="K1304" s="48">
        <f t="shared" si="80"/>
        <v>2.1009480120251984</v>
      </c>
      <c r="L1304" s="48">
        <f t="shared" si="81"/>
        <v>1.6325737138949052</v>
      </c>
      <c r="M1304" s="48">
        <f t="shared" si="82"/>
        <v>4.2351611999391432</v>
      </c>
      <c r="N1304" s="48">
        <f t="shared" si="83"/>
        <v>5.3705079079329421</v>
      </c>
    </row>
    <row r="1305" spans="1:14" x14ac:dyDescent="0.25">
      <c r="A1305" s="5">
        <v>2011</v>
      </c>
      <c r="B1305" s="4">
        <v>173283630.22099999</v>
      </c>
      <c r="C1305" s="4">
        <v>204253093.55500001</v>
      </c>
      <c r="D1305" s="4">
        <v>89365476.986000001</v>
      </c>
      <c r="E1305" s="4">
        <v>93632869.053000003</v>
      </c>
      <c r="F1305" s="4">
        <v>456117728.54400003</v>
      </c>
      <c r="G1305" s="4">
        <v>430839470.236</v>
      </c>
      <c r="H1305" s="4">
        <v>436326167.986</v>
      </c>
      <c r="I1305" s="4">
        <v>590211957.39400005</v>
      </c>
      <c r="K1305" s="48">
        <f t="shared" si="80"/>
        <v>2.6322032148234844</v>
      </c>
      <c r="L1305" s="48">
        <f t="shared" si="81"/>
        <v>2.1093412233679887</v>
      </c>
      <c r="M1305" s="48">
        <f t="shared" si="82"/>
        <v>4.8824913456720527</v>
      </c>
      <c r="N1305" s="48">
        <f t="shared" si="83"/>
        <v>6.3034697469316692</v>
      </c>
    </row>
    <row r="1306" spans="1:14" x14ac:dyDescent="0.25">
      <c r="A1306" s="5">
        <v>2012</v>
      </c>
      <c r="B1306" s="4">
        <v>168298294.56799999</v>
      </c>
      <c r="C1306" s="4">
        <v>211027818.315</v>
      </c>
      <c r="D1306" s="4">
        <v>88544049.162</v>
      </c>
      <c r="E1306" s="4">
        <v>85210293.834000006</v>
      </c>
      <c r="F1306" s="4">
        <v>504334943.75999999</v>
      </c>
      <c r="G1306" s="4">
        <v>557663389.96500003</v>
      </c>
      <c r="H1306" s="4">
        <v>539862154.75300002</v>
      </c>
      <c r="I1306" s="4">
        <v>571439284.25700104</v>
      </c>
      <c r="K1306" s="48">
        <f t="shared" si="80"/>
        <v>2.996672931562157</v>
      </c>
      <c r="L1306" s="48">
        <f t="shared" si="81"/>
        <v>2.6426060526891253</v>
      </c>
      <c r="M1306" s="48">
        <f t="shared" si="82"/>
        <v>6.097102627024312</v>
      </c>
      <c r="N1306" s="48">
        <f t="shared" si="83"/>
        <v>6.7062236092065834</v>
      </c>
    </row>
    <row r="1307" spans="1:14" x14ac:dyDescent="0.25">
      <c r="A1307" s="5">
        <v>2013</v>
      </c>
      <c r="B1307" s="4">
        <v>167528449.472</v>
      </c>
      <c r="C1307" s="4">
        <v>220177798.53400001</v>
      </c>
      <c r="D1307" s="4">
        <v>90129386.758000001</v>
      </c>
      <c r="E1307" s="4">
        <v>78373781.450000003</v>
      </c>
      <c r="F1307" s="4">
        <v>517704804.51099998</v>
      </c>
      <c r="G1307" s="4">
        <v>614848049.98199999</v>
      </c>
      <c r="H1307" s="4">
        <v>582428048.29299998</v>
      </c>
      <c r="I1307" s="4">
        <v>567915662.30900002</v>
      </c>
      <c r="K1307" s="48">
        <f t="shared" si="80"/>
        <v>3.0902500807633091</v>
      </c>
      <c r="L1307" s="48">
        <f t="shared" si="81"/>
        <v>2.7925070287550118</v>
      </c>
      <c r="M1307" s="48">
        <f t="shared" si="82"/>
        <v>6.4621325989583847</v>
      </c>
      <c r="N1307" s="48">
        <f t="shared" si="83"/>
        <v>7.246245514787522</v>
      </c>
    </row>
    <row r="1308" spans="1:14" x14ac:dyDescent="0.25">
      <c r="A1308" s="5">
        <v>2014</v>
      </c>
      <c r="B1308" s="4">
        <v>181148372.08000001</v>
      </c>
      <c r="C1308" s="4">
        <v>235282769.78200001</v>
      </c>
      <c r="D1308" s="4">
        <v>97040139.280000001</v>
      </c>
      <c r="E1308" s="4">
        <v>79983769.131999999</v>
      </c>
      <c r="F1308" s="4">
        <v>459985525.43300003</v>
      </c>
      <c r="G1308" s="4">
        <v>489514179.96200001</v>
      </c>
      <c r="H1308" s="4">
        <v>504777429.509</v>
      </c>
      <c r="I1308" s="4">
        <v>561917618.38</v>
      </c>
      <c r="K1308" s="48">
        <f t="shared" si="80"/>
        <v>2.5392749609135765</v>
      </c>
      <c r="L1308" s="48">
        <f t="shared" si="81"/>
        <v>2.0805356057970448</v>
      </c>
      <c r="M1308" s="48">
        <f t="shared" si="82"/>
        <v>5.201738510004744</v>
      </c>
      <c r="N1308" s="48">
        <f t="shared" si="83"/>
        <v>7.0253955831044648</v>
      </c>
    </row>
    <row r="1309" spans="1:14" x14ac:dyDescent="0.25">
      <c r="A1309" s="5">
        <v>2015</v>
      </c>
      <c r="B1309" s="4">
        <v>180751703.43099999</v>
      </c>
      <c r="C1309" s="4">
        <v>195324083.08899999</v>
      </c>
      <c r="D1309" s="4">
        <v>116017305.42399999</v>
      </c>
      <c r="E1309" s="4">
        <v>84741438.530000001</v>
      </c>
      <c r="F1309" s="4">
        <v>388105862.53600001</v>
      </c>
      <c r="G1309" s="4">
        <v>391293522.85399997</v>
      </c>
      <c r="H1309" s="4">
        <v>464607944.611</v>
      </c>
      <c r="I1309" s="4">
        <v>456493833.62</v>
      </c>
      <c r="K1309" s="48">
        <f t="shared" si="80"/>
        <v>2.1471767909736754</v>
      </c>
      <c r="L1309" s="48">
        <f t="shared" si="81"/>
        <v>2.0033040302342338</v>
      </c>
      <c r="M1309" s="48">
        <f t="shared" si="82"/>
        <v>4.0046434703256653</v>
      </c>
      <c r="N1309" s="48">
        <f t="shared" si="83"/>
        <v>5.3869021052597894</v>
      </c>
    </row>
    <row r="1310" spans="1:14" x14ac:dyDescent="0.25">
      <c r="A1310" s="5">
        <v>2016</v>
      </c>
      <c r="B1310" s="4">
        <v>208788008.98300001</v>
      </c>
      <c r="C1310" s="4">
        <v>195959986.34200001</v>
      </c>
      <c r="D1310" s="4">
        <v>95039529.467999995</v>
      </c>
      <c r="E1310" s="4">
        <v>90497430.424999997</v>
      </c>
      <c r="F1310" s="4">
        <v>481150009.565</v>
      </c>
      <c r="G1310" s="4">
        <v>422138082.33899999</v>
      </c>
      <c r="H1310" s="4">
        <v>405801807.42799997</v>
      </c>
      <c r="I1310" s="4">
        <v>486059200.68000001</v>
      </c>
      <c r="K1310" s="48">
        <f t="shared" si="80"/>
        <v>2.304490626203425</v>
      </c>
      <c r="L1310" s="48">
        <f t="shared" si="81"/>
        <v>2.1542055101099145</v>
      </c>
      <c r="M1310" s="48">
        <f t="shared" si="82"/>
        <v>4.269821301720925</v>
      </c>
      <c r="N1310" s="48">
        <f t="shared" si="83"/>
        <v>5.3709723955402575</v>
      </c>
    </row>
    <row r="1311" spans="1:14" x14ac:dyDescent="0.25">
      <c r="A1311" s="5">
        <v>2017</v>
      </c>
      <c r="B1311" s="4">
        <v>203591905.26300001</v>
      </c>
      <c r="C1311" s="4">
        <v>197502911.71200001</v>
      </c>
      <c r="D1311" s="4">
        <v>122589193.71600001</v>
      </c>
      <c r="E1311" s="4">
        <v>97631053.725999996</v>
      </c>
      <c r="F1311" s="4">
        <v>555314726.69500005</v>
      </c>
      <c r="G1311" s="4">
        <v>536804936.301</v>
      </c>
      <c r="H1311" s="4">
        <v>619260506.75699997</v>
      </c>
      <c r="I1311" s="4">
        <v>593129248.64699996</v>
      </c>
      <c r="K1311" s="48">
        <f t="shared" si="80"/>
        <v>2.727587454803984</v>
      </c>
      <c r="L1311" s="48">
        <f t="shared" si="81"/>
        <v>2.717959607014667</v>
      </c>
      <c r="M1311" s="48">
        <f t="shared" si="82"/>
        <v>5.0515097455623108</v>
      </c>
      <c r="N1311" s="48">
        <f t="shared" si="83"/>
        <v>6.0752109703907093</v>
      </c>
    </row>
    <row r="1312" spans="1:14" x14ac:dyDescent="0.25">
      <c r="A1312" s="5">
        <v>2018</v>
      </c>
      <c r="B1312" s="4">
        <v>198543899.46700001</v>
      </c>
      <c r="C1312" s="4">
        <v>244197677.58399999</v>
      </c>
      <c r="D1312" s="4">
        <v>128279314.345</v>
      </c>
      <c r="E1312" s="4">
        <v>102591937.932</v>
      </c>
      <c r="F1312" s="4">
        <v>550071381.46300006</v>
      </c>
      <c r="G1312" s="4">
        <v>601119815.39499998</v>
      </c>
      <c r="H1312" s="4">
        <v>706951190.95000005</v>
      </c>
      <c r="I1312" s="4">
        <v>656991661.93599999</v>
      </c>
      <c r="K1312" s="48">
        <f t="shared" si="80"/>
        <v>2.770527741923531</v>
      </c>
      <c r="L1312" s="48">
        <f t="shared" si="81"/>
        <v>2.4616115163020935</v>
      </c>
      <c r="M1312" s="48">
        <f t="shared" si="82"/>
        <v>5.5110303212932257</v>
      </c>
      <c r="N1312" s="48">
        <f t="shared" si="83"/>
        <v>6.4039307101447607</v>
      </c>
    </row>
    <row r="1313" spans="1:14" x14ac:dyDescent="0.25">
      <c r="A1313" s="5">
        <v>2019</v>
      </c>
      <c r="B1313" s="4">
        <v>195378846.169</v>
      </c>
      <c r="C1313" s="4">
        <v>228996525.93700001</v>
      </c>
      <c r="D1313" s="4">
        <v>154699825.48800001</v>
      </c>
      <c r="E1313" s="4">
        <v>95936904.187000006</v>
      </c>
      <c r="F1313" s="4">
        <v>496077314.11199898</v>
      </c>
      <c r="G1313" s="4">
        <v>513020338.58600003</v>
      </c>
      <c r="H1313" s="4">
        <v>715354608.125</v>
      </c>
      <c r="I1313" s="4">
        <v>587863245.94400001</v>
      </c>
      <c r="K1313" s="48">
        <f t="shared" si="80"/>
        <v>2.5390533511642248</v>
      </c>
      <c r="L1313" s="48">
        <f t="shared" si="81"/>
        <v>2.2402974738889214</v>
      </c>
      <c r="M1313" s="48">
        <f t="shared" si="82"/>
        <v>4.6241461867743974</v>
      </c>
      <c r="N1313" s="48">
        <f t="shared" si="83"/>
        <v>6.1276028336096635</v>
      </c>
    </row>
    <row r="1314" spans="1:14" x14ac:dyDescent="0.25">
      <c r="A1314" s="5">
        <v>2020</v>
      </c>
      <c r="B1314" s="4">
        <v>175343895.37</v>
      </c>
      <c r="C1314" s="4">
        <v>193538267.211</v>
      </c>
      <c r="D1314" s="4">
        <v>138712321.49399999</v>
      </c>
      <c r="E1314" s="4">
        <v>106207657.587</v>
      </c>
      <c r="F1314" s="4">
        <v>442080176.78899997</v>
      </c>
      <c r="G1314" s="4">
        <v>454098989.412</v>
      </c>
      <c r="H1314" s="4">
        <v>612321948.60800004</v>
      </c>
      <c r="I1314" s="4">
        <v>664228244.49399996</v>
      </c>
      <c r="K1314" s="48">
        <f t="shared" si="80"/>
        <v>2.5212179520487403</v>
      </c>
      <c r="L1314" s="48">
        <f t="shared" si="81"/>
        <v>2.3463007908246412</v>
      </c>
      <c r="M1314" s="48">
        <f t="shared" si="82"/>
        <v>4.4143299024411906</v>
      </c>
      <c r="N1314" s="48">
        <f t="shared" si="83"/>
        <v>6.2540522932623519</v>
      </c>
    </row>
    <row r="1315" spans="1:14" x14ac:dyDescent="0.25">
      <c r="A1315" s="5">
        <v>2021</v>
      </c>
      <c r="B1315" s="4">
        <v>158998960.83700001</v>
      </c>
      <c r="C1315" s="4">
        <v>204522966.104</v>
      </c>
      <c r="D1315" s="4">
        <v>138421164.95300001</v>
      </c>
      <c r="E1315" s="4">
        <v>96794742.7959999</v>
      </c>
      <c r="F1315" s="4">
        <v>460971656.35900003</v>
      </c>
      <c r="G1315" s="4">
        <v>566047606.31400001</v>
      </c>
      <c r="H1315" s="4">
        <v>653178549.50999999</v>
      </c>
      <c r="I1315" s="4">
        <v>635114053.21500003</v>
      </c>
      <c r="K1315" s="48">
        <f t="shared" si="80"/>
        <v>2.8992117554250654</v>
      </c>
      <c r="L1315" s="48">
        <f t="shared" si="81"/>
        <v>2.7676481379903546</v>
      </c>
      <c r="M1315" s="48">
        <f t="shared" si="82"/>
        <v>4.7187765666600372</v>
      </c>
      <c r="N1315" s="48">
        <f t="shared" si="83"/>
        <v>6.5614519432479605</v>
      </c>
    </row>
    <row r="1316" spans="1:14" x14ac:dyDescent="0.25">
      <c r="A1316" s="5">
        <v>2022</v>
      </c>
      <c r="B1316" s="4">
        <v>143254497.745</v>
      </c>
      <c r="C1316" s="4">
        <v>212125497.79699999</v>
      </c>
      <c r="D1316" s="4">
        <v>164786353.20500001</v>
      </c>
      <c r="E1316" s="4">
        <v>96553675.380999997</v>
      </c>
      <c r="F1316" s="4">
        <v>533127248.69300002</v>
      </c>
      <c r="G1316" s="4">
        <v>665065128.646999</v>
      </c>
      <c r="H1316" s="4">
        <v>881492356.47500002</v>
      </c>
      <c r="I1316" s="4">
        <v>646706781.16199994</v>
      </c>
      <c r="K1316" s="48">
        <f t="shared" si="80"/>
        <v>3.7215393379270543</v>
      </c>
      <c r="L1316" s="48">
        <f t="shared" si="81"/>
        <v>3.1352436908996837</v>
      </c>
      <c r="M1316" s="48">
        <f t="shared" si="82"/>
        <v>5.3493043527602833</v>
      </c>
      <c r="N1316" s="48">
        <f t="shared" si="83"/>
        <v>6.6978991593028478</v>
      </c>
    </row>
    <row r="1317" spans="1:14" x14ac:dyDescent="0.25">
      <c r="A1317" s="5">
        <v>2023</v>
      </c>
      <c r="B1317" s="4">
        <v>101350727.42</v>
      </c>
      <c r="C1317" s="4">
        <v>218692707.31200001</v>
      </c>
      <c r="D1317" s="4">
        <v>140761502.95699999</v>
      </c>
      <c r="E1317" s="4">
        <v>103888492.645</v>
      </c>
      <c r="F1317" s="4">
        <v>364696420.36699998</v>
      </c>
      <c r="G1317" s="4">
        <v>640632178.023</v>
      </c>
      <c r="H1317" s="4">
        <v>816105992.50199997</v>
      </c>
      <c r="I1317" s="4">
        <v>790360622.03400004</v>
      </c>
      <c r="K1317" s="48">
        <f t="shared" si="80"/>
        <v>3.5983601662343152</v>
      </c>
      <c r="L1317" s="48">
        <f t="shared" si="81"/>
        <v>2.9293714724059638</v>
      </c>
      <c r="M1317" s="48">
        <f t="shared" si="82"/>
        <v>5.7977925452480079</v>
      </c>
      <c r="N1317" s="48">
        <f t="shared" si="83"/>
        <v>7.6077783199219322</v>
      </c>
    </row>
    <row r="1318" spans="1:14" x14ac:dyDescent="0.25">
      <c r="A1318" s="5">
        <v>2024</v>
      </c>
      <c r="B1318" s="4">
        <v>138828824.67399999</v>
      </c>
      <c r="C1318" s="4">
        <v>194809440.998</v>
      </c>
      <c r="D1318" s="4">
        <v>173609677.56299999</v>
      </c>
      <c r="E1318" s="4">
        <v>106986895.721</v>
      </c>
      <c r="F1318" s="4">
        <v>432932797.63499999</v>
      </c>
      <c r="G1318" s="4">
        <v>547260170.18400002</v>
      </c>
      <c r="H1318" s="4">
        <v>930840252.18400002</v>
      </c>
      <c r="I1318" s="4">
        <v>826864823.94099998</v>
      </c>
      <c r="K1318" s="48">
        <f t="shared" si="80"/>
        <v>3.1184647615624459</v>
      </c>
      <c r="L1318" s="48">
        <f t="shared" si="81"/>
        <v>2.8092076409665303</v>
      </c>
      <c r="M1318" s="48">
        <f t="shared" si="82"/>
        <v>5.3616841252770255</v>
      </c>
      <c r="N1318" s="48">
        <f t="shared" si="83"/>
        <v>7.7286551625658415</v>
      </c>
    </row>
    <row r="1319" spans="1:14" x14ac:dyDescent="0.25">
      <c r="A1319" s="5">
        <v>2025</v>
      </c>
      <c r="B1319" s="4">
        <v>111446630.677</v>
      </c>
      <c r="C1319" s="4">
        <v>174781263.68000001</v>
      </c>
      <c r="D1319" s="4">
        <v>168088439.07699999</v>
      </c>
      <c r="E1319" s="4">
        <v>101587099.744</v>
      </c>
      <c r="F1319" s="4">
        <v>404947923.18800002</v>
      </c>
      <c r="G1319" s="4">
        <v>493763531.69599903</v>
      </c>
      <c r="H1319" s="4">
        <v>912605897.63199997</v>
      </c>
      <c r="I1319" s="4">
        <v>795235146.59800005</v>
      </c>
      <c r="K1319" s="48">
        <f t="shared" si="80"/>
        <v>3.6335591370333988</v>
      </c>
      <c r="L1319" s="48">
        <f t="shared" si="81"/>
        <v>2.8250369707820102</v>
      </c>
      <c r="M1319" s="48">
        <f t="shared" si="82"/>
        <v>5.4293198428354872</v>
      </c>
      <c r="N1319" s="48">
        <f t="shared" si="83"/>
        <v>7.8281115279597175</v>
      </c>
    </row>
    <row r="1320" spans="1:14" x14ac:dyDescent="0.25">
      <c r="A1320" s="3" t="s">
        <v>104</v>
      </c>
      <c r="B1320" s="4"/>
      <c r="C1320" s="4"/>
      <c r="D1320" s="4">
        <v>21467901.464999996</v>
      </c>
      <c r="E1320" s="4"/>
      <c r="F1320" s="4"/>
      <c r="G1320" s="4"/>
      <c r="H1320" s="4">
        <v>99814740.219999999</v>
      </c>
      <c r="I1320" s="4"/>
      <c r="K1320" s="48" t="e">
        <f t="shared" si="80"/>
        <v>#DIV/0!</v>
      </c>
      <c r="L1320" s="48" t="e">
        <f t="shared" si="81"/>
        <v>#DIV/0!</v>
      </c>
      <c r="M1320" s="48">
        <f t="shared" si="82"/>
        <v>4.6494875329445726</v>
      </c>
      <c r="N1320" s="48" t="e">
        <f t="shared" si="83"/>
        <v>#DIV/0!</v>
      </c>
    </row>
    <row r="1321" spans="1:14" x14ac:dyDescent="0.25">
      <c r="A1321" s="5">
        <v>2007</v>
      </c>
      <c r="B1321" s="4"/>
      <c r="C1321" s="4"/>
      <c r="D1321" s="4">
        <v>3205085.4589999998</v>
      </c>
      <c r="E1321" s="4"/>
      <c r="F1321" s="4"/>
      <c r="G1321" s="4"/>
      <c r="H1321" s="4">
        <v>10700140.744999999</v>
      </c>
      <c r="I1321" s="4"/>
      <c r="K1321" s="48" t="e">
        <f t="shared" si="80"/>
        <v>#DIV/0!</v>
      </c>
      <c r="L1321" s="48" t="e">
        <f t="shared" si="81"/>
        <v>#DIV/0!</v>
      </c>
      <c r="M1321" s="48">
        <f t="shared" si="82"/>
        <v>3.3384884371658807</v>
      </c>
      <c r="N1321" s="48" t="e">
        <f t="shared" si="83"/>
        <v>#DIV/0!</v>
      </c>
    </row>
    <row r="1322" spans="1:14" x14ac:dyDescent="0.25">
      <c r="A1322" s="5">
        <v>2008</v>
      </c>
      <c r="B1322" s="4"/>
      <c r="C1322" s="4"/>
      <c r="D1322" s="4">
        <v>2687154.1860000002</v>
      </c>
      <c r="E1322" s="4"/>
      <c r="F1322" s="4"/>
      <c r="G1322" s="4"/>
      <c r="H1322" s="4">
        <v>11655895.691</v>
      </c>
      <c r="I1322" s="4"/>
      <c r="K1322" s="48" t="e">
        <f t="shared" si="80"/>
        <v>#DIV/0!</v>
      </c>
      <c r="L1322" s="48" t="e">
        <f t="shared" si="81"/>
        <v>#DIV/0!</v>
      </c>
      <c r="M1322" s="48">
        <f t="shared" si="82"/>
        <v>4.3376356115800494</v>
      </c>
      <c r="N1322" s="48" t="e">
        <f t="shared" si="83"/>
        <v>#DIV/0!</v>
      </c>
    </row>
    <row r="1323" spans="1:14" x14ac:dyDescent="0.25">
      <c r="A1323" s="5">
        <v>2009</v>
      </c>
      <c r="B1323" s="4"/>
      <c r="C1323" s="4"/>
      <c r="D1323" s="4">
        <v>1805644.7790000001</v>
      </c>
      <c r="E1323" s="4"/>
      <c r="F1323" s="4"/>
      <c r="G1323" s="4"/>
      <c r="H1323" s="4">
        <v>7118965.4280000003</v>
      </c>
      <c r="I1323" s="4"/>
      <c r="K1323" s="48" t="e">
        <f t="shared" si="80"/>
        <v>#DIV/0!</v>
      </c>
      <c r="L1323" s="48" t="e">
        <f t="shared" si="81"/>
        <v>#DIV/0!</v>
      </c>
      <c r="M1323" s="48">
        <f t="shared" si="82"/>
        <v>3.9426167930674696</v>
      </c>
      <c r="N1323" s="48" t="e">
        <f t="shared" si="83"/>
        <v>#DIV/0!</v>
      </c>
    </row>
    <row r="1324" spans="1:14" x14ac:dyDescent="0.25">
      <c r="A1324" s="5">
        <v>2017</v>
      </c>
      <c r="B1324" s="4"/>
      <c r="C1324" s="4"/>
      <c r="D1324" s="4">
        <v>1358526.0859999999</v>
      </c>
      <c r="E1324" s="4"/>
      <c r="F1324" s="4"/>
      <c r="G1324" s="4"/>
      <c r="H1324" s="4">
        <v>6645524.767</v>
      </c>
      <c r="I1324" s="4"/>
      <c r="K1324" s="48" t="e">
        <f t="shared" si="80"/>
        <v>#DIV/0!</v>
      </c>
      <c r="L1324" s="48" t="e">
        <f t="shared" si="81"/>
        <v>#DIV/0!</v>
      </c>
      <c r="M1324" s="48">
        <f t="shared" si="82"/>
        <v>4.8917167182022006</v>
      </c>
      <c r="N1324" s="48" t="e">
        <f t="shared" si="83"/>
        <v>#DIV/0!</v>
      </c>
    </row>
    <row r="1325" spans="1:14" x14ac:dyDescent="0.25">
      <c r="A1325" s="5">
        <v>2018</v>
      </c>
      <c r="B1325" s="4"/>
      <c r="C1325" s="4"/>
      <c r="D1325" s="4">
        <v>1703300.902</v>
      </c>
      <c r="E1325" s="4"/>
      <c r="F1325" s="4"/>
      <c r="G1325" s="4"/>
      <c r="H1325" s="4">
        <v>9251092.0950000007</v>
      </c>
      <c r="I1325" s="4"/>
      <c r="K1325" s="48" t="e">
        <f t="shared" si="80"/>
        <v>#DIV/0!</v>
      </c>
      <c r="L1325" s="48" t="e">
        <f t="shared" si="81"/>
        <v>#DIV/0!</v>
      </c>
      <c r="M1325" s="48">
        <f t="shared" si="82"/>
        <v>5.4312729384088598</v>
      </c>
      <c r="N1325" s="48" t="e">
        <f t="shared" si="83"/>
        <v>#DIV/0!</v>
      </c>
    </row>
    <row r="1326" spans="1:14" x14ac:dyDescent="0.25">
      <c r="A1326" s="5">
        <v>2019</v>
      </c>
      <c r="B1326" s="4"/>
      <c r="C1326" s="4"/>
      <c r="D1326" s="4">
        <v>2222129.4169999999</v>
      </c>
      <c r="E1326" s="4"/>
      <c r="F1326" s="4"/>
      <c r="G1326" s="4"/>
      <c r="H1326" s="4">
        <v>10779304.83</v>
      </c>
      <c r="I1326" s="4"/>
      <c r="K1326" s="48" t="e">
        <f t="shared" si="80"/>
        <v>#DIV/0!</v>
      </c>
      <c r="L1326" s="48" t="e">
        <f t="shared" si="81"/>
        <v>#DIV/0!</v>
      </c>
      <c r="M1326" s="48">
        <f t="shared" si="82"/>
        <v>4.8508897580558878</v>
      </c>
      <c r="N1326" s="48" t="e">
        <f t="shared" si="83"/>
        <v>#DIV/0!</v>
      </c>
    </row>
    <row r="1327" spans="1:14" x14ac:dyDescent="0.25">
      <c r="A1327" s="5">
        <v>2020</v>
      </c>
      <c r="B1327" s="4"/>
      <c r="C1327" s="4"/>
      <c r="D1327" s="4">
        <v>2240215.1690000002</v>
      </c>
      <c r="E1327" s="4"/>
      <c r="F1327" s="4"/>
      <c r="G1327" s="4"/>
      <c r="H1327" s="4">
        <v>10760907.99</v>
      </c>
      <c r="I1327" s="4"/>
      <c r="K1327" s="48" t="e">
        <f t="shared" si="80"/>
        <v>#DIV/0!</v>
      </c>
      <c r="L1327" s="48" t="e">
        <f t="shared" si="81"/>
        <v>#DIV/0!</v>
      </c>
      <c r="M1327" s="48">
        <f t="shared" si="82"/>
        <v>4.8035153671437349</v>
      </c>
      <c r="N1327" s="48" t="e">
        <f t="shared" si="83"/>
        <v>#DIV/0!</v>
      </c>
    </row>
    <row r="1328" spans="1:14" x14ac:dyDescent="0.25">
      <c r="A1328" s="5">
        <v>2021</v>
      </c>
      <c r="B1328" s="4"/>
      <c r="C1328" s="4"/>
      <c r="D1328" s="4">
        <v>1765135.156</v>
      </c>
      <c r="E1328" s="4"/>
      <c r="F1328" s="4"/>
      <c r="G1328" s="4"/>
      <c r="H1328" s="4">
        <v>8687653.5899999999</v>
      </c>
      <c r="I1328" s="4"/>
      <c r="K1328" s="48" t="e">
        <f t="shared" si="80"/>
        <v>#DIV/0!</v>
      </c>
      <c r="L1328" s="48" t="e">
        <f t="shared" si="81"/>
        <v>#DIV/0!</v>
      </c>
      <c r="M1328" s="48">
        <f t="shared" si="82"/>
        <v>4.9218064466447009</v>
      </c>
      <c r="N1328" s="48" t="e">
        <f t="shared" si="83"/>
        <v>#DIV/0!</v>
      </c>
    </row>
    <row r="1329" spans="1:14" x14ac:dyDescent="0.25">
      <c r="A1329" s="5">
        <v>2022</v>
      </c>
      <c r="B1329" s="4"/>
      <c r="C1329" s="4"/>
      <c r="D1329" s="4">
        <v>2656116.9330000002</v>
      </c>
      <c r="E1329" s="4"/>
      <c r="F1329" s="4"/>
      <c r="G1329" s="4"/>
      <c r="H1329" s="4">
        <v>13795601.472999999</v>
      </c>
      <c r="I1329" s="4"/>
      <c r="K1329" s="48" t="e">
        <f t="shared" si="80"/>
        <v>#DIV/0!</v>
      </c>
      <c r="L1329" s="48" t="e">
        <f t="shared" si="81"/>
        <v>#DIV/0!</v>
      </c>
      <c r="M1329" s="48">
        <f t="shared" si="82"/>
        <v>5.1938983941562782</v>
      </c>
      <c r="N1329" s="48" t="e">
        <f t="shared" si="83"/>
        <v>#DIV/0!</v>
      </c>
    </row>
    <row r="1330" spans="1:14" x14ac:dyDescent="0.25">
      <c r="A1330" s="5">
        <v>2023</v>
      </c>
      <c r="B1330" s="4"/>
      <c r="C1330" s="4"/>
      <c r="D1330" s="4">
        <v>1824593.378</v>
      </c>
      <c r="E1330" s="4"/>
      <c r="F1330" s="4"/>
      <c r="G1330" s="4"/>
      <c r="H1330" s="4">
        <v>10419653.611</v>
      </c>
      <c r="I1330" s="4"/>
      <c r="K1330" s="48" t="e">
        <f t="shared" si="80"/>
        <v>#DIV/0!</v>
      </c>
      <c r="L1330" s="48" t="e">
        <f t="shared" si="81"/>
        <v>#DIV/0!</v>
      </c>
      <c r="M1330" s="48">
        <f t="shared" si="82"/>
        <v>5.7106716140893496</v>
      </c>
      <c r="N1330" s="48" t="e">
        <f t="shared" si="83"/>
        <v>#DIV/0!</v>
      </c>
    </row>
    <row r="1331" spans="1:14" x14ac:dyDescent="0.25">
      <c r="A1331" s="3" t="s">
        <v>103</v>
      </c>
      <c r="B1331" s="4"/>
      <c r="C1331" s="4"/>
      <c r="D1331" s="4">
        <v>4354581.1239999998</v>
      </c>
      <c r="E1331" s="4"/>
      <c r="F1331" s="4"/>
      <c r="G1331" s="4"/>
      <c r="H1331" s="4">
        <v>7743484.3100000005</v>
      </c>
      <c r="I1331" s="4"/>
      <c r="K1331" s="48" t="e">
        <f t="shared" si="80"/>
        <v>#DIV/0!</v>
      </c>
      <c r="L1331" s="48" t="e">
        <f t="shared" si="81"/>
        <v>#DIV/0!</v>
      </c>
      <c r="M1331" s="48">
        <f t="shared" si="82"/>
        <v>1.7782386157240875</v>
      </c>
      <c r="N1331" s="48" t="e">
        <f t="shared" si="83"/>
        <v>#DIV/0!</v>
      </c>
    </row>
    <row r="1332" spans="1:14" x14ac:dyDescent="0.25">
      <c r="A1332" s="5">
        <v>2012</v>
      </c>
      <c r="B1332" s="4"/>
      <c r="C1332" s="4"/>
      <c r="D1332" s="4">
        <v>1535938</v>
      </c>
      <c r="E1332" s="4"/>
      <c r="F1332" s="4"/>
      <c r="G1332" s="4"/>
      <c r="H1332" s="4">
        <v>2020937</v>
      </c>
      <c r="I1332" s="4"/>
      <c r="K1332" s="48" t="e">
        <f t="shared" si="80"/>
        <v>#DIV/0!</v>
      </c>
      <c r="L1332" s="48" t="e">
        <f t="shared" si="81"/>
        <v>#DIV/0!</v>
      </c>
      <c r="M1332" s="48">
        <f t="shared" si="82"/>
        <v>1.315767303107287</v>
      </c>
      <c r="N1332" s="48" t="e">
        <f t="shared" si="83"/>
        <v>#DIV/0!</v>
      </c>
    </row>
    <row r="1333" spans="1:14" x14ac:dyDescent="0.25">
      <c r="A1333" s="5">
        <v>2015</v>
      </c>
      <c r="B1333" s="4"/>
      <c r="C1333" s="4"/>
      <c r="D1333" s="4">
        <v>842723.62399999995</v>
      </c>
      <c r="E1333" s="4"/>
      <c r="F1333" s="4"/>
      <c r="G1333" s="4"/>
      <c r="H1333" s="4">
        <v>1929428.31</v>
      </c>
      <c r="I1333" s="4"/>
      <c r="K1333" s="48" t="e">
        <f t="shared" si="80"/>
        <v>#DIV/0!</v>
      </c>
      <c r="L1333" s="48" t="e">
        <f t="shared" si="81"/>
        <v>#DIV/0!</v>
      </c>
      <c r="M1333" s="48">
        <f t="shared" si="82"/>
        <v>2.2895149193064515</v>
      </c>
      <c r="N1333" s="48" t="e">
        <f t="shared" si="83"/>
        <v>#DIV/0!</v>
      </c>
    </row>
    <row r="1334" spans="1:14" x14ac:dyDescent="0.25">
      <c r="A1334" s="5">
        <v>2016</v>
      </c>
      <c r="B1334" s="4"/>
      <c r="C1334" s="4"/>
      <c r="D1334" s="4">
        <v>963436</v>
      </c>
      <c r="E1334" s="4"/>
      <c r="F1334" s="4"/>
      <c r="G1334" s="4"/>
      <c r="H1334" s="4">
        <v>1970989</v>
      </c>
      <c r="I1334" s="4"/>
      <c r="K1334" s="48" t="e">
        <f t="shared" si="80"/>
        <v>#DIV/0!</v>
      </c>
      <c r="L1334" s="48" t="e">
        <f t="shared" si="81"/>
        <v>#DIV/0!</v>
      </c>
      <c r="M1334" s="48">
        <f t="shared" si="82"/>
        <v>2.0457913135901089</v>
      </c>
      <c r="N1334" s="48" t="e">
        <f t="shared" si="83"/>
        <v>#DIV/0!</v>
      </c>
    </row>
    <row r="1335" spans="1:14" x14ac:dyDescent="0.25">
      <c r="A1335" s="5">
        <v>2018</v>
      </c>
      <c r="B1335" s="4"/>
      <c r="C1335" s="4"/>
      <c r="D1335" s="4">
        <v>1012483.5</v>
      </c>
      <c r="E1335" s="4"/>
      <c r="F1335" s="4"/>
      <c r="G1335" s="4"/>
      <c r="H1335" s="4">
        <v>1822130</v>
      </c>
      <c r="I1335" s="4"/>
      <c r="K1335" s="48" t="e">
        <f t="shared" si="80"/>
        <v>#DIV/0!</v>
      </c>
      <c r="L1335" s="48" t="e">
        <f t="shared" si="81"/>
        <v>#DIV/0!</v>
      </c>
      <c r="M1335" s="48">
        <f t="shared" si="82"/>
        <v>1.7996638957573137</v>
      </c>
      <c r="N1335" s="48" t="e">
        <f t="shared" si="83"/>
        <v>#DIV/0!</v>
      </c>
    </row>
    <row r="1336" spans="1:14" x14ac:dyDescent="0.25">
      <c r="A1336" s="3" t="s">
        <v>102</v>
      </c>
      <c r="B1336" s="4"/>
      <c r="C1336" s="4"/>
      <c r="D1336" s="4">
        <v>1225893.9620000001</v>
      </c>
      <c r="E1336" s="4"/>
      <c r="F1336" s="4"/>
      <c r="G1336" s="4"/>
      <c r="H1336" s="4">
        <v>2416078.6320000002</v>
      </c>
      <c r="I1336" s="4"/>
      <c r="K1336" s="48" t="e">
        <f t="shared" si="80"/>
        <v>#DIV/0!</v>
      </c>
      <c r="L1336" s="48" t="e">
        <f t="shared" si="81"/>
        <v>#DIV/0!</v>
      </c>
      <c r="M1336" s="48">
        <f t="shared" si="82"/>
        <v>1.9708708150077341</v>
      </c>
      <c r="N1336" s="48" t="e">
        <f t="shared" si="83"/>
        <v>#DIV/0!</v>
      </c>
    </row>
    <row r="1337" spans="1:14" x14ac:dyDescent="0.25">
      <c r="A1337" s="5">
        <v>2009</v>
      </c>
      <c r="B1337" s="4"/>
      <c r="C1337" s="4"/>
      <c r="D1337" s="4">
        <v>1225893.9620000001</v>
      </c>
      <c r="E1337" s="4"/>
      <c r="F1337" s="4"/>
      <c r="G1337" s="4"/>
      <c r="H1337" s="4">
        <v>2416078.6320000002</v>
      </c>
      <c r="I1337" s="4"/>
      <c r="K1337" s="48" t="e">
        <f t="shared" si="80"/>
        <v>#DIV/0!</v>
      </c>
      <c r="L1337" s="48" t="e">
        <f t="shared" si="81"/>
        <v>#DIV/0!</v>
      </c>
      <c r="M1337" s="48">
        <f t="shared" si="82"/>
        <v>1.9708708150077341</v>
      </c>
      <c r="N1337" s="48" t="e">
        <f t="shared" si="83"/>
        <v>#DIV/0!</v>
      </c>
    </row>
    <row r="1338" spans="1:14" x14ac:dyDescent="0.25">
      <c r="A1338" s="3" t="s">
        <v>101</v>
      </c>
      <c r="B1338" s="4"/>
      <c r="C1338" s="4"/>
      <c r="D1338" s="4">
        <v>94580979.658999994</v>
      </c>
      <c r="E1338" s="4"/>
      <c r="F1338" s="4"/>
      <c r="G1338" s="4"/>
      <c r="H1338" s="4">
        <v>461148225.12900007</v>
      </c>
      <c r="I1338" s="4"/>
      <c r="K1338" s="48" t="e">
        <f t="shared" si="80"/>
        <v>#DIV/0!</v>
      </c>
      <c r="L1338" s="48" t="e">
        <f t="shared" si="81"/>
        <v>#DIV/0!</v>
      </c>
      <c r="M1338" s="48">
        <f t="shared" si="82"/>
        <v>4.8756972785819395</v>
      </c>
      <c r="N1338" s="48" t="e">
        <f t="shared" si="83"/>
        <v>#DIV/0!</v>
      </c>
    </row>
    <row r="1339" spans="1:14" x14ac:dyDescent="0.25">
      <c r="A1339" s="5">
        <v>2010</v>
      </c>
      <c r="B1339" s="4"/>
      <c r="C1339" s="4"/>
      <c r="D1339" s="4">
        <v>4905200</v>
      </c>
      <c r="E1339" s="4"/>
      <c r="F1339" s="4"/>
      <c r="G1339" s="4"/>
      <c r="H1339" s="4">
        <v>17526526.379999999</v>
      </c>
      <c r="I1339" s="4"/>
      <c r="K1339" s="48" t="e">
        <f t="shared" si="80"/>
        <v>#DIV/0!</v>
      </c>
      <c r="L1339" s="48" t="e">
        <f t="shared" si="81"/>
        <v>#DIV/0!</v>
      </c>
      <c r="M1339" s="48">
        <f t="shared" si="82"/>
        <v>3.5730503098752342</v>
      </c>
      <c r="N1339" s="48" t="e">
        <f t="shared" si="83"/>
        <v>#DIV/0!</v>
      </c>
    </row>
    <row r="1340" spans="1:14" x14ac:dyDescent="0.25">
      <c r="A1340" s="5">
        <v>2011</v>
      </c>
      <c r="B1340" s="4"/>
      <c r="C1340" s="4"/>
      <c r="D1340" s="4">
        <v>5849300</v>
      </c>
      <c r="E1340" s="4"/>
      <c r="F1340" s="4"/>
      <c r="G1340" s="4"/>
      <c r="H1340" s="4">
        <v>24399572.506000001</v>
      </c>
      <c r="I1340" s="4"/>
      <c r="K1340" s="48" t="e">
        <f t="shared" si="80"/>
        <v>#DIV/0!</v>
      </c>
      <c r="L1340" s="48" t="e">
        <f t="shared" si="81"/>
        <v>#DIV/0!</v>
      </c>
      <c r="M1340" s="48">
        <f t="shared" si="82"/>
        <v>4.1713662328825674</v>
      </c>
      <c r="N1340" s="48" t="e">
        <f t="shared" si="83"/>
        <v>#DIV/0!</v>
      </c>
    </row>
    <row r="1341" spans="1:14" x14ac:dyDescent="0.25">
      <c r="A1341" s="5">
        <v>2012</v>
      </c>
      <c r="B1341" s="4"/>
      <c r="C1341" s="4"/>
      <c r="D1341" s="4">
        <v>5035672.1840000004</v>
      </c>
      <c r="E1341" s="4"/>
      <c r="F1341" s="4"/>
      <c r="G1341" s="4"/>
      <c r="H1341" s="4">
        <v>26376042.842</v>
      </c>
      <c r="I1341" s="4"/>
      <c r="K1341" s="48" t="e">
        <f t="shared" si="80"/>
        <v>#DIV/0!</v>
      </c>
      <c r="L1341" s="48" t="e">
        <f t="shared" si="81"/>
        <v>#DIV/0!</v>
      </c>
      <c r="M1341" s="48">
        <f t="shared" si="82"/>
        <v>5.2378395332812628</v>
      </c>
      <c r="N1341" s="48" t="e">
        <f t="shared" si="83"/>
        <v>#DIV/0!</v>
      </c>
    </row>
    <row r="1342" spans="1:14" x14ac:dyDescent="0.25">
      <c r="A1342" s="5">
        <v>2013</v>
      </c>
      <c r="B1342" s="4"/>
      <c r="C1342" s="4"/>
      <c r="D1342" s="4">
        <v>6050368.5219999999</v>
      </c>
      <c r="E1342" s="4"/>
      <c r="F1342" s="4"/>
      <c r="G1342" s="4"/>
      <c r="H1342" s="4">
        <v>33354528.445</v>
      </c>
      <c r="I1342" s="4"/>
      <c r="K1342" s="48" t="e">
        <f t="shared" si="80"/>
        <v>#DIV/0!</v>
      </c>
      <c r="L1342" s="48" t="e">
        <f t="shared" si="81"/>
        <v>#DIV/0!</v>
      </c>
      <c r="M1342" s="48">
        <f t="shared" si="82"/>
        <v>5.5128093972653396</v>
      </c>
      <c r="N1342" s="48" t="e">
        <f t="shared" si="83"/>
        <v>#DIV/0!</v>
      </c>
    </row>
    <row r="1343" spans="1:14" x14ac:dyDescent="0.25">
      <c r="A1343" s="5">
        <v>2014</v>
      </c>
      <c r="B1343" s="4"/>
      <c r="C1343" s="4"/>
      <c r="D1343" s="4">
        <v>5997347.8640000001</v>
      </c>
      <c r="E1343" s="4"/>
      <c r="F1343" s="4"/>
      <c r="G1343" s="4"/>
      <c r="H1343" s="4">
        <v>29894933.487</v>
      </c>
      <c r="I1343" s="4"/>
      <c r="K1343" s="48" t="e">
        <f t="shared" si="80"/>
        <v>#DIV/0!</v>
      </c>
      <c r="L1343" s="48" t="e">
        <f t="shared" si="81"/>
        <v>#DIV/0!</v>
      </c>
      <c r="M1343" s="48">
        <f t="shared" si="82"/>
        <v>4.9846922614659261</v>
      </c>
      <c r="N1343" s="48" t="e">
        <f t="shared" si="83"/>
        <v>#DIV/0!</v>
      </c>
    </row>
    <row r="1344" spans="1:14" x14ac:dyDescent="0.25">
      <c r="A1344" s="5">
        <v>2015</v>
      </c>
      <c r="B1344" s="4"/>
      <c r="C1344" s="4"/>
      <c r="D1344" s="4">
        <v>5997373.2450000001</v>
      </c>
      <c r="E1344" s="4"/>
      <c r="F1344" s="4"/>
      <c r="G1344" s="4"/>
      <c r="H1344" s="4">
        <v>24938028.910999998</v>
      </c>
      <c r="I1344" s="4"/>
      <c r="K1344" s="48" t="e">
        <f t="shared" si="80"/>
        <v>#DIV/0!</v>
      </c>
      <c r="L1344" s="48" t="e">
        <f t="shared" si="81"/>
        <v>#DIV/0!</v>
      </c>
      <c r="M1344" s="48">
        <f t="shared" si="82"/>
        <v>4.1581585624657915</v>
      </c>
      <c r="N1344" s="48" t="e">
        <f t="shared" si="83"/>
        <v>#DIV/0!</v>
      </c>
    </row>
    <row r="1345" spans="1:14" x14ac:dyDescent="0.25">
      <c r="A1345" s="5">
        <v>2016</v>
      </c>
      <c r="B1345" s="4"/>
      <c r="C1345" s="4"/>
      <c r="D1345" s="4">
        <v>5838358.4960000003</v>
      </c>
      <c r="E1345" s="4"/>
      <c r="F1345" s="4"/>
      <c r="G1345" s="4"/>
      <c r="H1345" s="4">
        <v>24175327.973999999</v>
      </c>
      <c r="I1345" s="4"/>
      <c r="K1345" s="48" t="e">
        <f t="shared" si="80"/>
        <v>#DIV/0!</v>
      </c>
      <c r="L1345" s="48" t="e">
        <f t="shared" si="81"/>
        <v>#DIV/0!</v>
      </c>
      <c r="M1345" s="48">
        <f t="shared" si="82"/>
        <v>4.1407748411754941</v>
      </c>
      <c r="N1345" s="48" t="e">
        <f t="shared" si="83"/>
        <v>#DIV/0!</v>
      </c>
    </row>
    <row r="1346" spans="1:14" x14ac:dyDescent="0.25">
      <c r="A1346" s="5">
        <v>2017</v>
      </c>
      <c r="B1346" s="4"/>
      <c r="C1346" s="4"/>
      <c r="D1346" s="4">
        <v>5451361.0659999996</v>
      </c>
      <c r="E1346" s="4"/>
      <c r="F1346" s="4"/>
      <c r="G1346" s="4"/>
      <c r="H1346" s="4">
        <v>26093385.620999999</v>
      </c>
      <c r="I1346" s="4"/>
      <c r="K1346" s="48" t="e">
        <f t="shared" si="80"/>
        <v>#DIV/0!</v>
      </c>
      <c r="L1346" s="48" t="e">
        <f t="shared" si="81"/>
        <v>#DIV/0!</v>
      </c>
      <c r="M1346" s="48">
        <f t="shared" si="82"/>
        <v>4.7865817921589864</v>
      </c>
      <c r="N1346" s="48" t="e">
        <f t="shared" si="83"/>
        <v>#DIV/0!</v>
      </c>
    </row>
    <row r="1347" spans="1:14" x14ac:dyDescent="0.25">
      <c r="A1347" s="5">
        <v>2018</v>
      </c>
      <c r="B1347" s="4"/>
      <c r="C1347" s="4"/>
      <c r="D1347" s="4">
        <v>6246384.7070000004</v>
      </c>
      <c r="E1347" s="4"/>
      <c r="F1347" s="4"/>
      <c r="G1347" s="4"/>
      <c r="H1347" s="4">
        <v>31792867.232999999</v>
      </c>
      <c r="I1347" s="4"/>
      <c r="K1347" s="48" t="e">
        <f t="shared" si="80"/>
        <v>#DIV/0!</v>
      </c>
      <c r="L1347" s="48" t="e">
        <f t="shared" si="81"/>
        <v>#DIV/0!</v>
      </c>
      <c r="M1347" s="48">
        <f t="shared" si="82"/>
        <v>5.0898029379092478</v>
      </c>
      <c r="N1347" s="48" t="e">
        <f t="shared" si="83"/>
        <v>#DIV/0!</v>
      </c>
    </row>
    <row r="1348" spans="1:14" x14ac:dyDescent="0.25">
      <c r="A1348" s="5">
        <v>2019</v>
      </c>
      <c r="B1348" s="4"/>
      <c r="C1348" s="4"/>
      <c r="D1348" s="4">
        <v>6975010.1869999999</v>
      </c>
      <c r="E1348" s="4"/>
      <c r="F1348" s="4"/>
      <c r="G1348" s="4"/>
      <c r="H1348" s="4">
        <v>34523713.732000001</v>
      </c>
      <c r="I1348" s="4"/>
      <c r="K1348" s="48" t="e">
        <f t="shared" si="80"/>
        <v>#DIV/0!</v>
      </c>
      <c r="L1348" s="48" t="e">
        <f t="shared" si="81"/>
        <v>#DIV/0!</v>
      </c>
      <c r="M1348" s="48">
        <f t="shared" si="82"/>
        <v>4.9496291484054291</v>
      </c>
      <c r="N1348" s="48" t="e">
        <f t="shared" si="83"/>
        <v>#DIV/0!</v>
      </c>
    </row>
    <row r="1349" spans="1:14" x14ac:dyDescent="0.25">
      <c r="A1349" s="5">
        <v>2020</v>
      </c>
      <c r="B1349" s="4"/>
      <c r="C1349" s="4"/>
      <c r="D1349" s="4">
        <v>7336110.8059999999</v>
      </c>
      <c r="E1349" s="4"/>
      <c r="F1349" s="4"/>
      <c r="G1349" s="4"/>
      <c r="H1349" s="4">
        <v>34844754.277000003</v>
      </c>
      <c r="I1349" s="4"/>
      <c r="K1349" s="48" t="e">
        <f t="shared" si="80"/>
        <v>#DIV/0!</v>
      </c>
      <c r="L1349" s="48" t="e">
        <f t="shared" si="81"/>
        <v>#DIV/0!</v>
      </c>
      <c r="M1349" s="48">
        <f t="shared" si="82"/>
        <v>4.7497584481005184</v>
      </c>
      <c r="N1349" s="48" t="e">
        <f t="shared" si="83"/>
        <v>#DIV/0!</v>
      </c>
    </row>
    <row r="1350" spans="1:14" x14ac:dyDescent="0.25">
      <c r="A1350" s="5">
        <v>2021</v>
      </c>
      <c r="B1350" s="4"/>
      <c r="C1350" s="4"/>
      <c r="D1350" s="4">
        <v>5356369.4759999998</v>
      </c>
      <c r="E1350" s="4"/>
      <c r="F1350" s="4"/>
      <c r="G1350" s="4"/>
      <c r="H1350" s="4">
        <v>25897897.291000001</v>
      </c>
      <c r="I1350" s="4"/>
      <c r="K1350" s="48" t="e">
        <f t="shared" si="80"/>
        <v>#DIV/0!</v>
      </c>
      <c r="L1350" s="48" t="e">
        <f t="shared" si="81"/>
        <v>#DIV/0!</v>
      </c>
      <c r="M1350" s="48">
        <f t="shared" si="82"/>
        <v>4.8349721592282489</v>
      </c>
      <c r="N1350" s="48" t="e">
        <f t="shared" si="83"/>
        <v>#DIV/0!</v>
      </c>
    </row>
    <row r="1351" spans="1:14" x14ac:dyDescent="0.25">
      <c r="A1351" s="5">
        <v>2022</v>
      </c>
      <c r="B1351" s="4"/>
      <c r="C1351" s="4"/>
      <c r="D1351" s="4">
        <v>6016414.8279999997</v>
      </c>
      <c r="E1351" s="4"/>
      <c r="F1351" s="4"/>
      <c r="G1351" s="4"/>
      <c r="H1351" s="4">
        <v>30011694.611000001</v>
      </c>
      <c r="I1351" s="4"/>
      <c r="K1351" s="48" t="e">
        <f t="shared" ref="K1351:K1414" si="84">F1351/B1351</f>
        <v>#DIV/0!</v>
      </c>
      <c r="L1351" s="48" t="e">
        <f t="shared" ref="L1351:L1414" si="85">G1351/C1351</f>
        <v>#DIV/0!</v>
      </c>
      <c r="M1351" s="48">
        <f t="shared" ref="M1351:M1414" si="86">H1351/D1351</f>
        <v>4.9883020817194224</v>
      </c>
      <c r="N1351" s="48" t="e">
        <f t="shared" ref="N1351:N1414" si="87">I1351/E1351</f>
        <v>#DIV/0!</v>
      </c>
    </row>
    <row r="1352" spans="1:14" x14ac:dyDescent="0.25">
      <c r="A1352" s="5">
        <v>2023</v>
      </c>
      <c r="B1352" s="4"/>
      <c r="C1352" s="4"/>
      <c r="D1352" s="4">
        <v>5607627.1780000003</v>
      </c>
      <c r="E1352" s="4"/>
      <c r="F1352" s="4"/>
      <c r="G1352" s="4"/>
      <c r="H1352" s="4">
        <v>31910254.728999998</v>
      </c>
      <c r="I1352" s="4"/>
      <c r="K1352" s="48" t="e">
        <f t="shared" si="84"/>
        <v>#DIV/0!</v>
      </c>
      <c r="L1352" s="48" t="e">
        <f t="shared" si="85"/>
        <v>#DIV/0!</v>
      </c>
      <c r="M1352" s="48">
        <f t="shared" si="86"/>
        <v>5.6905093216951377</v>
      </c>
      <c r="N1352" s="48" t="e">
        <f t="shared" si="87"/>
        <v>#DIV/0!</v>
      </c>
    </row>
    <row r="1353" spans="1:14" x14ac:dyDescent="0.25">
      <c r="A1353" s="5">
        <v>2024</v>
      </c>
      <c r="B1353" s="4"/>
      <c r="C1353" s="4"/>
      <c r="D1353" s="4">
        <v>6580178.6459999997</v>
      </c>
      <c r="E1353" s="4"/>
      <c r="F1353" s="4"/>
      <c r="G1353" s="4"/>
      <c r="H1353" s="4">
        <v>36036677.416000001</v>
      </c>
      <c r="I1353" s="4"/>
      <c r="K1353" s="48" t="e">
        <f t="shared" si="84"/>
        <v>#DIV/0!</v>
      </c>
      <c r="L1353" s="48" t="e">
        <f t="shared" si="85"/>
        <v>#DIV/0!</v>
      </c>
      <c r="M1353" s="48">
        <f t="shared" si="86"/>
        <v>5.4765500079403164</v>
      </c>
      <c r="N1353" s="48" t="e">
        <f t="shared" si="87"/>
        <v>#DIV/0!</v>
      </c>
    </row>
    <row r="1354" spans="1:14" x14ac:dyDescent="0.25">
      <c r="A1354" s="5">
        <v>2025</v>
      </c>
      <c r="B1354" s="4"/>
      <c r="C1354" s="4"/>
      <c r="D1354" s="4">
        <v>5337902.4539999999</v>
      </c>
      <c r="E1354" s="4"/>
      <c r="F1354" s="4"/>
      <c r="G1354" s="4"/>
      <c r="H1354" s="4">
        <v>29372019.673999999</v>
      </c>
      <c r="I1354" s="4"/>
      <c r="K1354" s="48" t="e">
        <f t="shared" si="84"/>
        <v>#DIV/0!</v>
      </c>
      <c r="L1354" s="48" t="e">
        <f t="shared" si="85"/>
        <v>#DIV/0!</v>
      </c>
      <c r="M1354" s="48">
        <f t="shared" si="86"/>
        <v>5.5025396074800579</v>
      </c>
      <c r="N1354" s="48" t="e">
        <f t="shared" si="87"/>
        <v>#DIV/0!</v>
      </c>
    </row>
    <row r="1355" spans="1:14" x14ac:dyDescent="0.25">
      <c r="A1355" s="3" t="s">
        <v>100</v>
      </c>
      <c r="B1355" s="4"/>
      <c r="C1355" s="4"/>
      <c r="D1355" s="4">
        <v>209870296.35100001</v>
      </c>
      <c r="E1355" s="4"/>
      <c r="F1355" s="4"/>
      <c r="G1355" s="4"/>
      <c r="H1355" s="4">
        <v>1186017382.1059999</v>
      </c>
      <c r="I1355" s="4"/>
      <c r="K1355" s="48" t="e">
        <f t="shared" si="84"/>
        <v>#DIV/0!</v>
      </c>
      <c r="L1355" s="48" t="e">
        <f t="shared" si="85"/>
        <v>#DIV/0!</v>
      </c>
      <c r="M1355" s="48">
        <f t="shared" si="86"/>
        <v>5.6511922016940952</v>
      </c>
      <c r="N1355" s="48" t="e">
        <f t="shared" si="87"/>
        <v>#DIV/0!</v>
      </c>
    </row>
    <row r="1356" spans="1:14" x14ac:dyDescent="0.25">
      <c r="A1356" s="5">
        <v>2000</v>
      </c>
      <c r="B1356" s="4"/>
      <c r="C1356" s="4"/>
      <c r="D1356" s="4">
        <v>7865136</v>
      </c>
      <c r="E1356" s="4"/>
      <c r="F1356" s="4"/>
      <c r="G1356" s="4"/>
      <c r="H1356" s="4">
        <v>26498259.897</v>
      </c>
      <c r="I1356" s="4"/>
      <c r="K1356" s="48" t="e">
        <f t="shared" si="84"/>
        <v>#DIV/0!</v>
      </c>
      <c r="L1356" s="48" t="e">
        <f t="shared" si="85"/>
        <v>#DIV/0!</v>
      </c>
      <c r="M1356" s="48">
        <f t="shared" si="86"/>
        <v>3.3690784109772545</v>
      </c>
      <c r="N1356" s="48" t="e">
        <f t="shared" si="87"/>
        <v>#DIV/0!</v>
      </c>
    </row>
    <row r="1357" spans="1:14" x14ac:dyDescent="0.25">
      <c r="A1357" s="5">
        <v>2001</v>
      </c>
      <c r="B1357" s="4"/>
      <c r="C1357" s="4"/>
      <c r="D1357" s="4">
        <v>7414667</v>
      </c>
      <c r="E1357" s="4"/>
      <c r="F1357" s="4"/>
      <c r="G1357" s="4"/>
      <c r="H1357" s="4">
        <v>24995215.829999998</v>
      </c>
      <c r="I1357" s="4"/>
      <c r="K1357" s="48" t="e">
        <f t="shared" si="84"/>
        <v>#DIV/0!</v>
      </c>
      <c r="L1357" s="48" t="e">
        <f t="shared" si="85"/>
        <v>#DIV/0!</v>
      </c>
      <c r="M1357" s="48">
        <f t="shared" si="86"/>
        <v>3.3710503560038498</v>
      </c>
      <c r="N1357" s="48" t="e">
        <f t="shared" si="87"/>
        <v>#DIV/0!</v>
      </c>
    </row>
    <row r="1358" spans="1:14" x14ac:dyDescent="0.25">
      <c r="A1358" s="5">
        <v>2002</v>
      </c>
      <c r="B1358" s="4"/>
      <c r="C1358" s="4"/>
      <c r="D1358" s="4">
        <v>7819698</v>
      </c>
      <c r="E1358" s="4"/>
      <c r="F1358" s="4"/>
      <c r="G1358" s="4"/>
      <c r="H1358" s="4">
        <v>28402097.366</v>
      </c>
      <c r="I1358" s="4"/>
      <c r="K1358" s="48" t="e">
        <f t="shared" si="84"/>
        <v>#DIV/0!</v>
      </c>
      <c r="L1358" s="48" t="e">
        <f t="shared" si="85"/>
        <v>#DIV/0!</v>
      </c>
      <c r="M1358" s="48">
        <f t="shared" si="86"/>
        <v>3.6321220290093046</v>
      </c>
      <c r="N1358" s="48" t="e">
        <f t="shared" si="87"/>
        <v>#DIV/0!</v>
      </c>
    </row>
    <row r="1359" spans="1:14" x14ac:dyDescent="0.25">
      <c r="A1359" s="5">
        <v>2003</v>
      </c>
      <c r="B1359" s="4"/>
      <c r="C1359" s="4"/>
      <c r="D1359" s="4">
        <v>8994217</v>
      </c>
      <c r="E1359" s="4"/>
      <c r="F1359" s="4"/>
      <c r="G1359" s="4"/>
      <c r="H1359" s="4">
        <v>32073120.504000001</v>
      </c>
      <c r="I1359" s="4"/>
      <c r="K1359" s="48" t="e">
        <f t="shared" si="84"/>
        <v>#DIV/0!</v>
      </c>
      <c r="L1359" s="48" t="e">
        <f t="shared" si="85"/>
        <v>#DIV/0!</v>
      </c>
      <c r="M1359" s="48">
        <f t="shared" si="86"/>
        <v>3.5659713907280643</v>
      </c>
      <c r="N1359" s="48" t="e">
        <f t="shared" si="87"/>
        <v>#DIV/0!</v>
      </c>
    </row>
    <row r="1360" spans="1:14" x14ac:dyDescent="0.25">
      <c r="A1360" s="5">
        <v>2004</v>
      </c>
      <c r="B1360" s="4"/>
      <c r="C1360" s="4"/>
      <c r="D1360" s="4">
        <v>8282226</v>
      </c>
      <c r="E1360" s="4"/>
      <c r="F1360" s="4"/>
      <c r="G1360" s="4"/>
      <c r="H1360" s="4">
        <v>30922069.864</v>
      </c>
      <c r="I1360" s="4"/>
      <c r="K1360" s="48" t="e">
        <f t="shared" si="84"/>
        <v>#DIV/0!</v>
      </c>
      <c r="L1360" s="48" t="e">
        <f t="shared" si="85"/>
        <v>#DIV/0!</v>
      </c>
      <c r="M1360" s="48">
        <f t="shared" si="86"/>
        <v>3.7335457718734069</v>
      </c>
      <c r="N1360" s="48" t="e">
        <f t="shared" si="87"/>
        <v>#DIV/0!</v>
      </c>
    </row>
    <row r="1361" spans="1:14" x14ac:dyDescent="0.25">
      <c r="A1361" s="5">
        <v>2005</v>
      </c>
      <c r="B1361" s="4"/>
      <c r="C1361" s="4"/>
      <c r="D1361" s="4">
        <v>7815200</v>
      </c>
      <c r="E1361" s="4"/>
      <c r="F1361" s="4"/>
      <c r="G1361" s="4"/>
      <c r="H1361" s="4">
        <v>34094296.553000003</v>
      </c>
      <c r="I1361" s="4"/>
      <c r="K1361" s="48" t="e">
        <f t="shared" si="84"/>
        <v>#DIV/0!</v>
      </c>
      <c r="L1361" s="48" t="e">
        <f t="shared" si="85"/>
        <v>#DIV/0!</v>
      </c>
      <c r="M1361" s="48">
        <f t="shared" si="86"/>
        <v>4.3625622572678884</v>
      </c>
      <c r="N1361" s="48" t="e">
        <f t="shared" si="87"/>
        <v>#DIV/0!</v>
      </c>
    </row>
    <row r="1362" spans="1:14" x14ac:dyDescent="0.25">
      <c r="A1362" s="5">
        <v>2006</v>
      </c>
      <c r="B1362" s="4"/>
      <c r="C1362" s="4"/>
      <c r="D1362" s="4">
        <v>8274102</v>
      </c>
      <c r="E1362" s="4"/>
      <c r="F1362" s="4"/>
      <c r="G1362" s="4"/>
      <c r="H1362" s="4">
        <v>37768139.659000002</v>
      </c>
      <c r="I1362" s="4"/>
      <c r="K1362" s="48" t="e">
        <f t="shared" si="84"/>
        <v>#DIV/0!</v>
      </c>
      <c r="L1362" s="48" t="e">
        <f t="shared" si="85"/>
        <v>#DIV/0!</v>
      </c>
      <c r="M1362" s="48">
        <f t="shared" si="86"/>
        <v>4.5646209895647889</v>
      </c>
      <c r="N1362" s="48" t="e">
        <f t="shared" si="87"/>
        <v>#DIV/0!</v>
      </c>
    </row>
    <row r="1363" spans="1:14" x14ac:dyDescent="0.25">
      <c r="A1363" s="5">
        <v>2007</v>
      </c>
      <c r="B1363" s="4"/>
      <c r="C1363" s="4"/>
      <c r="D1363" s="4">
        <v>8078440</v>
      </c>
      <c r="E1363" s="4"/>
      <c r="F1363" s="4"/>
      <c r="G1363" s="4"/>
      <c r="H1363" s="4">
        <v>39470701.560999997</v>
      </c>
      <c r="I1363" s="4"/>
      <c r="K1363" s="48" t="e">
        <f t="shared" si="84"/>
        <v>#DIV/0!</v>
      </c>
      <c r="L1363" s="48" t="e">
        <f t="shared" si="85"/>
        <v>#DIV/0!</v>
      </c>
      <c r="M1363" s="48">
        <f t="shared" si="86"/>
        <v>4.8859311402944128</v>
      </c>
      <c r="N1363" s="48" t="e">
        <f t="shared" si="87"/>
        <v>#DIV/0!</v>
      </c>
    </row>
    <row r="1364" spans="1:14" x14ac:dyDescent="0.25">
      <c r="A1364" s="5">
        <v>2008</v>
      </c>
      <c r="B1364" s="4"/>
      <c r="C1364" s="4"/>
      <c r="D1364" s="4">
        <v>8667236</v>
      </c>
      <c r="E1364" s="4"/>
      <c r="F1364" s="4"/>
      <c r="G1364" s="4"/>
      <c r="H1364" s="4">
        <v>50722897.754000001</v>
      </c>
      <c r="I1364" s="4"/>
      <c r="K1364" s="48" t="e">
        <f t="shared" si="84"/>
        <v>#DIV/0!</v>
      </c>
      <c r="L1364" s="48" t="e">
        <f t="shared" si="85"/>
        <v>#DIV/0!</v>
      </c>
      <c r="M1364" s="48">
        <f t="shared" si="86"/>
        <v>5.8522576002314928</v>
      </c>
      <c r="N1364" s="48" t="e">
        <f t="shared" si="87"/>
        <v>#DIV/0!</v>
      </c>
    </row>
    <row r="1365" spans="1:14" x14ac:dyDescent="0.25">
      <c r="A1365" s="5">
        <v>2009</v>
      </c>
      <c r="B1365" s="4"/>
      <c r="C1365" s="4"/>
      <c r="D1365" s="4">
        <v>8661610</v>
      </c>
      <c r="E1365" s="4"/>
      <c r="F1365" s="4"/>
      <c r="G1365" s="4"/>
      <c r="H1365" s="4">
        <v>45067082.202</v>
      </c>
      <c r="I1365" s="4"/>
      <c r="K1365" s="48" t="e">
        <f t="shared" si="84"/>
        <v>#DIV/0!</v>
      </c>
      <c r="L1365" s="48" t="e">
        <f t="shared" si="85"/>
        <v>#DIV/0!</v>
      </c>
      <c r="M1365" s="48">
        <f t="shared" si="86"/>
        <v>5.2030837456315862</v>
      </c>
      <c r="N1365" s="48" t="e">
        <f t="shared" si="87"/>
        <v>#DIV/0!</v>
      </c>
    </row>
    <row r="1366" spans="1:14" x14ac:dyDescent="0.25">
      <c r="A1366" s="5">
        <v>2012</v>
      </c>
      <c r="B1366" s="4"/>
      <c r="C1366" s="4"/>
      <c r="D1366" s="4">
        <v>7564883.46</v>
      </c>
      <c r="E1366" s="4"/>
      <c r="F1366" s="4"/>
      <c r="G1366" s="4"/>
      <c r="H1366" s="4">
        <v>50645284.377999999</v>
      </c>
      <c r="I1366" s="4"/>
      <c r="K1366" s="48" t="e">
        <f t="shared" si="84"/>
        <v>#DIV/0!</v>
      </c>
      <c r="L1366" s="48" t="e">
        <f t="shared" si="85"/>
        <v>#DIV/0!</v>
      </c>
      <c r="M1366" s="48">
        <f t="shared" si="86"/>
        <v>6.6947871233960816</v>
      </c>
      <c r="N1366" s="48" t="e">
        <f t="shared" si="87"/>
        <v>#DIV/0!</v>
      </c>
    </row>
    <row r="1367" spans="1:14" x14ac:dyDescent="0.25">
      <c r="A1367" s="5">
        <v>2013</v>
      </c>
      <c r="B1367" s="4"/>
      <c r="C1367" s="4"/>
      <c r="D1367" s="4">
        <v>9383360.193</v>
      </c>
      <c r="E1367" s="4"/>
      <c r="F1367" s="4"/>
      <c r="G1367" s="4"/>
      <c r="H1367" s="4">
        <v>66842363.489</v>
      </c>
      <c r="I1367" s="4"/>
      <c r="K1367" s="48" t="e">
        <f t="shared" si="84"/>
        <v>#DIV/0!</v>
      </c>
      <c r="L1367" s="48" t="e">
        <f t="shared" si="85"/>
        <v>#DIV/0!</v>
      </c>
      <c r="M1367" s="48">
        <f t="shared" si="86"/>
        <v>7.1234996967146689</v>
      </c>
      <c r="N1367" s="48" t="e">
        <f t="shared" si="87"/>
        <v>#DIV/0!</v>
      </c>
    </row>
    <row r="1368" spans="1:14" x14ac:dyDescent="0.25">
      <c r="A1368" s="5">
        <v>2014</v>
      </c>
      <c r="B1368" s="4"/>
      <c r="C1368" s="4"/>
      <c r="D1368" s="4">
        <v>8615736</v>
      </c>
      <c r="E1368" s="4"/>
      <c r="F1368" s="4"/>
      <c r="G1368" s="4"/>
      <c r="H1368" s="4">
        <v>58079467.098999999</v>
      </c>
      <c r="I1368" s="4"/>
      <c r="K1368" s="48" t="e">
        <f t="shared" si="84"/>
        <v>#DIV/0!</v>
      </c>
      <c r="L1368" s="48" t="e">
        <f t="shared" si="85"/>
        <v>#DIV/0!</v>
      </c>
      <c r="M1368" s="48">
        <f t="shared" si="86"/>
        <v>6.7410917766050398</v>
      </c>
      <c r="N1368" s="48" t="e">
        <f t="shared" si="87"/>
        <v>#DIV/0!</v>
      </c>
    </row>
    <row r="1369" spans="1:14" x14ac:dyDescent="0.25">
      <c r="A1369" s="5">
        <v>2015</v>
      </c>
      <c r="B1369" s="4"/>
      <c r="C1369" s="4"/>
      <c r="D1369" s="4">
        <v>8981496.1940000001</v>
      </c>
      <c r="E1369" s="4"/>
      <c r="F1369" s="4"/>
      <c r="G1369" s="4"/>
      <c r="H1369" s="4">
        <v>51523793.511</v>
      </c>
      <c r="I1369" s="4"/>
      <c r="K1369" s="48" t="e">
        <f t="shared" si="84"/>
        <v>#DIV/0!</v>
      </c>
      <c r="L1369" s="48" t="e">
        <f t="shared" si="85"/>
        <v>#DIV/0!</v>
      </c>
      <c r="M1369" s="48">
        <f t="shared" si="86"/>
        <v>5.7366603957834954</v>
      </c>
      <c r="N1369" s="48" t="e">
        <f t="shared" si="87"/>
        <v>#DIV/0!</v>
      </c>
    </row>
    <row r="1370" spans="1:14" x14ac:dyDescent="0.25">
      <c r="A1370" s="5">
        <v>2016</v>
      </c>
      <c r="B1370" s="4"/>
      <c r="C1370" s="4"/>
      <c r="D1370" s="4">
        <v>8861209.5069999993</v>
      </c>
      <c r="E1370" s="4"/>
      <c r="F1370" s="4"/>
      <c r="G1370" s="4"/>
      <c r="H1370" s="4">
        <v>51332622.585000001</v>
      </c>
      <c r="I1370" s="4"/>
      <c r="K1370" s="48" t="e">
        <f t="shared" si="84"/>
        <v>#DIV/0!</v>
      </c>
      <c r="L1370" s="48" t="e">
        <f t="shared" si="85"/>
        <v>#DIV/0!</v>
      </c>
      <c r="M1370" s="48">
        <f t="shared" si="86"/>
        <v>5.7929589120367027</v>
      </c>
      <c r="N1370" s="48" t="e">
        <f t="shared" si="87"/>
        <v>#DIV/0!</v>
      </c>
    </row>
    <row r="1371" spans="1:14" x14ac:dyDescent="0.25">
      <c r="A1371" s="5">
        <v>2017</v>
      </c>
      <c r="B1371" s="4"/>
      <c r="C1371" s="4"/>
      <c r="D1371" s="4">
        <v>9177589.3289999999</v>
      </c>
      <c r="E1371" s="4"/>
      <c r="F1371" s="4"/>
      <c r="G1371" s="4"/>
      <c r="H1371" s="4">
        <v>58826502.693000004</v>
      </c>
      <c r="I1371" s="4"/>
      <c r="K1371" s="48" t="e">
        <f t="shared" si="84"/>
        <v>#DIV/0!</v>
      </c>
      <c r="L1371" s="48" t="e">
        <f t="shared" si="85"/>
        <v>#DIV/0!</v>
      </c>
      <c r="M1371" s="48">
        <f t="shared" si="86"/>
        <v>6.4097989770707908</v>
      </c>
      <c r="N1371" s="48" t="e">
        <f t="shared" si="87"/>
        <v>#DIV/0!</v>
      </c>
    </row>
    <row r="1372" spans="1:14" x14ac:dyDescent="0.25">
      <c r="A1372" s="5">
        <v>2018</v>
      </c>
      <c r="B1372" s="4"/>
      <c r="C1372" s="4"/>
      <c r="D1372" s="4">
        <v>9110836.4609999992</v>
      </c>
      <c r="E1372" s="4"/>
      <c r="F1372" s="4"/>
      <c r="G1372" s="4"/>
      <c r="H1372" s="4">
        <v>62075646.494000003</v>
      </c>
      <c r="I1372" s="4"/>
      <c r="K1372" s="48" t="e">
        <f t="shared" si="84"/>
        <v>#DIV/0!</v>
      </c>
      <c r="L1372" s="48" t="e">
        <f t="shared" si="85"/>
        <v>#DIV/0!</v>
      </c>
      <c r="M1372" s="48">
        <f t="shared" si="86"/>
        <v>6.8133860990395414</v>
      </c>
      <c r="N1372" s="48" t="e">
        <f t="shared" si="87"/>
        <v>#DIV/0!</v>
      </c>
    </row>
    <row r="1373" spans="1:14" x14ac:dyDescent="0.25">
      <c r="A1373" s="5">
        <v>2019</v>
      </c>
      <c r="B1373" s="4"/>
      <c r="C1373" s="4"/>
      <c r="D1373" s="4">
        <v>8526283.0500000007</v>
      </c>
      <c r="E1373" s="4"/>
      <c r="F1373" s="4"/>
      <c r="G1373" s="4"/>
      <c r="H1373" s="4">
        <v>55576283.122000001</v>
      </c>
      <c r="I1373" s="4"/>
      <c r="K1373" s="48" t="e">
        <f t="shared" si="84"/>
        <v>#DIV/0!</v>
      </c>
      <c r="L1373" s="48" t="e">
        <f t="shared" si="85"/>
        <v>#DIV/0!</v>
      </c>
      <c r="M1373" s="48">
        <f t="shared" si="86"/>
        <v>6.5182310739730838</v>
      </c>
      <c r="N1373" s="48" t="e">
        <f t="shared" si="87"/>
        <v>#DIV/0!</v>
      </c>
    </row>
    <row r="1374" spans="1:14" x14ac:dyDescent="0.25">
      <c r="A1374" s="5">
        <v>2020</v>
      </c>
      <c r="B1374" s="4"/>
      <c r="C1374" s="4"/>
      <c r="D1374" s="4">
        <v>10176666</v>
      </c>
      <c r="E1374" s="4"/>
      <c r="F1374" s="4"/>
      <c r="G1374" s="4"/>
      <c r="H1374" s="4">
        <v>65233560.625</v>
      </c>
      <c r="I1374" s="4"/>
      <c r="K1374" s="48" t="e">
        <f t="shared" si="84"/>
        <v>#DIV/0!</v>
      </c>
      <c r="L1374" s="48" t="e">
        <f t="shared" si="85"/>
        <v>#DIV/0!</v>
      </c>
      <c r="M1374" s="48">
        <f t="shared" si="86"/>
        <v>6.4101111921134093</v>
      </c>
      <c r="N1374" s="48" t="e">
        <f t="shared" si="87"/>
        <v>#DIV/0!</v>
      </c>
    </row>
    <row r="1375" spans="1:14" x14ac:dyDescent="0.25">
      <c r="A1375" s="5">
        <v>2021</v>
      </c>
      <c r="B1375" s="4"/>
      <c r="C1375" s="4"/>
      <c r="D1375" s="4">
        <v>8952642.2109999992</v>
      </c>
      <c r="E1375" s="4"/>
      <c r="F1375" s="4"/>
      <c r="G1375" s="4"/>
      <c r="H1375" s="4">
        <v>59921692.638999999</v>
      </c>
      <c r="I1375" s="4"/>
      <c r="K1375" s="48" t="e">
        <f t="shared" si="84"/>
        <v>#DIV/0!</v>
      </c>
      <c r="L1375" s="48" t="e">
        <f t="shared" si="85"/>
        <v>#DIV/0!</v>
      </c>
      <c r="M1375" s="48">
        <f t="shared" si="86"/>
        <v>6.6931852325534651</v>
      </c>
      <c r="N1375" s="48" t="e">
        <f t="shared" si="87"/>
        <v>#DIV/0!</v>
      </c>
    </row>
    <row r="1376" spans="1:14" x14ac:dyDescent="0.25">
      <c r="A1376" s="5">
        <v>2022</v>
      </c>
      <c r="B1376" s="4"/>
      <c r="C1376" s="4"/>
      <c r="D1376" s="4">
        <v>10242753.103</v>
      </c>
      <c r="E1376" s="4"/>
      <c r="F1376" s="4"/>
      <c r="G1376" s="4"/>
      <c r="H1376" s="4">
        <v>63676157.931000002</v>
      </c>
      <c r="I1376" s="4"/>
      <c r="K1376" s="48" t="e">
        <f t="shared" si="84"/>
        <v>#DIV/0!</v>
      </c>
      <c r="L1376" s="48" t="e">
        <f t="shared" si="85"/>
        <v>#DIV/0!</v>
      </c>
      <c r="M1376" s="48">
        <f t="shared" si="86"/>
        <v>6.2167033892821149</v>
      </c>
      <c r="N1376" s="48" t="e">
        <f t="shared" si="87"/>
        <v>#DIV/0!</v>
      </c>
    </row>
    <row r="1377" spans="1:14" x14ac:dyDescent="0.25">
      <c r="A1377" s="5">
        <v>2023</v>
      </c>
      <c r="B1377" s="4"/>
      <c r="C1377" s="4"/>
      <c r="D1377" s="4">
        <v>8695053.7740000002</v>
      </c>
      <c r="E1377" s="4"/>
      <c r="F1377" s="4"/>
      <c r="G1377" s="4"/>
      <c r="H1377" s="4">
        <v>59243801.767999999</v>
      </c>
      <c r="I1377" s="4"/>
      <c r="K1377" s="48" t="e">
        <f t="shared" si="84"/>
        <v>#DIV/0!</v>
      </c>
      <c r="L1377" s="48" t="e">
        <f t="shared" si="85"/>
        <v>#DIV/0!</v>
      </c>
      <c r="M1377" s="48">
        <f t="shared" si="86"/>
        <v>6.8135060814863682</v>
      </c>
      <c r="N1377" s="48" t="e">
        <f t="shared" si="87"/>
        <v>#DIV/0!</v>
      </c>
    </row>
    <row r="1378" spans="1:14" x14ac:dyDescent="0.25">
      <c r="A1378" s="5">
        <v>2024</v>
      </c>
      <c r="B1378" s="4"/>
      <c r="C1378" s="4"/>
      <c r="D1378" s="4">
        <v>10120425.784</v>
      </c>
      <c r="E1378" s="4"/>
      <c r="F1378" s="4"/>
      <c r="G1378" s="4"/>
      <c r="H1378" s="4">
        <v>69416250.584000006</v>
      </c>
      <c r="I1378" s="4"/>
      <c r="K1378" s="48" t="e">
        <f t="shared" si="84"/>
        <v>#DIV/0!</v>
      </c>
      <c r="L1378" s="48" t="e">
        <f t="shared" si="85"/>
        <v>#DIV/0!</v>
      </c>
      <c r="M1378" s="48">
        <f t="shared" si="86"/>
        <v>6.8590247155158632</v>
      </c>
      <c r="N1378" s="48" t="e">
        <f t="shared" si="87"/>
        <v>#DIV/0!</v>
      </c>
    </row>
    <row r="1379" spans="1:14" x14ac:dyDescent="0.25">
      <c r="A1379" s="5">
        <v>2025</v>
      </c>
      <c r="B1379" s="4"/>
      <c r="C1379" s="4"/>
      <c r="D1379" s="4">
        <v>9588829.2850000001</v>
      </c>
      <c r="E1379" s="4"/>
      <c r="F1379" s="4"/>
      <c r="G1379" s="4"/>
      <c r="H1379" s="4">
        <v>63610073.998000003</v>
      </c>
      <c r="I1379" s="4"/>
      <c r="K1379" s="48" t="e">
        <f t="shared" si="84"/>
        <v>#DIV/0!</v>
      </c>
      <c r="L1379" s="48" t="e">
        <f t="shared" si="85"/>
        <v>#DIV/0!</v>
      </c>
      <c r="M1379" s="48">
        <f t="shared" si="86"/>
        <v>6.6337685349666753</v>
      </c>
      <c r="N1379" s="48" t="e">
        <f t="shared" si="87"/>
        <v>#DIV/0!</v>
      </c>
    </row>
    <row r="1380" spans="1:14" x14ac:dyDescent="0.25">
      <c r="A1380" s="3" t="s">
        <v>52</v>
      </c>
      <c r="B1380" s="4">
        <v>477241894</v>
      </c>
      <c r="C1380" s="4">
        <v>89801090</v>
      </c>
      <c r="D1380" s="4">
        <v>22169552</v>
      </c>
      <c r="E1380" s="4">
        <v>1138702</v>
      </c>
      <c r="F1380" s="4">
        <v>898662831</v>
      </c>
      <c r="G1380" s="4">
        <v>1285191244</v>
      </c>
      <c r="H1380" s="4">
        <v>89594295</v>
      </c>
      <c r="I1380" s="4">
        <v>5576659</v>
      </c>
      <c r="K1380" s="48">
        <f t="shared" si="84"/>
        <v>1.8830342480369084</v>
      </c>
      <c r="L1380" s="48">
        <f t="shared" si="85"/>
        <v>14.311532788744547</v>
      </c>
      <c r="M1380" s="48">
        <f t="shared" si="86"/>
        <v>4.0413218544064398</v>
      </c>
      <c r="N1380" s="48">
        <f t="shared" si="87"/>
        <v>4.8973822826340871</v>
      </c>
    </row>
    <row r="1381" spans="1:14" x14ac:dyDescent="0.25">
      <c r="A1381" s="5">
        <v>2000</v>
      </c>
      <c r="B1381" s="4">
        <v>26784032</v>
      </c>
      <c r="C1381" s="4"/>
      <c r="D1381" s="4"/>
      <c r="E1381" s="4"/>
      <c r="F1381" s="4">
        <v>19682772</v>
      </c>
      <c r="G1381" s="4"/>
      <c r="H1381" s="4"/>
      <c r="I1381" s="4"/>
      <c r="K1381" s="48">
        <f t="shared" si="84"/>
        <v>0.73486964173280556</v>
      </c>
      <c r="L1381" s="48" t="e">
        <f t="shared" si="85"/>
        <v>#DIV/0!</v>
      </c>
      <c r="M1381" s="48" t="e">
        <f t="shared" si="86"/>
        <v>#DIV/0!</v>
      </c>
      <c r="N1381" s="48" t="e">
        <f t="shared" si="87"/>
        <v>#DIV/0!</v>
      </c>
    </row>
    <row r="1382" spans="1:14" x14ac:dyDescent="0.25">
      <c r="A1382" s="5">
        <v>2001</v>
      </c>
      <c r="B1382" s="4">
        <v>2641532</v>
      </c>
      <c r="C1382" s="4"/>
      <c r="D1382" s="4"/>
      <c r="E1382" s="4"/>
      <c r="F1382" s="4">
        <v>2330159</v>
      </c>
      <c r="G1382" s="4"/>
      <c r="H1382" s="4"/>
      <c r="I1382" s="4"/>
      <c r="K1382" s="48">
        <f t="shared" si="84"/>
        <v>0.88212408556852617</v>
      </c>
      <c r="L1382" s="48" t="e">
        <f t="shared" si="85"/>
        <v>#DIV/0!</v>
      </c>
      <c r="M1382" s="48" t="e">
        <f t="shared" si="86"/>
        <v>#DIV/0!</v>
      </c>
      <c r="N1382" s="48" t="e">
        <f t="shared" si="87"/>
        <v>#DIV/0!</v>
      </c>
    </row>
    <row r="1383" spans="1:14" x14ac:dyDescent="0.25">
      <c r="A1383" s="5">
        <v>2002</v>
      </c>
      <c r="B1383" s="4">
        <v>5366160</v>
      </c>
      <c r="C1383" s="4"/>
      <c r="D1383" s="4"/>
      <c r="E1383" s="4"/>
      <c r="F1383" s="4">
        <v>4708665</v>
      </c>
      <c r="G1383" s="4"/>
      <c r="H1383" s="4"/>
      <c r="I1383" s="4"/>
      <c r="K1383" s="48">
        <f t="shared" si="84"/>
        <v>0.87747383603917883</v>
      </c>
      <c r="L1383" s="48" t="e">
        <f t="shared" si="85"/>
        <v>#DIV/0!</v>
      </c>
      <c r="M1383" s="48" t="e">
        <f t="shared" si="86"/>
        <v>#DIV/0!</v>
      </c>
      <c r="N1383" s="48" t="e">
        <f t="shared" si="87"/>
        <v>#DIV/0!</v>
      </c>
    </row>
    <row r="1384" spans="1:14" x14ac:dyDescent="0.25">
      <c r="A1384" s="5">
        <v>2003</v>
      </c>
      <c r="B1384" s="4">
        <v>7343618</v>
      </c>
      <c r="C1384" s="4">
        <v>3535867</v>
      </c>
      <c r="D1384" s="4"/>
      <c r="E1384" s="4"/>
      <c r="F1384" s="4">
        <v>6337931</v>
      </c>
      <c r="G1384" s="4">
        <v>25808363</v>
      </c>
      <c r="H1384" s="4"/>
      <c r="I1384" s="4"/>
      <c r="K1384" s="48">
        <f t="shared" si="84"/>
        <v>0.86305292568322589</v>
      </c>
      <c r="L1384" s="48">
        <f t="shared" si="85"/>
        <v>7.2990197312285785</v>
      </c>
      <c r="M1384" s="48" t="e">
        <f t="shared" si="86"/>
        <v>#DIV/0!</v>
      </c>
      <c r="N1384" s="48" t="e">
        <f t="shared" si="87"/>
        <v>#DIV/0!</v>
      </c>
    </row>
    <row r="1385" spans="1:14" x14ac:dyDescent="0.25">
      <c r="A1385" s="5">
        <v>2004</v>
      </c>
      <c r="B1385" s="4">
        <v>11202090</v>
      </c>
      <c r="C1385" s="4"/>
      <c r="D1385" s="4"/>
      <c r="E1385" s="4"/>
      <c r="F1385" s="4">
        <v>13470312</v>
      </c>
      <c r="G1385" s="4"/>
      <c r="H1385" s="4"/>
      <c r="I1385" s="4"/>
      <c r="K1385" s="48">
        <f t="shared" si="84"/>
        <v>1.202482036834198</v>
      </c>
      <c r="L1385" s="48" t="e">
        <f t="shared" si="85"/>
        <v>#DIV/0!</v>
      </c>
      <c r="M1385" s="48" t="e">
        <f t="shared" si="86"/>
        <v>#DIV/0!</v>
      </c>
      <c r="N1385" s="48" t="e">
        <f t="shared" si="87"/>
        <v>#DIV/0!</v>
      </c>
    </row>
    <row r="1386" spans="1:14" x14ac:dyDescent="0.25">
      <c r="A1386" s="5">
        <v>2005</v>
      </c>
      <c r="B1386" s="4">
        <v>9216923</v>
      </c>
      <c r="C1386" s="4">
        <v>4388630</v>
      </c>
      <c r="D1386" s="4"/>
      <c r="E1386" s="4"/>
      <c r="F1386" s="4">
        <v>10511357</v>
      </c>
      <c r="G1386" s="4">
        <v>59861561</v>
      </c>
      <c r="H1386" s="4"/>
      <c r="I1386" s="4"/>
      <c r="K1386" s="48">
        <f t="shared" si="84"/>
        <v>1.1404410126893758</v>
      </c>
      <c r="L1386" s="48">
        <f t="shared" si="85"/>
        <v>13.640147608707045</v>
      </c>
      <c r="M1386" s="48" t="e">
        <f t="shared" si="86"/>
        <v>#DIV/0!</v>
      </c>
      <c r="N1386" s="48" t="e">
        <f t="shared" si="87"/>
        <v>#DIV/0!</v>
      </c>
    </row>
    <row r="1387" spans="1:14" x14ac:dyDescent="0.25">
      <c r="A1387" s="5">
        <v>2006</v>
      </c>
      <c r="B1387" s="4">
        <v>9270177</v>
      </c>
      <c r="C1387" s="4"/>
      <c r="D1387" s="4"/>
      <c r="E1387" s="4"/>
      <c r="F1387" s="4">
        <v>11621499</v>
      </c>
      <c r="G1387" s="4"/>
      <c r="H1387" s="4"/>
      <c r="I1387" s="4"/>
      <c r="K1387" s="48">
        <f t="shared" si="84"/>
        <v>1.2536437006542593</v>
      </c>
      <c r="L1387" s="48" t="e">
        <f t="shared" si="85"/>
        <v>#DIV/0!</v>
      </c>
      <c r="M1387" s="48" t="e">
        <f t="shared" si="86"/>
        <v>#DIV/0!</v>
      </c>
      <c r="N1387" s="48" t="e">
        <f t="shared" si="87"/>
        <v>#DIV/0!</v>
      </c>
    </row>
    <row r="1388" spans="1:14" x14ac:dyDescent="0.25">
      <c r="A1388" s="5">
        <v>2007</v>
      </c>
      <c r="B1388" s="4">
        <v>10664623</v>
      </c>
      <c r="C1388" s="4"/>
      <c r="D1388" s="4"/>
      <c r="E1388" s="4"/>
      <c r="F1388" s="4">
        <v>16090135</v>
      </c>
      <c r="G1388" s="4"/>
      <c r="H1388" s="4"/>
      <c r="I1388" s="4"/>
      <c r="K1388" s="48">
        <f t="shared" si="84"/>
        <v>1.5087392212551725</v>
      </c>
      <c r="L1388" s="48" t="e">
        <f t="shared" si="85"/>
        <v>#DIV/0!</v>
      </c>
      <c r="M1388" s="48" t="e">
        <f t="shared" si="86"/>
        <v>#DIV/0!</v>
      </c>
      <c r="N1388" s="48" t="e">
        <f t="shared" si="87"/>
        <v>#DIV/0!</v>
      </c>
    </row>
    <row r="1389" spans="1:14" x14ac:dyDescent="0.25">
      <c r="A1389" s="5">
        <v>2008</v>
      </c>
      <c r="B1389" s="4">
        <v>9982457</v>
      </c>
      <c r="C1389" s="4">
        <v>5198648</v>
      </c>
      <c r="D1389" s="4"/>
      <c r="E1389" s="4"/>
      <c r="F1389" s="4">
        <v>28147550</v>
      </c>
      <c r="G1389" s="4">
        <v>107977722</v>
      </c>
      <c r="H1389" s="4"/>
      <c r="I1389" s="4"/>
      <c r="K1389" s="48">
        <f t="shared" si="84"/>
        <v>2.8197016025213033</v>
      </c>
      <c r="L1389" s="48">
        <f t="shared" si="85"/>
        <v>20.770346828636985</v>
      </c>
      <c r="M1389" s="48" t="e">
        <f t="shared" si="86"/>
        <v>#DIV/0!</v>
      </c>
      <c r="N1389" s="48" t="e">
        <f t="shared" si="87"/>
        <v>#DIV/0!</v>
      </c>
    </row>
    <row r="1390" spans="1:14" x14ac:dyDescent="0.25">
      <c r="A1390" s="5">
        <v>2009</v>
      </c>
      <c r="B1390" s="4">
        <v>13043279</v>
      </c>
      <c r="C1390" s="4">
        <v>3780536</v>
      </c>
      <c r="D1390" s="4"/>
      <c r="E1390" s="4"/>
      <c r="F1390" s="4">
        <v>22533732</v>
      </c>
      <c r="G1390" s="4">
        <v>66501354</v>
      </c>
      <c r="H1390" s="4"/>
      <c r="I1390" s="4"/>
      <c r="K1390" s="48">
        <f t="shared" si="84"/>
        <v>1.7276125121604775</v>
      </c>
      <c r="L1390" s="48">
        <f t="shared" si="85"/>
        <v>17.590456485535384</v>
      </c>
      <c r="M1390" s="48" t="e">
        <f t="shared" si="86"/>
        <v>#DIV/0!</v>
      </c>
      <c r="N1390" s="48" t="e">
        <f t="shared" si="87"/>
        <v>#DIV/0!</v>
      </c>
    </row>
    <row r="1391" spans="1:14" x14ac:dyDescent="0.25">
      <c r="A1391" s="5">
        <v>2010</v>
      </c>
      <c r="B1391" s="4">
        <v>7848737</v>
      </c>
      <c r="C1391" s="4">
        <v>2296825</v>
      </c>
      <c r="D1391" s="4"/>
      <c r="E1391" s="4"/>
      <c r="F1391" s="4">
        <v>12421378</v>
      </c>
      <c r="G1391" s="4">
        <v>40835585</v>
      </c>
      <c r="H1391" s="4"/>
      <c r="I1391" s="4"/>
      <c r="K1391" s="48">
        <f t="shared" si="84"/>
        <v>1.5825957730524032</v>
      </c>
      <c r="L1391" s="48">
        <f t="shared" si="85"/>
        <v>17.779145124247602</v>
      </c>
      <c r="M1391" s="48" t="e">
        <f t="shared" si="86"/>
        <v>#DIV/0!</v>
      </c>
      <c r="N1391" s="48" t="e">
        <f t="shared" si="87"/>
        <v>#DIV/0!</v>
      </c>
    </row>
    <row r="1392" spans="1:14" x14ac:dyDescent="0.25">
      <c r="A1392" s="5">
        <v>2011</v>
      </c>
      <c r="B1392" s="4">
        <v>9084777</v>
      </c>
      <c r="C1392" s="4">
        <v>2028273</v>
      </c>
      <c r="D1392" s="4"/>
      <c r="E1392" s="4"/>
      <c r="F1392" s="4">
        <v>20380052</v>
      </c>
      <c r="G1392" s="4">
        <v>41352791</v>
      </c>
      <c r="H1392" s="4"/>
      <c r="I1392" s="4"/>
      <c r="K1392" s="48">
        <f t="shared" si="84"/>
        <v>2.2433189059015977</v>
      </c>
      <c r="L1392" s="48">
        <f t="shared" si="85"/>
        <v>20.388178021400471</v>
      </c>
      <c r="M1392" s="48" t="e">
        <f t="shared" si="86"/>
        <v>#DIV/0!</v>
      </c>
      <c r="N1392" s="48" t="e">
        <f t="shared" si="87"/>
        <v>#DIV/0!</v>
      </c>
    </row>
    <row r="1393" spans="1:14" x14ac:dyDescent="0.25">
      <c r="A1393" s="5">
        <v>2012</v>
      </c>
      <c r="B1393" s="4">
        <v>9901349</v>
      </c>
      <c r="C1393" s="4">
        <v>1779199</v>
      </c>
      <c r="D1393" s="4"/>
      <c r="E1393" s="4"/>
      <c r="F1393" s="4">
        <v>29815031</v>
      </c>
      <c r="G1393" s="4">
        <v>40706115</v>
      </c>
      <c r="H1393" s="4"/>
      <c r="I1393" s="4"/>
      <c r="K1393" s="48">
        <f t="shared" si="84"/>
        <v>3.0112089776857678</v>
      </c>
      <c r="L1393" s="48">
        <f t="shared" si="85"/>
        <v>22.878899437331068</v>
      </c>
      <c r="M1393" s="48" t="e">
        <f t="shared" si="86"/>
        <v>#DIV/0!</v>
      </c>
      <c r="N1393" s="48" t="e">
        <f t="shared" si="87"/>
        <v>#DIV/0!</v>
      </c>
    </row>
    <row r="1394" spans="1:14" x14ac:dyDescent="0.25">
      <c r="A1394" s="5">
        <v>2013</v>
      </c>
      <c r="B1394" s="4">
        <v>13135179</v>
      </c>
      <c r="C1394" s="4">
        <v>2097615</v>
      </c>
      <c r="D1394" s="4"/>
      <c r="E1394" s="4"/>
      <c r="F1394" s="4">
        <v>39099043</v>
      </c>
      <c r="G1394" s="4">
        <v>39471653</v>
      </c>
      <c r="H1394" s="4"/>
      <c r="I1394" s="4"/>
      <c r="K1394" s="48">
        <f t="shared" si="84"/>
        <v>2.9766661725736663</v>
      </c>
      <c r="L1394" s="48">
        <f t="shared" si="85"/>
        <v>18.817396424033962</v>
      </c>
      <c r="M1394" s="48" t="e">
        <f t="shared" si="86"/>
        <v>#DIV/0!</v>
      </c>
      <c r="N1394" s="48" t="e">
        <f t="shared" si="87"/>
        <v>#DIV/0!</v>
      </c>
    </row>
    <row r="1395" spans="1:14" x14ac:dyDescent="0.25">
      <c r="A1395" s="5">
        <v>2014</v>
      </c>
      <c r="B1395" s="4">
        <v>17883271</v>
      </c>
      <c r="C1395" s="4">
        <v>2214649</v>
      </c>
      <c r="D1395" s="4">
        <v>1012793</v>
      </c>
      <c r="E1395" s="4"/>
      <c r="F1395" s="4">
        <v>40869122</v>
      </c>
      <c r="G1395" s="4">
        <v>37759983</v>
      </c>
      <c r="H1395" s="4">
        <v>4448063</v>
      </c>
      <c r="I1395" s="4"/>
      <c r="K1395" s="48">
        <f t="shared" si="84"/>
        <v>2.2853269963867349</v>
      </c>
      <c r="L1395" s="48">
        <f t="shared" si="85"/>
        <v>17.050098232270667</v>
      </c>
      <c r="M1395" s="48">
        <f t="shared" si="86"/>
        <v>4.391877708475473</v>
      </c>
      <c r="N1395" s="48" t="e">
        <f t="shared" si="87"/>
        <v>#DIV/0!</v>
      </c>
    </row>
    <row r="1396" spans="1:14" x14ac:dyDescent="0.25">
      <c r="A1396" s="5">
        <v>2015</v>
      </c>
      <c r="B1396" s="4">
        <v>20658360</v>
      </c>
      <c r="C1396" s="4">
        <v>2662016</v>
      </c>
      <c r="D1396" s="4">
        <v>1030266</v>
      </c>
      <c r="E1396" s="4"/>
      <c r="F1396" s="4">
        <v>43728379</v>
      </c>
      <c r="G1396" s="4">
        <v>44532578</v>
      </c>
      <c r="H1396" s="4">
        <v>4131190</v>
      </c>
      <c r="I1396" s="4"/>
      <c r="K1396" s="48">
        <f t="shared" si="84"/>
        <v>2.1167400994076973</v>
      </c>
      <c r="L1396" s="48">
        <f t="shared" si="85"/>
        <v>16.728891937539068</v>
      </c>
      <c r="M1396" s="48">
        <f t="shared" si="86"/>
        <v>4.0098285297195098</v>
      </c>
      <c r="N1396" s="48" t="e">
        <f t="shared" si="87"/>
        <v>#DIV/0!</v>
      </c>
    </row>
    <row r="1397" spans="1:14" x14ac:dyDescent="0.25">
      <c r="A1397" s="5">
        <v>2016</v>
      </c>
      <c r="B1397" s="4">
        <v>23258621</v>
      </c>
      <c r="C1397" s="4">
        <v>3011982</v>
      </c>
      <c r="D1397" s="4">
        <v>1004084</v>
      </c>
      <c r="E1397" s="4"/>
      <c r="F1397" s="4">
        <v>40275618</v>
      </c>
      <c r="G1397" s="4">
        <v>42784415</v>
      </c>
      <c r="H1397" s="4">
        <v>3364566</v>
      </c>
      <c r="I1397" s="4"/>
      <c r="K1397" s="48">
        <f t="shared" si="84"/>
        <v>1.7316425595481348</v>
      </c>
      <c r="L1397" s="48">
        <f t="shared" si="85"/>
        <v>14.204737943321042</v>
      </c>
      <c r="M1397" s="48">
        <f t="shared" si="86"/>
        <v>3.3508810019878816</v>
      </c>
      <c r="N1397" s="48" t="e">
        <f t="shared" si="87"/>
        <v>#DIV/0!</v>
      </c>
    </row>
    <row r="1398" spans="1:14" x14ac:dyDescent="0.25">
      <c r="A1398" s="5">
        <v>2017</v>
      </c>
      <c r="B1398" s="4">
        <v>26857945</v>
      </c>
      <c r="C1398" s="4">
        <v>4091864</v>
      </c>
      <c r="D1398" s="4">
        <v>862973</v>
      </c>
      <c r="E1398" s="4"/>
      <c r="F1398" s="4">
        <v>64818595</v>
      </c>
      <c r="G1398" s="4">
        <v>56997529</v>
      </c>
      <c r="H1398" s="4">
        <v>2689412</v>
      </c>
      <c r="I1398" s="4"/>
      <c r="K1398" s="48">
        <f t="shared" si="84"/>
        <v>2.4133862438097924</v>
      </c>
      <c r="L1398" s="48">
        <f t="shared" si="85"/>
        <v>13.9294778614343</v>
      </c>
      <c r="M1398" s="48">
        <f t="shared" si="86"/>
        <v>3.116449761464148</v>
      </c>
      <c r="N1398" s="48" t="e">
        <f t="shared" si="87"/>
        <v>#DIV/0!</v>
      </c>
    </row>
    <row r="1399" spans="1:14" x14ac:dyDescent="0.25">
      <c r="A1399" s="5">
        <v>2018</v>
      </c>
      <c r="B1399" s="4">
        <v>25321410</v>
      </c>
      <c r="C1399" s="4">
        <v>5516075</v>
      </c>
      <c r="D1399" s="4"/>
      <c r="E1399" s="4"/>
      <c r="F1399" s="4">
        <v>49604039</v>
      </c>
      <c r="G1399" s="4">
        <v>77449928</v>
      </c>
      <c r="H1399" s="4"/>
      <c r="I1399" s="4"/>
      <c r="K1399" s="48">
        <f t="shared" si="84"/>
        <v>1.9589761786567177</v>
      </c>
      <c r="L1399" s="48">
        <f t="shared" si="85"/>
        <v>14.040767756058429</v>
      </c>
      <c r="M1399" s="48" t="e">
        <f t="shared" si="86"/>
        <v>#DIV/0!</v>
      </c>
      <c r="N1399" s="48" t="e">
        <f t="shared" si="87"/>
        <v>#DIV/0!</v>
      </c>
    </row>
    <row r="1400" spans="1:14" x14ac:dyDescent="0.25">
      <c r="A1400" s="5">
        <v>2019</v>
      </c>
      <c r="B1400" s="4">
        <v>21920062</v>
      </c>
      <c r="C1400" s="4">
        <v>6823515</v>
      </c>
      <c r="D1400" s="4">
        <v>1139595</v>
      </c>
      <c r="E1400" s="4"/>
      <c r="F1400" s="4">
        <v>41573021</v>
      </c>
      <c r="G1400" s="4">
        <v>86704967</v>
      </c>
      <c r="H1400" s="4">
        <v>4129142</v>
      </c>
      <c r="I1400" s="4"/>
      <c r="K1400" s="48">
        <f t="shared" si="84"/>
        <v>1.896574060785047</v>
      </c>
      <c r="L1400" s="48">
        <f t="shared" si="85"/>
        <v>12.706789242787625</v>
      </c>
      <c r="M1400" s="48">
        <f t="shared" si="86"/>
        <v>3.6233416257530089</v>
      </c>
      <c r="N1400" s="48" t="e">
        <f t="shared" si="87"/>
        <v>#DIV/0!</v>
      </c>
    </row>
    <row r="1401" spans="1:14" x14ac:dyDescent="0.25">
      <c r="A1401" s="5">
        <v>2020</v>
      </c>
      <c r="B1401" s="4">
        <v>25464286</v>
      </c>
      <c r="C1401" s="4">
        <v>7092175</v>
      </c>
      <c r="D1401" s="4">
        <v>2769090</v>
      </c>
      <c r="E1401" s="4"/>
      <c r="F1401" s="4">
        <v>39311529</v>
      </c>
      <c r="G1401" s="4">
        <v>77518404</v>
      </c>
      <c r="H1401" s="4">
        <v>10703555</v>
      </c>
      <c r="I1401" s="4"/>
      <c r="K1401" s="48">
        <f t="shared" si="84"/>
        <v>1.5437907428466677</v>
      </c>
      <c r="L1401" s="48">
        <f t="shared" si="85"/>
        <v>10.930131306686595</v>
      </c>
      <c r="M1401" s="48">
        <f t="shared" si="86"/>
        <v>3.8653691284862535</v>
      </c>
      <c r="N1401" s="48" t="e">
        <f t="shared" si="87"/>
        <v>#DIV/0!</v>
      </c>
    </row>
    <row r="1402" spans="1:14" x14ac:dyDescent="0.25">
      <c r="A1402" s="5">
        <v>2021</v>
      </c>
      <c r="B1402" s="4">
        <v>29967280</v>
      </c>
      <c r="C1402" s="4">
        <v>5937240</v>
      </c>
      <c r="D1402" s="4">
        <v>2604630</v>
      </c>
      <c r="E1402" s="4"/>
      <c r="F1402" s="4">
        <v>51845470</v>
      </c>
      <c r="G1402" s="4">
        <v>72195226</v>
      </c>
      <c r="H1402" s="4">
        <v>10736194</v>
      </c>
      <c r="I1402" s="4"/>
      <c r="K1402" s="48">
        <f t="shared" si="84"/>
        <v>1.7300692622086489</v>
      </c>
      <c r="L1402" s="48">
        <f t="shared" si="85"/>
        <v>12.159728426002655</v>
      </c>
      <c r="M1402" s="48">
        <f t="shared" si="86"/>
        <v>4.1219651159665673</v>
      </c>
      <c r="N1402" s="48" t="e">
        <f t="shared" si="87"/>
        <v>#DIV/0!</v>
      </c>
    </row>
    <row r="1403" spans="1:14" x14ac:dyDescent="0.25">
      <c r="A1403" s="5">
        <v>2022</v>
      </c>
      <c r="B1403" s="4">
        <v>31226315</v>
      </c>
      <c r="C1403" s="4">
        <v>6232454</v>
      </c>
      <c r="D1403" s="4">
        <v>3145170</v>
      </c>
      <c r="E1403" s="4"/>
      <c r="F1403" s="4">
        <v>70813994</v>
      </c>
      <c r="G1403" s="4">
        <v>103201174</v>
      </c>
      <c r="H1403" s="4">
        <v>14462900</v>
      </c>
      <c r="I1403" s="4"/>
      <c r="K1403" s="48">
        <f t="shared" si="84"/>
        <v>2.2677665936566642</v>
      </c>
      <c r="L1403" s="48">
        <f t="shared" si="85"/>
        <v>16.558673999037939</v>
      </c>
      <c r="M1403" s="48">
        <f t="shared" si="86"/>
        <v>4.5984477786574338</v>
      </c>
      <c r="N1403" s="48" t="e">
        <f t="shared" si="87"/>
        <v>#DIV/0!</v>
      </c>
    </row>
    <row r="1404" spans="1:14" x14ac:dyDescent="0.25">
      <c r="A1404" s="5">
        <v>2023</v>
      </c>
      <c r="B1404" s="4">
        <v>35964071</v>
      </c>
      <c r="C1404" s="4">
        <v>4469233</v>
      </c>
      <c r="D1404" s="4">
        <v>2361601</v>
      </c>
      <c r="E1404" s="4"/>
      <c r="F1404" s="4">
        <v>80205346</v>
      </c>
      <c r="G1404" s="4">
        <v>79385081</v>
      </c>
      <c r="H1404" s="4">
        <v>9970307</v>
      </c>
      <c r="I1404" s="4"/>
      <c r="K1404" s="48">
        <f t="shared" si="84"/>
        <v>2.2301520314538363</v>
      </c>
      <c r="L1404" s="48">
        <f t="shared" si="85"/>
        <v>17.762573801813421</v>
      </c>
      <c r="M1404" s="48">
        <f t="shared" si="86"/>
        <v>4.2218423010491613</v>
      </c>
      <c r="N1404" s="48" t="e">
        <f t="shared" si="87"/>
        <v>#DIV/0!</v>
      </c>
    </row>
    <row r="1405" spans="1:14" x14ac:dyDescent="0.25">
      <c r="A1405" s="5">
        <v>2024</v>
      </c>
      <c r="B1405" s="4">
        <v>37571036</v>
      </c>
      <c r="C1405" s="4">
        <v>12415092</v>
      </c>
      <c r="D1405" s="4">
        <v>4080870</v>
      </c>
      <c r="E1405" s="4"/>
      <c r="F1405" s="4">
        <v>69583181</v>
      </c>
      <c r="G1405" s="4">
        <v>128538991</v>
      </c>
      <c r="H1405" s="4">
        <v>16479564</v>
      </c>
      <c r="I1405" s="4"/>
      <c r="K1405" s="48">
        <f t="shared" si="84"/>
        <v>1.8520431802838762</v>
      </c>
      <c r="L1405" s="48">
        <f t="shared" si="85"/>
        <v>10.353446514935209</v>
      </c>
      <c r="M1405" s="48">
        <f t="shared" si="86"/>
        <v>4.0382477265877128</v>
      </c>
      <c r="N1405" s="48" t="e">
        <f t="shared" si="87"/>
        <v>#DIV/0!</v>
      </c>
    </row>
    <row r="1406" spans="1:14" x14ac:dyDescent="0.25">
      <c r="A1406" s="5">
        <v>2025</v>
      </c>
      <c r="B1406" s="4">
        <v>35664304</v>
      </c>
      <c r="C1406" s="4">
        <v>4229202</v>
      </c>
      <c r="D1406" s="4">
        <v>2158480</v>
      </c>
      <c r="E1406" s="4">
        <v>1138702</v>
      </c>
      <c r="F1406" s="4">
        <v>68884921</v>
      </c>
      <c r="G1406" s="4">
        <v>55607824</v>
      </c>
      <c r="H1406" s="4">
        <v>8479402</v>
      </c>
      <c r="I1406" s="4">
        <v>5576659</v>
      </c>
      <c r="K1406" s="48">
        <f t="shared" si="84"/>
        <v>1.9314808723030177</v>
      </c>
      <c r="L1406" s="48">
        <f t="shared" si="85"/>
        <v>13.148538187582433</v>
      </c>
      <c r="M1406" s="48">
        <f t="shared" si="86"/>
        <v>3.9284135132130018</v>
      </c>
      <c r="N1406" s="48">
        <f t="shared" si="87"/>
        <v>4.8973822826340871</v>
      </c>
    </row>
    <row r="1407" spans="1:14" x14ac:dyDescent="0.25">
      <c r="A1407" s="3" t="s">
        <v>50</v>
      </c>
      <c r="B1407" s="4">
        <v>9922977466.8720016</v>
      </c>
      <c r="C1407" s="4">
        <v>369785112.99000001</v>
      </c>
      <c r="D1407" s="4">
        <v>1507366352.1689999</v>
      </c>
      <c r="E1407" s="4">
        <v>8128964732.8260012</v>
      </c>
      <c r="F1407" s="4">
        <v>17264339214.061001</v>
      </c>
      <c r="G1407" s="4">
        <v>1084647977.4130001</v>
      </c>
      <c r="H1407" s="4">
        <v>5473242100.1530008</v>
      </c>
      <c r="I1407" s="4">
        <v>33774335302.148994</v>
      </c>
      <c r="K1407" s="48">
        <f t="shared" si="84"/>
        <v>1.7398345679709781</v>
      </c>
      <c r="L1407" s="48">
        <f t="shared" si="85"/>
        <v>2.9331845423488749</v>
      </c>
      <c r="M1407" s="48">
        <f t="shared" si="86"/>
        <v>3.6309966003137655</v>
      </c>
      <c r="N1407" s="48">
        <f t="shared" si="87"/>
        <v>4.154813855417907</v>
      </c>
    </row>
    <row r="1408" spans="1:14" x14ac:dyDescent="0.25">
      <c r="A1408" s="5">
        <v>2010</v>
      </c>
      <c r="B1408" s="4">
        <v>17860077</v>
      </c>
      <c r="C1408" s="4">
        <v>17860077</v>
      </c>
      <c r="D1408" s="4">
        <v>588726990</v>
      </c>
      <c r="E1408" s="4">
        <v>588726990</v>
      </c>
      <c r="F1408" s="4">
        <v>33955547</v>
      </c>
      <c r="G1408" s="4">
        <v>33955547</v>
      </c>
      <c r="H1408" s="4">
        <v>1879315622</v>
      </c>
      <c r="I1408" s="4">
        <v>1879315622</v>
      </c>
      <c r="K1408" s="48">
        <f t="shared" si="84"/>
        <v>1.9011982423144089</v>
      </c>
      <c r="L1408" s="48">
        <f t="shared" si="85"/>
        <v>1.9011982423144089</v>
      </c>
      <c r="M1408" s="48">
        <f t="shared" si="86"/>
        <v>3.1921682782031109</v>
      </c>
      <c r="N1408" s="48">
        <f t="shared" si="87"/>
        <v>3.1921682782031109</v>
      </c>
    </row>
    <row r="1409" spans="1:14" x14ac:dyDescent="0.25">
      <c r="A1409" s="5">
        <v>2011</v>
      </c>
      <c r="B1409" s="4">
        <v>200064625</v>
      </c>
      <c r="C1409" s="4">
        <v>18933436</v>
      </c>
      <c r="D1409" s="4">
        <v>404698786</v>
      </c>
      <c r="E1409" s="4">
        <v>576241031</v>
      </c>
      <c r="F1409" s="4">
        <v>434355022</v>
      </c>
      <c r="G1409" s="4">
        <v>47658370</v>
      </c>
      <c r="H1409" s="4">
        <v>1540146668</v>
      </c>
      <c r="I1409" s="4">
        <v>2297696408</v>
      </c>
      <c r="K1409" s="48">
        <f t="shared" si="84"/>
        <v>2.1710735818488649</v>
      </c>
      <c r="L1409" s="48">
        <f t="shared" si="85"/>
        <v>2.5171537802224595</v>
      </c>
      <c r="M1409" s="48">
        <f t="shared" si="86"/>
        <v>3.8056616952638942</v>
      </c>
      <c r="N1409" s="48">
        <f t="shared" si="87"/>
        <v>3.9873877151937833</v>
      </c>
    </row>
    <row r="1410" spans="1:14" x14ac:dyDescent="0.25">
      <c r="A1410" s="5">
        <v>2012</v>
      </c>
      <c r="B1410" s="4">
        <v>729053795</v>
      </c>
      <c r="C1410" s="4">
        <v>21296814</v>
      </c>
      <c r="D1410" s="4">
        <v>30105690</v>
      </c>
      <c r="E1410" s="4">
        <v>559492762</v>
      </c>
      <c r="F1410" s="4">
        <v>1650448559</v>
      </c>
      <c r="G1410" s="4">
        <v>91471176</v>
      </c>
      <c r="H1410" s="4">
        <v>155553489</v>
      </c>
      <c r="I1410" s="4">
        <v>2673478350</v>
      </c>
      <c r="K1410" s="48">
        <f t="shared" si="84"/>
        <v>2.2638227388967915</v>
      </c>
      <c r="L1410" s="48">
        <f t="shared" si="85"/>
        <v>4.2950638532129739</v>
      </c>
      <c r="M1410" s="48">
        <f t="shared" si="86"/>
        <v>5.1669132645689233</v>
      </c>
      <c r="N1410" s="48">
        <f t="shared" si="87"/>
        <v>4.7783966685166872</v>
      </c>
    </row>
    <row r="1411" spans="1:14" x14ac:dyDescent="0.25">
      <c r="A1411" s="5">
        <v>2013</v>
      </c>
      <c r="B1411" s="4">
        <v>761761277</v>
      </c>
      <c r="C1411" s="4">
        <v>14289269</v>
      </c>
      <c r="D1411" s="4">
        <v>26107094</v>
      </c>
      <c r="E1411" s="4">
        <v>550883859</v>
      </c>
      <c r="F1411" s="4">
        <v>1630243626</v>
      </c>
      <c r="G1411" s="4">
        <v>54667787</v>
      </c>
      <c r="H1411" s="4">
        <v>137007386</v>
      </c>
      <c r="I1411" s="4">
        <v>2650581933</v>
      </c>
      <c r="K1411" s="48">
        <f t="shared" si="84"/>
        <v>2.1400977907675922</v>
      </c>
      <c r="L1411" s="48">
        <f t="shared" si="85"/>
        <v>3.8257931178984732</v>
      </c>
      <c r="M1411" s="48">
        <f t="shared" si="86"/>
        <v>5.2478987511976634</v>
      </c>
      <c r="N1411" s="48">
        <f t="shared" si="87"/>
        <v>4.8115077065636083</v>
      </c>
    </row>
    <row r="1412" spans="1:14" x14ac:dyDescent="0.25">
      <c r="A1412" s="5">
        <v>2014</v>
      </c>
      <c r="B1412" s="4">
        <v>700347005</v>
      </c>
      <c r="C1412" s="4">
        <v>22534528</v>
      </c>
      <c r="D1412" s="4">
        <v>26921788</v>
      </c>
      <c r="E1412" s="4">
        <v>595479085</v>
      </c>
      <c r="F1412" s="4">
        <v>1132520856.98</v>
      </c>
      <c r="G1412" s="4">
        <v>75988600.518000007</v>
      </c>
      <c r="H1412" s="4">
        <v>106681715.124</v>
      </c>
      <c r="I1412" s="4">
        <v>2378197531.875</v>
      </c>
      <c r="K1412" s="48">
        <f t="shared" si="84"/>
        <v>1.617085314700532</v>
      </c>
      <c r="L1412" s="48">
        <f t="shared" si="85"/>
        <v>3.3720963899487937</v>
      </c>
      <c r="M1412" s="48">
        <f t="shared" si="86"/>
        <v>3.9626534138074336</v>
      </c>
      <c r="N1412" s="48">
        <f t="shared" si="87"/>
        <v>3.9937549307462241</v>
      </c>
    </row>
    <row r="1413" spans="1:14" x14ac:dyDescent="0.25">
      <c r="A1413" s="5">
        <v>2015</v>
      </c>
      <c r="B1413" s="4">
        <v>671747340</v>
      </c>
      <c r="C1413" s="4">
        <v>22248211.085999999</v>
      </c>
      <c r="D1413" s="4">
        <v>32673723.541999999</v>
      </c>
      <c r="E1413" s="4">
        <v>561630822.29400003</v>
      </c>
      <c r="F1413" s="4">
        <v>899101482.35000002</v>
      </c>
      <c r="G1413" s="4">
        <v>81012506.280000001</v>
      </c>
      <c r="H1413" s="4">
        <v>116911150.86</v>
      </c>
      <c r="I1413" s="4">
        <v>1997111366.6400001</v>
      </c>
      <c r="K1413" s="48">
        <f t="shared" si="84"/>
        <v>1.338451868451016</v>
      </c>
      <c r="L1413" s="48">
        <f t="shared" si="85"/>
        <v>3.6413042813576264</v>
      </c>
      <c r="M1413" s="48">
        <f t="shared" si="86"/>
        <v>3.5781398073506416</v>
      </c>
      <c r="N1413" s="48">
        <f t="shared" si="87"/>
        <v>3.5559148240524467</v>
      </c>
    </row>
    <row r="1414" spans="1:14" x14ac:dyDescent="0.25">
      <c r="A1414" s="5">
        <v>2016</v>
      </c>
      <c r="B1414" s="4">
        <v>762617251</v>
      </c>
      <c r="C1414" s="4">
        <v>28377593.173999999</v>
      </c>
      <c r="D1414" s="4">
        <v>35260291.556000002</v>
      </c>
      <c r="E1414" s="4">
        <v>563152955.23099995</v>
      </c>
      <c r="F1414" s="4">
        <v>1171143345.2</v>
      </c>
      <c r="G1414" s="4">
        <v>86658488.299999997</v>
      </c>
      <c r="H1414" s="4">
        <v>132976277.75</v>
      </c>
      <c r="I1414" s="4">
        <v>2002419592.4100001</v>
      </c>
      <c r="K1414" s="48">
        <f t="shared" si="84"/>
        <v>1.5356895528711296</v>
      </c>
      <c r="L1414" s="48">
        <f t="shared" si="85"/>
        <v>3.0537645588420754</v>
      </c>
      <c r="M1414" s="48">
        <f t="shared" si="86"/>
        <v>3.7712756157676282</v>
      </c>
      <c r="N1414" s="48">
        <f t="shared" si="87"/>
        <v>3.5557295292690538</v>
      </c>
    </row>
    <row r="1415" spans="1:14" x14ac:dyDescent="0.25">
      <c r="A1415" s="5">
        <v>2017</v>
      </c>
      <c r="B1415" s="4">
        <v>712568985</v>
      </c>
      <c r="C1415" s="4">
        <v>27462267.763</v>
      </c>
      <c r="D1415" s="4">
        <v>23271113.548999999</v>
      </c>
      <c r="E1415" s="4">
        <v>490482330.05800003</v>
      </c>
      <c r="F1415" s="4">
        <v>1333014398.54</v>
      </c>
      <c r="G1415" s="4">
        <v>80224212.269999996</v>
      </c>
      <c r="H1415" s="4">
        <v>100851339.34999999</v>
      </c>
      <c r="I1415" s="4">
        <v>2083602088.6400001</v>
      </c>
      <c r="K1415" s="48">
        <f t="shared" ref="K1415:K1478" si="88">F1415/B1415</f>
        <v>1.8707162767405601</v>
      </c>
      <c r="L1415" s="48">
        <f t="shared" ref="L1415:L1478" si="89">G1415/C1415</f>
        <v>2.9212522783018788</v>
      </c>
      <c r="M1415" s="48">
        <f t="shared" ref="M1415:M1478" si="90">H1415/D1415</f>
        <v>4.3337564890328917</v>
      </c>
      <c r="N1415" s="48">
        <f t="shared" ref="N1415:N1478" si="91">I1415/E1415</f>
        <v>4.2480675876613372</v>
      </c>
    </row>
    <row r="1416" spans="1:14" x14ac:dyDescent="0.25">
      <c r="A1416" s="5">
        <v>2018</v>
      </c>
      <c r="B1416" s="4">
        <v>851774040</v>
      </c>
      <c r="C1416" s="4">
        <v>24013383</v>
      </c>
      <c r="D1416" s="4">
        <v>26854601.962000001</v>
      </c>
      <c r="E1416" s="4">
        <v>514415168.51999998</v>
      </c>
      <c r="F1416" s="4">
        <v>1350461619.1099999</v>
      </c>
      <c r="G1416" s="4">
        <v>74771306.620000005</v>
      </c>
      <c r="H1416" s="4">
        <v>124016234.98999999</v>
      </c>
      <c r="I1416" s="4">
        <v>2274561483.4400001</v>
      </c>
      <c r="K1416" s="48">
        <f t="shared" si="88"/>
        <v>1.5854693330522258</v>
      </c>
      <c r="L1416" s="48">
        <f t="shared" si="89"/>
        <v>3.1137348127916837</v>
      </c>
      <c r="M1416" s="48">
        <f t="shared" si="90"/>
        <v>4.6180626756444338</v>
      </c>
      <c r="N1416" s="48">
        <f t="shared" si="91"/>
        <v>4.421645438613397</v>
      </c>
    </row>
    <row r="1417" spans="1:14" x14ac:dyDescent="0.25">
      <c r="A1417" s="5">
        <v>2019</v>
      </c>
      <c r="B1417" s="4">
        <v>602552090.65000105</v>
      </c>
      <c r="C1417" s="4">
        <v>17861866.223000001</v>
      </c>
      <c r="D1417" s="4">
        <v>32495036.984999999</v>
      </c>
      <c r="E1417" s="4">
        <v>441891507.46499997</v>
      </c>
      <c r="F1417" s="4">
        <v>1008966581.256</v>
      </c>
      <c r="G1417" s="4">
        <v>57753542.686999999</v>
      </c>
      <c r="H1417" s="4">
        <v>142143354.92899999</v>
      </c>
      <c r="I1417" s="4">
        <v>1973571307.1989999</v>
      </c>
      <c r="K1417" s="48">
        <f t="shared" si="88"/>
        <v>1.6744885577736204</v>
      </c>
      <c r="L1417" s="48">
        <f t="shared" si="89"/>
        <v>3.2333431437658571</v>
      </c>
      <c r="M1417" s="48">
        <f t="shared" si="90"/>
        <v>4.3743096828791002</v>
      </c>
      <c r="N1417" s="48">
        <f t="shared" si="91"/>
        <v>4.4661897181975521</v>
      </c>
    </row>
    <row r="1418" spans="1:14" x14ac:dyDescent="0.25">
      <c r="A1418" s="5">
        <v>2020</v>
      </c>
      <c r="B1418" s="4">
        <v>841093384</v>
      </c>
      <c r="C1418" s="4">
        <v>20388868</v>
      </c>
      <c r="D1418" s="4">
        <v>43312081.843999997</v>
      </c>
      <c r="E1418" s="4">
        <v>582657601.21599996</v>
      </c>
      <c r="F1418" s="4">
        <v>1301579214.8369999</v>
      </c>
      <c r="G1418" s="4">
        <v>50049451.229999997</v>
      </c>
      <c r="H1418" s="4">
        <v>156816499.42500001</v>
      </c>
      <c r="I1418" s="4">
        <v>2373410939.0760002</v>
      </c>
      <c r="K1418" s="48">
        <f t="shared" si="88"/>
        <v>1.5474847853957199</v>
      </c>
      <c r="L1418" s="48">
        <f t="shared" si="89"/>
        <v>2.4547439921627818</v>
      </c>
      <c r="M1418" s="48">
        <f t="shared" si="90"/>
        <v>3.6206179141842321</v>
      </c>
      <c r="N1418" s="48">
        <f t="shared" si="91"/>
        <v>4.0734231118288307</v>
      </c>
    </row>
    <row r="1419" spans="1:14" x14ac:dyDescent="0.25">
      <c r="A1419" s="5">
        <v>2021</v>
      </c>
      <c r="B1419" s="4">
        <v>697231887</v>
      </c>
      <c r="C1419" s="4">
        <v>24576139</v>
      </c>
      <c r="D1419" s="4">
        <v>39737342.068000004</v>
      </c>
      <c r="E1419" s="4">
        <v>471026442.727</v>
      </c>
      <c r="F1419" s="4">
        <v>1087392199.704</v>
      </c>
      <c r="G1419" s="4">
        <v>63375347.813000001</v>
      </c>
      <c r="H1419" s="4">
        <v>127826250.142</v>
      </c>
      <c r="I1419" s="4">
        <v>1917813135.1689999</v>
      </c>
      <c r="K1419" s="48">
        <f t="shared" si="88"/>
        <v>1.5595847235024694</v>
      </c>
      <c r="L1419" s="48">
        <f t="shared" si="89"/>
        <v>2.5787349189797468</v>
      </c>
      <c r="M1419" s="48">
        <f t="shared" si="90"/>
        <v>3.2167790669858847</v>
      </c>
      <c r="N1419" s="48">
        <f t="shared" si="91"/>
        <v>4.0715615116337238</v>
      </c>
    </row>
    <row r="1420" spans="1:14" x14ac:dyDescent="0.25">
      <c r="A1420" s="5">
        <v>2022</v>
      </c>
      <c r="B1420" s="4">
        <v>729698051</v>
      </c>
      <c r="C1420" s="4">
        <v>36002079</v>
      </c>
      <c r="D1420" s="4">
        <v>54327748.609999999</v>
      </c>
      <c r="E1420" s="4">
        <v>513792909.30500001</v>
      </c>
      <c r="F1420" s="4">
        <v>1303050923.118</v>
      </c>
      <c r="G1420" s="4">
        <v>102584879.442</v>
      </c>
      <c r="H1420" s="4">
        <v>196505249.523</v>
      </c>
      <c r="I1420" s="4">
        <v>2284284903.842</v>
      </c>
      <c r="K1420" s="48">
        <f t="shared" si="88"/>
        <v>1.7857398979375922</v>
      </c>
      <c r="L1420" s="48">
        <f t="shared" si="89"/>
        <v>2.8494154307588739</v>
      </c>
      <c r="M1420" s="48">
        <f t="shared" si="90"/>
        <v>3.6170328156545342</v>
      </c>
      <c r="N1420" s="48">
        <f t="shared" si="91"/>
        <v>4.4459253182997758</v>
      </c>
    </row>
    <row r="1421" spans="1:14" x14ac:dyDescent="0.25">
      <c r="A1421" s="5">
        <v>2023</v>
      </c>
      <c r="B1421" s="4">
        <v>668826782.222</v>
      </c>
      <c r="C1421" s="4">
        <v>27798624</v>
      </c>
      <c r="D1421" s="4">
        <v>57435608.347000003</v>
      </c>
      <c r="E1421" s="4">
        <v>444404332.98199999</v>
      </c>
      <c r="F1421" s="4">
        <v>1320725110.2360001</v>
      </c>
      <c r="G1421" s="4">
        <v>74526341.474999994</v>
      </c>
      <c r="H1421" s="4">
        <v>227070080.59999999</v>
      </c>
      <c r="I1421" s="4">
        <v>2087350874.0829999</v>
      </c>
      <c r="K1421" s="48">
        <f t="shared" si="88"/>
        <v>1.9746893296471177</v>
      </c>
      <c r="L1421" s="48">
        <f t="shared" si="89"/>
        <v>2.6809363468853706</v>
      </c>
      <c r="M1421" s="48">
        <f t="shared" si="90"/>
        <v>3.9534721949516949</v>
      </c>
      <c r="N1421" s="48">
        <f t="shared" si="91"/>
        <v>4.6969633713439629</v>
      </c>
    </row>
    <row r="1422" spans="1:14" x14ac:dyDescent="0.25">
      <c r="A1422" s="5">
        <v>2024</v>
      </c>
      <c r="B1422" s="4">
        <v>828732066</v>
      </c>
      <c r="C1422" s="4">
        <v>38900750.744000003</v>
      </c>
      <c r="D1422" s="4">
        <v>75119193.604000002</v>
      </c>
      <c r="E1422" s="4">
        <v>579464066.50300002</v>
      </c>
      <c r="F1422" s="4">
        <v>1353630128.5050001</v>
      </c>
      <c r="G1422" s="4">
        <v>92755585.702999994</v>
      </c>
      <c r="H1422" s="4">
        <v>288921092.64200002</v>
      </c>
      <c r="I1422" s="4">
        <v>2498606741.6279998</v>
      </c>
      <c r="K1422" s="48">
        <f t="shared" si="88"/>
        <v>1.6333748675111603</v>
      </c>
      <c r="L1422" s="48">
        <f t="shared" si="89"/>
        <v>2.3844163397619385</v>
      </c>
      <c r="M1422" s="48">
        <f t="shared" si="90"/>
        <v>3.8461687190770819</v>
      </c>
      <c r="N1422" s="48">
        <f t="shared" si="91"/>
        <v>4.3119269788492813</v>
      </c>
    </row>
    <row r="1423" spans="1:14" x14ac:dyDescent="0.25">
      <c r="A1423" s="5">
        <v>2025</v>
      </c>
      <c r="B1423" s="4">
        <v>147048811</v>
      </c>
      <c r="C1423" s="4">
        <v>7241207</v>
      </c>
      <c r="D1423" s="4">
        <v>10319262.102</v>
      </c>
      <c r="E1423" s="4">
        <v>95222869.525000006</v>
      </c>
      <c r="F1423" s="4">
        <v>253750600.22499999</v>
      </c>
      <c r="G1423" s="4">
        <v>17194835.074999999</v>
      </c>
      <c r="H1423" s="4">
        <v>40499689.818000004</v>
      </c>
      <c r="I1423" s="4">
        <v>402333025.14700001</v>
      </c>
      <c r="K1423" s="48">
        <f t="shared" si="88"/>
        <v>1.7256215708197735</v>
      </c>
      <c r="L1423" s="48">
        <f t="shared" si="89"/>
        <v>2.3745813474190145</v>
      </c>
      <c r="M1423" s="48">
        <f t="shared" si="90"/>
        <v>3.9246691689467474</v>
      </c>
      <c r="N1423" s="48">
        <f t="shared" si="91"/>
        <v>4.2251722422770577</v>
      </c>
    </row>
    <row r="1424" spans="1:14" x14ac:dyDescent="0.25">
      <c r="A1424" s="3" t="s">
        <v>83</v>
      </c>
      <c r="B1424" s="4">
        <v>2620000</v>
      </c>
      <c r="C1424" s="4"/>
      <c r="D1424" s="4"/>
      <c r="E1424" s="4"/>
      <c r="F1424" s="4">
        <v>1550375.58</v>
      </c>
      <c r="G1424" s="4"/>
      <c r="H1424" s="4"/>
      <c r="I1424" s="4"/>
      <c r="K1424" s="48">
        <f t="shared" si="88"/>
        <v>0.59174640458015271</v>
      </c>
      <c r="L1424" s="48" t="e">
        <f t="shared" si="89"/>
        <v>#DIV/0!</v>
      </c>
      <c r="M1424" s="48" t="e">
        <f t="shared" si="90"/>
        <v>#DIV/0!</v>
      </c>
      <c r="N1424" s="48" t="e">
        <f t="shared" si="91"/>
        <v>#DIV/0!</v>
      </c>
    </row>
    <row r="1425" spans="1:14" x14ac:dyDescent="0.25">
      <c r="A1425" s="5">
        <v>2012</v>
      </c>
      <c r="B1425" s="4">
        <v>2620000</v>
      </c>
      <c r="C1425" s="4"/>
      <c r="D1425" s="4"/>
      <c r="E1425" s="4"/>
      <c r="F1425" s="4">
        <v>1550375.58</v>
      </c>
      <c r="G1425" s="4"/>
      <c r="H1425" s="4"/>
      <c r="I1425" s="4"/>
      <c r="K1425" s="48">
        <f t="shared" si="88"/>
        <v>0.59174640458015271</v>
      </c>
      <c r="L1425" s="48" t="e">
        <f t="shared" si="89"/>
        <v>#DIV/0!</v>
      </c>
      <c r="M1425" s="48" t="e">
        <f t="shared" si="90"/>
        <v>#DIV/0!</v>
      </c>
      <c r="N1425" s="48" t="e">
        <f t="shared" si="91"/>
        <v>#DIV/0!</v>
      </c>
    </row>
    <row r="1426" spans="1:14" x14ac:dyDescent="0.25">
      <c r="A1426" s="3" t="s">
        <v>61</v>
      </c>
      <c r="B1426" s="4"/>
      <c r="C1426" s="4">
        <v>4373276</v>
      </c>
      <c r="D1426" s="4">
        <v>21672560</v>
      </c>
      <c r="E1426" s="4"/>
      <c r="F1426" s="4"/>
      <c r="G1426" s="4">
        <v>11823426.454</v>
      </c>
      <c r="H1426" s="4">
        <v>85341548.094000012</v>
      </c>
      <c r="I1426" s="4"/>
      <c r="K1426" s="48" t="e">
        <f t="shared" si="88"/>
        <v>#DIV/0!</v>
      </c>
      <c r="L1426" s="48">
        <f t="shared" si="89"/>
        <v>2.7035628334456825</v>
      </c>
      <c r="M1426" s="48">
        <f t="shared" si="90"/>
        <v>3.9377696079281823</v>
      </c>
      <c r="N1426" s="48" t="e">
        <f t="shared" si="91"/>
        <v>#DIV/0!</v>
      </c>
    </row>
    <row r="1427" spans="1:14" x14ac:dyDescent="0.25">
      <c r="A1427" s="5">
        <v>2011</v>
      </c>
      <c r="B1427" s="4"/>
      <c r="C1427" s="4"/>
      <c r="D1427" s="4">
        <v>1438216</v>
      </c>
      <c r="E1427" s="4"/>
      <c r="F1427" s="4"/>
      <c r="G1427" s="4"/>
      <c r="H1427" s="4">
        <v>4529059.6140000001</v>
      </c>
      <c r="I1427" s="4"/>
      <c r="K1427" s="48" t="e">
        <f t="shared" si="88"/>
        <v>#DIV/0!</v>
      </c>
      <c r="L1427" s="48" t="e">
        <f t="shared" si="89"/>
        <v>#DIV/0!</v>
      </c>
      <c r="M1427" s="48">
        <f t="shared" si="90"/>
        <v>3.1490816497660989</v>
      </c>
      <c r="N1427" s="48" t="e">
        <f t="shared" si="91"/>
        <v>#DIV/0!</v>
      </c>
    </row>
    <row r="1428" spans="1:14" x14ac:dyDescent="0.25">
      <c r="A1428" s="5">
        <v>2012</v>
      </c>
      <c r="B1428" s="4"/>
      <c r="C1428" s="4">
        <v>1910547</v>
      </c>
      <c r="D1428" s="4">
        <v>1386477</v>
      </c>
      <c r="E1428" s="4"/>
      <c r="F1428" s="4"/>
      <c r="G1428" s="4">
        <v>5535834.4639999997</v>
      </c>
      <c r="H1428" s="4">
        <v>5589487.3480000002</v>
      </c>
      <c r="I1428" s="4"/>
      <c r="K1428" s="48" t="e">
        <f t="shared" si="88"/>
        <v>#DIV/0!</v>
      </c>
      <c r="L1428" s="48">
        <f t="shared" si="89"/>
        <v>2.8975128400400512</v>
      </c>
      <c r="M1428" s="48">
        <f t="shared" si="90"/>
        <v>4.0314317136165982</v>
      </c>
      <c r="N1428" s="48" t="e">
        <f t="shared" si="91"/>
        <v>#DIV/0!</v>
      </c>
    </row>
    <row r="1429" spans="1:14" x14ac:dyDescent="0.25">
      <c r="A1429" s="5">
        <v>2013</v>
      </c>
      <c r="B1429" s="4"/>
      <c r="C1429" s="4">
        <v>1360393</v>
      </c>
      <c r="D1429" s="4">
        <v>1465012</v>
      </c>
      <c r="E1429" s="4"/>
      <c r="F1429" s="4"/>
      <c r="G1429" s="4">
        <v>3586599.2969999998</v>
      </c>
      <c r="H1429" s="4">
        <v>6062004.716</v>
      </c>
      <c r="I1429" s="4"/>
      <c r="K1429" s="48" t="e">
        <f t="shared" si="88"/>
        <v>#DIV/0!</v>
      </c>
      <c r="L1429" s="48">
        <f t="shared" si="89"/>
        <v>2.6364435108090087</v>
      </c>
      <c r="M1429" s="48">
        <f t="shared" si="90"/>
        <v>4.1378532844782159</v>
      </c>
      <c r="N1429" s="48" t="e">
        <f t="shared" si="91"/>
        <v>#DIV/0!</v>
      </c>
    </row>
    <row r="1430" spans="1:14" x14ac:dyDescent="0.25">
      <c r="A1430" s="5">
        <v>2014</v>
      </c>
      <c r="B1430" s="4"/>
      <c r="C1430" s="4">
        <v>1102336</v>
      </c>
      <c r="D1430" s="4">
        <v>1741183</v>
      </c>
      <c r="E1430" s="4"/>
      <c r="F1430" s="4"/>
      <c r="G1430" s="4">
        <v>2700992.693</v>
      </c>
      <c r="H1430" s="4">
        <v>6215570.4670000002</v>
      </c>
      <c r="I1430" s="4"/>
      <c r="K1430" s="48" t="e">
        <f t="shared" si="88"/>
        <v>#DIV/0!</v>
      </c>
      <c r="L1430" s="48">
        <f t="shared" si="89"/>
        <v>2.4502444744615071</v>
      </c>
      <c r="M1430" s="48">
        <f t="shared" si="90"/>
        <v>3.5697399222252919</v>
      </c>
      <c r="N1430" s="48" t="e">
        <f t="shared" si="91"/>
        <v>#DIV/0!</v>
      </c>
    </row>
    <row r="1431" spans="1:14" x14ac:dyDescent="0.25">
      <c r="A1431" s="5">
        <v>2015</v>
      </c>
      <c r="B1431" s="4"/>
      <c r="C1431" s="4"/>
      <c r="D1431" s="4">
        <v>1517317</v>
      </c>
      <c r="E1431" s="4"/>
      <c r="F1431" s="4"/>
      <c r="G1431" s="4"/>
      <c r="H1431" s="4">
        <v>5535094.4950000001</v>
      </c>
      <c r="I1431" s="4"/>
      <c r="K1431" s="48" t="e">
        <f t="shared" si="88"/>
        <v>#DIV/0!</v>
      </c>
      <c r="L1431" s="48" t="e">
        <f t="shared" si="89"/>
        <v>#DIV/0!</v>
      </c>
      <c r="M1431" s="48">
        <f t="shared" si="90"/>
        <v>3.6479486455368257</v>
      </c>
      <c r="N1431" s="48" t="e">
        <f t="shared" si="91"/>
        <v>#DIV/0!</v>
      </c>
    </row>
    <row r="1432" spans="1:14" x14ac:dyDescent="0.25">
      <c r="A1432" s="5">
        <v>2016</v>
      </c>
      <c r="B1432" s="4"/>
      <c r="C1432" s="4"/>
      <c r="D1432" s="4">
        <v>1333645</v>
      </c>
      <c r="E1432" s="4"/>
      <c r="F1432" s="4"/>
      <c r="G1432" s="4"/>
      <c r="H1432" s="4">
        <v>4689326.5410000002</v>
      </c>
      <c r="I1432" s="4"/>
      <c r="K1432" s="48" t="e">
        <f t="shared" si="88"/>
        <v>#DIV/0!</v>
      </c>
      <c r="L1432" s="48" t="e">
        <f t="shared" si="89"/>
        <v>#DIV/0!</v>
      </c>
      <c r="M1432" s="48">
        <f t="shared" si="90"/>
        <v>3.5161730003111775</v>
      </c>
      <c r="N1432" s="48" t="e">
        <f t="shared" si="91"/>
        <v>#DIV/0!</v>
      </c>
    </row>
    <row r="1433" spans="1:14" x14ac:dyDescent="0.25">
      <c r="A1433" s="5">
        <v>2017</v>
      </c>
      <c r="B1433" s="4"/>
      <c r="C1433" s="4"/>
      <c r="D1433" s="4">
        <v>1347707</v>
      </c>
      <c r="E1433" s="4"/>
      <c r="F1433" s="4"/>
      <c r="G1433" s="4"/>
      <c r="H1433" s="4">
        <v>4947240.8779999996</v>
      </c>
      <c r="I1433" s="4"/>
      <c r="K1433" s="48" t="e">
        <f t="shared" si="88"/>
        <v>#DIV/0!</v>
      </c>
      <c r="L1433" s="48" t="e">
        <f t="shared" si="89"/>
        <v>#DIV/0!</v>
      </c>
      <c r="M1433" s="48">
        <f t="shared" si="90"/>
        <v>3.6708578927021969</v>
      </c>
      <c r="N1433" s="48" t="e">
        <f t="shared" si="91"/>
        <v>#DIV/0!</v>
      </c>
    </row>
    <row r="1434" spans="1:14" x14ac:dyDescent="0.25">
      <c r="A1434" s="5">
        <v>2018</v>
      </c>
      <c r="B1434" s="4"/>
      <c r="C1434" s="4"/>
      <c r="D1434" s="4">
        <v>1675138</v>
      </c>
      <c r="E1434" s="4"/>
      <c r="F1434" s="4"/>
      <c r="G1434" s="4"/>
      <c r="H1434" s="4">
        <v>6766122.6979999999</v>
      </c>
      <c r="I1434" s="4"/>
      <c r="K1434" s="48" t="e">
        <f t="shared" si="88"/>
        <v>#DIV/0!</v>
      </c>
      <c r="L1434" s="48" t="e">
        <f t="shared" si="89"/>
        <v>#DIV/0!</v>
      </c>
      <c r="M1434" s="48">
        <f t="shared" si="90"/>
        <v>4.0391434604193801</v>
      </c>
      <c r="N1434" s="48" t="e">
        <f t="shared" si="91"/>
        <v>#DIV/0!</v>
      </c>
    </row>
    <row r="1435" spans="1:14" x14ac:dyDescent="0.25">
      <c r="A1435" s="5">
        <v>2019</v>
      </c>
      <c r="B1435" s="4"/>
      <c r="C1435" s="4"/>
      <c r="D1435" s="4">
        <v>1768088</v>
      </c>
      <c r="E1435" s="4"/>
      <c r="F1435" s="4"/>
      <c r="G1435" s="4"/>
      <c r="H1435" s="4">
        <v>9885515.159</v>
      </c>
      <c r="I1435" s="4"/>
      <c r="K1435" s="48" t="e">
        <f t="shared" si="88"/>
        <v>#DIV/0!</v>
      </c>
      <c r="L1435" s="48" t="e">
        <f t="shared" si="89"/>
        <v>#DIV/0!</v>
      </c>
      <c r="M1435" s="48">
        <f t="shared" si="90"/>
        <v>5.5910764390686438</v>
      </c>
      <c r="N1435" s="48" t="e">
        <f t="shared" si="91"/>
        <v>#DIV/0!</v>
      </c>
    </row>
    <row r="1436" spans="1:14" x14ac:dyDescent="0.25">
      <c r="A1436" s="5">
        <v>2020</v>
      </c>
      <c r="B1436" s="4"/>
      <c r="C1436" s="4"/>
      <c r="D1436" s="4">
        <v>2172598</v>
      </c>
      <c r="E1436" s="4"/>
      <c r="F1436" s="4"/>
      <c r="G1436" s="4"/>
      <c r="H1436" s="4">
        <v>7867483.8499999996</v>
      </c>
      <c r="I1436" s="4"/>
      <c r="K1436" s="48" t="e">
        <f t="shared" si="88"/>
        <v>#DIV/0!</v>
      </c>
      <c r="L1436" s="48" t="e">
        <f t="shared" si="89"/>
        <v>#DIV/0!</v>
      </c>
      <c r="M1436" s="48">
        <f t="shared" si="90"/>
        <v>3.6212331273433924</v>
      </c>
      <c r="N1436" s="48" t="e">
        <f t="shared" si="91"/>
        <v>#DIV/0!</v>
      </c>
    </row>
    <row r="1437" spans="1:14" x14ac:dyDescent="0.25">
      <c r="A1437" s="5">
        <v>2021</v>
      </c>
      <c r="B1437" s="4"/>
      <c r="C1437" s="4"/>
      <c r="D1437" s="4">
        <v>1778250</v>
      </c>
      <c r="E1437" s="4"/>
      <c r="F1437" s="4"/>
      <c r="G1437" s="4"/>
      <c r="H1437" s="4">
        <v>7004704.9330000002</v>
      </c>
      <c r="I1437" s="4"/>
      <c r="K1437" s="48" t="e">
        <f t="shared" si="88"/>
        <v>#DIV/0!</v>
      </c>
      <c r="L1437" s="48" t="e">
        <f t="shared" si="89"/>
        <v>#DIV/0!</v>
      </c>
      <c r="M1437" s="48">
        <f t="shared" si="90"/>
        <v>3.9391002013215242</v>
      </c>
      <c r="N1437" s="48" t="e">
        <f t="shared" si="91"/>
        <v>#DIV/0!</v>
      </c>
    </row>
    <row r="1438" spans="1:14" x14ac:dyDescent="0.25">
      <c r="A1438" s="5">
        <v>2023</v>
      </c>
      <c r="B1438" s="4"/>
      <c r="C1438" s="4"/>
      <c r="D1438" s="4">
        <v>1830135</v>
      </c>
      <c r="E1438" s="4"/>
      <c r="F1438" s="4"/>
      <c r="G1438" s="4"/>
      <c r="H1438" s="4">
        <v>7590168.9340000004</v>
      </c>
      <c r="I1438" s="4"/>
      <c r="K1438" s="48" t="e">
        <f t="shared" si="88"/>
        <v>#DIV/0!</v>
      </c>
      <c r="L1438" s="48" t="e">
        <f t="shared" si="89"/>
        <v>#DIV/0!</v>
      </c>
      <c r="M1438" s="48">
        <f t="shared" si="90"/>
        <v>4.1473273468897105</v>
      </c>
      <c r="N1438" s="48" t="e">
        <f t="shared" si="91"/>
        <v>#DIV/0!</v>
      </c>
    </row>
    <row r="1439" spans="1:14" x14ac:dyDescent="0.25">
      <c r="A1439" s="5">
        <v>2024</v>
      </c>
      <c r="B1439" s="4"/>
      <c r="C1439" s="4"/>
      <c r="D1439" s="4">
        <v>2218794</v>
      </c>
      <c r="E1439" s="4"/>
      <c r="F1439" s="4"/>
      <c r="G1439" s="4"/>
      <c r="H1439" s="4">
        <v>8659768.4609999992</v>
      </c>
      <c r="I1439" s="4"/>
      <c r="K1439" s="48" t="e">
        <f t="shared" si="88"/>
        <v>#DIV/0!</v>
      </c>
      <c r="L1439" s="48" t="e">
        <f t="shared" si="89"/>
        <v>#DIV/0!</v>
      </c>
      <c r="M1439" s="48">
        <f t="shared" si="90"/>
        <v>3.9029168372548328</v>
      </c>
      <c r="N1439" s="48" t="e">
        <f t="shared" si="91"/>
        <v>#DIV/0!</v>
      </c>
    </row>
    <row r="1440" spans="1:14" x14ac:dyDescent="0.25">
      <c r="A1440" s="3" t="s">
        <v>51</v>
      </c>
      <c r="B1440" s="4">
        <v>105757697</v>
      </c>
      <c r="C1440" s="4">
        <v>10378784</v>
      </c>
      <c r="D1440" s="4">
        <v>10118016</v>
      </c>
      <c r="E1440" s="4">
        <v>7258366</v>
      </c>
      <c r="F1440" s="4">
        <v>165113203.99599999</v>
      </c>
      <c r="G1440" s="4">
        <v>150390550.15400001</v>
      </c>
      <c r="H1440" s="4">
        <v>11126596.737</v>
      </c>
      <c r="I1440" s="4">
        <v>39249156.225000001</v>
      </c>
      <c r="K1440" s="48">
        <f t="shared" si="88"/>
        <v>1.561240540213352</v>
      </c>
      <c r="L1440" s="48">
        <f t="shared" si="89"/>
        <v>14.490189809711813</v>
      </c>
      <c r="M1440" s="48">
        <f t="shared" si="90"/>
        <v>1.0996816704974572</v>
      </c>
      <c r="N1440" s="48">
        <f t="shared" si="91"/>
        <v>5.4074369114205592</v>
      </c>
    </row>
    <row r="1441" spans="1:14" x14ac:dyDescent="0.25">
      <c r="A1441" s="5">
        <v>2014</v>
      </c>
      <c r="B1441" s="4">
        <v>13126353</v>
      </c>
      <c r="C1441" s="4">
        <v>1703295</v>
      </c>
      <c r="D1441" s="4">
        <v>10118016</v>
      </c>
      <c r="E1441" s="4"/>
      <c r="F1441" s="4">
        <v>19552254.352000002</v>
      </c>
      <c r="G1441" s="4">
        <v>29833202.338</v>
      </c>
      <c r="H1441" s="4">
        <v>11126596.737</v>
      </c>
      <c r="I1441" s="4"/>
      <c r="K1441" s="48">
        <f t="shared" si="88"/>
        <v>1.4895420191731856</v>
      </c>
      <c r="L1441" s="48">
        <f t="shared" si="89"/>
        <v>17.514994371497597</v>
      </c>
      <c r="M1441" s="48">
        <f t="shared" si="90"/>
        <v>1.0996816704974572</v>
      </c>
      <c r="N1441" s="48" t="e">
        <f t="shared" si="91"/>
        <v>#DIV/0!</v>
      </c>
    </row>
    <row r="1442" spans="1:14" x14ac:dyDescent="0.25">
      <c r="A1442" s="5">
        <v>2021</v>
      </c>
      <c r="B1442" s="4">
        <v>43579289</v>
      </c>
      <c r="C1442" s="4">
        <v>4983114</v>
      </c>
      <c r="D1442" s="4"/>
      <c r="E1442" s="4">
        <v>2327752</v>
      </c>
      <c r="F1442" s="4">
        <v>61457321.177000001</v>
      </c>
      <c r="G1442" s="4">
        <v>62562975.115000002</v>
      </c>
      <c r="H1442" s="4"/>
      <c r="I1442" s="4">
        <v>12830817.432</v>
      </c>
      <c r="K1442" s="48">
        <f t="shared" si="88"/>
        <v>1.4102414836781756</v>
      </c>
      <c r="L1442" s="48">
        <f t="shared" si="89"/>
        <v>12.554995754662647</v>
      </c>
      <c r="M1442" s="48" t="e">
        <f t="shared" si="90"/>
        <v>#DIV/0!</v>
      </c>
      <c r="N1442" s="48">
        <f t="shared" si="91"/>
        <v>5.5121067158357073</v>
      </c>
    </row>
    <row r="1443" spans="1:14" x14ac:dyDescent="0.25">
      <c r="A1443" s="5">
        <v>2022</v>
      </c>
      <c r="B1443" s="4">
        <v>49052055</v>
      </c>
      <c r="C1443" s="4">
        <v>3692375</v>
      </c>
      <c r="D1443" s="4"/>
      <c r="E1443" s="4">
        <v>4930614</v>
      </c>
      <c r="F1443" s="4">
        <v>84103628.466999993</v>
      </c>
      <c r="G1443" s="4">
        <v>57994372.700999998</v>
      </c>
      <c r="H1443" s="4"/>
      <c r="I1443" s="4">
        <v>26418338.793000001</v>
      </c>
      <c r="K1443" s="48">
        <f t="shared" si="88"/>
        <v>1.7145791030977191</v>
      </c>
      <c r="L1443" s="48">
        <f t="shared" si="89"/>
        <v>15.706522956362774</v>
      </c>
      <c r="M1443" s="48" t="e">
        <f t="shared" si="90"/>
        <v>#DIV/0!</v>
      </c>
      <c r="N1443" s="48">
        <f t="shared" si="91"/>
        <v>5.3580221029267348</v>
      </c>
    </row>
    <row r="1444" spans="1:14" x14ac:dyDescent="0.25">
      <c r="A1444" s="3" t="s">
        <v>82</v>
      </c>
      <c r="B1444" s="4">
        <v>4560992.5279999999</v>
      </c>
      <c r="C1444" s="4"/>
      <c r="D1444" s="4">
        <v>25951492.663000003</v>
      </c>
      <c r="E1444" s="4"/>
      <c r="F1444" s="4">
        <v>33099544.259999998</v>
      </c>
      <c r="G1444" s="4"/>
      <c r="H1444" s="4">
        <v>107554316.86999999</v>
      </c>
      <c r="I1444" s="4"/>
      <c r="K1444" s="48">
        <f t="shared" si="88"/>
        <v>7.2570924106543497</v>
      </c>
      <c r="L1444" s="48" t="e">
        <f t="shared" si="89"/>
        <v>#DIV/0!</v>
      </c>
      <c r="M1444" s="48">
        <f t="shared" si="90"/>
        <v>4.1444366328625151</v>
      </c>
      <c r="N1444" s="48" t="e">
        <f t="shared" si="91"/>
        <v>#DIV/0!</v>
      </c>
    </row>
    <row r="1445" spans="1:14" x14ac:dyDescent="0.25">
      <c r="A1445" s="5">
        <v>2013</v>
      </c>
      <c r="B1445" s="4"/>
      <c r="C1445" s="4"/>
      <c r="D1445" s="4">
        <v>996438.03</v>
      </c>
      <c r="E1445" s="4"/>
      <c r="F1445" s="4"/>
      <c r="G1445" s="4"/>
      <c r="H1445" s="4">
        <v>3396914.62</v>
      </c>
      <c r="I1445" s="4"/>
      <c r="K1445" s="48" t="e">
        <f t="shared" si="88"/>
        <v>#DIV/0!</v>
      </c>
      <c r="L1445" s="48" t="e">
        <f t="shared" si="89"/>
        <v>#DIV/0!</v>
      </c>
      <c r="M1445" s="48">
        <f t="shared" si="90"/>
        <v>3.4090575808311931</v>
      </c>
      <c r="N1445" s="48" t="e">
        <f t="shared" si="91"/>
        <v>#DIV/0!</v>
      </c>
    </row>
    <row r="1446" spans="1:14" x14ac:dyDescent="0.25">
      <c r="A1446" s="5">
        <v>2017</v>
      </c>
      <c r="B1446" s="4"/>
      <c r="C1446" s="4"/>
      <c r="D1446" s="4">
        <v>1124492.8600000001</v>
      </c>
      <c r="E1446" s="4"/>
      <c r="F1446" s="4"/>
      <c r="G1446" s="4"/>
      <c r="H1446" s="4">
        <v>3324466.3</v>
      </c>
      <c r="I1446" s="4"/>
      <c r="K1446" s="48" t="e">
        <f t="shared" si="88"/>
        <v>#DIV/0!</v>
      </c>
      <c r="L1446" s="48" t="e">
        <f t="shared" si="89"/>
        <v>#DIV/0!</v>
      </c>
      <c r="M1446" s="48">
        <f t="shared" si="90"/>
        <v>2.9564138806537192</v>
      </c>
      <c r="N1446" s="48" t="e">
        <f t="shared" si="91"/>
        <v>#DIV/0!</v>
      </c>
    </row>
    <row r="1447" spans="1:14" x14ac:dyDescent="0.25">
      <c r="A1447" s="5">
        <v>2018</v>
      </c>
      <c r="B1447" s="4"/>
      <c r="C1447" s="4"/>
      <c r="D1447" s="4">
        <v>1172035.6599999999</v>
      </c>
      <c r="E1447" s="4"/>
      <c r="F1447" s="4"/>
      <c r="G1447" s="4"/>
      <c r="H1447" s="4">
        <v>3928202.29</v>
      </c>
      <c r="I1447" s="4"/>
      <c r="K1447" s="48" t="e">
        <f t="shared" si="88"/>
        <v>#DIV/0!</v>
      </c>
      <c r="L1447" s="48" t="e">
        <f t="shared" si="89"/>
        <v>#DIV/0!</v>
      </c>
      <c r="M1447" s="48">
        <f t="shared" si="90"/>
        <v>3.3516064605065004</v>
      </c>
      <c r="N1447" s="48" t="e">
        <f t="shared" si="91"/>
        <v>#DIV/0!</v>
      </c>
    </row>
    <row r="1448" spans="1:14" x14ac:dyDescent="0.25">
      <c r="A1448" s="5">
        <v>2019</v>
      </c>
      <c r="B1448" s="4"/>
      <c r="C1448" s="4"/>
      <c r="D1448" s="4">
        <v>2399072.11</v>
      </c>
      <c r="E1448" s="4"/>
      <c r="F1448" s="4"/>
      <c r="G1448" s="4"/>
      <c r="H1448" s="4">
        <v>8694330.4199999999</v>
      </c>
      <c r="I1448" s="4"/>
      <c r="K1448" s="48" t="e">
        <f t="shared" si="88"/>
        <v>#DIV/0!</v>
      </c>
      <c r="L1448" s="48" t="e">
        <f t="shared" si="89"/>
        <v>#DIV/0!</v>
      </c>
      <c r="M1448" s="48">
        <f t="shared" si="90"/>
        <v>3.6240388039023972</v>
      </c>
      <c r="N1448" s="48" t="e">
        <f t="shared" si="91"/>
        <v>#DIV/0!</v>
      </c>
    </row>
    <row r="1449" spans="1:14" x14ac:dyDescent="0.25">
      <c r="A1449" s="5">
        <v>2020</v>
      </c>
      <c r="B1449" s="4"/>
      <c r="C1449" s="4"/>
      <c r="D1449" s="4">
        <v>3009128.12</v>
      </c>
      <c r="E1449" s="4"/>
      <c r="F1449" s="4"/>
      <c r="G1449" s="4"/>
      <c r="H1449" s="4">
        <v>12141598.34</v>
      </c>
      <c r="I1449" s="4"/>
      <c r="K1449" s="48" t="e">
        <f t="shared" si="88"/>
        <v>#DIV/0!</v>
      </c>
      <c r="L1449" s="48" t="e">
        <f t="shared" si="89"/>
        <v>#DIV/0!</v>
      </c>
      <c r="M1449" s="48">
        <f t="shared" si="90"/>
        <v>4.0349223614978547</v>
      </c>
      <c r="N1449" s="48" t="e">
        <f t="shared" si="91"/>
        <v>#DIV/0!</v>
      </c>
    </row>
    <row r="1450" spans="1:14" x14ac:dyDescent="0.25">
      <c r="A1450" s="5">
        <v>2021</v>
      </c>
      <c r="B1450" s="4"/>
      <c r="C1450" s="4"/>
      <c r="D1450" s="4">
        <v>3419890.94</v>
      </c>
      <c r="E1450" s="4"/>
      <c r="F1450" s="4"/>
      <c r="G1450" s="4"/>
      <c r="H1450" s="4">
        <v>13873425.75</v>
      </c>
      <c r="I1450" s="4"/>
      <c r="K1450" s="48" t="e">
        <f t="shared" si="88"/>
        <v>#DIV/0!</v>
      </c>
      <c r="L1450" s="48" t="e">
        <f t="shared" si="89"/>
        <v>#DIV/0!</v>
      </c>
      <c r="M1450" s="48">
        <f t="shared" si="90"/>
        <v>4.0566866000703516</v>
      </c>
      <c r="N1450" s="48" t="e">
        <f t="shared" si="91"/>
        <v>#DIV/0!</v>
      </c>
    </row>
    <row r="1451" spans="1:14" x14ac:dyDescent="0.25">
      <c r="A1451" s="5">
        <v>2022</v>
      </c>
      <c r="B1451" s="4"/>
      <c r="C1451" s="4"/>
      <c r="D1451" s="4">
        <v>2472997.2999999998</v>
      </c>
      <c r="E1451" s="4"/>
      <c r="F1451" s="4"/>
      <c r="G1451" s="4"/>
      <c r="H1451" s="4">
        <v>11532333.1</v>
      </c>
      <c r="I1451" s="4"/>
      <c r="K1451" s="48" t="e">
        <f t="shared" si="88"/>
        <v>#DIV/0!</v>
      </c>
      <c r="L1451" s="48" t="e">
        <f t="shared" si="89"/>
        <v>#DIV/0!</v>
      </c>
      <c r="M1451" s="48">
        <f t="shared" si="90"/>
        <v>4.6633019372888116</v>
      </c>
      <c r="N1451" s="48" t="e">
        <f t="shared" si="91"/>
        <v>#DIV/0!</v>
      </c>
    </row>
    <row r="1452" spans="1:14" x14ac:dyDescent="0.25">
      <c r="A1452" s="5">
        <v>2023</v>
      </c>
      <c r="B1452" s="4">
        <v>1333783</v>
      </c>
      <c r="C1452" s="4"/>
      <c r="D1452" s="4">
        <v>3269779.6680000001</v>
      </c>
      <c r="E1452" s="4"/>
      <c r="F1452" s="4">
        <v>10009061.300000001</v>
      </c>
      <c r="G1452" s="4"/>
      <c r="H1452" s="4">
        <v>14674594.34</v>
      </c>
      <c r="I1452" s="4"/>
      <c r="K1452" s="48">
        <f t="shared" si="88"/>
        <v>7.5042651615742599</v>
      </c>
      <c r="L1452" s="48" t="e">
        <f t="shared" si="89"/>
        <v>#DIV/0!</v>
      </c>
      <c r="M1452" s="48">
        <f t="shared" si="90"/>
        <v>4.4879459260250067</v>
      </c>
      <c r="N1452" s="48" t="e">
        <f t="shared" si="91"/>
        <v>#DIV/0!</v>
      </c>
    </row>
    <row r="1453" spans="1:14" x14ac:dyDescent="0.25">
      <c r="A1453" s="5">
        <v>2024</v>
      </c>
      <c r="B1453" s="4">
        <v>1681708.2320000001</v>
      </c>
      <c r="C1453" s="4"/>
      <c r="D1453" s="4">
        <v>4371030.3049999997</v>
      </c>
      <c r="E1453" s="4"/>
      <c r="F1453" s="4">
        <v>12584400.77</v>
      </c>
      <c r="G1453" s="4"/>
      <c r="H1453" s="4">
        <v>19428950.359999999</v>
      </c>
      <c r="I1453" s="4"/>
      <c r="K1453" s="48">
        <f t="shared" si="88"/>
        <v>7.4831058863485413</v>
      </c>
      <c r="L1453" s="48" t="e">
        <f t="shared" si="89"/>
        <v>#DIV/0!</v>
      </c>
      <c r="M1453" s="48">
        <f t="shared" si="90"/>
        <v>4.4449360915606828</v>
      </c>
      <c r="N1453" s="48" t="e">
        <f t="shared" si="91"/>
        <v>#DIV/0!</v>
      </c>
    </row>
    <row r="1454" spans="1:14" x14ac:dyDescent="0.25">
      <c r="A1454" s="5">
        <v>2025</v>
      </c>
      <c r="B1454" s="4">
        <v>1545501.2960000001</v>
      </c>
      <c r="C1454" s="4"/>
      <c r="D1454" s="4">
        <v>3716627.67</v>
      </c>
      <c r="E1454" s="4"/>
      <c r="F1454" s="4">
        <v>10506082.189999999</v>
      </c>
      <c r="G1454" s="4"/>
      <c r="H1454" s="4">
        <v>16559501.35</v>
      </c>
      <c r="I1454" s="4"/>
      <c r="K1454" s="48">
        <f t="shared" si="88"/>
        <v>6.7978475444772446</v>
      </c>
      <c r="L1454" s="48" t="e">
        <f t="shared" si="89"/>
        <v>#DIV/0!</v>
      </c>
      <c r="M1454" s="48">
        <f t="shared" si="90"/>
        <v>4.4555179642194291</v>
      </c>
      <c r="N1454" s="48" t="e">
        <f t="shared" si="91"/>
        <v>#DIV/0!</v>
      </c>
    </row>
    <row r="1455" spans="1:14" x14ac:dyDescent="0.25">
      <c r="A1455" s="3" t="s">
        <v>54</v>
      </c>
      <c r="B1455" s="4">
        <v>14579278.149999999</v>
      </c>
      <c r="C1455" s="4">
        <v>25279841.599999998</v>
      </c>
      <c r="D1455" s="4">
        <v>78624126.650000006</v>
      </c>
      <c r="E1455" s="4">
        <v>57308748.700000003</v>
      </c>
      <c r="F1455" s="4">
        <v>37937481.424000002</v>
      </c>
      <c r="G1455" s="4">
        <v>45425911.092</v>
      </c>
      <c r="H1455" s="4">
        <v>261427688.97400001</v>
      </c>
      <c r="I1455" s="4">
        <v>205238110.21499991</v>
      </c>
      <c r="K1455" s="48">
        <f t="shared" si="88"/>
        <v>2.6021508769966095</v>
      </c>
      <c r="L1455" s="48">
        <f t="shared" si="89"/>
        <v>1.7969222992283307</v>
      </c>
      <c r="M1455" s="48">
        <f t="shared" si="90"/>
        <v>3.3250313881101787</v>
      </c>
      <c r="N1455" s="48">
        <f t="shared" si="91"/>
        <v>3.5812701353746346</v>
      </c>
    </row>
    <row r="1456" spans="1:14" x14ac:dyDescent="0.25">
      <c r="A1456" s="5">
        <v>2017</v>
      </c>
      <c r="B1456" s="4"/>
      <c r="C1456" s="4"/>
      <c r="D1456" s="4">
        <v>31280959.43</v>
      </c>
      <c r="E1456" s="4">
        <v>21758991.399999999</v>
      </c>
      <c r="F1456" s="4"/>
      <c r="G1456" s="4"/>
      <c r="H1456" s="4">
        <v>95808999.995000005</v>
      </c>
      <c r="I1456" s="4">
        <v>68891249.329999998</v>
      </c>
      <c r="K1456" s="48" t="e">
        <f t="shared" si="88"/>
        <v>#DIV/0!</v>
      </c>
      <c r="L1456" s="48" t="e">
        <f t="shared" si="89"/>
        <v>#DIV/0!</v>
      </c>
      <c r="M1456" s="48">
        <f t="shared" si="90"/>
        <v>3.062853625362731</v>
      </c>
      <c r="N1456" s="48">
        <f t="shared" si="91"/>
        <v>3.166104901810844</v>
      </c>
    </row>
    <row r="1457" spans="1:14" x14ac:dyDescent="0.25">
      <c r="A1457" s="5">
        <v>2018</v>
      </c>
      <c r="B1457" s="4">
        <v>2651484.21</v>
      </c>
      <c r="C1457" s="4">
        <v>3008461.86</v>
      </c>
      <c r="D1457" s="4">
        <v>23354429.18</v>
      </c>
      <c r="E1457" s="4">
        <v>18092247.100000001</v>
      </c>
      <c r="F1457" s="4">
        <v>10987592.078</v>
      </c>
      <c r="G1457" s="4">
        <v>6881750.7570000002</v>
      </c>
      <c r="H1457" s="4">
        <v>83047122.027999997</v>
      </c>
      <c r="I1457" s="4">
        <v>71525987.577999905</v>
      </c>
      <c r="K1457" s="48">
        <f t="shared" si="88"/>
        <v>4.1439402265948244</v>
      </c>
      <c r="L1457" s="48">
        <f t="shared" si="89"/>
        <v>2.2874648498950889</v>
      </c>
      <c r="M1457" s="48">
        <f t="shared" si="90"/>
        <v>3.5559474131407565</v>
      </c>
      <c r="N1457" s="48">
        <f t="shared" si="91"/>
        <v>3.9534054107629282</v>
      </c>
    </row>
    <row r="1458" spans="1:14" x14ac:dyDescent="0.25">
      <c r="A1458" s="5">
        <v>2019</v>
      </c>
      <c r="B1458" s="4">
        <v>11927793.939999999</v>
      </c>
      <c r="C1458" s="4">
        <v>22271379.739999998</v>
      </c>
      <c r="D1458" s="4">
        <v>23988738.039999999</v>
      </c>
      <c r="E1458" s="4">
        <v>17457510.199999999</v>
      </c>
      <c r="F1458" s="4">
        <v>26949889.346000001</v>
      </c>
      <c r="G1458" s="4">
        <v>38544160.335000001</v>
      </c>
      <c r="H1458" s="4">
        <v>82571566.951000005</v>
      </c>
      <c r="I1458" s="4">
        <v>64820873.306999996</v>
      </c>
      <c r="K1458" s="48">
        <f t="shared" si="88"/>
        <v>2.2594194267242682</v>
      </c>
      <c r="L1458" s="48">
        <f t="shared" si="89"/>
        <v>1.730658844892921</v>
      </c>
      <c r="M1458" s="48">
        <f t="shared" si="90"/>
        <v>3.4420971546446553</v>
      </c>
      <c r="N1458" s="48">
        <f t="shared" si="91"/>
        <v>3.7130651830866466</v>
      </c>
    </row>
    <row r="1459" spans="1:14" x14ac:dyDescent="0.25">
      <c r="A1459" s="3" t="s">
        <v>55</v>
      </c>
      <c r="B1459" s="4">
        <v>38810052</v>
      </c>
      <c r="C1459" s="4">
        <v>7456981.074</v>
      </c>
      <c r="D1459" s="4">
        <v>1623506699.098</v>
      </c>
      <c r="E1459" s="4">
        <v>45437221.053999998</v>
      </c>
      <c r="F1459" s="4">
        <v>432445796.44200003</v>
      </c>
      <c r="G1459" s="4">
        <v>33455597.595999986</v>
      </c>
      <c r="H1459" s="4">
        <v>7924008784.4199982</v>
      </c>
      <c r="I1459" s="4">
        <v>253514256.28200004</v>
      </c>
      <c r="K1459" s="48">
        <f t="shared" si="88"/>
        <v>11.142623473990708</v>
      </c>
      <c r="L1459" s="48">
        <f t="shared" si="89"/>
        <v>4.486480153831752</v>
      </c>
      <c r="M1459" s="48">
        <f t="shared" si="90"/>
        <v>4.8807983292107622</v>
      </c>
      <c r="N1459" s="48">
        <f t="shared" si="91"/>
        <v>5.5794401682424697</v>
      </c>
    </row>
    <row r="1460" spans="1:14" x14ac:dyDescent="0.25">
      <c r="A1460" s="5">
        <v>2010</v>
      </c>
      <c r="B1460" s="4"/>
      <c r="C1460" s="4"/>
      <c r="D1460" s="4">
        <v>96044034</v>
      </c>
      <c r="E1460" s="4">
        <v>5214074</v>
      </c>
      <c r="F1460" s="4"/>
      <c r="G1460" s="4"/>
      <c r="H1460" s="4">
        <v>372249035.676</v>
      </c>
      <c r="I1460" s="4">
        <v>20577905.364999998</v>
      </c>
      <c r="K1460" s="48" t="e">
        <f t="shared" si="88"/>
        <v>#DIV/0!</v>
      </c>
      <c r="L1460" s="48" t="e">
        <f t="shared" si="89"/>
        <v>#DIV/0!</v>
      </c>
      <c r="M1460" s="48">
        <f t="shared" si="90"/>
        <v>3.8758163331207016</v>
      </c>
      <c r="N1460" s="48">
        <f t="shared" si="91"/>
        <v>3.946607847337801</v>
      </c>
    </row>
    <row r="1461" spans="1:14" x14ac:dyDescent="0.25">
      <c r="A1461" s="5">
        <v>2011</v>
      </c>
      <c r="B1461" s="4"/>
      <c r="C1461" s="4"/>
      <c r="D1461" s="4">
        <v>104259194</v>
      </c>
      <c r="E1461" s="4">
        <v>3931545</v>
      </c>
      <c r="F1461" s="4"/>
      <c r="G1461" s="4"/>
      <c r="H1461" s="4">
        <v>468472997.18699998</v>
      </c>
      <c r="I1461" s="4">
        <v>24874654.401000001</v>
      </c>
      <c r="K1461" s="48" t="e">
        <f t="shared" si="88"/>
        <v>#DIV/0!</v>
      </c>
      <c r="L1461" s="48" t="e">
        <f t="shared" si="89"/>
        <v>#DIV/0!</v>
      </c>
      <c r="M1461" s="48">
        <f t="shared" si="90"/>
        <v>4.4933494995846601</v>
      </c>
      <c r="N1461" s="48">
        <f t="shared" si="91"/>
        <v>6.3269412917822381</v>
      </c>
    </row>
    <row r="1462" spans="1:14" x14ac:dyDescent="0.25">
      <c r="A1462" s="5">
        <v>2012</v>
      </c>
      <c r="B1462" s="4"/>
      <c r="C1462" s="4"/>
      <c r="D1462" s="4">
        <v>99324381</v>
      </c>
      <c r="E1462" s="4">
        <v>4526804</v>
      </c>
      <c r="F1462" s="4"/>
      <c r="G1462" s="4"/>
      <c r="H1462" s="4">
        <v>513709923.90499997</v>
      </c>
      <c r="I1462" s="4">
        <v>26068592.318</v>
      </c>
      <c r="K1462" s="48" t="e">
        <f t="shared" si="88"/>
        <v>#DIV/0!</v>
      </c>
      <c r="L1462" s="48" t="e">
        <f t="shared" si="89"/>
        <v>#DIV/0!</v>
      </c>
      <c r="M1462" s="48">
        <f t="shared" si="90"/>
        <v>5.1720425411460651</v>
      </c>
      <c r="N1462" s="48">
        <f t="shared" si="91"/>
        <v>5.758719025166541</v>
      </c>
    </row>
    <row r="1463" spans="1:14" x14ac:dyDescent="0.25">
      <c r="A1463" s="5">
        <v>2013</v>
      </c>
      <c r="B1463" s="4">
        <v>2129796</v>
      </c>
      <c r="C1463" s="4"/>
      <c r="D1463" s="4">
        <v>107798785</v>
      </c>
      <c r="E1463" s="4">
        <v>4275569</v>
      </c>
      <c r="F1463" s="4">
        <v>21352235.425999999</v>
      </c>
      <c r="G1463" s="4"/>
      <c r="H1463" s="4">
        <v>614736717.80200005</v>
      </c>
      <c r="I1463" s="4">
        <v>27469715.59</v>
      </c>
      <c r="K1463" s="48">
        <f t="shared" si="88"/>
        <v>10.025483861365126</v>
      </c>
      <c r="L1463" s="48" t="e">
        <f t="shared" si="89"/>
        <v>#DIV/0!</v>
      </c>
      <c r="M1463" s="48">
        <f t="shared" si="90"/>
        <v>5.7026312291182135</v>
      </c>
      <c r="N1463" s="48">
        <f t="shared" si="91"/>
        <v>6.4248093271328335</v>
      </c>
    </row>
    <row r="1464" spans="1:14" x14ac:dyDescent="0.25">
      <c r="A1464" s="5">
        <v>2014</v>
      </c>
      <c r="B1464" s="4">
        <v>3293355</v>
      </c>
      <c r="C1464" s="4">
        <v>1402565</v>
      </c>
      <c r="D1464" s="4">
        <v>104299436</v>
      </c>
      <c r="E1464" s="4">
        <v>3948646</v>
      </c>
      <c r="F1464" s="4">
        <v>30559035.842999998</v>
      </c>
      <c r="G1464" s="4">
        <v>9455650.4849999901</v>
      </c>
      <c r="H1464" s="4">
        <v>544900630.92700005</v>
      </c>
      <c r="I1464" s="4">
        <v>26501560.386</v>
      </c>
      <c r="K1464" s="48">
        <f t="shared" si="88"/>
        <v>9.2789984204557356</v>
      </c>
      <c r="L1464" s="48">
        <f t="shared" si="89"/>
        <v>6.7416843319204389</v>
      </c>
      <c r="M1464" s="48">
        <f t="shared" si="90"/>
        <v>5.2243871282966481</v>
      </c>
      <c r="N1464" s="48">
        <f t="shared" si="91"/>
        <v>6.7115564135149111</v>
      </c>
    </row>
    <row r="1465" spans="1:14" x14ac:dyDescent="0.25">
      <c r="A1465" s="5">
        <v>2015</v>
      </c>
      <c r="B1465" s="4">
        <v>3121623</v>
      </c>
      <c r="C1465" s="4">
        <v>1382856</v>
      </c>
      <c r="D1465" s="4">
        <v>112616912</v>
      </c>
      <c r="E1465" s="4">
        <v>3285660</v>
      </c>
      <c r="F1465" s="4">
        <v>29271231.577</v>
      </c>
      <c r="G1465" s="4">
        <v>7725392.307</v>
      </c>
      <c r="H1465" s="4">
        <v>506092439.57200003</v>
      </c>
      <c r="I1465" s="4">
        <v>18997907.379000001</v>
      </c>
      <c r="K1465" s="48">
        <f t="shared" si="88"/>
        <v>9.3769271872356139</v>
      </c>
      <c r="L1465" s="48">
        <f t="shared" si="89"/>
        <v>5.5865486406393723</v>
      </c>
      <c r="M1465" s="48">
        <f t="shared" si="90"/>
        <v>4.4939292916502636</v>
      </c>
      <c r="N1465" s="48">
        <f t="shared" si="91"/>
        <v>5.7820673408082399</v>
      </c>
    </row>
    <row r="1466" spans="1:14" x14ac:dyDescent="0.25">
      <c r="A1466" s="5">
        <v>2016</v>
      </c>
      <c r="B1466" s="4">
        <v>3853157</v>
      </c>
      <c r="C1466" s="4">
        <v>1767122</v>
      </c>
      <c r="D1466" s="4">
        <v>113983626</v>
      </c>
      <c r="E1466" s="4">
        <v>3912353</v>
      </c>
      <c r="F1466" s="4">
        <v>42333255.957999997</v>
      </c>
      <c r="G1466" s="4">
        <v>7162167.4709999999</v>
      </c>
      <c r="H1466" s="4">
        <v>463117204.51800001</v>
      </c>
      <c r="I1466" s="4">
        <v>21914232.855999999</v>
      </c>
      <c r="K1466" s="48">
        <f t="shared" si="88"/>
        <v>10.98664185186329</v>
      </c>
      <c r="L1466" s="48">
        <f t="shared" si="89"/>
        <v>4.0530124524509343</v>
      </c>
      <c r="M1466" s="48">
        <f t="shared" si="90"/>
        <v>4.063015195866817</v>
      </c>
      <c r="N1466" s="48">
        <f t="shared" si="91"/>
        <v>5.6012923312390264</v>
      </c>
    </row>
    <row r="1467" spans="1:14" x14ac:dyDescent="0.25">
      <c r="A1467" s="5">
        <v>2017</v>
      </c>
      <c r="B1467" s="4">
        <v>2852785</v>
      </c>
      <c r="C1467" s="4"/>
      <c r="D1467" s="4">
        <v>107824474</v>
      </c>
      <c r="E1467" s="4">
        <v>3051474</v>
      </c>
      <c r="F1467" s="4">
        <v>27148016.440000001</v>
      </c>
      <c r="G1467" s="4"/>
      <c r="H1467" s="4">
        <v>513326934.69999999</v>
      </c>
      <c r="I1467" s="4">
        <v>17774303.723000001</v>
      </c>
      <c r="K1467" s="48">
        <f t="shared" si="88"/>
        <v>9.5163205218759916</v>
      </c>
      <c r="L1467" s="48" t="e">
        <f t="shared" si="89"/>
        <v>#DIV/0!</v>
      </c>
      <c r="M1467" s="48">
        <f t="shared" si="90"/>
        <v>4.7607645616708503</v>
      </c>
      <c r="N1467" s="48">
        <f t="shared" si="91"/>
        <v>5.8248255508649267</v>
      </c>
    </row>
    <row r="1468" spans="1:14" x14ac:dyDescent="0.25">
      <c r="A1468" s="5">
        <v>2018</v>
      </c>
      <c r="B1468" s="4">
        <v>2471176</v>
      </c>
      <c r="C1468" s="4">
        <v>1794596</v>
      </c>
      <c r="D1468" s="4">
        <v>104899482.24600001</v>
      </c>
      <c r="E1468" s="4">
        <v>6024583.182</v>
      </c>
      <c r="F1468" s="4">
        <v>25168616.684</v>
      </c>
      <c r="G1468" s="4">
        <v>7113151.8559999997</v>
      </c>
      <c r="H1468" s="4">
        <v>549980928.58800006</v>
      </c>
      <c r="I1468" s="4">
        <v>24218517.695999999</v>
      </c>
      <c r="K1468" s="48">
        <f t="shared" si="88"/>
        <v>10.184874199166712</v>
      </c>
      <c r="L1468" s="48">
        <f t="shared" si="89"/>
        <v>3.9636507915987775</v>
      </c>
      <c r="M1468" s="48">
        <f t="shared" si="90"/>
        <v>5.2429327277158393</v>
      </c>
      <c r="N1468" s="48">
        <f t="shared" si="91"/>
        <v>4.0199490926374928</v>
      </c>
    </row>
    <row r="1469" spans="1:14" x14ac:dyDescent="0.25">
      <c r="A1469" s="5">
        <v>2019</v>
      </c>
      <c r="B1469" s="4">
        <v>2877362</v>
      </c>
      <c r="C1469" s="4"/>
      <c r="D1469" s="4">
        <v>103661082.752</v>
      </c>
      <c r="E1469" s="4">
        <v>3256518.1710000001</v>
      </c>
      <c r="F1469" s="4">
        <v>30114709.028999999</v>
      </c>
      <c r="G1469" s="4"/>
      <c r="H1469" s="4">
        <v>511914242.71200001</v>
      </c>
      <c r="I1469" s="4">
        <v>21476089.392999999</v>
      </c>
      <c r="K1469" s="48">
        <f t="shared" si="88"/>
        <v>10.466082831774383</v>
      </c>
      <c r="L1469" s="48" t="e">
        <f t="shared" si="89"/>
        <v>#DIV/0!</v>
      </c>
      <c r="M1469" s="48">
        <f t="shared" si="90"/>
        <v>4.9383455113690999</v>
      </c>
      <c r="N1469" s="48">
        <f t="shared" si="91"/>
        <v>6.5948010314357308</v>
      </c>
    </row>
    <row r="1470" spans="1:14" x14ac:dyDescent="0.25">
      <c r="A1470" s="5">
        <v>2020</v>
      </c>
      <c r="B1470" s="4">
        <v>2442415</v>
      </c>
      <c r="C1470" s="4"/>
      <c r="D1470" s="4">
        <v>99335574</v>
      </c>
      <c r="E1470" s="4">
        <v>4009994.7009999999</v>
      </c>
      <c r="F1470" s="4">
        <v>22967819.745000001</v>
      </c>
      <c r="G1470" s="4"/>
      <c r="H1470" s="4">
        <v>481385030.02999997</v>
      </c>
      <c r="I1470" s="4">
        <v>23640777.175000001</v>
      </c>
      <c r="K1470" s="48">
        <f t="shared" si="88"/>
        <v>9.4037334953314655</v>
      </c>
      <c r="L1470" s="48" t="e">
        <f t="shared" si="89"/>
        <v>#DIV/0!</v>
      </c>
      <c r="M1470" s="48">
        <f t="shared" si="90"/>
        <v>4.8460487078878707</v>
      </c>
      <c r="N1470" s="48">
        <f t="shared" si="91"/>
        <v>5.8954634451523189</v>
      </c>
    </row>
    <row r="1471" spans="1:14" x14ac:dyDescent="0.25">
      <c r="A1471" s="5">
        <v>2021</v>
      </c>
      <c r="B1471" s="4">
        <v>3195653</v>
      </c>
      <c r="C1471" s="4"/>
      <c r="D1471" s="4">
        <v>93920488.803000003</v>
      </c>
      <c r="E1471" s="4"/>
      <c r="F1471" s="4">
        <v>37808887.109999999</v>
      </c>
      <c r="G1471" s="4"/>
      <c r="H1471" s="4">
        <v>450156235.20200002</v>
      </c>
      <c r="I1471" s="4"/>
      <c r="K1471" s="48">
        <f t="shared" si="88"/>
        <v>11.831349370535536</v>
      </c>
      <c r="L1471" s="48" t="e">
        <f t="shared" si="89"/>
        <v>#DIV/0!</v>
      </c>
      <c r="M1471" s="48">
        <f t="shared" si="90"/>
        <v>4.7929503023159432</v>
      </c>
      <c r="N1471" s="48" t="e">
        <f t="shared" si="91"/>
        <v>#DIV/0!</v>
      </c>
    </row>
    <row r="1472" spans="1:14" x14ac:dyDescent="0.25">
      <c r="A1472" s="5">
        <v>2022</v>
      </c>
      <c r="B1472" s="4">
        <v>3145262</v>
      </c>
      <c r="C1472" s="4">
        <v>1109842.074</v>
      </c>
      <c r="D1472" s="4">
        <v>96421222</v>
      </c>
      <c r="E1472" s="4"/>
      <c r="F1472" s="4">
        <v>40519992.281000003</v>
      </c>
      <c r="G1472" s="4">
        <v>1999235.477</v>
      </c>
      <c r="H1472" s="4">
        <v>443369681.454</v>
      </c>
      <c r="I1472" s="4"/>
      <c r="K1472" s="48">
        <f t="shared" si="88"/>
        <v>12.882867081025365</v>
      </c>
      <c r="L1472" s="48">
        <f t="shared" si="89"/>
        <v>1.8013693333813905</v>
      </c>
      <c r="M1472" s="48">
        <f t="shared" si="90"/>
        <v>4.5982582698858554</v>
      </c>
      <c r="N1472" s="48" t="e">
        <f t="shared" si="91"/>
        <v>#DIV/0!</v>
      </c>
    </row>
    <row r="1473" spans="1:18" x14ac:dyDescent="0.25">
      <c r="A1473" s="5">
        <v>2023</v>
      </c>
      <c r="B1473" s="4">
        <v>2670044</v>
      </c>
      <c r="C1473" s="4"/>
      <c r="D1473" s="4">
        <v>88114794</v>
      </c>
      <c r="E1473" s="4"/>
      <c r="F1473" s="4">
        <v>36640239.550999999</v>
      </c>
      <c r="G1473" s="4"/>
      <c r="H1473" s="4">
        <v>464720676.34600002</v>
      </c>
      <c r="I1473" s="4"/>
      <c r="K1473" s="48">
        <f t="shared" si="88"/>
        <v>13.722710019385447</v>
      </c>
      <c r="L1473" s="48" t="e">
        <f t="shared" si="89"/>
        <v>#DIV/0!</v>
      </c>
      <c r="M1473" s="48">
        <f t="shared" si="90"/>
        <v>5.2740369153674695</v>
      </c>
      <c r="N1473" s="48" t="e">
        <f t="shared" si="91"/>
        <v>#DIV/0!</v>
      </c>
    </row>
    <row r="1474" spans="1:18" x14ac:dyDescent="0.25">
      <c r="A1474" s="5">
        <v>2024</v>
      </c>
      <c r="B1474" s="4">
        <v>3369862</v>
      </c>
      <c r="C1474" s="4"/>
      <c r="D1474" s="4">
        <v>101455536.23100001</v>
      </c>
      <c r="E1474" s="4"/>
      <c r="F1474" s="4">
        <v>41625011.002999999</v>
      </c>
      <c r="G1474" s="4"/>
      <c r="H1474" s="4">
        <v>539916437.847</v>
      </c>
      <c r="I1474" s="4"/>
      <c r="K1474" s="48">
        <f t="shared" si="88"/>
        <v>12.352141127144078</v>
      </c>
      <c r="L1474" s="48" t="e">
        <f t="shared" si="89"/>
        <v>#DIV/0!</v>
      </c>
      <c r="M1474" s="48">
        <f t="shared" si="90"/>
        <v>5.3217050335990157</v>
      </c>
      <c r="N1474" s="48" t="e">
        <f t="shared" si="91"/>
        <v>#DIV/0!</v>
      </c>
    </row>
    <row r="1475" spans="1:18" x14ac:dyDescent="0.25">
      <c r="A1475" s="5">
        <v>2025</v>
      </c>
      <c r="B1475" s="4">
        <v>3387562</v>
      </c>
      <c r="C1475" s="4"/>
      <c r="D1475" s="4">
        <v>89547677.066</v>
      </c>
      <c r="E1475" s="4"/>
      <c r="F1475" s="4">
        <v>46936745.795000002</v>
      </c>
      <c r="G1475" s="4"/>
      <c r="H1475" s="4">
        <v>485959667.954</v>
      </c>
      <c r="I1475" s="4"/>
      <c r="K1475" s="48">
        <f t="shared" si="88"/>
        <v>13.855612323848243</v>
      </c>
      <c r="L1475" s="48" t="e">
        <f t="shared" si="89"/>
        <v>#DIV/0!</v>
      </c>
      <c r="M1475" s="48">
        <f t="shared" si="90"/>
        <v>5.4268260649109799</v>
      </c>
      <c r="N1475" s="48" t="e">
        <f t="shared" si="91"/>
        <v>#DIV/0!</v>
      </c>
    </row>
    <row r="1476" spans="1:18" x14ac:dyDescent="0.25">
      <c r="A1476" s="3" t="s">
        <v>99</v>
      </c>
      <c r="B1476" s="4"/>
      <c r="C1476" s="4"/>
      <c r="D1476" s="4">
        <v>12966120.355999999</v>
      </c>
      <c r="E1476" s="4"/>
      <c r="F1476" s="4"/>
      <c r="G1476" s="4"/>
      <c r="H1476" s="4">
        <v>63422806.049999997</v>
      </c>
      <c r="I1476" s="4"/>
      <c r="K1476" s="48" t="e">
        <f t="shared" si="88"/>
        <v>#DIV/0!</v>
      </c>
      <c r="L1476" s="48" t="e">
        <f t="shared" si="89"/>
        <v>#DIV/0!</v>
      </c>
      <c r="M1476" s="48">
        <f t="shared" si="90"/>
        <v>4.8914250607469834</v>
      </c>
      <c r="N1476" s="48" t="e">
        <f t="shared" si="91"/>
        <v>#DIV/0!</v>
      </c>
    </row>
    <row r="1477" spans="1:18" x14ac:dyDescent="0.25">
      <c r="A1477" s="5">
        <v>2012</v>
      </c>
      <c r="B1477" s="4"/>
      <c r="C1477" s="4"/>
      <c r="D1477" s="4">
        <v>901541.50600000005</v>
      </c>
      <c r="E1477" s="4"/>
      <c r="F1477" s="4"/>
      <c r="G1477" s="4"/>
      <c r="H1477" s="4">
        <v>5022941.43</v>
      </c>
      <c r="I1477" s="4"/>
      <c r="K1477" s="48" t="e">
        <f t="shared" si="88"/>
        <v>#DIV/0!</v>
      </c>
      <c r="L1477" s="48" t="e">
        <f t="shared" si="89"/>
        <v>#DIV/0!</v>
      </c>
      <c r="M1477" s="48">
        <f t="shared" si="90"/>
        <v>5.57150324923587</v>
      </c>
      <c r="N1477" s="48" t="e">
        <f t="shared" si="91"/>
        <v>#DIV/0!</v>
      </c>
    </row>
    <row r="1478" spans="1:18" x14ac:dyDescent="0.25">
      <c r="A1478" s="5">
        <v>2014</v>
      </c>
      <c r="B1478" s="4"/>
      <c r="C1478" s="4"/>
      <c r="D1478" s="4">
        <v>1364999.09</v>
      </c>
      <c r="E1478" s="4"/>
      <c r="F1478" s="4"/>
      <c r="G1478" s="4"/>
      <c r="H1478" s="4">
        <v>7140501.3700000001</v>
      </c>
      <c r="I1478" s="4"/>
      <c r="K1478" s="48" t="e">
        <f t="shared" si="88"/>
        <v>#DIV/0!</v>
      </c>
      <c r="L1478" s="48" t="e">
        <f t="shared" si="89"/>
        <v>#DIV/0!</v>
      </c>
      <c r="M1478" s="48">
        <f t="shared" si="90"/>
        <v>5.2311400222252162</v>
      </c>
      <c r="N1478" s="48" t="e">
        <f t="shared" si="91"/>
        <v>#DIV/0!</v>
      </c>
    </row>
    <row r="1479" spans="1:18" x14ac:dyDescent="0.25">
      <c r="A1479" s="5">
        <v>2019</v>
      </c>
      <c r="B1479" s="4"/>
      <c r="C1479" s="4"/>
      <c r="D1479" s="4">
        <v>1843790.23</v>
      </c>
      <c r="E1479" s="4"/>
      <c r="F1479" s="4"/>
      <c r="G1479" s="4"/>
      <c r="H1479" s="4">
        <v>8814301.6999999993</v>
      </c>
      <c r="I1479" s="4"/>
      <c r="K1479" s="48" t="e">
        <f t="shared" ref="K1479:K1484" si="92">F1479/B1479</f>
        <v>#DIV/0!</v>
      </c>
      <c r="L1479" s="48" t="e">
        <f t="shared" ref="L1479:L1484" si="93">G1479/C1479</f>
        <v>#DIV/0!</v>
      </c>
      <c r="M1479" s="48">
        <f t="shared" ref="M1479:M1484" si="94">H1479/D1479</f>
        <v>4.7805339005403011</v>
      </c>
      <c r="N1479" s="48" t="e">
        <f t="shared" ref="N1479:N1484" si="95">I1479/E1479</f>
        <v>#DIV/0!</v>
      </c>
    </row>
    <row r="1480" spans="1:18" x14ac:dyDescent="0.25">
      <c r="A1480" s="5">
        <v>2020</v>
      </c>
      <c r="B1480" s="4"/>
      <c r="C1480" s="4"/>
      <c r="D1480" s="4">
        <v>2063562.68</v>
      </c>
      <c r="E1480" s="4"/>
      <c r="F1480" s="4"/>
      <c r="G1480" s="4"/>
      <c r="H1480" s="4">
        <v>9096555.0700000003</v>
      </c>
      <c r="I1480" s="4"/>
      <c r="K1480" s="48" t="e">
        <f t="shared" si="92"/>
        <v>#DIV/0!</v>
      </c>
      <c r="L1480" s="48" t="e">
        <f t="shared" si="93"/>
        <v>#DIV/0!</v>
      </c>
      <c r="M1480" s="48">
        <f t="shared" si="94"/>
        <v>4.4081796778763227</v>
      </c>
      <c r="N1480" s="48" t="e">
        <f t="shared" si="95"/>
        <v>#DIV/0!</v>
      </c>
    </row>
    <row r="1481" spans="1:18" x14ac:dyDescent="0.25">
      <c r="A1481" s="5">
        <v>2021</v>
      </c>
      <c r="B1481" s="4"/>
      <c r="C1481" s="4"/>
      <c r="D1481" s="4">
        <v>2077241.21</v>
      </c>
      <c r="E1481" s="4"/>
      <c r="F1481" s="4"/>
      <c r="G1481" s="4"/>
      <c r="H1481" s="4">
        <v>9281306.5</v>
      </c>
      <c r="I1481" s="4"/>
      <c r="K1481" s="48" t="e">
        <f t="shared" si="92"/>
        <v>#DIV/0!</v>
      </c>
      <c r="L1481" s="48" t="e">
        <f t="shared" si="93"/>
        <v>#DIV/0!</v>
      </c>
      <c r="M1481" s="48">
        <f t="shared" si="94"/>
        <v>4.4680928027612161</v>
      </c>
      <c r="N1481" s="48" t="e">
        <f t="shared" si="95"/>
        <v>#DIV/0!</v>
      </c>
    </row>
    <row r="1482" spans="1:18" x14ac:dyDescent="0.25">
      <c r="A1482" s="5">
        <v>2022</v>
      </c>
      <c r="B1482" s="4"/>
      <c r="C1482" s="4"/>
      <c r="D1482" s="4">
        <v>2244610.46</v>
      </c>
      <c r="E1482" s="4"/>
      <c r="F1482" s="4"/>
      <c r="G1482" s="4"/>
      <c r="H1482" s="4">
        <v>11099378.710000001</v>
      </c>
      <c r="I1482" s="4"/>
      <c r="K1482" s="48" t="e">
        <f t="shared" si="92"/>
        <v>#DIV/0!</v>
      </c>
      <c r="L1482" s="48" t="e">
        <f t="shared" si="93"/>
        <v>#DIV/0!</v>
      </c>
      <c r="M1482" s="48">
        <f t="shared" si="94"/>
        <v>4.9449019808987265</v>
      </c>
      <c r="N1482" s="48" t="e">
        <f t="shared" si="95"/>
        <v>#DIV/0!</v>
      </c>
    </row>
    <row r="1483" spans="1:18" x14ac:dyDescent="0.25">
      <c r="A1483" s="5">
        <v>2023</v>
      </c>
      <c r="B1483" s="4"/>
      <c r="C1483" s="4"/>
      <c r="D1483" s="4">
        <v>2470375.1800000002</v>
      </c>
      <c r="E1483" s="4"/>
      <c r="F1483" s="4"/>
      <c r="G1483" s="4"/>
      <c r="H1483" s="4">
        <v>12967821.27</v>
      </c>
      <c r="I1483" s="4"/>
      <c r="K1483" s="48" t="e">
        <f t="shared" si="92"/>
        <v>#DIV/0!</v>
      </c>
      <c r="L1483" s="48" t="e">
        <f t="shared" si="93"/>
        <v>#DIV/0!</v>
      </c>
      <c r="M1483" s="48">
        <f t="shared" si="94"/>
        <v>5.2493327228133824</v>
      </c>
      <c r="N1483" s="48" t="e">
        <f t="shared" si="95"/>
        <v>#DIV/0!</v>
      </c>
    </row>
    <row r="1484" spans="1:18" x14ac:dyDescent="0.25">
      <c r="A1484" s="3" t="s">
        <v>53</v>
      </c>
      <c r="B1484" s="4">
        <v>671801904.44300008</v>
      </c>
      <c r="C1484" s="4">
        <v>110830988.715</v>
      </c>
      <c r="D1484" s="4">
        <v>2179669101.691</v>
      </c>
      <c r="E1484" s="4">
        <v>12549270.457</v>
      </c>
      <c r="F1484" s="4">
        <v>8205479783</v>
      </c>
      <c r="G1484" s="4">
        <v>560865792</v>
      </c>
      <c r="H1484" s="4">
        <v>11911907369</v>
      </c>
      <c r="I1484" s="4">
        <v>74971260</v>
      </c>
      <c r="K1484" s="48">
        <f t="shared" si="92"/>
        <v>12.214135936103474</v>
      </c>
      <c r="L1484" s="48">
        <f t="shared" si="93"/>
        <v>5.0605502892539995</v>
      </c>
      <c r="M1484" s="48">
        <f t="shared" si="94"/>
        <v>5.4650072158928493</v>
      </c>
      <c r="N1484" s="48">
        <f t="shared" si="95"/>
        <v>5.9741528606693572</v>
      </c>
    </row>
    <row r="1485" spans="1:18" x14ac:dyDescent="0.25">
      <c r="A1485" s="5">
        <v>2010</v>
      </c>
      <c r="B1485" s="4">
        <v>2035000</v>
      </c>
      <c r="C1485" s="4"/>
      <c r="D1485" s="4">
        <v>20545557</v>
      </c>
      <c r="E1485" s="4"/>
      <c r="F1485" s="4">
        <v>253440352</v>
      </c>
      <c r="G1485" s="4"/>
      <c r="H1485" s="4">
        <v>950600398</v>
      </c>
      <c r="I1485" s="4"/>
      <c r="K1485" s="48">
        <f>F1485/B1485</f>
        <v>124.54071351351351</v>
      </c>
      <c r="L1485" s="48" t="e">
        <f t="shared" ref="L1485:R1495" si="96">G1485/C1485</f>
        <v>#DIV/0!</v>
      </c>
      <c r="M1485" s="48">
        <f t="shared" si="96"/>
        <v>46.267930239126642</v>
      </c>
      <c r="N1485" s="48" t="e">
        <f t="shared" si="96"/>
        <v>#DIV/0!</v>
      </c>
      <c r="O1485" s="48"/>
      <c r="P1485" s="48"/>
      <c r="Q1485" s="48"/>
      <c r="R1485" s="48"/>
    </row>
    <row r="1486" spans="1:18" x14ac:dyDescent="0.25">
      <c r="A1486" s="5">
        <v>2016</v>
      </c>
      <c r="B1486" s="4">
        <v>59102162</v>
      </c>
      <c r="C1486" s="4">
        <v>19746000.576000001</v>
      </c>
      <c r="D1486" s="4">
        <v>190344128</v>
      </c>
      <c r="E1486" s="4"/>
      <c r="F1486" s="4">
        <v>654459927</v>
      </c>
      <c r="G1486" s="4">
        <v>72483797</v>
      </c>
      <c r="H1486" s="4">
        <v>839412728</v>
      </c>
      <c r="I1486" s="4"/>
      <c r="K1486" s="48">
        <f t="shared" ref="K1486:K1495" si="97">F1486/B1486</f>
        <v>11.073366943835321</v>
      </c>
      <c r="L1486" s="48">
        <f t="shared" si="96"/>
        <v>3.6708090188197104</v>
      </c>
      <c r="M1486" s="48">
        <f t="shared" si="96"/>
        <v>4.4099743807174336</v>
      </c>
      <c r="N1486" s="48" t="e">
        <f t="shared" si="96"/>
        <v>#DIV/0!</v>
      </c>
      <c r="O1486" s="48"/>
      <c r="P1486" s="48"/>
      <c r="Q1486" s="48"/>
      <c r="R1486" s="48"/>
    </row>
    <row r="1487" spans="1:18" x14ac:dyDescent="0.25">
      <c r="A1487" s="5">
        <v>2017</v>
      </c>
      <c r="B1487" s="4">
        <v>60326765</v>
      </c>
      <c r="C1487" s="4">
        <v>12926119.109999999</v>
      </c>
      <c r="D1487" s="4">
        <v>197498517</v>
      </c>
      <c r="E1487" s="4"/>
      <c r="F1487" s="4">
        <v>687117749</v>
      </c>
      <c r="G1487" s="4">
        <v>64366331</v>
      </c>
      <c r="H1487" s="4">
        <v>976793354</v>
      </c>
      <c r="I1487" s="4"/>
      <c r="K1487" s="48">
        <f t="shared" si="97"/>
        <v>11.38993196469262</v>
      </c>
      <c r="L1487" s="48">
        <f t="shared" si="96"/>
        <v>4.9795557701618609</v>
      </c>
      <c r="M1487" s="48">
        <f t="shared" si="96"/>
        <v>4.9458262716980297</v>
      </c>
      <c r="N1487" s="48" t="e">
        <f t="shared" si="96"/>
        <v>#DIV/0!</v>
      </c>
      <c r="O1487" s="48"/>
      <c r="P1487" s="48"/>
      <c r="Q1487" s="48"/>
      <c r="R1487" s="48"/>
    </row>
    <row r="1488" spans="1:18" x14ac:dyDescent="0.25">
      <c r="A1488" s="5">
        <v>2018</v>
      </c>
      <c r="B1488" s="4">
        <v>62295273</v>
      </c>
      <c r="C1488" s="4">
        <v>14190025</v>
      </c>
      <c r="D1488" s="4">
        <v>208737035</v>
      </c>
      <c r="E1488" s="4"/>
      <c r="F1488" s="4">
        <v>758063961</v>
      </c>
      <c r="G1488" s="4">
        <v>70800008</v>
      </c>
      <c r="H1488" s="4">
        <v>1102559745</v>
      </c>
      <c r="I1488" s="4"/>
      <c r="K1488" s="48">
        <f t="shared" si="97"/>
        <v>12.168884162366542</v>
      </c>
      <c r="L1488" s="48">
        <f t="shared" si="96"/>
        <v>4.9894209488707739</v>
      </c>
      <c r="M1488" s="48">
        <f t="shared" si="96"/>
        <v>5.2820513858501439</v>
      </c>
      <c r="N1488" s="48" t="e">
        <f t="shared" si="96"/>
        <v>#DIV/0!</v>
      </c>
      <c r="O1488" s="48"/>
      <c r="P1488" s="48"/>
      <c r="Q1488" s="48"/>
      <c r="R1488" s="48"/>
    </row>
    <row r="1489" spans="1:18" x14ac:dyDescent="0.25">
      <c r="A1489" s="5">
        <v>2019</v>
      </c>
      <c r="B1489" s="4">
        <v>69639328</v>
      </c>
      <c r="C1489" s="4">
        <v>9865880.8399999999</v>
      </c>
      <c r="D1489" s="4">
        <v>212933634</v>
      </c>
      <c r="E1489" s="4"/>
      <c r="F1489" s="4">
        <v>838078438</v>
      </c>
      <c r="G1489" s="4">
        <v>55081875</v>
      </c>
      <c r="H1489" s="4">
        <v>1129684296</v>
      </c>
      <c r="I1489" s="4"/>
      <c r="K1489" s="48">
        <f t="shared" si="97"/>
        <v>12.034556651666714</v>
      </c>
      <c r="L1489" s="48">
        <f t="shared" si="96"/>
        <v>5.583067127334167</v>
      </c>
      <c r="M1489" s="48">
        <f t="shared" si="96"/>
        <v>5.3053351637252382</v>
      </c>
      <c r="N1489" s="48" t="e">
        <f t="shared" si="96"/>
        <v>#DIV/0!</v>
      </c>
      <c r="O1489" s="48"/>
      <c r="P1489" s="48"/>
      <c r="Q1489" s="48"/>
      <c r="R1489" s="48"/>
    </row>
    <row r="1490" spans="1:18" x14ac:dyDescent="0.25">
      <c r="A1490" s="5">
        <v>2020</v>
      </c>
      <c r="B1490" s="4">
        <v>52545122</v>
      </c>
      <c r="C1490" s="4">
        <v>10826941</v>
      </c>
      <c r="D1490" s="4">
        <v>260464122</v>
      </c>
      <c r="E1490" s="4"/>
      <c r="F1490" s="4">
        <v>613443592</v>
      </c>
      <c r="G1490" s="4">
        <v>50106255</v>
      </c>
      <c r="H1490" s="4">
        <v>1288275815</v>
      </c>
      <c r="I1490" s="4"/>
      <c r="K1490" s="48">
        <f t="shared" si="97"/>
        <v>11.674605912990362</v>
      </c>
      <c r="L1490" s="48">
        <f t="shared" si="96"/>
        <v>4.6279235289081191</v>
      </c>
      <c r="M1490" s="48">
        <f t="shared" si="96"/>
        <v>4.9460778133581096</v>
      </c>
      <c r="N1490" s="48" t="e">
        <f t="shared" si="96"/>
        <v>#DIV/0!</v>
      </c>
      <c r="O1490" s="48"/>
      <c r="P1490" s="48"/>
      <c r="Q1490" s="48"/>
      <c r="R1490" s="48"/>
    </row>
    <row r="1491" spans="1:18" x14ac:dyDescent="0.25">
      <c r="A1491" s="5">
        <v>2021</v>
      </c>
      <c r="B1491" s="4">
        <v>63811845</v>
      </c>
      <c r="C1491" s="4">
        <v>7481516</v>
      </c>
      <c r="D1491" s="4">
        <v>203216301</v>
      </c>
      <c r="E1491" s="4"/>
      <c r="F1491" s="4">
        <v>798663003</v>
      </c>
      <c r="G1491" s="4">
        <v>44848465</v>
      </c>
      <c r="H1491" s="4">
        <v>1060432697</v>
      </c>
      <c r="I1491" s="4"/>
      <c r="K1491" s="48">
        <f t="shared" si="97"/>
        <v>12.515905205373704</v>
      </c>
      <c r="L1491" s="48">
        <f t="shared" si="96"/>
        <v>5.9945691488195711</v>
      </c>
      <c r="M1491" s="48">
        <f t="shared" si="96"/>
        <v>5.2182462321268215</v>
      </c>
      <c r="N1491" s="48" t="e">
        <f t="shared" si="96"/>
        <v>#DIV/0!</v>
      </c>
      <c r="O1491" s="48"/>
      <c r="P1491" s="48"/>
      <c r="Q1491" s="48"/>
      <c r="R1491" s="48"/>
    </row>
    <row r="1492" spans="1:18" x14ac:dyDescent="0.25">
      <c r="A1492" s="5">
        <v>2022</v>
      </c>
      <c r="B1492" s="4">
        <v>112239079.443</v>
      </c>
      <c r="C1492" s="4">
        <v>12454187</v>
      </c>
      <c r="D1492" s="4">
        <v>254941605.69100001</v>
      </c>
      <c r="E1492" s="4">
        <v>2796226</v>
      </c>
      <c r="F1492" s="4">
        <v>1176898360</v>
      </c>
      <c r="G1492" s="4">
        <v>68893394</v>
      </c>
      <c r="H1492" s="4">
        <v>1325676061</v>
      </c>
      <c r="I1492" s="4">
        <v>15391837</v>
      </c>
      <c r="K1492" s="48">
        <f t="shared" si="97"/>
        <v>10.485638031249902</v>
      </c>
      <c r="L1492" s="48">
        <f t="shared" si="96"/>
        <v>5.5317455888529699</v>
      </c>
      <c r="M1492" s="48">
        <f t="shared" si="96"/>
        <v>5.1999204186655019</v>
      </c>
      <c r="N1492" s="48">
        <f t="shared" si="96"/>
        <v>5.5045039277941052</v>
      </c>
      <c r="O1492" s="48"/>
      <c r="P1492" s="48"/>
      <c r="Q1492" s="48"/>
      <c r="R1492" s="48"/>
    </row>
    <row r="1493" spans="1:18" x14ac:dyDescent="0.25">
      <c r="A1493" s="5">
        <v>2023</v>
      </c>
      <c r="B1493" s="4">
        <v>65037758</v>
      </c>
      <c r="C1493" s="4">
        <v>8738134</v>
      </c>
      <c r="D1493" s="4">
        <v>217858533</v>
      </c>
      <c r="E1493" s="4">
        <v>2895769</v>
      </c>
      <c r="F1493" s="4">
        <v>874009584</v>
      </c>
      <c r="G1493" s="4">
        <v>50853509</v>
      </c>
      <c r="H1493" s="4">
        <v>1181803287</v>
      </c>
      <c r="I1493" s="4">
        <v>16443986</v>
      </c>
      <c r="K1493" s="48">
        <f t="shared" si="97"/>
        <v>13.438494973950363</v>
      </c>
      <c r="L1493" s="48">
        <f t="shared" si="96"/>
        <v>5.8197218078825523</v>
      </c>
      <c r="M1493" s="48">
        <f t="shared" si="96"/>
        <v>5.4246362110590365</v>
      </c>
      <c r="N1493" s="48">
        <f t="shared" si="96"/>
        <v>5.6786249179406232</v>
      </c>
      <c r="O1493" s="48"/>
      <c r="P1493" s="48"/>
      <c r="Q1493" s="48"/>
      <c r="R1493" s="48"/>
    </row>
    <row r="1494" spans="1:18" x14ac:dyDescent="0.25">
      <c r="A1494" s="5">
        <v>2024</v>
      </c>
      <c r="B1494" s="4">
        <v>70749284</v>
      </c>
      <c r="C1494" s="4">
        <v>7388410.0209999997</v>
      </c>
      <c r="D1494" s="4">
        <v>230557050</v>
      </c>
      <c r="E1494" s="4">
        <v>3742950.46</v>
      </c>
      <c r="F1494" s="4">
        <v>908346579</v>
      </c>
      <c r="G1494" s="4">
        <v>42218683</v>
      </c>
      <c r="H1494" s="4">
        <v>1152074646</v>
      </c>
      <c r="I1494" s="4">
        <v>23350910</v>
      </c>
      <c r="K1494" s="48">
        <f t="shared" si="97"/>
        <v>12.838950836590799</v>
      </c>
      <c r="L1494" s="48">
        <f t="shared" si="96"/>
        <v>5.7141770529792311</v>
      </c>
      <c r="M1494" s="48">
        <f t="shared" si="96"/>
        <v>4.9969178821467395</v>
      </c>
      <c r="N1494" s="48">
        <f t="shared" si="96"/>
        <v>6.2386372060077973</v>
      </c>
      <c r="O1494" s="48"/>
      <c r="P1494" s="48"/>
      <c r="Q1494" s="48"/>
      <c r="R1494" s="48"/>
    </row>
    <row r="1495" spans="1:18" x14ac:dyDescent="0.25">
      <c r="A1495" s="5">
        <v>2025</v>
      </c>
      <c r="B1495" s="4">
        <v>54020288</v>
      </c>
      <c r="C1495" s="4">
        <v>7213775.1679999996</v>
      </c>
      <c r="D1495" s="4">
        <v>182572619</v>
      </c>
      <c r="E1495" s="4">
        <v>3114324.997</v>
      </c>
      <c r="F1495" s="4">
        <v>642958238</v>
      </c>
      <c r="G1495" s="4">
        <v>41213475</v>
      </c>
      <c r="H1495" s="4">
        <v>904594342</v>
      </c>
      <c r="I1495" s="4">
        <v>19784527</v>
      </c>
      <c r="K1495" s="48">
        <f t="shared" si="97"/>
        <v>11.902162350559848</v>
      </c>
      <c r="L1495" s="48">
        <f t="shared" si="96"/>
        <v>5.7131632245514421</v>
      </c>
      <c r="M1495" s="48">
        <f t="shared" si="96"/>
        <v>4.9547097859181175</v>
      </c>
      <c r="N1495" s="48">
        <f t="shared" si="96"/>
        <v>6.3527496388650029</v>
      </c>
      <c r="O1495" s="48"/>
      <c r="P1495" s="48"/>
      <c r="Q1495" s="48"/>
      <c r="R1495" s="48"/>
    </row>
    <row r="1496" spans="1:18" x14ac:dyDescent="0.25">
      <c r="A1496" s="3" t="s">
        <v>56</v>
      </c>
      <c r="B1496" s="4">
        <v>943920246.49399996</v>
      </c>
      <c r="C1496" s="4">
        <v>418603821.85100007</v>
      </c>
      <c r="D1496" s="4">
        <v>21796025.730999999</v>
      </c>
      <c r="E1496" s="4">
        <v>467263483.26299995</v>
      </c>
      <c r="F1496" s="4">
        <v>2333688536.3560004</v>
      </c>
      <c r="G1496" s="4">
        <v>3103270128.0699997</v>
      </c>
      <c r="H1496" s="4">
        <v>113326882.11</v>
      </c>
      <c r="I1496" s="4">
        <v>2368719138.1839995</v>
      </c>
      <c r="K1496" s="48">
        <f t="shared" ref="K1496:K1511" si="98">F1496/B1496</f>
        <v>2.4723365612974324</v>
      </c>
      <c r="L1496" s="48">
        <f t="shared" ref="L1496:L1511" si="99">G1496/C1496</f>
        <v>7.4133822150687223</v>
      </c>
      <c r="M1496" s="48">
        <f t="shared" ref="M1496:M1511" si="100">H1496/D1496</f>
        <v>5.1994287173563807</v>
      </c>
      <c r="N1496" s="48">
        <f t="shared" ref="N1496:N1511" si="101">I1496/E1496</f>
        <v>5.0693435781515213</v>
      </c>
    </row>
    <row r="1497" spans="1:18" x14ac:dyDescent="0.25">
      <c r="A1497" s="5">
        <v>2015</v>
      </c>
      <c r="B1497" s="4">
        <v>84772391.821999997</v>
      </c>
      <c r="C1497" s="4">
        <v>36040619.251999997</v>
      </c>
      <c r="D1497" s="4"/>
      <c r="E1497" s="4">
        <v>41243112.527000003</v>
      </c>
      <c r="F1497" s="4">
        <v>166666116.03299999</v>
      </c>
      <c r="G1497" s="4">
        <v>217825669.70300001</v>
      </c>
      <c r="H1497" s="4"/>
      <c r="I1497" s="4">
        <v>185996022.08199999</v>
      </c>
      <c r="K1497" s="48">
        <f t="shared" si="98"/>
        <v>1.9660423924684767</v>
      </c>
      <c r="L1497" s="48">
        <f t="shared" si="99"/>
        <v>6.0438936462200834</v>
      </c>
      <c r="M1497" s="48" t="e">
        <f t="shared" si="100"/>
        <v>#DIV/0!</v>
      </c>
      <c r="N1497" s="48">
        <f t="shared" si="101"/>
        <v>4.509747462930612</v>
      </c>
    </row>
    <row r="1498" spans="1:18" x14ac:dyDescent="0.25">
      <c r="A1498" s="5">
        <v>2016</v>
      </c>
      <c r="B1498" s="4">
        <v>69907358.441</v>
      </c>
      <c r="C1498" s="4">
        <v>43735884.100000001</v>
      </c>
      <c r="D1498" s="4"/>
      <c r="E1498" s="4">
        <v>43221813.648999996</v>
      </c>
      <c r="F1498" s="4">
        <v>170157777.36500001</v>
      </c>
      <c r="G1498" s="4">
        <v>246902091.11700001</v>
      </c>
      <c r="H1498" s="4"/>
      <c r="I1498" s="4">
        <v>200330807.433</v>
      </c>
      <c r="K1498" s="48">
        <f t="shared" si="98"/>
        <v>2.4340467321277597</v>
      </c>
      <c r="L1498" s="48">
        <f t="shared" si="99"/>
        <v>5.6452978188910103</v>
      </c>
      <c r="M1498" s="48" t="e">
        <f t="shared" si="100"/>
        <v>#DIV/0!</v>
      </c>
      <c r="N1498" s="48">
        <f t="shared" si="101"/>
        <v>4.6349468131963718</v>
      </c>
    </row>
    <row r="1499" spans="1:18" x14ac:dyDescent="0.25">
      <c r="A1499" s="5">
        <v>2017</v>
      </c>
      <c r="B1499" s="4">
        <v>68592978.332000002</v>
      </c>
      <c r="C1499" s="4">
        <v>50792280.667999998</v>
      </c>
      <c r="D1499" s="4">
        <v>1853235.8670000001</v>
      </c>
      <c r="E1499" s="4">
        <v>42802744.623000003</v>
      </c>
      <c r="F1499" s="4">
        <v>183267788.05000001</v>
      </c>
      <c r="G1499" s="4">
        <v>286571177.15700001</v>
      </c>
      <c r="H1499" s="4">
        <v>9065504.8929999992</v>
      </c>
      <c r="I1499" s="4">
        <v>235422977.572</v>
      </c>
      <c r="K1499" s="48">
        <f t="shared" si="98"/>
        <v>2.6718155780167065</v>
      </c>
      <c r="L1499" s="48">
        <f t="shared" si="99"/>
        <v>5.6420222401539988</v>
      </c>
      <c r="M1499" s="48">
        <f t="shared" si="100"/>
        <v>4.8917167287913275</v>
      </c>
      <c r="N1499" s="48">
        <f t="shared" si="101"/>
        <v>5.5001841504690736</v>
      </c>
    </row>
    <row r="1500" spans="1:18" x14ac:dyDescent="0.25">
      <c r="A1500" s="5">
        <v>2018</v>
      </c>
      <c r="B1500" s="4">
        <v>99094650.195999995</v>
      </c>
      <c r="C1500" s="4">
        <v>33016283.197000001</v>
      </c>
      <c r="D1500" s="4">
        <v>3068123.2009999999</v>
      </c>
      <c r="E1500" s="4">
        <v>43672836.781999998</v>
      </c>
      <c r="F1500" s="4">
        <v>237942541.44100001</v>
      </c>
      <c r="G1500" s="4">
        <v>308824720.89899999</v>
      </c>
      <c r="H1500" s="4">
        <v>16663814.509</v>
      </c>
      <c r="I1500" s="4">
        <v>249354319.76199999</v>
      </c>
      <c r="K1500" s="48">
        <f t="shared" si="98"/>
        <v>2.4011643511569174</v>
      </c>
      <c r="L1500" s="48">
        <f t="shared" si="99"/>
        <v>9.3537094728779504</v>
      </c>
      <c r="M1500" s="48">
        <f t="shared" si="100"/>
        <v>5.4312729370087638</v>
      </c>
      <c r="N1500" s="48">
        <f t="shared" si="101"/>
        <v>5.7095975012269582</v>
      </c>
    </row>
    <row r="1501" spans="1:18" x14ac:dyDescent="0.25">
      <c r="A1501" s="5">
        <v>2019</v>
      </c>
      <c r="B1501" s="4">
        <v>119487496.39399999</v>
      </c>
      <c r="C1501" s="4">
        <v>57199407.993000001</v>
      </c>
      <c r="D1501" s="4">
        <v>2423141.7790000001</v>
      </c>
      <c r="E1501" s="4">
        <v>51502757.773999996</v>
      </c>
      <c r="F1501" s="4">
        <v>282187735.287</v>
      </c>
      <c r="G1501" s="4">
        <v>371558892.30599999</v>
      </c>
      <c r="H1501" s="4">
        <v>11754393.649</v>
      </c>
      <c r="I1501" s="4">
        <v>253329384.76100001</v>
      </c>
      <c r="K1501" s="48">
        <f t="shared" si="98"/>
        <v>2.3616507484306943</v>
      </c>
      <c r="L1501" s="48">
        <f t="shared" si="99"/>
        <v>6.4958520611169783</v>
      </c>
      <c r="M1501" s="48">
        <f t="shared" si="100"/>
        <v>4.8508897625672116</v>
      </c>
      <c r="N1501" s="48">
        <f t="shared" si="101"/>
        <v>4.9187537854310319</v>
      </c>
    </row>
    <row r="1502" spans="1:18" x14ac:dyDescent="0.25">
      <c r="A1502" s="5">
        <v>2020</v>
      </c>
      <c r="B1502" s="4">
        <v>117308612.20200001</v>
      </c>
      <c r="C1502" s="4">
        <v>40614698.520000003</v>
      </c>
      <c r="D1502" s="4">
        <v>2941234.6460000002</v>
      </c>
      <c r="E1502" s="4">
        <v>66956902.776000001</v>
      </c>
      <c r="F1502" s="4">
        <v>276552505.83499998</v>
      </c>
      <c r="G1502" s="4">
        <v>265569217.06</v>
      </c>
      <c r="H1502" s="4">
        <v>14128265.801000001</v>
      </c>
      <c r="I1502" s="4">
        <v>300395051.77399999</v>
      </c>
      <c r="K1502" s="48">
        <f t="shared" si="98"/>
        <v>2.3574782843632089</v>
      </c>
      <c r="L1502" s="48">
        <f t="shared" si="99"/>
        <v>6.5387464818734298</v>
      </c>
      <c r="M1502" s="48">
        <f t="shared" si="100"/>
        <v>4.8035153605354344</v>
      </c>
      <c r="N1502" s="48">
        <f t="shared" si="101"/>
        <v>4.4863940731988796</v>
      </c>
    </row>
    <row r="1503" spans="1:18" x14ac:dyDescent="0.25">
      <c r="A1503" s="5">
        <v>2021</v>
      </c>
      <c r="B1503" s="4">
        <v>125158597.161</v>
      </c>
      <c r="C1503" s="4">
        <v>56351870.627999999</v>
      </c>
      <c r="D1503" s="4">
        <v>3064832.2259999998</v>
      </c>
      <c r="E1503" s="4">
        <v>55714263.038000003</v>
      </c>
      <c r="F1503" s="4">
        <v>302761547.55500001</v>
      </c>
      <c r="G1503" s="4">
        <v>411662097.19099998</v>
      </c>
      <c r="H1503" s="4">
        <v>15084511.027000001</v>
      </c>
      <c r="I1503" s="4">
        <v>280345908.17900002</v>
      </c>
      <c r="K1503" s="48">
        <f t="shared" si="98"/>
        <v>2.4190231787716292</v>
      </c>
      <c r="L1503" s="48">
        <f t="shared" si="99"/>
        <v>7.3052073090623226</v>
      </c>
      <c r="M1503" s="48">
        <f t="shared" si="100"/>
        <v>4.9218064529056544</v>
      </c>
      <c r="N1503" s="48">
        <f t="shared" si="101"/>
        <v>5.0318516819972947</v>
      </c>
    </row>
    <row r="1504" spans="1:18" x14ac:dyDescent="0.25">
      <c r="A1504" s="5">
        <v>2022</v>
      </c>
      <c r="B1504" s="4">
        <v>147145076.28600001</v>
      </c>
      <c r="C1504" s="4">
        <v>55388560.236000001</v>
      </c>
      <c r="D1504" s="4">
        <v>2806787.8390000002</v>
      </c>
      <c r="E1504" s="4">
        <v>63314879.794</v>
      </c>
      <c r="F1504" s="4">
        <v>385804039.53299999</v>
      </c>
      <c r="G1504" s="4">
        <v>591067067.83299994</v>
      </c>
      <c r="H1504" s="4">
        <v>14578170.855</v>
      </c>
      <c r="I1504" s="4">
        <v>309505104.171</v>
      </c>
      <c r="K1504" s="48">
        <f t="shared" si="98"/>
        <v>2.6219296579324753</v>
      </c>
      <c r="L1504" s="48">
        <f t="shared" si="99"/>
        <v>10.671284202271677</v>
      </c>
      <c r="M1504" s="48">
        <f t="shared" si="100"/>
        <v>5.1938983960376204</v>
      </c>
      <c r="N1504" s="48">
        <f t="shared" si="101"/>
        <v>4.8883470232905673</v>
      </c>
    </row>
    <row r="1505" spans="1:14" x14ac:dyDescent="0.25">
      <c r="A1505" s="5">
        <v>2023</v>
      </c>
      <c r="B1505" s="4">
        <v>112453085.66</v>
      </c>
      <c r="C1505" s="4">
        <v>45464217.256999999</v>
      </c>
      <c r="D1505" s="4">
        <v>5638670.1730000004</v>
      </c>
      <c r="E1505" s="4">
        <v>58834172.299999997</v>
      </c>
      <c r="F1505" s="4">
        <v>328348485.25700003</v>
      </c>
      <c r="G1505" s="4">
        <v>403289194.80400002</v>
      </c>
      <c r="H1505" s="4">
        <v>32052221.375999998</v>
      </c>
      <c r="I1505" s="4">
        <v>354039562.44999999</v>
      </c>
      <c r="K1505" s="48">
        <f t="shared" si="98"/>
        <v>2.9198708361792414</v>
      </c>
      <c r="L1505" s="48">
        <f t="shared" si="99"/>
        <v>8.8704748291230437</v>
      </c>
      <c r="M1505" s="48">
        <f t="shared" si="100"/>
        <v>5.684358260477385</v>
      </c>
      <c r="N1505" s="48">
        <f t="shared" si="101"/>
        <v>6.017583805627873</v>
      </c>
    </row>
    <row r="1506" spans="1:14" x14ac:dyDescent="0.25">
      <c r="A1506" s="3" t="s">
        <v>60</v>
      </c>
      <c r="B1506" s="4">
        <v>6962117.5999999996</v>
      </c>
      <c r="C1506" s="4">
        <v>3280753</v>
      </c>
      <c r="D1506" s="4">
        <v>24455143.800000001</v>
      </c>
      <c r="E1506" s="4"/>
      <c r="F1506" s="4">
        <v>11868566.536</v>
      </c>
      <c r="G1506" s="4">
        <v>11319163.197000001</v>
      </c>
      <c r="H1506" s="4">
        <v>38205526.608000003</v>
      </c>
      <c r="I1506" s="4"/>
      <c r="K1506" s="48">
        <f t="shared" si="98"/>
        <v>1.7047351420780368</v>
      </c>
      <c r="L1506" s="48">
        <f t="shared" si="99"/>
        <v>3.4501723223296605</v>
      </c>
      <c r="M1506" s="48">
        <f t="shared" si="100"/>
        <v>1.5622695544321437</v>
      </c>
      <c r="N1506" s="48" t="e">
        <f t="shared" si="101"/>
        <v>#DIV/0!</v>
      </c>
    </row>
    <row r="1507" spans="1:14" x14ac:dyDescent="0.25">
      <c r="A1507" s="5">
        <v>2012</v>
      </c>
      <c r="B1507" s="4">
        <v>2440909.9</v>
      </c>
      <c r="C1507" s="4">
        <v>2087936</v>
      </c>
      <c r="D1507" s="4">
        <v>12123316.5</v>
      </c>
      <c r="E1507" s="4"/>
      <c r="F1507" s="4">
        <v>2993293.5819999999</v>
      </c>
      <c r="G1507" s="4">
        <v>5944190.4469999997</v>
      </c>
      <c r="H1507" s="4">
        <v>14679335.702</v>
      </c>
      <c r="I1507" s="4"/>
      <c r="K1507" s="48">
        <f t="shared" si="98"/>
        <v>1.2263023645403708</v>
      </c>
      <c r="L1507" s="48">
        <f t="shared" si="99"/>
        <v>2.8469217672380762</v>
      </c>
      <c r="M1507" s="48">
        <f t="shared" si="100"/>
        <v>1.2108349808404326</v>
      </c>
      <c r="N1507" s="48" t="e">
        <f t="shared" si="101"/>
        <v>#DIV/0!</v>
      </c>
    </row>
    <row r="1508" spans="1:14" x14ac:dyDescent="0.25">
      <c r="A1508" s="5">
        <v>2015</v>
      </c>
      <c r="B1508" s="4">
        <v>4521207.7</v>
      </c>
      <c r="C1508" s="4">
        <v>1192817</v>
      </c>
      <c r="D1508" s="4">
        <v>3869945.3</v>
      </c>
      <c r="E1508" s="4"/>
      <c r="F1508" s="4">
        <v>8875272.9539999999</v>
      </c>
      <c r="G1508" s="4">
        <v>5374972.75</v>
      </c>
      <c r="H1508" s="4">
        <v>7336930.875</v>
      </c>
      <c r="I1508" s="4"/>
      <c r="K1508" s="48">
        <f t="shared" si="98"/>
        <v>1.9630314603772792</v>
      </c>
      <c r="L1508" s="48">
        <f t="shared" si="99"/>
        <v>4.5061168226140307</v>
      </c>
      <c r="M1508" s="48">
        <f t="shared" si="100"/>
        <v>1.8958745683046219</v>
      </c>
      <c r="N1508" s="48" t="e">
        <f t="shared" si="101"/>
        <v>#DIV/0!</v>
      </c>
    </row>
    <row r="1509" spans="1:14" x14ac:dyDescent="0.25">
      <c r="A1509" s="5">
        <v>2016</v>
      </c>
      <c r="B1509" s="4"/>
      <c r="C1509" s="4"/>
      <c r="D1509" s="4">
        <v>2498820</v>
      </c>
      <c r="E1509" s="4"/>
      <c r="F1509" s="4"/>
      <c r="G1509" s="4"/>
      <c r="H1509" s="4">
        <v>9291588.0170000009</v>
      </c>
      <c r="I1509" s="4"/>
      <c r="K1509" s="48" t="e">
        <f t="shared" si="98"/>
        <v>#DIV/0!</v>
      </c>
      <c r="L1509" s="48" t="e">
        <f t="shared" si="99"/>
        <v>#DIV/0!</v>
      </c>
      <c r="M1509" s="48">
        <f t="shared" si="100"/>
        <v>3.7183902870154717</v>
      </c>
      <c r="N1509" s="48" t="e">
        <f t="shared" si="101"/>
        <v>#DIV/0!</v>
      </c>
    </row>
    <row r="1510" spans="1:14" x14ac:dyDescent="0.25">
      <c r="A1510" s="5">
        <v>2018</v>
      </c>
      <c r="B1510" s="4"/>
      <c r="C1510" s="4"/>
      <c r="D1510" s="4">
        <v>1515685</v>
      </c>
      <c r="E1510" s="4"/>
      <c r="F1510" s="4"/>
      <c r="G1510" s="4"/>
      <c r="H1510" s="4">
        <v>2059640.9739999999</v>
      </c>
      <c r="I1510" s="4"/>
      <c r="K1510" s="48" t="e">
        <f t="shared" si="98"/>
        <v>#DIV/0!</v>
      </c>
      <c r="L1510" s="48" t="e">
        <f t="shared" si="99"/>
        <v>#DIV/0!</v>
      </c>
      <c r="M1510" s="48">
        <f t="shared" si="100"/>
        <v>1.3588845795795299</v>
      </c>
      <c r="N1510" s="48" t="e">
        <f t="shared" si="101"/>
        <v>#DIV/0!</v>
      </c>
    </row>
    <row r="1511" spans="1:14" x14ac:dyDescent="0.25">
      <c r="A1511" s="5">
        <v>2019</v>
      </c>
      <c r="B1511" s="4"/>
      <c r="C1511" s="4"/>
      <c r="D1511" s="4">
        <v>4447377</v>
      </c>
      <c r="E1511" s="4"/>
      <c r="F1511" s="4"/>
      <c r="G1511" s="4"/>
      <c r="H1511" s="4">
        <v>4838031.04</v>
      </c>
      <c r="I1511" s="4"/>
      <c r="K1511" s="48" t="e">
        <f t="shared" si="98"/>
        <v>#DIV/0!</v>
      </c>
      <c r="L1511" s="48" t="e">
        <f t="shared" si="99"/>
        <v>#DIV/0!</v>
      </c>
      <c r="M1511" s="48">
        <f t="shared" si="100"/>
        <v>1.0878392004995303</v>
      </c>
      <c r="N1511" s="48" t="e">
        <f t="shared" si="101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5C14A-4199-466B-8016-D9DCCBCCDB63}">
  <dimension ref="A1:E8581"/>
  <sheetViews>
    <sheetView workbookViewId="0">
      <selection activeCell="C11" sqref="C11"/>
    </sheetView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2014</v>
      </c>
      <c r="C2" t="s">
        <v>6</v>
      </c>
      <c r="D2">
        <v>2410916.35</v>
      </c>
      <c r="E2" t="s">
        <v>7</v>
      </c>
    </row>
    <row r="3" spans="1:5" x14ac:dyDescent="0.25">
      <c r="A3" t="s">
        <v>8</v>
      </c>
      <c r="B3">
        <v>2022</v>
      </c>
      <c r="C3" t="s">
        <v>6</v>
      </c>
      <c r="D3">
        <v>8671851.0720000006</v>
      </c>
      <c r="E3" t="s">
        <v>7</v>
      </c>
    </row>
    <row r="4" spans="1:5" x14ac:dyDescent="0.25">
      <c r="A4" t="s">
        <v>9</v>
      </c>
      <c r="B4">
        <v>2015</v>
      </c>
      <c r="C4" t="s">
        <v>6</v>
      </c>
      <c r="D4">
        <v>1491602.41</v>
      </c>
      <c r="E4" t="s">
        <v>7</v>
      </c>
    </row>
    <row r="5" spans="1:5" x14ac:dyDescent="0.25">
      <c r="A5" t="s">
        <v>9</v>
      </c>
      <c r="B5">
        <v>2023</v>
      </c>
      <c r="C5" t="s">
        <v>6</v>
      </c>
      <c r="D5">
        <v>2412279.86</v>
      </c>
      <c r="E5" t="s">
        <v>7</v>
      </c>
    </row>
    <row r="6" spans="1:5" x14ac:dyDescent="0.25">
      <c r="A6" t="s">
        <v>9</v>
      </c>
      <c r="B6">
        <v>2025</v>
      </c>
      <c r="C6" t="s">
        <v>6</v>
      </c>
      <c r="D6">
        <v>1248849.19</v>
      </c>
      <c r="E6" t="s">
        <v>7</v>
      </c>
    </row>
    <row r="7" spans="1:5" x14ac:dyDescent="0.25">
      <c r="A7" t="s">
        <v>10</v>
      </c>
      <c r="B7">
        <v>2003</v>
      </c>
      <c r="C7" t="s">
        <v>6</v>
      </c>
      <c r="D7">
        <v>2740110</v>
      </c>
      <c r="E7" t="s">
        <v>7</v>
      </c>
    </row>
    <row r="8" spans="1:5" x14ac:dyDescent="0.25">
      <c r="A8" t="s">
        <v>10</v>
      </c>
      <c r="B8">
        <v>2005</v>
      </c>
      <c r="C8" t="s">
        <v>6</v>
      </c>
      <c r="D8">
        <v>4031433</v>
      </c>
      <c r="E8" t="s">
        <v>7</v>
      </c>
    </row>
    <row r="9" spans="1:5" x14ac:dyDescent="0.25">
      <c r="A9" t="s">
        <v>10</v>
      </c>
      <c r="B9">
        <v>2006</v>
      </c>
      <c r="C9" t="s">
        <v>6</v>
      </c>
      <c r="D9">
        <v>4002104</v>
      </c>
      <c r="E9" t="s">
        <v>7</v>
      </c>
    </row>
    <row r="10" spans="1:5" x14ac:dyDescent="0.25">
      <c r="A10" t="s">
        <v>10</v>
      </c>
      <c r="B10">
        <v>2007</v>
      </c>
      <c r="C10" t="s">
        <v>6</v>
      </c>
      <c r="D10">
        <v>5959433</v>
      </c>
      <c r="E10" t="s">
        <v>7</v>
      </c>
    </row>
    <row r="11" spans="1:5" x14ac:dyDescent="0.25">
      <c r="A11" t="s">
        <v>10</v>
      </c>
      <c r="B11">
        <v>2008</v>
      </c>
      <c r="C11" t="s">
        <v>6</v>
      </c>
      <c r="D11">
        <v>4820836</v>
      </c>
      <c r="E11" t="s">
        <v>7</v>
      </c>
    </row>
    <row r="12" spans="1:5" x14ac:dyDescent="0.25">
      <c r="A12" t="s">
        <v>10</v>
      </c>
      <c r="B12">
        <v>2009</v>
      </c>
      <c r="C12" t="s">
        <v>6</v>
      </c>
      <c r="D12">
        <v>5112091</v>
      </c>
      <c r="E12" t="s">
        <v>7</v>
      </c>
    </row>
    <row r="13" spans="1:5" x14ac:dyDescent="0.25">
      <c r="A13" t="s">
        <v>10</v>
      </c>
      <c r="B13">
        <v>2010</v>
      </c>
      <c r="C13" t="s">
        <v>6</v>
      </c>
      <c r="D13">
        <v>2811622</v>
      </c>
      <c r="E13" t="s">
        <v>7</v>
      </c>
    </row>
    <row r="14" spans="1:5" x14ac:dyDescent="0.25">
      <c r="A14" t="s">
        <v>10</v>
      </c>
      <c r="B14">
        <v>2011</v>
      </c>
      <c r="C14" t="s">
        <v>6</v>
      </c>
      <c r="D14">
        <v>2760482</v>
      </c>
      <c r="E14" t="s">
        <v>7</v>
      </c>
    </row>
    <row r="15" spans="1:5" x14ac:dyDescent="0.25">
      <c r="A15" t="s">
        <v>10</v>
      </c>
      <c r="B15">
        <v>2015</v>
      </c>
      <c r="C15" t="s">
        <v>6</v>
      </c>
      <c r="D15">
        <v>1934508</v>
      </c>
      <c r="E15" t="s">
        <v>7</v>
      </c>
    </row>
    <row r="16" spans="1:5" x14ac:dyDescent="0.25">
      <c r="A16" t="s">
        <v>10</v>
      </c>
      <c r="B16">
        <v>2017</v>
      </c>
      <c r="C16" t="s">
        <v>6</v>
      </c>
      <c r="D16">
        <v>1579602</v>
      </c>
      <c r="E16" t="s">
        <v>7</v>
      </c>
    </row>
    <row r="17" spans="1:5" x14ac:dyDescent="0.25">
      <c r="A17" t="s">
        <v>10</v>
      </c>
      <c r="B17">
        <v>2021</v>
      </c>
      <c r="C17" t="s">
        <v>6</v>
      </c>
      <c r="D17">
        <v>2598211.2340000002</v>
      </c>
      <c r="E17" t="s">
        <v>7</v>
      </c>
    </row>
    <row r="18" spans="1:5" x14ac:dyDescent="0.25">
      <c r="A18" t="s">
        <v>10</v>
      </c>
      <c r="B18">
        <v>2022</v>
      </c>
      <c r="C18" t="s">
        <v>6</v>
      </c>
      <c r="D18">
        <v>4502868.1150000002</v>
      </c>
      <c r="E18" t="s">
        <v>7</v>
      </c>
    </row>
    <row r="19" spans="1:5" x14ac:dyDescent="0.25">
      <c r="A19" t="s">
        <v>10</v>
      </c>
      <c r="B19">
        <v>2023</v>
      </c>
      <c r="C19" t="s">
        <v>6</v>
      </c>
      <c r="D19">
        <v>4680075.6540000001</v>
      </c>
      <c r="E19" t="s">
        <v>7</v>
      </c>
    </row>
    <row r="20" spans="1:5" x14ac:dyDescent="0.25">
      <c r="A20" t="s">
        <v>10</v>
      </c>
      <c r="B20">
        <v>2024</v>
      </c>
      <c r="C20" t="s">
        <v>6</v>
      </c>
      <c r="D20">
        <v>5451647.2970000003</v>
      </c>
      <c r="E20" t="s">
        <v>7</v>
      </c>
    </row>
    <row r="21" spans="1:5" x14ac:dyDescent="0.25">
      <c r="A21" t="s">
        <v>10</v>
      </c>
      <c r="B21">
        <v>2025</v>
      </c>
      <c r="C21" t="s">
        <v>6</v>
      </c>
      <c r="D21">
        <v>5605610.125</v>
      </c>
      <c r="E21" t="s">
        <v>7</v>
      </c>
    </row>
    <row r="22" spans="1:5" x14ac:dyDescent="0.25">
      <c r="A22" t="s">
        <v>11</v>
      </c>
      <c r="B22">
        <v>2012</v>
      </c>
      <c r="C22" t="s">
        <v>6</v>
      </c>
      <c r="D22">
        <v>3826639</v>
      </c>
      <c r="E22" t="s">
        <v>7</v>
      </c>
    </row>
    <row r="23" spans="1:5" x14ac:dyDescent="0.25">
      <c r="A23" t="s">
        <v>11</v>
      </c>
      <c r="B23">
        <v>2016</v>
      </c>
      <c r="C23" t="s">
        <v>6</v>
      </c>
      <c r="D23">
        <v>2519654</v>
      </c>
      <c r="E23" t="s">
        <v>7</v>
      </c>
    </row>
    <row r="24" spans="1:5" x14ac:dyDescent="0.25">
      <c r="A24" t="s">
        <v>12</v>
      </c>
      <c r="B24">
        <v>2010</v>
      </c>
      <c r="C24" t="s">
        <v>6</v>
      </c>
      <c r="D24">
        <v>37138291</v>
      </c>
      <c r="E24" t="s">
        <v>7</v>
      </c>
    </row>
    <row r="25" spans="1:5" x14ac:dyDescent="0.25">
      <c r="A25" t="s">
        <v>12</v>
      </c>
      <c r="B25">
        <v>2011</v>
      </c>
      <c r="C25" t="s">
        <v>6</v>
      </c>
      <c r="D25">
        <v>52417257</v>
      </c>
      <c r="E25" t="s">
        <v>7</v>
      </c>
    </row>
    <row r="26" spans="1:5" x14ac:dyDescent="0.25">
      <c r="A26" t="s">
        <v>12</v>
      </c>
      <c r="B26">
        <v>2012</v>
      </c>
      <c r="C26" t="s">
        <v>6</v>
      </c>
      <c r="D26">
        <v>39193508</v>
      </c>
      <c r="E26" t="s">
        <v>7</v>
      </c>
    </row>
    <row r="27" spans="1:5" x14ac:dyDescent="0.25">
      <c r="A27" t="s">
        <v>12</v>
      </c>
      <c r="B27">
        <v>2016</v>
      </c>
      <c r="C27" t="s">
        <v>6</v>
      </c>
      <c r="D27">
        <v>78375144.878999993</v>
      </c>
      <c r="E27" t="s">
        <v>7</v>
      </c>
    </row>
    <row r="28" spans="1:5" x14ac:dyDescent="0.25">
      <c r="A28" t="s">
        <v>12</v>
      </c>
      <c r="B28">
        <v>2017</v>
      </c>
      <c r="C28" t="s">
        <v>6</v>
      </c>
      <c r="D28">
        <v>77772806.363999993</v>
      </c>
      <c r="E28" t="s">
        <v>7</v>
      </c>
    </row>
    <row r="29" spans="1:5" x14ac:dyDescent="0.25">
      <c r="A29" t="s">
        <v>12</v>
      </c>
      <c r="B29">
        <v>2018</v>
      </c>
      <c r="C29" t="s">
        <v>6</v>
      </c>
      <c r="D29">
        <v>106177224.34199999</v>
      </c>
      <c r="E29" t="s">
        <v>7</v>
      </c>
    </row>
    <row r="30" spans="1:5" x14ac:dyDescent="0.25">
      <c r="A30" t="s">
        <v>12</v>
      </c>
      <c r="B30">
        <v>2019</v>
      </c>
      <c r="C30" t="s">
        <v>6</v>
      </c>
      <c r="D30">
        <v>123604457</v>
      </c>
      <c r="E30" t="s">
        <v>7</v>
      </c>
    </row>
    <row r="31" spans="1:5" x14ac:dyDescent="0.25">
      <c r="A31" t="s">
        <v>12</v>
      </c>
      <c r="B31">
        <v>2020</v>
      </c>
      <c r="C31" t="s">
        <v>6</v>
      </c>
      <c r="D31">
        <v>136383965</v>
      </c>
      <c r="E31" t="s">
        <v>7</v>
      </c>
    </row>
    <row r="32" spans="1:5" x14ac:dyDescent="0.25">
      <c r="A32" t="s">
        <v>12</v>
      </c>
      <c r="B32">
        <v>2021</v>
      </c>
      <c r="C32" t="s">
        <v>6</v>
      </c>
      <c r="D32">
        <v>135473079</v>
      </c>
      <c r="E32" t="s">
        <v>7</v>
      </c>
    </row>
    <row r="33" spans="1:5" x14ac:dyDescent="0.25">
      <c r="A33" t="s">
        <v>12</v>
      </c>
      <c r="B33">
        <v>2022</v>
      </c>
      <c r="C33" t="s">
        <v>6</v>
      </c>
      <c r="D33">
        <v>130544100</v>
      </c>
      <c r="E33" t="s">
        <v>7</v>
      </c>
    </row>
    <row r="34" spans="1:5" x14ac:dyDescent="0.25">
      <c r="A34" t="s">
        <v>12</v>
      </c>
      <c r="B34">
        <v>2023</v>
      </c>
      <c r="C34" t="s">
        <v>6</v>
      </c>
      <c r="D34">
        <v>139617960</v>
      </c>
      <c r="E34" t="s">
        <v>7</v>
      </c>
    </row>
    <row r="35" spans="1:5" x14ac:dyDescent="0.25">
      <c r="A35" t="s">
        <v>12</v>
      </c>
      <c r="B35">
        <v>2024</v>
      </c>
      <c r="C35" t="s">
        <v>6</v>
      </c>
      <c r="D35">
        <v>207697919.30700001</v>
      </c>
      <c r="E35" t="s">
        <v>7</v>
      </c>
    </row>
    <row r="36" spans="1:5" x14ac:dyDescent="0.25">
      <c r="A36" t="s">
        <v>13</v>
      </c>
      <c r="B36">
        <v>2014</v>
      </c>
      <c r="C36" t="s">
        <v>6</v>
      </c>
      <c r="D36">
        <v>6874519.54</v>
      </c>
      <c r="E36" t="s">
        <v>7</v>
      </c>
    </row>
    <row r="37" spans="1:5" x14ac:dyDescent="0.25">
      <c r="A37" t="s">
        <v>13</v>
      </c>
      <c r="B37">
        <v>2016</v>
      </c>
      <c r="C37" t="s">
        <v>6</v>
      </c>
      <c r="D37">
        <v>3209665.67</v>
      </c>
      <c r="E37" t="s">
        <v>7</v>
      </c>
    </row>
    <row r="38" spans="1:5" x14ac:dyDescent="0.25">
      <c r="A38" t="s">
        <v>13</v>
      </c>
      <c r="B38">
        <v>2018</v>
      </c>
      <c r="C38" t="s">
        <v>6</v>
      </c>
      <c r="D38">
        <v>2299284.7999999998</v>
      </c>
      <c r="E38" t="s">
        <v>7</v>
      </c>
    </row>
    <row r="39" spans="1:5" x14ac:dyDescent="0.25">
      <c r="A39" t="s">
        <v>13</v>
      </c>
      <c r="B39">
        <v>2020</v>
      </c>
      <c r="C39" t="s">
        <v>6</v>
      </c>
      <c r="D39">
        <v>4931095.34</v>
      </c>
      <c r="E39" t="s">
        <v>7</v>
      </c>
    </row>
    <row r="40" spans="1:5" x14ac:dyDescent="0.25">
      <c r="A40" t="s">
        <v>13</v>
      </c>
      <c r="B40">
        <v>2021</v>
      </c>
      <c r="C40" t="s">
        <v>6</v>
      </c>
      <c r="D40">
        <v>3710827.51</v>
      </c>
      <c r="E40" t="s">
        <v>7</v>
      </c>
    </row>
    <row r="41" spans="1:5" x14ac:dyDescent="0.25">
      <c r="A41" t="s">
        <v>13</v>
      </c>
      <c r="B41">
        <v>2022</v>
      </c>
      <c r="C41" t="s">
        <v>6</v>
      </c>
      <c r="D41">
        <v>3339947.18</v>
      </c>
      <c r="E41" t="s">
        <v>7</v>
      </c>
    </row>
    <row r="42" spans="1:5" x14ac:dyDescent="0.25">
      <c r="A42" t="s">
        <v>13</v>
      </c>
      <c r="B42">
        <v>2023</v>
      </c>
      <c r="C42" t="s">
        <v>6</v>
      </c>
      <c r="D42">
        <v>3329481.05</v>
      </c>
      <c r="E42" t="s">
        <v>7</v>
      </c>
    </row>
    <row r="43" spans="1:5" x14ac:dyDescent="0.25">
      <c r="A43" t="s">
        <v>13</v>
      </c>
      <c r="B43">
        <v>2025</v>
      </c>
      <c r="C43" t="s">
        <v>6</v>
      </c>
      <c r="D43">
        <v>2220803.0499999998</v>
      </c>
      <c r="E43" t="s">
        <v>7</v>
      </c>
    </row>
    <row r="44" spans="1:5" x14ac:dyDescent="0.25">
      <c r="A44" t="s">
        <v>14</v>
      </c>
      <c r="B44">
        <v>2015</v>
      </c>
      <c r="C44" t="s">
        <v>6</v>
      </c>
      <c r="D44">
        <v>15270640</v>
      </c>
      <c r="E44" t="s">
        <v>7</v>
      </c>
    </row>
    <row r="45" spans="1:5" x14ac:dyDescent="0.25">
      <c r="A45" t="s">
        <v>15</v>
      </c>
      <c r="B45">
        <v>2015</v>
      </c>
      <c r="C45" t="s">
        <v>6</v>
      </c>
      <c r="D45">
        <v>2499836</v>
      </c>
      <c r="E45" t="s">
        <v>7</v>
      </c>
    </row>
    <row r="46" spans="1:5" x14ac:dyDescent="0.25">
      <c r="A46" t="s">
        <v>15</v>
      </c>
      <c r="B46">
        <v>2016</v>
      </c>
      <c r="C46" t="s">
        <v>6</v>
      </c>
      <c r="D46">
        <v>1675307</v>
      </c>
      <c r="E46" t="s">
        <v>7</v>
      </c>
    </row>
    <row r="47" spans="1:5" x14ac:dyDescent="0.25">
      <c r="A47" t="s">
        <v>15</v>
      </c>
      <c r="B47">
        <v>2023</v>
      </c>
      <c r="C47" t="s">
        <v>6</v>
      </c>
      <c r="D47">
        <v>2264214.608</v>
      </c>
      <c r="E47" t="s">
        <v>7</v>
      </c>
    </row>
    <row r="48" spans="1:5" x14ac:dyDescent="0.25">
      <c r="A48" t="s">
        <v>15</v>
      </c>
      <c r="B48">
        <v>2025</v>
      </c>
      <c r="C48" t="s">
        <v>6</v>
      </c>
      <c r="D48">
        <v>2288918.5780000002</v>
      </c>
      <c r="E48" t="s">
        <v>7</v>
      </c>
    </row>
    <row r="49" spans="1:5" x14ac:dyDescent="0.25">
      <c r="A49" t="s">
        <v>16</v>
      </c>
      <c r="B49">
        <v>2008</v>
      </c>
      <c r="C49" t="s">
        <v>6</v>
      </c>
      <c r="D49">
        <v>2005009</v>
      </c>
      <c r="E49" t="s">
        <v>7</v>
      </c>
    </row>
    <row r="50" spans="1:5" x14ac:dyDescent="0.25">
      <c r="A50" t="s">
        <v>17</v>
      </c>
      <c r="B50">
        <v>2010</v>
      </c>
      <c r="C50" t="s">
        <v>6</v>
      </c>
      <c r="D50">
        <v>83569308.709999993</v>
      </c>
      <c r="E50" t="s">
        <v>7</v>
      </c>
    </row>
    <row r="51" spans="1:5" x14ac:dyDescent="0.25">
      <c r="A51" t="s">
        <v>17</v>
      </c>
      <c r="B51">
        <v>2011</v>
      </c>
      <c r="C51" t="s">
        <v>6</v>
      </c>
      <c r="D51">
        <v>122576885.97</v>
      </c>
      <c r="E51" t="s">
        <v>7</v>
      </c>
    </row>
    <row r="52" spans="1:5" x14ac:dyDescent="0.25">
      <c r="A52" t="s">
        <v>17</v>
      </c>
      <c r="B52">
        <v>2012</v>
      </c>
      <c r="C52" t="s">
        <v>6</v>
      </c>
      <c r="D52">
        <v>154395076.646</v>
      </c>
      <c r="E52" t="s">
        <v>7</v>
      </c>
    </row>
    <row r="53" spans="1:5" x14ac:dyDescent="0.25">
      <c r="A53" t="s">
        <v>17</v>
      </c>
      <c r="B53">
        <v>2013</v>
      </c>
      <c r="C53" t="s">
        <v>6</v>
      </c>
      <c r="D53">
        <v>176287091.34999999</v>
      </c>
      <c r="E53" t="s">
        <v>7</v>
      </c>
    </row>
    <row r="54" spans="1:5" x14ac:dyDescent="0.25">
      <c r="A54" t="s">
        <v>17</v>
      </c>
      <c r="B54">
        <v>2014</v>
      </c>
      <c r="C54" t="s">
        <v>6</v>
      </c>
      <c r="D54">
        <v>195656544.74000001</v>
      </c>
      <c r="E54" t="s">
        <v>7</v>
      </c>
    </row>
    <row r="55" spans="1:5" x14ac:dyDescent="0.25">
      <c r="A55" t="s">
        <v>17</v>
      </c>
      <c r="B55">
        <v>2015</v>
      </c>
      <c r="C55" t="s">
        <v>6</v>
      </c>
      <c r="D55">
        <v>174695661.40700001</v>
      </c>
      <c r="E55" t="s">
        <v>7</v>
      </c>
    </row>
    <row r="56" spans="1:5" x14ac:dyDescent="0.25">
      <c r="A56" t="s">
        <v>17</v>
      </c>
      <c r="B56">
        <v>2016</v>
      </c>
      <c r="C56" t="s">
        <v>6</v>
      </c>
      <c r="D56">
        <v>180780696.169</v>
      </c>
      <c r="E56" t="s">
        <v>7</v>
      </c>
    </row>
    <row r="57" spans="1:5" x14ac:dyDescent="0.25">
      <c r="A57" t="s">
        <v>17</v>
      </c>
      <c r="B57">
        <v>2017</v>
      </c>
      <c r="C57" t="s">
        <v>6</v>
      </c>
      <c r="D57">
        <v>218567946.50999999</v>
      </c>
      <c r="E57" t="s">
        <v>7</v>
      </c>
    </row>
    <row r="58" spans="1:5" x14ac:dyDescent="0.25">
      <c r="A58" t="s">
        <v>17</v>
      </c>
      <c r="B58">
        <v>2018</v>
      </c>
      <c r="C58" t="s">
        <v>6</v>
      </c>
      <c r="D58">
        <v>225588242.88999999</v>
      </c>
      <c r="E58" t="s">
        <v>7</v>
      </c>
    </row>
    <row r="59" spans="1:5" x14ac:dyDescent="0.25">
      <c r="A59" t="s">
        <v>17</v>
      </c>
      <c r="B59">
        <v>2019</v>
      </c>
      <c r="C59" t="s">
        <v>6</v>
      </c>
      <c r="D59">
        <v>239017037.162</v>
      </c>
      <c r="E59" t="s">
        <v>7</v>
      </c>
    </row>
    <row r="60" spans="1:5" x14ac:dyDescent="0.25">
      <c r="A60" t="s">
        <v>17</v>
      </c>
      <c r="B60">
        <v>2020</v>
      </c>
      <c r="C60" t="s">
        <v>6</v>
      </c>
      <c r="D60">
        <v>247460177.21000001</v>
      </c>
      <c r="E60" t="s">
        <v>7</v>
      </c>
    </row>
    <row r="61" spans="1:5" x14ac:dyDescent="0.25">
      <c r="A61" t="s">
        <v>17</v>
      </c>
      <c r="B61">
        <v>2021</v>
      </c>
      <c r="C61" t="s">
        <v>6</v>
      </c>
      <c r="D61">
        <v>259124532.01100001</v>
      </c>
      <c r="E61" t="s">
        <v>7</v>
      </c>
    </row>
    <row r="62" spans="1:5" x14ac:dyDescent="0.25">
      <c r="A62" t="s">
        <v>17</v>
      </c>
      <c r="B62">
        <v>2022</v>
      </c>
      <c r="C62" t="s">
        <v>6</v>
      </c>
      <c r="D62">
        <v>18211850.34</v>
      </c>
      <c r="E62" t="s">
        <v>7</v>
      </c>
    </row>
    <row r="63" spans="1:5" x14ac:dyDescent="0.25">
      <c r="A63" t="s">
        <v>17</v>
      </c>
      <c r="B63">
        <v>2024</v>
      </c>
      <c r="C63" t="s">
        <v>6</v>
      </c>
      <c r="D63">
        <v>287894165.51999998</v>
      </c>
      <c r="E63" t="s">
        <v>7</v>
      </c>
    </row>
    <row r="64" spans="1:5" x14ac:dyDescent="0.25">
      <c r="A64" t="s">
        <v>18</v>
      </c>
      <c r="B64">
        <v>2004</v>
      </c>
      <c r="C64" t="s">
        <v>6</v>
      </c>
      <c r="D64">
        <v>9626123.7899999991</v>
      </c>
      <c r="E64" t="s">
        <v>7</v>
      </c>
    </row>
    <row r="65" spans="1:5" x14ac:dyDescent="0.25">
      <c r="A65" t="s">
        <v>18</v>
      </c>
      <c r="B65">
        <v>2005</v>
      </c>
      <c r="C65" t="s">
        <v>6</v>
      </c>
      <c r="D65">
        <v>14122955.83</v>
      </c>
      <c r="E65" t="s">
        <v>7</v>
      </c>
    </row>
    <row r="66" spans="1:5" x14ac:dyDescent="0.25">
      <c r="A66" t="s">
        <v>18</v>
      </c>
      <c r="B66">
        <v>2006</v>
      </c>
      <c r="C66" t="s">
        <v>6</v>
      </c>
      <c r="D66">
        <v>12405962.699999999</v>
      </c>
      <c r="E66" t="s">
        <v>7</v>
      </c>
    </row>
    <row r="67" spans="1:5" x14ac:dyDescent="0.25">
      <c r="A67" t="s">
        <v>18</v>
      </c>
      <c r="B67">
        <v>2007</v>
      </c>
      <c r="C67" t="s">
        <v>6</v>
      </c>
      <c r="D67">
        <v>19160306.300000001</v>
      </c>
      <c r="E67" t="s">
        <v>7</v>
      </c>
    </row>
    <row r="68" spans="1:5" x14ac:dyDescent="0.25">
      <c r="A68" t="s">
        <v>18</v>
      </c>
      <c r="B68">
        <v>2008</v>
      </c>
      <c r="C68" t="s">
        <v>6</v>
      </c>
      <c r="D68">
        <v>19033629</v>
      </c>
      <c r="E68" t="s">
        <v>7</v>
      </c>
    </row>
    <row r="69" spans="1:5" x14ac:dyDescent="0.25">
      <c r="A69" t="s">
        <v>18</v>
      </c>
      <c r="B69">
        <v>2009</v>
      </c>
      <c r="C69" t="s">
        <v>6</v>
      </c>
      <c r="D69">
        <v>18189631.800000001</v>
      </c>
      <c r="E69" t="s">
        <v>7</v>
      </c>
    </row>
    <row r="70" spans="1:5" x14ac:dyDescent="0.25">
      <c r="A70" t="s">
        <v>18</v>
      </c>
      <c r="B70">
        <v>2010</v>
      </c>
      <c r="C70" t="s">
        <v>6</v>
      </c>
      <c r="D70">
        <v>14221857</v>
      </c>
      <c r="E70" t="s">
        <v>7</v>
      </c>
    </row>
    <row r="71" spans="1:5" x14ac:dyDescent="0.25">
      <c r="A71" t="s">
        <v>18</v>
      </c>
      <c r="B71">
        <v>2011</v>
      </c>
      <c r="C71" t="s">
        <v>6</v>
      </c>
      <c r="D71">
        <v>14306126.32</v>
      </c>
      <c r="E71" t="s">
        <v>7</v>
      </c>
    </row>
    <row r="72" spans="1:5" x14ac:dyDescent="0.25">
      <c r="A72" t="s">
        <v>18</v>
      </c>
      <c r="B72">
        <v>2012</v>
      </c>
      <c r="C72" t="s">
        <v>6</v>
      </c>
      <c r="D72">
        <v>17475405</v>
      </c>
      <c r="E72" t="s">
        <v>7</v>
      </c>
    </row>
    <row r="73" spans="1:5" x14ac:dyDescent="0.25">
      <c r="A73" t="s">
        <v>18</v>
      </c>
      <c r="B73">
        <v>2013</v>
      </c>
      <c r="C73" t="s">
        <v>6</v>
      </c>
      <c r="D73">
        <v>19451900</v>
      </c>
      <c r="E73" t="s">
        <v>7</v>
      </c>
    </row>
    <row r="74" spans="1:5" x14ac:dyDescent="0.25">
      <c r="A74" t="s">
        <v>18</v>
      </c>
      <c r="B74">
        <v>2014</v>
      </c>
      <c r="C74" t="s">
        <v>6</v>
      </c>
      <c r="D74">
        <v>20059350.300000001</v>
      </c>
      <c r="E74" t="s">
        <v>7</v>
      </c>
    </row>
    <row r="75" spans="1:5" x14ac:dyDescent="0.25">
      <c r="A75" t="s">
        <v>18</v>
      </c>
      <c r="B75">
        <v>2015</v>
      </c>
      <c r="C75" t="s">
        <v>6</v>
      </c>
      <c r="D75">
        <v>17681894.899999999</v>
      </c>
      <c r="E75" t="s">
        <v>7</v>
      </c>
    </row>
    <row r="76" spans="1:5" x14ac:dyDescent="0.25">
      <c r="A76" t="s">
        <v>18</v>
      </c>
      <c r="B76">
        <v>2016</v>
      </c>
      <c r="C76" t="s">
        <v>6</v>
      </c>
      <c r="D76">
        <v>18431277</v>
      </c>
      <c r="E76" t="s">
        <v>7</v>
      </c>
    </row>
    <row r="77" spans="1:5" x14ac:dyDescent="0.25">
      <c r="A77" t="s">
        <v>18</v>
      </c>
      <c r="B77">
        <v>2017</v>
      </c>
      <c r="C77" t="s">
        <v>6</v>
      </c>
      <c r="D77">
        <v>19020943.699999999</v>
      </c>
      <c r="E77" t="s">
        <v>7</v>
      </c>
    </row>
    <row r="78" spans="1:5" x14ac:dyDescent="0.25">
      <c r="A78" t="s">
        <v>18</v>
      </c>
      <c r="B78">
        <v>2018</v>
      </c>
      <c r="C78" t="s">
        <v>6</v>
      </c>
      <c r="D78">
        <v>16910375.699999999</v>
      </c>
      <c r="E78" t="s">
        <v>7</v>
      </c>
    </row>
    <row r="79" spans="1:5" x14ac:dyDescent="0.25">
      <c r="A79" t="s">
        <v>18</v>
      </c>
      <c r="B79">
        <v>2019</v>
      </c>
      <c r="C79" t="s">
        <v>6</v>
      </c>
      <c r="D79">
        <v>16950672.550000001</v>
      </c>
      <c r="E79" t="s">
        <v>7</v>
      </c>
    </row>
    <row r="80" spans="1:5" x14ac:dyDescent="0.25">
      <c r="A80" t="s">
        <v>18</v>
      </c>
      <c r="B80">
        <v>2020</v>
      </c>
      <c r="C80" t="s">
        <v>6</v>
      </c>
      <c r="D80">
        <v>16789612.100000001</v>
      </c>
      <c r="E80" t="s">
        <v>7</v>
      </c>
    </row>
    <row r="81" spans="1:5" x14ac:dyDescent="0.25">
      <c r="A81" t="s">
        <v>18</v>
      </c>
      <c r="B81">
        <v>2021</v>
      </c>
      <c r="C81" t="s">
        <v>6</v>
      </c>
      <c r="D81">
        <v>16546589</v>
      </c>
      <c r="E81" t="s">
        <v>7</v>
      </c>
    </row>
    <row r="82" spans="1:5" x14ac:dyDescent="0.25">
      <c r="A82" t="s">
        <v>18</v>
      </c>
      <c r="B82">
        <v>2022</v>
      </c>
      <c r="C82" t="s">
        <v>6</v>
      </c>
      <c r="D82">
        <v>18903609.5</v>
      </c>
      <c r="E82" t="s">
        <v>7</v>
      </c>
    </row>
    <row r="83" spans="1:5" x14ac:dyDescent="0.25">
      <c r="A83" t="s">
        <v>18</v>
      </c>
      <c r="B83">
        <v>2023</v>
      </c>
      <c r="C83" t="s">
        <v>6</v>
      </c>
      <c r="D83">
        <v>18212504.780000001</v>
      </c>
      <c r="E83" t="s">
        <v>7</v>
      </c>
    </row>
    <row r="84" spans="1:5" x14ac:dyDescent="0.25">
      <c r="A84" t="s">
        <v>18</v>
      </c>
      <c r="B84">
        <v>2024</v>
      </c>
      <c r="C84" t="s">
        <v>6</v>
      </c>
      <c r="D84">
        <v>20461011.390000001</v>
      </c>
      <c r="E84" t="s">
        <v>7</v>
      </c>
    </row>
    <row r="85" spans="1:5" x14ac:dyDescent="0.25">
      <c r="A85" t="s">
        <v>18</v>
      </c>
      <c r="B85">
        <v>2025</v>
      </c>
      <c r="C85" t="s">
        <v>6</v>
      </c>
      <c r="D85">
        <v>25911136.300000001</v>
      </c>
      <c r="E85" t="s">
        <v>7</v>
      </c>
    </row>
    <row r="86" spans="1:5" x14ac:dyDescent="0.25">
      <c r="A86" t="s">
        <v>19</v>
      </c>
      <c r="B86">
        <v>2014</v>
      </c>
      <c r="C86" t="s">
        <v>6</v>
      </c>
      <c r="D86">
        <v>3214028.6</v>
      </c>
      <c r="E86" t="s">
        <v>7</v>
      </c>
    </row>
    <row r="87" spans="1:5" x14ac:dyDescent="0.25">
      <c r="A87" t="s">
        <v>20</v>
      </c>
      <c r="B87">
        <v>2014</v>
      </c>
      <c r="C87" t="s">
        <v>6</v>
      </c>
      <c r="D87">
        <v>13049515.93</v>
      </c>
      <c r="E87" t="s">
        <v>7</v>
      </c>
    </row>
    <row r="88" spans="1:5" x14ac:dyDescent="0.25">
      <c r="A88" t="s">
        <v>20</v>
      </c>
      <c r="B88">
        <v>2015</v>
      </c>
      <c r="C88" t="s">
        <v>6</v>
      </c>
      <c r="D88">
        <v>11616132.34</v>
      </c>
      <c r="E88" t="s">
        <v>7</v>
      </c>
    </row>
    <row r="89" spans="1:5" x14ac:dyDescent="0.25">
      <c r="A89" t="s">
        <v>20</v>
      </c>
      <c r="B89">
        <v>2016</v>
      </c>
      <c r="C89" t="s">
        <v>6</v>
      </c>
      <c r="D89">
        <v>18263822.166000001</v>
      </c>
      <c r="E89" t="s">
        <v>7</v>
      </c>
    </row>
    <row r="90" spans="1:5" x14ac:dyDescent="0.25">
      <c r="A90" t="s">
        <v>20</v>
      </c>
      <c r="B90">
        <v>2017</v>
      </c>
      <c r="C90" t="s">
        <v>6</v>
      </c>
      <c r="D90">
        <v>11976435.948999999</v>
      </c>
      <c r="E90" t="s">
        <v>7</v>
      </c>
    </row>
    <row r="91" spans="1:5" x14ac:dyDescent="0.25">
      <c r="A91" t="s">
        <v>20</v>
      </c>
      <c r="B91">
        <v>2018</v>
      </c>
      <c r="C91" t="s">
        <v>6</v>
      </c>
      <c r="D91">
        <v>16333534.1</v>
      </c>
      <c r="E91" t="s">
        <v>7</v>
      </c>
    </row>
    <row r="92" spans="1:5" x14ac:dyDescent="0.25">
      <c r="A92" t="s">
        <v>20</v>
      </c>
      <c r="B92">
        <v>2019</v>
      </c>
      <c r="C92" t="s">
        <v>6</v>
      </c>
      <c r="D92">
        <v>19069560.530000001</v>
      </c>
      <c r="E92" t="s">
        <v>7</v>
      </c>
    </row>
    <row r="93" spans="1:5" x14ac:dyDescent="0.25">
      <c r="A93" t="s">
        <v>20</v>
      </c>
      <c r="B93">
        <v>2020</v>
      </c>
      <c r="C93" t="s">
        <v>6</v>
      </c>
      <c r="D93">
        <v>22552351.370000001</v>
      </c>
      <c r="E93" t="s">
        <v>7</v>
      </c>
    </row>
    <row r="94" spans="1:5" x14ac:dyDescent="0.25">
      <c r="A94" t="s">
        <v>20</v>
      </c>
      <c r="B94">
        <v>2021</v>
      </c>
      <c r="C94" t="s">
        <v>6</v>
      </c>
      <c r="D94">
        <v>21446735.120000001</v>
      </c>
      <c r="E94" t="s">
        <v>7</v>
      </c>
    </row>
    <row r="95" spans="1:5" x14ac:dyDescent="0.25">
      <c r="A95" t="s">
        <v>20</v>
      </c>
      <c r="B95">
        <v>2022</v>
      </c>
      <c r="C95" t="s">
        <v>6</v>
      </c>
      <c r="D95">
        <v>22974488.420000002</v>
      </c>
      <c r="E95" t="s">
        <v>7</v>
      </c>
    </row>
    <row r="96" spans="1:5" x14ac:dyDescent="0.25">
      <c r="A96" t="s">
        <v>20</v>
      </c>
      <c r="B96">
        <v>2023</v>
      </c>
      <c r="C96" t="s">
        <v>6</v>
      </c>
      <c r="D96">
        <v>15309248.550000001</v>
      </c>
      <c r="E96" t="s">
        <v>7</v>
      </c>
    </row>
    <row r="97" spans="1:5" x14ac:dyDescent="0.25">
      <c r="A97" t="s">
        <v>20</v>
      </c>
      <c r="B97">
        <v>2024</v>
      </c>
      <c r="C97" t="s">
        <v>6</v>
      </c>
      <c r="D97">
        <v>19930372.649999999</v>
      </c>
      <c r="E97" t="s">
        <v>7</v>
      </c>
    </row>
    <row r="98" spans="1:5" x14ac:dyDescent="0.25">
      <c r="A98" t="s">
        <v>20</v>
      </c>
      <c r="B98">
        <v>2025</v>
      </c>
      <c r="C98" t="s">
        <v>6</v>
      </c>
      <c r="D98">
        <v>9007840.4800000004</v>
      </c>
      <c r="E98" t="s">
        <v>7</v>
      </c>
    </row>
    <row r="99" spans="1:5" x14ac:dyDescent="0.25">
      <c r="A99" t="s">
        <v>21</v>
      </c>
      <c r="B99">
        <v>2000</v>
      </c>
      <c r="C99" t="s">
        <v>6</v>
      </c>
      <c r="D99">
        <v>62378667.708999999</v>
      </c>
      <c r="E99" t="s">
        <v>7</v>
      </c>
    </row>
    <row r="100" spans="1:5" x14ac:dyDescent="0.25">
      <c r="A100" t="s">
        <v>21</v>
      </c>
      <c r="B100">
        <v>2001</v>
      </c>
      <c r="C100" t="s">
        <v>6</v>
      </c>
      <c r="D100">
        <v>13591183.657</v>
      </c>
      <c r="E100" t="s">
        <v>7</v>
      </c>
    </row>
    <row r="101" spans="1:5" x14ac:dyDescent="0.25">
      <c r="A101" t="s">
        <v>21</v>
      </c>
      <c r="B101">
        <v>2002</v>
      </c>
      <c r="C101" t="s">
        <v>6</v>
      </c>
      <c r="D101">
        <v>15990521.412</v>
      </c>
      <c r="E101" t="s">
        <v>7</v>
      </c>
    </row>
    <row r="102" spans="1:5" x14ac:dyDescent="0.25">
      <c r="A102" t="s">
        <v>21</v>
      </c>
      <c r="B102">
        <v>2003</v>
      </c>
      <c r="C102" t="s">
        <v>6</v>
      </c>
      <c r="D102">
        <v>17353916.204</v>
      </c>
      <c r="E102" t="s">
        <v>7</v>
      </c>
    </row>
    <row r="103" spans="1:5" x14ac:dyDescent="0.25">
      <c r="A103" t="s">
        <v>21</v>
      </c>
      <c r="B103">
        <v>2004</v>
      </c>
      <c r="C103" t="s">
        <v>6</v>
      </c>
      <c r="D103">
        <v>16701865.676000001</v>
      </c>
      <c r="E103" t="s">
        <v>7</v>
      </c>
    </row>
    <row r="104" spans="1:5" x14ac:dyDescent="0.25">
      <c r="A104" t="s">
        <v>21</v>
      </c>
      <c r="B104">
        <v>2005</v>
      </c>
      <c r="C104" t="s">
        <v>6</v>
      </c>
      <c r="D104">
        <v>21042034.460000001</v>
      </c>
      <c r="E104" t="s">
        <v>7</v>
      </c>
    </row>
    <row r="105" spans="1:5" x14ac:dyDescent="0.25">
      <c r="A105" t="s">
        <v>21</v>
      </c>
      <c r="B105">
        <v>2006</v>
      </c>
      <c r="C105" t="s">
        <v>6</v>
      </c>
      <c r="D105">
        <v>16590807.484999999</v>
      </c>
      <c r="E105" t="s">
        <v>7</v>
      </c>
    </row>
    <row r="106" spans="1:5" x14ac:dyDescent="0.25">
      <c r="A106" t="s">
        <v>21</v>
      </c>
      <c r="B106">
        <v>2007</v>
      </c>
      <c r="C106" t="s">
        <v>6</v>
      </c>
      <c r="D106">
        <v>19970342.495000001</v>
      </c>
      <c r="E106" t="s">
        <v>7</v>
      </c>
    </row>
    <row r="107" spans="1:5" x14ac:dyDescent="0.25">
      <c r="A107" t="s">
        <v>21</v>
      </c>
      <c r="B107">
        <v>2008</v>
      </c>
      <c r="C107" t="s">
        <v>6</v>
      </c>
      <c r="D107">
        <v>12338295.266000001</v>
      </c>
      <c r="E107" t="s">
        <v>7</v>
      </c>
    </row>
    <row r="108" spans="1:5" x14ac:dyDescent="0.25">
      <c r="A108" t="s">
        <v>21</v>
      </c>
      <c r="B108">
        <v>2009</v>
      </c>
      <c r="C108" t="s">
        <v>6</v>
      </c>
      <c r="D108">
        <v>11157811.030999999</v>
      </c>
      <c r="E108" t="s">
        <v>7</v>
      </c>
    </row>
    <row r="109" spans="1:5" x14ac:dyDescent="0.25">
      <c r="A109" t="s">
        <v>21</v>
      </c>
      <c r="B109">
        <v>2010</v>
      </c>
      <c r="C109" t="s">
        <v>6</v>
      </c>
      <c r="D109">
        <v>3863700</v>
      </c>
      <c r="E109" t="s">
        <v>7</v>
      </c>
    </row>
    <row r="110" spans="1:5" x14ac:dyDescent="0.25">
      <c r="A110" t="s">
        <v>21</v>
      </c>
      <c r="B110">
        <v>2011</v>
      </c>
      <c r="C110" t="s">
        <v>6</v>
      </c>
      <c r="D110">
        <v>5446700</v>
      </c>
      <c r="E110" t="s">
        <v>7</v>
      </c>
    </row>
    <row r="111" spans="1:5" x14ac:dyDescent="0.25">
      <c r="A111" t="s">
        <v>21</v>
      </c>
      <c r="B111">
        <v>2012</v>
      </c>
      <c r="C111" t="s">
        <v>6</v>
      </c>
      <c r="D111">
        <v>3567400</v>
      </c>
      <c r="E111" t="s">
        <v>7</v>
      </c>
    </row>
    <row r="112" spans="1:5" x14ac:dyDescent="0.25">
      <c r="A112" t="s">
        <v>21</v>
      </c>
      <c r="B112">
        <v>2013</v>
      </c>
      <c r="C112" t="s">
        <v>6</v>
      </c>
      <c r="D112">
        <v>4423000</v>
      </c>
      <c r="E112" t="s">
        <v>7</v>
      </c>
    </row>
    <row r="113" spans="1:5" x14ac:dyDescent="0.25">
      <c r="A113" t="s">
        <v>21</v>
      </c>
      <c r="B113">
        <v>2014</v>
      </c>
      <c r="C113" t="s">
        <v>6</v>
      </c>
      <c r="D113">
        <v>3509513</v>
      </c>
      <c r="E113" t="s">
        <v>7</v>
      </c>
    </row>
    <row r="114" spans="1:5" x14ac:dyDescent="0.25">
      <c r="A114" t="s">
        <v>21</v>
      </c>
      <c r="B114">
        <v>2015</v>
      </c>
      <c r="C114" t="s">
        <v>6</v>
      </c>
      <c r="D114">
        <v>2171111</v>
      </c>
      <c r="E114" t="s">
        <v>7</v>
      </c>
    </row>
    <row r="115" spans="1:5" x14ac:dyDescent="0.25">
      <c r="A115" t="s">
        <v>21</v>
      </c>
      <c r="B115">
        <v>2016</v>
      </c>
      <c r="C115" t="s">
        <v>6</v>
      </c>
      <c r="D115">
        <v>2142963</v>
      </c>
      <c r="E115" t="s">
        <v>7</v>
      </c>
    </row>
    <row r="116" spans="1:5" x14ac:dyDescent="0.25">
      <c r="A116" t="s">
        <v>21</v>
      </c>
      <c r="B116">
        <v>2017</v>
      </c>
      <c r="C116" t="s">
        <v>6</v>
      </c>
      <c r="D116">
        <v>3524119.8339999998</v>
      </c>
      <c r="E116" t="s">
        <v>7</v>
      </c>
    </row>
    <row r="117" spans="1:5" x14ac:dyDescent="0.25">
      <c r="A117" t="s">
        <v>21</v>
      </c>
      <c r="B117">
        <v>2018</v>
      </c>
      <c r="C117" t="s">
        <v>6</v>
      </c>
      <c r="D117">
        <v>2949555.52</v>
      </c>
      <c r="E117" t="s">
        <v>7</v>
      </c>
    </row>
    <row r="118" spans="1:5" x14ac:dyDescent="0.25">
      <c r="A118" t="s">
        <v>21</v>
      </c>
      <c r="B118">
        <v>2019</v>
      </c>
      <c r="C118" t="s">
        <v>6</v>
      </c>
      <c r="D118">
        <v>3008191.7239999999</v>
      </c>
      <c r="E118" t="s">
        <v>7</v>
      </c>
    </row>
    <row r="119" spans="1:5" x14ac:dyDescent="0.25">
      <c r="A119" t="s">
        <v>21</v>
      </c>
      <c r="B119">
        <v>2020</v>
      </c>
      <c r="C119" t="s">
        <v>6</v>
      </c>
      <c r="D119">
        <v>3104335.446</v>
      </c>
      <c r="E119" t="s">
        <v>7</v>
      </c>
    </row>
    <row r="120" spans="1:5" x14ac:dyDescent="0.25">
      <c r="A120" t="s">
        <v>21</v>
      </c>
      <c r="B120">
        <v>2021</v>
      </c>
      <c r="C120" t="s">
        <v>6</v>
      </c>
      <c r="D120">
        <v>3825275.3319999999</v>
      </c>
      <c r="E120" t="s">
        <v>7</v>
      </c>
    </row>
    <row r="121" spans="1:5" x14ac:dyDescent="0.25">
      <c r="A121" t="s">
        <v>21</v>
      </c>
      <c r="B121">
        <v>2022</v>
      </c>
      <c r="C121" t="s">
        <v>6</v>
      </c>
      <c r="D121">
        <v>4337168.665</v>
      </c>
      <c r="E121" t="s">
        <v>7</v>
      </c>
    </row>
    <row r="122" spans="1:5" x14ac:dyDescent="0.25">
      <c r="A122" t="s">
        <v>21</v>
      </c>
      <c r="B122">
        <v>2023</v>
      </c>
      <c r="C122" t="s">
        <v>6</v>
      </c>
      <c r="D122">
        <v>4054488.5920000002</v>
      </c>
      <c r="E122" t="s">
        <v>7</v>
      </c>
    </row>
    <row r="123" spans="1:5" x14ac:dyDescent="0.25">
      <c r="A123" t="s">
        <v>21</v>
      </c>
      <c r="B123">
        <v>2024</v>
      </c>
      <c r="C123" t="s">
        <v>6</v>
      </c>
      <c r="D123">
        <v>3666182.7519999999</v>
      </c>
      <c r="E123" t="s">
        <v>7</v>
      </c>
    </row>
    <row r="124" spans="1:5" x14ac:dyDescent="0.25">
      <c r="A124" t="s">
        <v>22</v>
      </c>
      <c r="B124">
        <v>2008</v>
      </c>
      <c r="C124" t="s">
        <v>6</v>
      </c>
      <c r="D124">
        <v>25574371</v>
      </c>
      <c r="E124" t="s">
        <v>7</v>
      </c>
    </row>
    <row r="125" spans="1:5" x14ac:dyDescent="0.25">
      <c r="A125" t="s">
        <v>22</v>
      </c>
      <c r="B125">
        <v>2009</v>
      </c>
      <c r="C125" t="s">
        <v>6</v>
      </c>
      <c r="D125">
        <v>17558909.956999999</v>
      </c>
      <c r="E125" t="s">
        <v>7</v>
      </c>
    </row>
    <row r="126" spans="1:5" x14ac:dyDescent="0.25">
      <c r="A126" t="s">
        <v>22</v>
      </c>
      <c r="B126">
        <v>2010</v>
      </c>
      <c r="C126" t="s">
        <v>6</v>
      </c>
      <c r="D126">
        <v>14514393.637</v>
      </c>
      <c r="E126" t="s">
        <v>7</v>
      </c>
    </row>
    <row r="127" spans="1:5" x14ac:dyDescent="0.25">
      <c r="A127" t="s">
        <v>22</v>
      </c>
      <c r="B127">
        <v>2011</v>
      </c>
      <c r="C127" t="s">
        <v>6</v>
      </c>
      <c r="D127">
        <v>14665309</v>
      </c>
      <c r="E127" t="s">
        <v>7</v>
      </c>
    </row>
    <row r="128" spans="1:5" x14ac:dyDescent="0.25">
      <c r="A128" t="s">
        <v>22</v>
      </c>
      <c r="B128">
        <v>2012</v>
      </c>
      <c r="C128" t="s">
        <v>6</v>
      </c>
      <c r="D128">
        <v>13323622</v>
      </c>
      <c r="E128" t="s">
        <v>7</v>
      </c>
    </row>
    <row r="129" spans="1:5" x14ac:dyDescent="0.25">
      <c r="A129" t="s">
        <v>22</v>
      </c>
      <c r="B129">
        <v>2013</v>
      </c>
      <c r="C129" t="s">
        <v>6</v>
      </c>
      <c r="D129">
        <v>13867066.237</v>
      </c>
      <c r="E129" t="s">
        <v>7</v>
      </c>
    </row>
    <row r="130" spans="1:5" x14ac:dyDescent="0.25">
      <c r="A130" t="s">
        <v>22</v>
      </c>
      <c r="B130">
        <v>2014</v>
      </c>
      <c r="C130" t="s">
        <v>6</v>
      </c>
      <c r="D130">
        <v>12431389.078</v>
      </c>
      <c r="E130" t="s">
        <v>7</v>
      </c>
    </row>
    <row r="131" spans="1:5" x14ac:dyDescent="0.25">
      <c r="A131" t="s">
        <v>22</v>
      </c>
      <c r="B131">
        <v>2015</v>
      </c>
      <c r="C131" t="s">
        <v>6</v>
      </c>
      <c r="D131">
        <v>14411669.534</v>
      </c>
      <c r="E131" t="s">
        <v>7</v>
      </c>
    </row>
    <row r="132" spans="1:5" x14ac:dyDescent="0.25">
      <c r="A132" t="s">
        <v>22</v>
      </c>
      <c r="B132">
        <v>2016</v>
      </c>
      <c r="C132" t="s">
        <v>6</v>
      </c>
      <c r="D132">
        <v>14802359</v>
      </c>
      <c r="E132" t="s">
        <v>7</v>
      </c>
    </row>
    <row r="133" spans="1:5" x14ac:dyDescent="0.25">
      <c r="A133" t="s">
        <v>22</v>
      </c>
      <c r="B133">
        <v>2017</v>
      </c>
      <c r="C133" t="s">
        <v>6</v>
      </c>
      <c r="D133">
        <v>13614570.354</v>
      </c>
      <c r="E133" t="s">
        <v>7</v>
      </c>
    </row>
    <row r="134" spans="1:5" x14ac:dyDescent="0.25">
      <c r="A134" t="s">
        <v>22</v>
      </c>
      <c r="B134">
        <v>2018</v>
      </c>
      <c r="C134" t="s">
        <v>6</v>
      </c>
      <c r="D134">
        <v>15022082</v>
      </c>
      <c r="E134" t="s">
        <v>7</v>
      </c>
    </row>
    <row r="135" spans="1:5" x14ac:dyDescent="0.25">
      <c r="A135" t="s">
        <v>22</v>
      </c>
      <c r="B135">
        <v>2019</v>
      </c>
      <c r="C135" t="s">
        <v>6</v>
      </c>
      <c r="D135">
        <v>14585768</v>
      </c>
      <c r="E135" t="s">
        <v>7</v>
      </c>
    </row>
    <row r="136" spans="1:5" x14ac:dyDescent="0.25">
      <c r="A136" t="s">
        <v>22</v>
      </c>
      <c r="B136">
        <v>2020</v>
      </c>
      <c r="C136" t="s">
        <v>6</v>
      </c>
      <c r="D136">
        <v>13772966.705</v>
      </c>
      <c r="E136" t="s">
        <v>7</v>
      </c>
    </row>
    <row r="137" spans="1:5" x14ac:dyDescent="0.25">
      <c r="A137" t="s">
        <v>22</v>
      </c>
      <c r="B137">
        <v>2021</v>
      </c>
      <c r="C137" t="s">
        <v>6</v>
      </c>
      <c r="D137">
        <v>13488127</v>
      </c>
      <c r="E137" t="s">
        <v>7</v>
      </c>
    </row>
    <row r="138" spans="1:5" x14ac:dyDescent="0.25">
      <c r="A138" t="s">
        <v>22</v>
      </c>
      <c r="B138">
        <v>2022</v>
      </c>
      <c r="C138" t="s">
        <v>6</v>
      </c>
      <c r="D138">
        <v>14875089</v>
      </c>
      <c r="E138" t="s">
        <v>7</v>
      </c>
    </row>
    <row r="139" spans="1:5" x14ac:dyDescent="0.25">
      <c r="A139" t="s">
        <v>22</v>
      </c>
      <c r="B139">
        <v>2023</v>
      </c>
      <c r="C139" t="s">
        <v>6</v>
      </c>
      <c r="D139">
        <v>15175957</v>
      </c>
      <c r="E139" t="s">
        <v>7</v>
      </c>
    </row>
    <row r="140" spans="1:5" x14ac:dyDescent="0.25">
      <c r="A140" t="s">
        <v>22</v>
      </c>
      <c r="B140">
        <v>2024</v>
      </c>
      <c r="C140" t="s">
        <v>6</v>
      </c>
      <c r="D140">
        <v>15267653</v>
      </c>
      <c r="E140" t="s">
        <v>7</v>
      </c>
    </row>
    <row r="141" spans="1:5" x14ac:dyDescent="0.25">
      <c r="A141" t="s">
        <v>22</v>
      </c>
      <c r="B141">
        <v>2025</v>
      </c>
      <c r="C141" t="s">
        <v>6</v>
      </c>
      <c r="D141">
        <v>11387730</v>
      </c>
      <c r="E141" t="s">
        <v>7</v>
      </c>
    </row>
    <row r="142" spans="1:5" x14ac:dyDescent="0.25">
      <c r="A142" t="s">
        <v>23</v>
      </c>
      <c r="B142">
        <v>2010</v>
      </c>
      <c r="C142" t="s">
        <v>6</v>
      </c>
      <c r="D142">
        <v>26388409.199999999</v>
      </c>
      <c r="E142" t="s">
        <v>7</v>
      </c>
    </row>
    <row r="143" spans="1:5" x14ac:dyDescent="0.25">
      <c r="A143" t="s">
        <v>23</v>
      </c>
      <c r="B143">
        <v>2011</v>
      </c>
      <c r="C143" t="s">
        <v>6</v>
      </c>
      <c r="D143">
        <v>26847652.489999998</v>
      </c>
      <c r="E143" t="s">
        <v>7</v>
      </c>
    </row>
    <row r="144" spans="1:5" x14ac:dyDescent="0.25">
      <c r="A144" t="s">
        <v>23</v>
      </c>
      <c r="B144">
        <v>2012</v>
      </c>
      <c r="C144" t="s">
        <v>6</v>
      </c>
      <c r="D144">
        <v>27438684.780000001</v>
      </c>
      <c r="E144" t="s">
        <v>7</v>
      </c>
    </row>
    <row r="145" spans="1:5" x14ac:dyDescent="0.25">
      <c r="A145" t="s">
        <v>23</v>
      </c>
      <c r="B145">
        <v>2013</v>
      </c>
      <c r="C145" t="s">
        <v>6</v>
      </c>
      <c r="D145">
        <v>24290693.32</v>
      </c>
      <c r="E145" t="s">
        <v>7</v>
      </c>
    </row>
    <row r="146" spans="1:5" x14ac:dyDescent="0.25">
      <c r="A146" t="s">
        <v>23</v>
      </c>
      <c r="B146">
        <v>2014</v>
      </c>
      <c r="C146" t="s">
        <v>6</v>
      </c>
      <c r="D146">
        <v>22548227.190000001</v>
      </c>
      <c r="E146" t="s">
        <v>7</v>
      </c>
    </row>
    <row r="147" spans="1:5" x14ac:dyDescent="0.25">
      <c r="A147" t="s">
        <v>23</v>
      </c>
      <c r="B147">
        <v>2015</v>
      </c>
      <c r="C147" t="s">
        <v>6</v>
      </c>
      <c r="D147">
        <v>62779608.859999999</v>
      </c>
      <c r="E147" t="s">
        <v>7</v>
      </c>
    </row>
    <row r="148" spans="1:5" x14ac:dyDescent="0.25">
      <c r="A148" t="s">
        <v>23</v>
      </c>
      <c r="B148">
        <v>2016</v>
      </c>
      <c r="C148" t="s">
        <v>6</v>
      </c>
      <c r="D148">
        <v>33455557.739999998</v>
      </c>
      <c r="E148" t="s">
        <v>7</v>
      </c>
    </row>
    <row r="149" spans="1:5" x14ac:dyDescent="0.25">
      <c r="A149" t="s">
        <v>23</v>
      </c>
      <c r="B149">
        <v>2017</v>
      </c>
      <c r="C149" t="s">
        <v>6</v>
      </c>
      <c r="D149">
        <v>28262586.559999999</v>
      </c>
      <c r="E149" t="s">
        <v>7</v>
      </c>
    </row>
    <row r="150" spans="1:5" x14ac:dyDescent="0.25">
      <c r="A150" t="s">
        <v>23</v>
      </c>
      <c r="B150">
        <v>2018</v>
      </c>
      <c r="C150" t="s">
        <v>6</v>
      </c>
      <c r="D150">
        <v>28662281.469999999</v>
      </c>
      <c r="E150" t="s">
        <v>7</v>
      </c>
    </row>
    <row r="151" spans="1:5" x14ac:dyDescent="0.25">
      <c r="A151" t="s">
        <v>23</v>
      </c>
      <c r="B151">
        <v>2019</v>
      </c>
      <c r="C151" t="s">
        <v>6</v>
      </c>
      <c r="D151">
        <v>29731253.16</v>
      </c>
      <c r="E151" t="s">
        <v>7</v>
      </c>
    </row>
    <row r="152" spans="1:5" x14ac:dyDescent="0.25">
      <c r="A152" t="s">
        <v>23</v>
      </c>
      <c r="B152">
        <v>2020</v>
      </c>
      <c r="C152" t="s">
        <v>6</v>
      </c>
      <c r="D152">
        <v>26654674.940000001</v>
      </c>
      <c r="E152" t="s">
        <v>7</v>
      </c>
    </row>
    <row r="153" spans="1:5" x14ac:dyDescent="0.25">
      <c r="A153" t="s">
        <v>23</v>
      </c>
      <c r="B153">
        <v>2021</v>
      </c>
      <c r="C153" t="s">
        <v>6</v>
      </c>
      <c r="D153">
        <v>31099863.618000001</v>
      </c>
      <c r="E153" t="s">
        <v>7</v>
      </c>
    </row>
    <row r="154" spans="1:5" x14ac:dyDescent="0.25">
      <c r="A154" t="s">
        <v>23</v>
      </c>
      <c r="B154">
        <v>2022</v>
      </c>
      <c r="C154" t="s">
        <v>6</v>
      </c>
      <c r="D154">
        <v>26566642.75</v>
      </c>
      <c r="E154" t="s">
        <v>7</v>
      </c>
    </row>
    <row r="155" spans="1:5" x14ac:dyDescent="0.25">
      <c r="A155" t="s">
        <v>23</v>
      </c>
      <c r="B155">
        <v>2023</v>
      </c>
      <c r="C155" t="s">
        <v>6</v>
      </c>
      <c r="D155">
        <v>26035836.199999999</v>
      </c>
      <c r="E155" t="s">
        <v>7</v>
      </c>
    </row>
    <row r="156" spans="1:5" x14ac:dyDescent="0.25">
      <c r="A156" t="s">
        <v>24</v>
      </c>
      <c r="B156">
        <v>2025</v>
      </c>
      <c r="C156" t="s">
        <v>6</v>
      </c>
      <c r="D156">
        <v>783283</v>
      </c>
      <c r="E156" t="s">
        <v>7</v>
      </c>
    </row>
    <row r="157" spans="1:5" x14ac:dyDescent="0.25">
      <c r="A157" t="s">
        <v>25</v>
      </c>
      <c r="B157">
        <v>2010</v>
      </c>
      <c r="C157" t="s">
        <v>6</v>
      </c>
      <c r="D157">
        <v>23674709</v>
      </c>
      <c r="E157" t="s">
        <v>7</v>
      </c>
    </row>
    <row r="158" spans="1:5" x14ac:dyDescent="0.25">
      <c r="A158" t="s">
        <v>25</v>
      </c>
      <c r="B158">
        <v>2011</v>
      </c>
      <c r="C158" t="s">
        <v>6</v>
      </c>
      <c r="D158">
        <v>17413467</v>
      </c>
      <c r="E158" t="s">
        <v>7</v>
      </c>
    </row>
    <row r="159" spans="1:5" x14ac:dyDescent="0.25">
      <c r="A159" t="s">
        <v>25</v>
      </c>
      <c r="B159">
        <v>2012</v>
      </c>
      <c r="C159" t="s">
        <v>6</v>
      </c>
      <c r="D159">
        <v>5336480</v>
      </c>
      <c r="E159" t="s">
        <v>7</v>
      </c>
    </row>
    <row r="160" spans="1:5" x14ac:dyDescent="0.25">
      <c r="A160" t="s">
        <v>25</v>
      </c>
      <c r="B160">
        <v>2017</v>
      </c>
      <c r="C160" t="s">
        <v>6</v>
      </c>
      <c r="D160">
        <v>5399499</v>
      </c>
      <c r="E160" t="s">
        <v>7</v>
      </c>
    </row>
    <row r="161" spans="1:5" x14ac:dyDescent="0.25">
      <c r="A161" t="s">
        <v>25</v>
      </c>
      <c r="B161">
        <v>2019</v>
      </c>
      <c r="C161" t="s">
        <v>6</v>
      </c>
      <c r="D161">
        <v>6660976</v>
      </c>
      <c r="E161" t="s">
        <v>7</v>
      </c>
    </row>
    <row r="162" spans="1:5" x14ac:dyDescent="0.25">
      <c r="A162" t="s">
        <v>25</v>
      </c>
      <c r="B162">
        <v>2020</v>
      </c>
      <c r="C162" t="s">
        <v>6</v>
      </c>
      <c r="D162">
        <v>7540844</v>
      </c>
      <c r="E162" t="s">
        <v>7</v>
      </c>
    </row>
    <row r="163" spans="1:5" x14ac:dyDescent="0.25">
      <c r="A163" t="s">
        <v>25</v>
      </c>
      <c r="B163">
        <v>2021</v>
      </c>
      <c r="C163" t="s">
        <v>6</v>
      </c>
      <c r="D163">
        <v>8218111</v>
      </c>
      <c r="E163" t="s">
        <v>7</v>
      </c>
    </row>
    <row r="164" spans="1:5" x14ac:dyDescent="0.25">
      <c r="A164" t="s">
        <v>25</v>
      </c>
      <c r="B164">
        <v>2022</v>
      </c>
      <c r="C164" t="s">
        <v>6</v>
      </c>
      <c r="D164">
        <v>10427664</v>
      </c>
      <c r="E164" t="s">
        <v>7</v>
      </c>
    </row>
    <row r="165" spans="1:5" x14ac:dyDescent="0.25">
      <c r="A165" t="s">
        <v>25</v>
      </c>
      <c r="B165">
        <v>2023</v>
      </c>
      <c r="C165" t="s">
        <v>6</v>
      </c>
      <c r="D165">
        <v>6150100</v>
      </c>
      <c r="E165" t="s">
        <v>7</v>
      </c>
    </row>
    <row r="166" spans="1:5" x14ac:dyDescent="0.25">
      <c r="A166" t="s">
        <v>25</v>
      </c>
      <c r="B166">
        <v>2024</v>
      </c>
      <c r="C166" t="s">
        <v>6</v>
      </c>
      <c r="D166">
        <v>8445039</v>
      </c>
      <c r="E166" t="s">
        <v>7</v>
      </c>
    </row>
    <row r="167" spans="1:5" x14ac:dyDescent="0.25">
      <c r="A167" t="s">
        <v>25</v>
      </c>
      <c r="B167">
        <v>2025</v>
      </c>
      <c r="C167" t="s">
        <v>6</v>
      </c>
      <c r="D167">
        <v>6689526</v>
      </c>
      <c r="E167" t="s">
        <v>7</v>
      </c>
    </row>
    <row r="168" spans="1:5" x14ac:dyDescent="0.25">
      <c r="A168" t="s">
        <v>26</v>
      </c>
      <c r="B168">
        <v>2025</v>
      </c>
      <c r="C168" t="s">
        <v>6</v>
      </c>
      <c r="D168">
        <v>2058314.818</v>
      </c>
      <c r="E168" t="s">
        <v>7</v>
      </c>
    </row>
    <row r="169" spans="1:5" x14ac:dyDescent="0.25">
      <c r="A169" t="s">
        <v>27</v>
      </c>
      <c r="B169">
        <v>2025</v>
      </c>
      <c r="C169" t="s">
        <v>6</v>
      </c>
      <c r="D169">
        <v>733043.304</v>
      </c>
      <c r="E169" t="s">
        <v>7</v>
      </c>
    </row>
    <row r="170" spans="1:5" x14ac:dyDescent="0.25">
      <c r="A170" t="s">
        <v>28</v>
      </c>
      <c r="B170">
        <v>2012</v>
      </c>
      <c r="C170" t="s">
        <v>6</v>
      </c>
      <c r="D170">
        <v>5647670</v>
      </c>
      <c r="E170" t="s">
        <v>7</v>
      </c>
    </row>
    <row r="171" spans="1:5" x14ac:dyDescent="0.25">
      <c r="A171" t="s">
        <v>28</v>
      </c>
      <c r="B171">
        <v>2013</v>
      </c>
      <c r="C171" t="s">
        <v>6</v>
      </c>
      <c r="D171">
        <v>387685251</v>
      </c>
      <c r="E171" t="s">
        <v>7</v>
      </c>
    </row>
    <row r="172" spans="1:5" x14ac:dyDescent="0.25">
      <c r="A172" t="s">
        <v>28</v>
      </c>
      <c r="B172">
        <v>2014</v>
      </c>
      <c r="C172" t="s">
        <v>6</v>
      </c>
      <c r="D172">
        <v>59556525</v>
      </c>
      <c r="E172" t="s">
        <v>7</v>
      </c>
    </row>
    <row r="173" spans="1:5" x14ac:dyDescent="0.25">
      <c r="A173" t="s">
        <v>28</v>
      </c>
      <c r="B173">
        <v>2015</v>
      </c>
      <c r="C173" t="s">
        <v>6</v>
      </c>
      <c r="D173">
        <v>65410255.870999999</v>
      </c>
      <c r="E173" t="s">
        <v>7</v>
      </c>
    </row>
    <row r="174" spans="1:5" x14ac:dyDescent="0.25">
      <c r="A174" t="s">
        <v>28</v>
      </c>
      <c r="B174">
        <v>2016</v>
      </c>
      <c r="C174" t="s">
        <v>6</v>
      </c>
      <c r="D174">
        <v>60188933.156000003</v>
      </c>
      <c r="E174" t="s">
        <v>7</v>
      </c>
    </row>
    <row r="175" spans="1:5" x14ac:dyDescent="0.25">
      <c r="A175" t="s">
        <v>28</v>
      </c>
      <c r="B175">
        <v>2017</v>
      </c>
      <c r="C175" t="s">
        <v>6</v>
      </c>
      <c r="D175">
        <v>76844566.599999994</v>
      </c>
      <c r="E175" t="s">
        <v>7</v>
      </c>
    </row>
    <row r="176" spans="1:5" x14ac:dyDescent="0.25">
      <c r="A176" t="s">
        <v>28</v>
      </c>
      <c r="B176">
        <v>2018</v>
      </c>
      <c r="C176" t="s">
        <v>6</v>
      </c>
      <c r="D176">
        <v>82233628.900000006</v>
      </c>
      <c r="E176" t="s">
        <v>7</v>
      </c>
    </row>
    <row r="177" spans="1:5" x14ac:dyDescent="0.25">
      <c r="A177" t="s">
        <v>28</v>
      </c>
      <c r="B177">
        <v>2019</v>
      </c>
      <c r="C177" t="s">
        <v>6</v>
      </c>
      <c r="D177">
        <v>95571839.310000002</v>
      </c>
      <c r="E177" t="s">
        <v>7</v>
      </c>
    </row>
    <row r="178" spans="1:5" x14ac:dyDescent="0.25">
      <c r="A178" t="s">
        <v>28</v>
      </c>
      <c r="B178">
        <v>2020</v>
      </c>
      <c r="C178" t="s">
        <v>6</v>
      </c>
      <c r="D178">
        <v>81979358.708000004</v>
      </c>
      <c r="E178" t="s">
        <v>7</v>
      </c>
    </row>
    <row r="179" spans="1:5" x14ac:dyDescent="0.25">
      <c r="A179" t="s">
        <v>28</v>
      </c>
      <c r="B179">
        <v>2021</v>
      </c>
      <c r="C179" t="s">
        <v>6</v>
      </c>
      <c r="D179">
        <v>65198697.553999998</v>
      </c>
      <c r="E179" t="s">
        <v>7</v>
      </c>
    </row>
    <row r="180" spans="1:5" x14ac:dyDescent="0.25">
      <c r="A180" t="s">
        <v>28</v>
      </c>
      <c r="B180">
        <v>2022</v>
      </c>
      <c r="C180" t="s">
        <v>6</v>
      </c>
      <c r="D180">
        <v>72021136.049999997</v>
      </c>
      <c r="E180" t="s">
        <v>7</v>
      </c>
    </row>
    <row r="181" spans="1:5" x14ac:dyDescent="0.25">
      <c r="A181" t="s">
        <v>28</v>
      </c>
      <c r="B181">
        <v>2023</v>
      </c>
      <c r="C181" t="s">
        <v>6</v>
      </c>
      <c r="D181">
        <v>69623204.560000002</v>
      </c>
      <c r="E181" t="s">
        <v>7</v>
      </c>
    </row>
    <row r="182" spans="1:5" x14ac:dyDescent="0.25">
      <c r="A182" t="s">
        <v>28</v>
      </c>
      <c r="B182">
        <v>2024</v>
      </c>
      <c r="C182" t="s">
        <v>6</v>
      </c>
      <c r="D182">
        <v>77653092.969999999</v>
      </c>
      <c r="E182" t="s">
        <v>7</v>
      </c>
    </row>
    <row r="183" spans="1:5" x14ac:dyDescent="0.25">
      <c r="A183" t="s">
        <v>29</v>
      </c>
      <c r="B183">
        <v>2000</v>
      </c>
      <c r="C183" t="s">
        <v>6</v>
      </c>
      <c r="D183">
        <v>13055306</v>
      </c>
      <c r="E183" t="s">
        <v>7</v>
      </c>
    </row>
    <row r="184" spans="1:5" x14ac:dyDescent="0.25">
      <c r="A184" t="s">
        <v>29</v>
      </c>
      <c r="B184">
        <v>2001</v>
      </c>
      <c r="C184" t="s">
        <v>6</v>
      </c>
      <c r="D184">
        <v>14141414</v>
      </c>
      <c r="E184" t="s">
        <v>7</v>
      </c>
    </row>
    <row r="185" spans="1:5" x14ac:dyDescent="0.25">
      <c r="A185" t="s">
        <v>29</v>
      </c>
      <c r="B185">
        <v>2002</v>
      </c>
      <c r="C185" t="s">
        <v>6</v>
      </c>
      <c r="D185">
        <v>19248120</v>
      </c>
      <c r="E185" t="s">
        <v>7</v>
      </c>
    </row>
    <row r="186" spans="1:5" x14ac:dyDescent="0.25">
      <c r="A186" t="s">
        <v>29</v>
      </c>
      <c r="B186">
        <v>2003</v>
      </c>
      <c r="C186" t="s">
        <v>6</v>
      </c>
      <c r="D186">
        <v>15607298</v>
      </c>
      <c r="E186" t="s">
        <v>7</v>
      </c>
    </row>
    <row r="187" spans="1:5" x14ac:dyDescent="0.25">
      <c r="A187" t="s">
        <v>29</v>
      </c>
      <c r="B187">
        <v>2004</v>
      </c>
      <c r="C187" t="s">
        <v>6</v>
      </c>
      <c r="D187">
        <v>17549060</v>
      </c>
      <c r="E187" t="s">
        <v>7</v>
      </c>
    </row>
    <row r="188" spans="1:5" x14ac:dyDescent="0.25">
      <c r="A188" t="s">
        <v>29</v>
      </c>
      <c r="B188">
        <v>2005</v>
      </c>
      <c r="C188" t="s">
        <v>6</v>
      </c>
      <c r="D188">
        <v>18263277</v>
      </c>
      <c r="E188" t="s">
        <v>7</v>
      </c>
    </row>
    <row r="189" spans="1:5" x14ac:dyDescent="0.25">
      <c r="A189" t="s">
        <v>29</v>
      </c>
      <c r="B189">
        <v>2006</v>
      </c>
      <c r="C189" t="s">
        <v>6</v>
      </c>
      <c r="D189">
        <v>17373423</v>
      </c>
      <c r="E189" t="s">
        <v>7</v>
      </c>
    </row>
    <row r="190" spans="1:5" x14ac:dyDescent="0.25">
      <c r="A190" t="s">
        <v>29</v>
      </c>
      <c r="B190">
        <v>2007</v>
      </c>
      <c r="C190" t="s">
        <v>6</v>
      </c>
      <c r="D190">
        <v>18273653</v>
      </c>
      <c r="E190" t="s">
        <v>7</v>
      </c>
    </row>
    <row r="191" spans="1:5" x14ac:dyDescent="0.25">
      <c r="A191" t="s">
        <v>29</v>
      </c>
      <c r="B191">
        <v>2008</v>
      </c>
      <c r="C191" t="s">
        <v>6</v>
      </c>
      <c r="D191">
        <v>17093131</v>
      </c>
      <c r="E191" t="s">
        <v>7</v>
      </c>
    </row>
    <row r="192" spans="1:5" x14ac:dyDescent="0.25">
      <c r="A192" t="s">
        <v>29</v>
      </c>
      <c r="B192">
        <v>2009</v>
      </c>
      <c r="C192" t="s">
        <v>6</v>
      </c>
      <c r="D192">
        <v>16761393</v>
      </c>
      <c r="E192" t="s">
        <v>7</v>
      </c>
    </row>
    <row r="193" spans="1:5" x14ac:dyDescent="0.25">
      <c r="A193" t="s">
        <v>29</v>
      </c>
      <c r="B193">
        <v>2010</v>
      </c>
      <c r="C193" t="s">
        <v>6</v>
      </c>
      <c r="D193">
        <v>12260800</v>
      </c>
      <c r="E193" t="s">
        <v>7</v>
      </c>
    </row>
    <row r="194" spans="1:5" x14ac:dyDescent="0.25">
      <c r="A194" t="s">
        <v>29</v>
      </c>
      <c r="B194">
        <v>2011</v>
      </c>
      <c r="C194" t="s">
        <v>6</v>
      </c>
      <c r="D194">
        <v>12881900</v>
      </c>
      <c r="E194" t="s">
        <v>7</v>
      </c>
    </row>
    <row r="195" spans="1:5" x14ac:dyDescent="0.25">
      <c r="A195" t="s">
        <v>29</v>
      </c>
      <c r="B195">
        <v>2012</v>
      </c>
      <c r="C195" t="s">
        <v>6</v>
      </c>
      <c r="D195">
        <v>13786400</v>
      </c>
      <c r="E195" t="s">
        <v>7</v>
      </c>
    </row>
    <row r="196" spans="1:5" x14ac:dyDescent="0.25">
      <c r="A196" t="s">
        <v>29</v>
      </c>
      <c r="B196">
        <v>2013</v>
      </c>
      <c r="C196" t="s">
        <v>6</v>
      </c>
      <c r="D196">
        <v>13310000</v>
      </c>
      <c r="E196" t="s">
        <v>7</v>
      </c>
    </row>
    <row r="197" spans="1:5" x14ac:dyDescent="0.25">
      <c r="A197" t="s">
        <v>29</v>
      </c>
      <c r="B197">
        <v>2014</v>
      </c>
      <c r="C197" t="s">
        <v>6</v>
      </c>
      <c r="D197">
        <v>21712988</v>
      </c>
      <c r="E197" t="s">
        <v>7</v>
      </c>
    </row>
    <row r="198" spans="1:5" x14ac:dyDescent="0.25">
      <c r="A198" t="s">
        <v>29</v>
      </c>
      <c r="B198">
        <v>2015</v>
      </c>
      <c r="C198" t="s">
        <v>6</v>
      </c>
      <c r="D198">
        <v>23634037</v>
      </c>
      <c r="E198" t="s">
        <v>7</v>
      </c>
    </row>
    <row r="199" spans="1:5" x14ac:dyDescent="0.25">
      <c r="A199" t="s">
        <v>29</v>
      </c>
      <c r="B199">
        <v>2016</v>
      </c>
      <c r="C199" t="s">
        <v>6</v>
      </c>
      <c r="D199">
        <v>24055672</v>
      </c>
      <c r="E199" t="s">
        <v>7</v>
      </c>
    </row>
    <row r="200" spans="1:5" x14ac:dyDescent="0.25">
      <c r="A200" t="s">
        <v>29</v>
      </c>
      <c r="B200">
        <v>2017</v>
      </c>
      <c r="C200" t="s">
        <v>6</v>
      </c>
      <c r="D200">
        <v>23363853</v>
      </c>
      <c r="E200" t="s">
        <v>7</v>
      </c>
    </row>
    <row r="201" spans="1:5" x14ac:dyDescent="0.25">
      <c r="A201" t="s">
        <v>29</v>
      </c>
      <c r="B201">
        <v>2018</v>
      </c>
      <c r="C201" t="s">
        <v>6</v>
      </c>
      <c r="D201">
        <v>24753289</v>
      </c>
      <c r="E201" t="s">
        <v>7</v>
      </c>
    </row>
    <row r="202" spans="1:5" x14ac:dyDescent="0.25">
      <c r="A202" t="s">
        <v>29</v>
      </c>
      <c r="B202">
        <v>2019</v>
      </c>
      <c r="C202" t="s">
        <v>6</v>
      </c>
      <c r="D202">
        <v>26029508</v>
      </c>
      <c r="E202" t="s">
        <v>7</v>
      </c>
    </row>
    <row r="203" spans="1:5" x14ac:dyDescent="0.25">
      <c r="A203" t="s">
        <v>29</v>
      </c>
      <c r="B203">
        <v>2020</v>
      </c>
      <c r="C203" t="s">
        <v>6</v>
      </c>
      <c r="D203">
        <v>32608968</v>
      </c>
      <c r="E203" t="s">
        <v>7</v>
      </c>
    </row>
    <row r="204" spans="1:5" x14ac:dyDescent="0.25">
      <c r="A204" t="s">
        <v>29</v>
      </c>
      <c r="B204">
        <v>2021</v>
      </c>
      <c r="C204" t="s">
        <v>6</v>
      </c>
      <c r="D204">
        <v>33185689</v>
      </c>
      <c r="E204" t="s">
        <v>7</v>
      </c>
    </row>
    <row r="205" spans="1:5" x14ac:dyDescent="0.25">
      <c r="A205" t="s">
        <v>29</v>
      </c>
      <c r="B205">
        <v>2022</v>
      </c>
      <c r="C205" t="s">
        <v>6</v>
      </c>
      <c r="D205">
        <v>34016054</v>
      </c>
      <c r="E205" t="s">
        <v>7</v>
      </c>
    </row>
    <row r="206" spans="1:5" x14ac:dyDescent="0.25">
      <c r="A206" t="s">
        <v>29</v>
      </c>
      <c r="B206">
        <v>2023</v>
      </c>
      <c r="C206" t="s">
        <v>6</v>
      </c>
      <c r="D206">
        <v>30963976</v>
      </c>
      <c r="E206" t="s">
        <v>7</v>
      </c>
    </row>
    <row r="207" spans="1:5" x14ac:dyDescent="0.25">
      <c r="A207" t="s">
        <v>29</v>
      </c>
      <c r="B207">
        <v>2024</v>
      </c>
      <c r="C207" t="s">
        <v>6</v>
      </c>
      <c r="D207">
        <v>32525067</v>
      </c>
      <c r="E207" t="s">
        <v>7</v>
      </c>
    </row>
    <row r="208" spans="1:5" x14ac:dyDescent="0.25">
      <c r="A208" t="s">
        <v>29</v>
      </c>
      <c r="B208">
        <v>2025</v>
      </c>
      <c r="C208" t="s">
        <v>6</v>
      </c>
      <c r="D208">
        <v>29787170</v>
      </c>
      <c r="E208" t="s">
        <v>7</v>
      </c>
    </row>
    <row r="209" spans="1:5" x14ac:dyDescent="0.25">
      <c r="A209" t="s">
        <v>30</v>
      </c>
      <c r="B209">
        <v>2017</v>
      </c>
      <c r="C209" t="s">
        <v>6</v>
      </c>
      <c r="D209">
        <v>1609918.4</v>
      </c>
      <c r="E209" t="s">
        <v>7</v>
      </c>
    </row>
    <row r="210" spans="1:5" x14ac:dyDescent="0.25">
      <c r="A210" t="s">
        <v>31</v>
      </c>
      <c r="B210">
        <v>2025</v>
      </c>
      <c r="C210" t="s">
        <v>6</v>
      </c>
      <c r="D210">
        <v>862631.46799999999</v>
      </c>
      <c r="E210" t="s">
        <v>7</v>
      </c>
    </row>
    <row r="211" spans="1:5" x14ac:dyDescent="0.25">
      <c r="A211" t="s">
        <v>32</v>
      </c>
      <c r="B211">
        <v>2013</v>
      </c>
      <c r="C211" t="s">
        <v>6</v>
      </c>
      <c r="D211">
        <v>3094862</v>
      </c>
      <c r="E211" t="s">
        <v>7</v>
      </c>
    </row>
    <row r="212" spans="1:5" x14ac:dyDescent="0.25">
      <c r="A212" t="s">
        <v>33</v>
      </c>
      <c r="B212">
        <v>2000</v>
      </c>
      <c r="C212" t="s">
        <v>6</v>
      </c>
      <c r="D212">
        <v>9958045</v>
      </c>
      <c r="E212" t="s">
        <v>7</v>
      </c>
    </row>
    <row r="213" spans="1:5" x14ac:dyDescent="0.25">
      <c r="A213" t="s">
        <v>33</v>
      </c>
      <c r="B213">
        <v>2001</v>
      </c>
      <c r="C213" t="s">
        <v>6</v>
      </c>
      <c r="D213">
        <v>27664970</v>
      </c>
      <c r="E213" t="s">
        <v>7</v>
      </c>
    </row>
    <row r="214" spans="1:5" x14ac:dyDescent="0.25">
      <c r="A214" t="s">
        <v>33</v>
      </c>
      <c r="B214">
        <v>2002</v>
      </c>
      <c r="C214" t="s">
        <v>6</v>
      </c>
      <c r="D214">
        <v>12506999</v>
      </c>
      <c r="E214" t="s">
        <v>7</v>
      </c>
    </row>
    <row r="215" spans="1:5" x14ac:dyDescent="0.25">
      <c r="A215" t="s">
        <v>33</v>
      </c>
      <c r="B215">
        <v>2003</v>
      </c>
      <c r="C215" t="s">
        <v>6</v>
      </c>
      <c r="D215">
        <v>20172768</v>
      </c>
      <c r="E215" t="s">
        <v>7</v>
      </c>
    </row>
    <row r="216" spans="1:5" x14ac:dyDescent="0.25">
      <c r="A216" t="s">
        <v>33</v>
      </c>
      <c r="B216">
        <v>2004</v>
      </c>
      <c r="C216" t="s">
        <v>6</v>
      </c>
      <c r="D216">
        <v>18468562</v>
      </c>
      <c r="E216" t="s">
        <v>7</v>
      </c>
    </row>
    <row r="217" spans="1:5" x14ac:dyDescent="0.25">
      <c r="A217" t="s">
        <v>33</v>
      </c>
      <c r="B217">
        <v>2005</v>
      </c>
      <c r="C217" t="s">
        <v>6</v>
      </c>
      <c r="D217">
        <v>9094476</v>
      </c>
      <c r="E217" t="s">
        <v>7</v>
      </c>
    </row>
    <row r="218" spans="1:5" x14ac:dyDescent="0.25">
      <c r="A218" t="s">
        <v>33</v>
      </c>
      <c r="B218">
        <v>2006</v>
      </c>
      <c r="C218" t="s">
        <v>6</v>
      </c>
      <c r="D218">
        <v>17238105</v>
      </c>
      <c r="E218" t="s">
        <v>7</v>
      </c>
    </row>
    <row r="219" spans="1:5" x14ac:dyDescent="0.25">
      <c r="A219" t="s">
        <v>33</v>
      </c>
      <c r="B219">
        <v>2007</v>
      </c>
      <c r="C219" t="s">
        <v>6</v>
      </c>
      <c r="D219">
        <v>12422033.1</v>
      </c>
      <c r="E219" t="s">
        <v>7</v>
      </c>
    </row>
    <row r="220" spans="1:5" x14ac:dyDescent="0.25">
      <c r="A220" t="s">
        <v>33</v>
      </c>
      <c r="B220">
        <v>2008</v>
      </c>
      <c r="C220" t="s">
        <v>6</v>
      </c>
      <c r="D220">
        <v>7545025.2999999998</v>
      </c>
      <c r="E220" t="s">
        <v>7</v>
      </c>
    </row>
    <row r="221" spans="1:5" x14ac:dyDescent="0.25">
      <c r="A221" t="s">
        <v>33</v>
      </c>
      <c r="B221">
        <v>2009</v>
      </c>
      <c r="C221" t="s">
        <v>6</v>
      </c>
      <c r="D221">
        <v>6100236.71</v>
      </c>
      <c r="E221" t="s">
        <v>7</v>
      </c>
    </row>
    <row r="222" spans="1:5" x14ac:dyDescent="0.25">
      <c r="A222" t="s">
        <v>33</v>
      </c>
      <c r="B222">
        <v>2010</v>
      </c>
      <c r="C222" t="s">
        <v>6</v>
      </c>
      <c r="D222">
        <v>10518179.119999999</v>
      </c>
      <c r="E222" t="s">
        <v>7</v>
      </c>
    </row>
    <row r="223" spans="1:5" x14ac:dyDescent="0.25">
      <c r="A223" t="s">
        <v>33</v>
      </c>
      <c r="B223">
        <v>2011</v>
      </c>
      <c r="C223" t="s">
        <v>6</v>
      </c>
      <c r="D223">
        <v>11236199.5</v>
      </c>
      <c r="E223" t="s">
        <v>7</v>
      </c>
    </row>
    <row r="224" spans="1:5" x14ac:dyDescent="0.25">
      <c r="A224" t="s">
        <v>33</v>
      </c>
      <c r="B224">
        <v>2012</v>
      </c>
      <c r="C224" t="s">
        <v>6</v>
      </c>
      <c r="D224">
        <v>7473371.7000000002</v>
      </c>
      <c r="E224" t="s">
        <v>7</v>
      </c>
    </row>
    <row r="225" spans="1:5" x14ac:dyDescent="0.25">
      <c r="A225" t="s">
        <v>33</v>
      </c>
      <c r="B225">
        <v>2013</v>
      </c>
      <c r="C225" t="s">
        <v>6</v>
      </c>
      <c r="D225">
        <v>7498296.0999999996</v>
      </c>
      <c r="E225" t="s">
        <v>7</v>
      </c>
    </row>
    <row r="226" spans="1:5" x14ac:dyDescent="0.25">
      <c r="A226" t="s">
        <v>33</v>
      </c>
      <c r="B226">
        <v>2014</v>
      </c>
      <c r="C226" t="s">
        <v>6</v>
      </c>
      <c r="D226">
        <v>9885799.1999999993</v>
      </c>
      <c r="E226" t="s">
        <v>7</v>
      </c>
    </row>
    <row r="227" spans="1:5" x14ac:dyDescent="0.25">
      <c r="A227" t="s">
        <v>33</v>
      </c>
      <c r="B227">
        <v>2015</v>
      </c>
      <c r="C227" t="s">
        <v>6</v>
      </c>
      <c r="D227">
        <v>9456165.6500000004</v>
      </c>
      <c r="E227" t="s">
        <v>7</v>
      </c>
    </row>
    <row r="228" spans="1:5" x14ac:dyDescent="0.25">
      <c r="A228" t="s">
        <v>33</v>
      </c>
      <c r="B228">
        <v>2016</v>
      </c>
      <c r="C228" t="s">
        <v>6</v>
      </c>
      <c r="D228">
        <v>7501388.2000000002</v>
      </c>
      <c r="E228" t="s">
        <v>7</v>
      </c>
    </row>
    <row r="229" spans="1:5" x14ac:dyDescent="0.25">
      <c r="A229" t="s">
        <v>33</v>
      </c>
      <c r="B229">
        <v>2017</v>
      </c>
      <c r="C229" t="s">
        <v>6</v>
      </c>
      <c r="D229">
        <v>8391278.5999999996</v>
      </c>
      <c r="E229" t="s">
        <v>7</v>
      </c>
    </row>
    <row r="230" spans="1:5" x14ac:dyDescent="0.25">
      <c r="A230" t="s">
        <v>33</v>
      </c>
      <c r="B230">
        <v>2018</v>
      </c>
      <c r="C230" t="s">
        <v>6</v>
      </c>
      <c r="D230">
        <v>7075413.7999999998</v>
      </c>
      <c r="E230" t="s">
        <v>7</v>
      </c>
    </row>
    <row r="231" spans="1:5" x14ac:dyDescent="0.25">
      <c r="A231" t="s">
        <v>33</v>
      </c>
      <c r="B231">
        <v>2019</v>
      </c>
      <c r="C231" t="s">
        <v>6</v>
      </c>
      <c r="D231">
        <v>7585135.8399999999</v>
      </c>
      <c r="E231" t="s">
        <v>7</v>
      </c>
    </row>
    <row r="232" spans="1:5" x14ac:dyDescent="0.25">
      <c r="A232" t="s">
        <v>33</v>
      </c>
      <c r="B232">
        <v>2020</v>
      </c>
      <c r="C232" t="s">
        <v>6</v>
      </c>
      <c r="D232">
        <v>6385807.2999999998</v>
      </c>
      <c r="E232" t="s">
        <v>7</v>
      </c>
    </row>
    <row r="233" spans="1:5" x14ac:dyDescent="0.25">
      <c r="A233" t="s">
        <v>33</v>
      </c>
      <c r="B233">
        <v>2021</v>
      </c>
      <c r="C233" t="s">
        <v>6</v>
      </c>
      <c r="D233">
        <v>7466377.1799999997</v>
      </c>
      <c r="E233" t="s">
        <v>7</v>
      </c>
    </row>
    <row r="234" spans="1:5" x14ac:dyDescent="0.25">
      <c r="A234" t="s">
        <v>33</v>
      </c>
      <c r="B234">
        <v>2022</v>
      </c>
      <c r="C234" t="s">
        <v>6</v>
      </c>
      <c r="D234">
        <v>9916095.8599999994</v>
      </c>
      <c r="E234" t="s">
        <v>7</v>
      </c>
    </row>
    <row r="235" spans="1:5" x14ac:dyDescent="0.25">
      <c r="A235" t="s">
        <v>33</v>
      </c>
      <c r="B235">
        <v>2023</v>
      </c>
      <c r="C235" t="s">
        <v>6</v>
      </c>
      <c r="D235">
        <v>10115043.369999999</v>
      </c>
      <c r="E235" t="s">
        <v>7</v>
      </c>
    </row>
    <row r="236" spans="1:5" x14ac:dyDescent="0.25">
      <c r="A236" t="s">
        <v>34</v>
      </c>
      <c r="B236">
        <v>2018</v>
      </c>
      <c r="C236" t="s">
        <v>6</v>
      </c>
      <c r="D236">
        <v>8451554.3800000008</v>
      </c>
      <c r="E236" t="s">
        <v>7</v>
      </c>
    </row>
    <row r="237" spans="1:5" x14ac:dyDescent="0.25">
      <c r="A237" t="s">
        <v>35</v>
      </c>
      <c r="B237">
        <v>2010</v>
      </c>
      <c r="C237" t="s">
        <v>6</v>
      </c>
      <c r="D237">
        <v>64985136</v>
      </c>
      <c r="E237" t="s">
        <v>7</v>
      </c>
    </row>
    <row r="238" spans="1:5" x14ac:dyDescent="0.25">
      <c r="A238" t="s">
        <v>35</v>
      </c>
      <c r="B238">
        <v>2011</v>
      </c>
      <c r="C238" t="s">
        <v>6</v>
      </c>
      <c r="D238">
        <v>68153190</v>
      </c>
      <c r="E238" t="s">
        <v>7</v>
      </c>
    </row>
    <row r="239" spans="1:5" x14ac:dyDescent="0.25">
      <c r="A239" t="s">
        <v>35</v>
      </c>
      <c r="B239">
        <v>2012</v>
      </c>
      <c r="C239" t="s">
        <v>6</v>
      </c>
      <c r="D239">
        <v>65485465</v>
      </c>
      <c r="E239" t="s">
        <v>7</v>
      </c>
    </row>
    <row r="240" spans="1:5" x14ac:dyDescent="0.25">
      <c r="A240" t="s">
        <v>35</v>
      </c>
      <c r="B240">
        <v>2013</v>
      </c>
      <c r="C240" t="s">
        <v>6</v>
      </c>
      <c r="D240">
        <v>59914757</v>
      </c>
      <c r="E240" t="s">
        <v>7</v>
      </c>
    </row>
    <row r="241" spans="1:5" x14ac:dyDescent="0.25">
      <c r="A241" t="s">
        <v>35</v>
      </c>
      <c r="B241">
        <v>2014</v>
      </c>
      <c r="C241" t="s">
        <v>6</v>
      </c>
      <c r="D241">
        <v>67939545</v>
      </c>
      <c r="E241" t="s">
        <v>7</v>
      </c>
    </row>
    <row r="242" spans="1:5" x14ac:dyDescent="0.25">
      <c r="A242" t="s">
        <v>35</v>
      </c>
      <c r="B242">
        <v>2015</v>
      </c>
      <c r="C242" t="s">
        <v>6</v>
      </c>
      <c r="D242">
        <v>54489993</v>
      </c>
      <c r="E242" t="s">
        <v>7</v>
      </c>
    </row>
    <row r="243" spans="1:5" x14ac:dyDescent="0.25">
      <c r="A243" t="s">
        <v>35</v>
      </c>
      <c r="B243">
        <v>2016</v>
      </c>
      <c r="C243" t="s">
        <v>6</v>
      </c>
      <c r="D243">
        <v>60055684</v>
      </c>
      <c r="E243" t="s">
        <v>7</v>
      </c>
    </row>
    <row r="244" spans="1:5" x14ac:dyDescent="0.25">
      <c r="A244" t="s">
        <v>35</v>
      </c>
      <c r="B244">
        <v>2017</v>
      </c>
      <c r="C244" t="s">
        <v>6</v>
      </c>
      <c r="D244">
        <v>59231941</v>
      </c>
      <c r="E244" t="s">
        <v>7</v>
      </c>
    </row>
    <row r="245" spans="1:5" x14ac:dyDescent="0.25">
      <c r="A245" t="s">
        <v>35</v>
      </c>
      <c r="B245">
        <v>2018</v>
      </c>
      <c r="C245" t="s">
        <v>6</v>
      </c>
      <c r="D245">
        <v>60613969</v>
      </c>
      <c r="E245" t="s">
        <v>7</v>
      </c>
    </row>
    <row r="246" spans="1:5" x14ac:dyDescent="0.25">
      <c r="A246" t="s">
        <v>35</v>
      </c>
      <c r="B246">
        <v>2019</v>
      </c>
      <c r="C246" t="s">
        <v>6</v>
      </c>
      <c r="D246">
        <v>57901726</v>
      </c>
      <c r="E246" t="s">
        <v>7</v>
      </c>
    </row>
    <row r="247" spans="1:5" x14ac:dyDescent="0.25">
      <c r="A247" t="s">
        <v>35</v>
      </c>
      <c r="B247">
        <v>2020</v>
      </c>
      <c r="C247" t="s">
        <v>6</v>
      </c>
      <c r="D247">
        <v>57027501</v>
      </c>
      <c r="E247" t="s">
        <v>7</v>
      </c>
    </row>
    <row r="248" spans="1:5" x14ac:dyDescent="0.25">
      <c r="A248" t="s">
        <v>35</v>
      </c>
      <c r="B248">
        <v>2021</v>
      </c>
      <c r="C248" t="s">
        <v>6</v>
      </c>
      <c r="D248">
        <v>55208265</v>
      </c>
      <c r="E248" t="s">
        <v>7</v>
      </c>
    </row>
    <row r="249" spans="1:5" x14ac:dyDescent="0.25">
      <c r="A249" t="s">
        <v>35</v>
      </c>
      <c r="B249">
        <v>2022</v>
      </c>
      <c r="C249" t="s">
        <v>6</v>
      </c>
      <c r="D249">
        <v>54532484</v>
      </c>
      <c r="E249" t="s">
        <v>7</v>
      </c>
    </row>
    <row r="250" spans="1:5" x14ac:dyDescent="0.25">
      <c r="A250" t="s">
        <v>35</v>
      </c>
      <c r="B250">
        <v>2023</v>
      </c>
      <c r="C250" t="s">
        <v>6</v>
      </c>
      <c r="D250">
        <v>51380225</v>
      </c>
      <c r="E250" t="s">
        <v>7</v>
      </c>
    </row>
    <row r="251" spans="1:5" x14ac:dyDescent="0.25">
      <c r="A251" t="s">
        <v>35</v>
      </c>
      <c r="B251">
        <v>2024</v>
      </c>
      <c r="C251" t="s">
        <v>6</v>
      </c>
      <c r="D251">
        <v>47299048</v>
      </c>
      <c r="E251" t="s">
        <v>7</v>
      </c>
    </row>
    <row r="252" spans="1:5" x14ac:dyDescent="0.25">
      <c r="A252" t="s">
        <v>35</v>
      </c>
      <c r="B252">
        <v>2025</v>
      </c>
      <c r="C252" t="s">
        <v>6</v>
      </c>
      <c r="D252">
        <v>27078235</v>
      </c>
      <c r="E252" t="s">
        <v>7</v>
      </c>
    </row>
    <row r="253" spans="1:5" x14ac:dyDescent="0.25">
      <c r="A253" t="s">
        <v>36</v>
      </c>
      <c r="B253">
        <v>2012</v>
      </c>
      <c r="C253" t="s">
        <v>6</v>
      </c>
      <c r="D253">
        <v>3546721.9950000001</v>
      </c>
      <c r="E253" t="s">
        <v>7</v>
      </c>
    </row>
    <row r="254" spans="1:5" x14ac:dyDescent="0.25">
      <c r="A254" t="s">
        <v>36</v>
      </c>
      <c r="B254">
        <v>2013</v>
      </c>
      <c r="C254" t="s">
        <v>6</v>
      </c>
      <c r="D254">
        <v>2991283.3569999998</v>
      </c>
      <c r="E254" t="s">
        <v>7</v>
      </c>
    </row>
    <row r="255" spans="1:5" x14ac:dyDescent="0.25">
      <c r="A255" t="s">
        <v>36</v>
      </c>
      <c r="B255">
        <v>2014</v>
      </c>
      <c r="C255" t="s">
        <v>6</v>
      </c>
      <c r="D255">
        <v>3416769</v>
      </c>
      <c r="E255" t="s">
        <v>7</v>
      </c>
    </row>
    <row r="256" spans="1:5" x14ac:dyDescent="0.25">
      <c r="A256" t="s">
        <v>36</v>
      </c>
      <c r="B256">
        <v>2016</v>
      </c>
      <c r="C256" t="s">
        <v>6</v>
      </c>
      <c r="D256">
        <v>3146034</v>
      </c>
      <c r="E256" t="s">
        <v>7</v>
      </c>
    </row>
    <row r="257" spans="1:5" x14ac:dyDescent="0.25">
      <c r="A257" t="s">
        <v>36</v>
      </c>
      <c r="B257">
        <v>2017</v>
      </c>
      <c r="C257" t="s">
        <v>6</v>
      </c>
      <c r="D257">
        <v>5828612.2589999996</v>
      </c>
      <c r="E257" t="s">
        <v>7</v>
      </c>
    </row>
    <row r="258" spans="1:5" x14ac:dyDescent="0.25">
      <c r="A258" t="s">
        <v>36</v>
      </c>
      <c r="B258">
        <v>2018</v>
      </c>
      <c r="C258" t="s">
        <v>6</v>
      </c>
      <c r="D258">
        <v>4805274</v>
      </c>
      <c r="E258" t="s">
        <v>7</v>
      </c>
    </row>
    <row r="259" spans="1:5" x14ac:dyDescent="0.25">
      <c r="A259" t="s">
        <v>36</v>
      </c>
      <c r="B259">
        <v>2019</v>
      </c>
      <c r="C259" t="s">
        <v>6</v>
      </c>
      <c r="D259">
        <v>6532203</v>
      </c>
      <c r="E259" t="s">
        <v>7</v>
      </c>
    </row>
    <row r="260" spans="1:5" x14ac:dyDescent="0.25">
      <c r="A260" t="s">
        <v>36</v>
      </c>
      <c r="B260">
        <v>2020</v>
      </c>
      <c r="C260" t="s">
        <v>6</v>
      </c>
      <c r="D260">
        <v>15723025</v>
      </c>
      <c r="E260" t="s">
        <v>7</v>
      </c>
    </row>
    <row r="261" spans="1:5" x14ac:dyDescent="0.25">
      <c r="A261" t="s">
        <v>36</v>
      </c>
      <c r="B261">
        <v>2021</v>
      </c>
      <c r="C261" t="s">
        <v>6</v>
      </c>
      <c r="D261">
        <v>13546483</v>
      </c>
      <c r="E261" t="s">
        <v>7</v>
      </c>
    </row>
    <row r="262" spans="1:5" x14ac:dyDescent="0.25">
      <c r="A262" t="s">
        <v>36</v>
      </c>
      <c r="B262">
        <v>2022</v>
      </c>
      <c r="C262" t="s">
        <v>6</v>
      </c>
      <c r="D262">
        <v>17271014.528000001</v>
      </c>
      <c r="E262" t="s">
        <v>7</v>
      </c>
    </row>
    <row r="263" spans="1:5" x14ac:dyDescent="0.25">
      <c r="A263" t="s">
        <v>36</v>
      </c>
      <c r="B263">
        <v>2023</v>
      </c>
      <c r="C263" t="s">
        <v>6</v>
      </c>
      <c r="D263">
        <v>15051090.732000001</v>
      </c>
      <c r="E263" t="s">
        <v>7</v>
      </c>
    </row>
    <row r="264" spans="1:5" x14ac:dyDescent="0.25">
      <c r="A264" t="s">
        <v>36</v>
      </c>
      <c r="B264">
        <v>2024</v>
      </c>
      <c r="C264" t="s">
        <v>6</v>
      </c>
      <c r="D264">
        <v>15263642.41</v>
      </c>
      <c r="E264" t="s">
        <v>7</v>
      </c>
    </row>
    <row r="265" spans="1:5" x14ac:dyDescent="0.25">
      <c r="A265" t="s">
        <v>36</v>
      </c>
      <c r="B265">
        <v>2025</v>
      </c>
      <c r="C265" t="s">
        <v>6</v>
      </c>
      <c r="D265">
        <v>11243750</v>
      </c>
      <c r="E265" t="s">
        <v>7</v>
      </c>
    </row>
    <row r="266" spans="1:5" x14ac:dyDescent="0.25">
      <c r="A266" t="s">
        <v>37</v>
      </c>
      <c r="B266">
        <v>2000</v>
      </c>
      <c r="C266" t="s">
        <v>6</v>
      </c>
      <c r="D266">
        <v>3704092</v>
      </c>
      <c r="E266" t="s">
        <v>7</v>
      </c>
    </row>
    <row r="267" spans="1:5" x14ac:dyDescent="0.25">
      <c r="A267" t="s">
        <v>37</v>
      </c>
      <c r="B267">
        <v>2001</v>
      </c>
      <c r="C267" t="s">
        <v>6</v>
      </c>
      <c r="D267">
        <v>3942434</v>
      </c>
      <c r="E267" t="s">
        <v>7</v>
      </c>
    </row>
    <row r="268" spans="1:5" x14ac:dyDescent="0.25">
      <c r="A268" t="s">
        <v>37</v>
      </c>
      <c r="B268">
        <v>2002</v>
      </c>
      <c r="C268" t="s">
        <v>6</v>
      </c>
      <c r="D268">
        <v>2814886.2</v>
      </c>
      <c r="E268" t="s">
        <v>7</v>
      </c>
    </row>
    <row r="269" spans="1:5" x14ac:dyDescent="0.25">
      <c r="A269" t="s">
        <v>37</v>
      </c>
      <c r="B269">
        <v>2003</v>
      </c>
      <c r="C269" t="s">
        <v>6</v>
      </c>
      <c r="D269">
        <v>1943292.44</v>
      </c>
      <c r="E269" t="s">
        <v>7</v>
      </c>
    </row>
    <row r="270" spans="1:5" x14ac:dyDescent="0.25">
      <c r="A270" t="s">
        <v>37</v>
      </c>
      <c r="B270">
        <v>2004</v>
      </c>
      <c r="C270" t="s">
        <v>6</v>
      </c>
      <c r="D270">
        <v>4599986.0439999998</v>
      </c>
      <c r="E270" t="s">
        <v>7</v>
      </c>
    </row>
    <row r="271" spans="1:5" x14ac:dyDescent="0.25">
      <c r="A271" t="s">
        <v>37</v>
      </c>
      <c r="B271">
        <v>2005</v>
      </c>
      <c r="C271" t="s">
        <v>6</v>
      </c>
      <c r="D271">
        <v>2126900.08</v>
      </c>
      <c r="E271" t="s">
        <v>7</v>
      </c>
    </row>
    <row r="272" spans="1:5" x14ac:dyDescent="0.25">
      <c r="A272" t="s">
        <v>37</v>
      </c>
      <c r="B272">
        <v>2006</v>
      </c>
      <c r="C272" t="s">
        <v>6</v>
      </c>
      <c r="D272">
        <v>3944059.6910000001</v>
      </c>
      <c r="E272" t="s">
        <v>7</v>
      </c>
    </row>
    <row r="273" spans="1:5" x14ac:dyDescent="0.25">
      <c r="A273" t="s">
        <v>37</v>
      </c>
      <c r="B273">
        <v>2007</v>
      </c>
      <c r="C273" t="s">
        <v>6</v>
      </c>
      <c r="D273">
        <v>2602274.1639999999</v>
      </c>
      <c r="E273" t="s">
        <v>7</v>
      </c>
    </row>
    <row r="274" spans="1:5" x14ac:dyDescent="0.25">
      <c r="A274" t="s">
        <v>37</v>
      </c>
      <c r="B274">
        <v>2008</v>
      </c>
      <c r="C274" t="s">
        <v>6</v>
      </c>
      <c r="D274">
        <v>1994657.0530000001</v>
      </c>
      <c r="E274" t="s">
        <v>7</v>
      </c>
    </row>
    <row r="275" spans="1:5" x14ac:dyDescent="0.25">
      <c r="A275" t="s">
        <v>37</v>
      </c>
      <c r="B275">
        <v>2009</v>
      </c>
      <c r="C275" t="s">
        <v>6</v>
      </c>
      <c r="D275">
        <v>2564541.003</v>
      </c>
      <c r="E275" t="s">
        <v>7</v>
      </c>
    </row>
    <row r="276" spans="1:5" x14ac:dyDescent="0.25">
      <c r="A276" t="s">
        <v>37</v>
      </c>
      <c r="B276">
        <v>2010</v>
      </c>
      <c r="C276" t="s">
        <v>6</v>
      </c>
      <c r="D276">
        <v>12562337.539000001</v>
      </c>
      <c r="E276" t="s">
        <v>7</v>
      </c>
    </row>
    <row r="277" spans="1:5" x14ac:dyDescent="0.25">
      <c r="A277" t="s">
        <v>37</v>
      </c>
      <c r="B277">
        <v>2011</v>
      </c>
      <c r="C277" t="s">
        <v>6</v>
      </c>
      <c r="D277">
        <v>12479144.778999999</v>
      </c>
      <c r="E277" t="s">
        <v>7</v>
      </c>
    </row>
    <row r="278" spans="1:5" x14ac:dyDescent="0.25">
      <c r="A278" t="s">
        <v>37</v>
      </c>
      <c r="B278">
        <v>2012</v>
      </c>
      <c r="C278" t="s">
        <v>6</v>
      </c>
      <c r="D278">
        <v>12530421.937000001</v>
      </c>
      <c r="E278" t="s">
        <v>7</v>
      </c>
    </row>
    <row r="279" spans="1:5" x14ac:dyDescent="0.25">
      <c r="A279" t="s">
        <v>37</v>
      </c>
      <c r="B279">
        <v>2013</v>
      </c>
      <c r="C279" t="s">
        <v>6</v>
      </c>
      <c r="D279">
        <v>14785923.562999999</v>
      </c>
      <c r="E279" t="s">
        <v>7</v>
      </c>
    </row>
    <row r="280" spans="1:5" x14ac:dyDescent="0.25">
      <c r="A280" t="s">
        <v>37</v>
      </c>
      <c r="B280">
        <v>2014</v>
      </c>
      <c r="C280" t="s">
        <v>6</v>
      </c>
      <c r="D280">
        <v>13956442.546</v>
      </c>
      <c r="E280" t="s">
        <v>7</v>
      </c>
    </row>
    <row r="281" spans="1:5" x14ac:dyDescent="0.25">
      <c r="A281" t="s">
        <v>37</v>
      </c>
      <c r="B281">
        <v>2015</v>
      </c>
      <c r="C281" t="s">
        <v>6</v>
      </c>
      <c r="D281">
        <v>14241575.119000001</v>
      </c>
      <c r="E281" t="s">
        <v>7</v>
      </c>
    </row>
    <row r="282" spans="1:5" x14ac:dyDescent="0.25">
      <c r="A282" t="s">
        <v>37</v>
      </c>
      <c r="B282">
        <v>2016</v>
      </c>
      <c r="C282" t="s">
        <v>6</v>
      </c>
      <c r="D282">
        <v>14598464.259</v>
      </c>
      <c r="E282" t="s">
        <v>7</v>
      </c>
    </row>
    <row r="283" spans="1:5" x14ac:dyDescent="0.25">
      <c r="A283" t="s">
        <v>37</v>
      </c>
      <c r="B283">
        <v>2017</v>
      </c>
      <c r="C283" t="s">
        <v>6</v>
      </c>
      <c r="D283">
        <v>16379259.104</v>
      </c>
      <c r="E283" t="s">
        <v>7</v>
      </c>
    </row>
    <row r="284" spans="1:5" x14ac:dyDescent="0.25">
      <c r="A284" t="s">
        <v>37</v>
      </c>
      <c r="B284">
        <v>2018</v>
      </c>
      <c r="C284" t="s">
        <v>6</v>
      </c>
      <c r="D284">
        <v>16468102.665999999</v>
      </c>
      <c r="E284" t="s">
        <v>7</v>
      </c>
    </row>
    <row r="285" spans="1:5" x14ac:dyDescent="0.25">
      <c r="A285" t="s">
        <v>37</v>
      </c>
      <c r="B285">
        <v>2019</v>
      </c>
      <c r="C285" t="s">
        <v>6</v>
      </c>
      <c r="D285">
        <v>15827094.533</v>
      </c>
      <c r="E285" t="s">
        <v>7</v>
      </c>
    </row>
    <row r="286" spans="1:5" x14ac:dyDescent="0.25">
      <c r="A286" t="s">
        <v>37</v>
      </c>
      <c r="B286">
        <v>2020</v>
      </c>
      <c r="C286" t="s">
        <v>6</v>
      </c>
      <c r="D286">
        <v>17708114.401999999</v>
      </c>
      <c r="E286" t="s">
        <v>7</v>
      </c>
    </row>
    <row r="287" spans="1:5" x14ac:dyDescent="0.25">
      <c r="A287" t="s">
        <v>37</v>
      </c>
      <c r="B287">
        <v>2021</v>
      </c>
      <c r="C287" t="s">
        <v>6</v>
      </c>
      <c r="D287">
        <v>16838068.344000001</v>
      </c>
      <c r="E287" t="s">
        <v>7</v>
      </c>
    </row>
    <row r="288" spans="1:5" x14ac:dyDescent="0.25">
      <c r="A288" t="s">
        <v>37</v>
      </c>
      <c r="B288">
        <v>2022</v>
      </c>
      <c r="C288" t="s">
        <v>6</v>
      </c>
      <c r="D288">
        <v>14345175.753</v>
      </c>
      <c r="E288" t="s">
        <v>7</v>
      </c>
    </row>
    <row r="289" spans="1:5" x14ac:dyDescent="0.25">
      <c r="A289" t="s">
        <v>37</v>
      </c>
      <c r="B289">
        <v>2023</v>
      </c>
      <c r="C289" t="s">
        <v>6</v>
      </c>
      <c r="D289">
        <v>12890918.479</v>
      </c>
      <c r="E289" t="s">
        <v>7</v>
      </c>
    </row>
    <row r="290" spans="1:5" x14ac:dyDescent="0.25">
      <c r="A290" t="s">
        <v>37</v>
      </c>
      <c r="B290">
        <v>2024</v>
      </c>
      <c r="C290" t="s">
        <v>6</v>
      </c>
      <c r="D290">
        <v>17088024.545000002</v>
      </c>
      <c r="E290" t="s">
        <v>7</v>
      </c>
    </row>
    <row r="291" spans="1:5" x14ac:dyDescent="0.25">
      <c r="A291" t="s">
        <v>37</v>
      </c>
      <c r="B291">
        <v>2025</v>
      </c>
      <c r="C291" t="s">
        <v>6</v>
      </c>
      <c r="D291">
        <v>5420149.682</v>
      </c>
      <c r="E291" t="s">
        <v>7</v>
      </c>
    </row>
    <row r="292" spans="1:5" x14ac:dyDescent="0.25">
      <c r="A292" t="s">
        <v>38</v>
      </c>
      <c r="B292">
        <v>2000</v>
      </c>
      <c r="C292" t="s">
        <v>6</v>
      </c>
      <c r="D292">
        <v>100525621.258</v>
      </c>
      <c r="E292" t="s">
        <v>7</v>
      </c>
    </row>
    <row r="293" spans="1:5" x14ac:dyDescent="0.25">
      <c r="A293" t="s">
        <v>38</v>
      </c>
      <c r="B293">
        <v>2001</v>
      </c>
      <c r="C293" t="s">
        <v>6</v>
      </c>
      <c r="D293">
        <v>134114902.991</v>
      </c>
      <c r="E293" t="s">
        <v>7</v>
      </c>
    </row>
    <row r="294" spans="1:5" x14ac:dyDescent="0.25">
      <c r="A294" t="s">
        <v>38</v>
      </c>
      <c r="B294">
        <v>2002</v>
      </c>
      <c r="C294" t="s">
        <v>6</v>
      </c>
      <c r="D294">
        <v>158214722.206</v>
      </c>
      <c r="E294" t="s">
        <v>7</v>
      </c>
    </row>
    <row r="295" spans="1:5" x14ac:dyDescent="0.25">
      <c r="A295" t="s">
        <v>38</v>
      </c>
      <c r="B295">
        <v>2003</v>
      </c>
      <c r="C295" t="s">
        <v>6</v>
      </c>
      <c r="D295">
        <v>153614573.354</v>
      </c>
      <c r="E295" t="s">
        <v>7</v>
      </c>
    </row>
    <row r="296" spans="1:5" x14ac:dyDescent="0.25">
      <c r="A296" t="s">
        <v>38</v>
      </c>
      <c r="B296">
        <v>2004</v>
      </c>
      <c r="C296" t="s">
        <v>6</v>
      </c>
      <c r="D296">
        <v>138224187.23300001</v>
      </c>
      <c r="E296" t="s">
        <v>7</v>
      </c>
    </row>
    <row r="297" spans="1:5" x14ac:dyDescent="0.25">
      <c r="A297" t="s">
        <v>38</v>
      </c>
      <c r="B297">
        <v>2005</v>
      </c>
      <c r="C297" t="s">
        <v>6</v>
      </c>
      <c r="D297">
        <v>162900916.32300001</v>
      </c>
      <c r="E297" t="s">
        <v>7</v>
      </c>
    </row>
    <row r="298" spans="1:5" x14ac:dyDescent="0.25">
      <c r="A298" t="s">
        <v>38</v>
      </c>
      <c r="B298">
        <v>2006</v>
      </c>
      <c r="C298" t="s">
        <v>6</v>
      </c>
      <c r="D298">
        <v>186936756.79300001</v>
      </c>
      <c r="E298" t="s">
        <v>7</v>
      </c>
    </row>
    <row r="299" spans="1:5" x14ac:dyDescent="0.25">
      <c r="A299" t="s">
        <v>38</v>
      </c>
      <c r="B299">
        <v>2007</v>
      </c>
      <c r="C299" t="s">
        <v>6</v>
      </c>
      <c r="D299">
        <v>167652984.604</v>
      </c>
      <c r="E299" t="s">
        <v>7</v>
      </c>
    </row>
    <row r="300" spans="1:5" x14ac:dyDescent="0.25">
      <c r="A300" t="s">
        <v>38</v>
      </c>
      <c r="B300">
        <v>2008</v>
      </c>
      <c r="C300" t="s">
        <v>6</v>
      </c>
      <c r="D300">
        <v>261002808.72999999</v>
      </c>
      <c r="E300" t="s">
        <v>7</v>
      </c>
    </row>
    <row r="301" spans="1:5" x14ac:dyDescent="0.25">
      <c r="A301" t="s">
        <v>38</v>
      </c>
      <c r="B301">
        <v>2009</v>
      </c>
      <c r="C301" t="s">
        <v>6</v>
      </c>
      <c r="D301">
        <v>291431310.81099999</v>
      </c>
      <c r="E301" t="s">
        <v>7</v>
      </c>
    </row>
    <row r="302" spans="1:5" x14ac:dyDescent="0.25">
      <c r="A302" t="s">
        <v>38</v>
      </c>
      <c r="B302">
        <v>2010</v>
      </c>
      <c r="C302" t="s">
        <v>6</v>
      </c>
      <c r="D302">
        <v>357967874.63599998</v>
      </c>
      <c r="E302" t="s">
        <v>7</v>
      </c>
    </row>
    <row r="303" spans="1:5" x14ac:dyDescent="0.25">
      <c r="A303" t="s">
        <v>38</v>
      </c>
      <c r="B303">
        <v>2011</v>
      </c>
      <c r="C303" t="s">
        <v>6</v>
      </c>
      <c r="D303">
        <v>84562271.246999994</v>
      </c>
      <c r="E303" t="s">
        <v>7</v>
      </c>
    </row>
    <row r="304" spans="1:5" x14ac:dyDescent="0.25">
      <c r="A304" t="s">
        <v>38</v>
      </c>
      <c r="B304">
        <v>2015</v>
      </c>
      <c r="C304" t="s">
        <v>6</v>
      </c>
      <c r="D304" t="s">
        <v>39</v>
      </c>
      <c r="E304" t="s">
        <v>7</v>
      </c>
    </row>
    <row r="305" spans="1:5" x14ac:dyDescent="0.25">
      <c r="A305" t="s">
        <v>38</v>
      </c>
      <c r="B305">
        <v>2016</v>
      </c>
      <c r="C305" t="s">
        <v>6</v>
      </c>
      <c r="D305" t="s">
        <v>39</v>
      </c>
      <c r="E305" t="s">
        <v>7</v>
      </c>
    </row>
    <row r="306" spans="1:5" x14ac:dyDescent="0.25">
      <c r="A306" t="s">
        <v>38</v>
      </c>
      <c r="B306">
        <v>2019</v>
      </c>
      <c r="C306" t="s">
        <v>6</v>
      </c>
      <c r="D306" t="s">
        <v>39</v>
      </c>
      <c r="E306" t="s">
        <v>7</v>
      </c>
    </row>
    <row r="307" spans="1:5" x14ac:dyDescent="0.25">
      <c r="A307" t="s">
        <v>38</v>
      </c>
      <c r="B307">
        <v>2020</v>
      </c>
      <c r="C307" t="s">
        <v>6</v>
      </c>
      <c r="D307" t="s">
        <v>39</v>
      </c>
      <c r="E307" t="s">
        <v>7</v>
      </c>
    </row>
    <row r="308" spans="1:5" x14ac:dyDescent="0.25">
      <c r="A308" t="s">
        <v>38</v>
      </c>
      <c r="B308">
        <v>2021</v>
      </c>
      <c r="C308" t="s">
        <v>6</v>
      </c>
      <c r="D308" t="s">
        <v>39</v>
      </c>
      <c r="E308" t="s">
        <v>7</v>
      </c>
    </row>
    <row r="309" spans="1:5" x14ac:dyDescent="0.25">
      <c r="A309" t="s">
        <v>38</v>
      </c>
      <c r="B309">
        <v>2022</v>
      </c>
      <c r="C309" t="s">
        <v>6</v>
      </c>
      <c r="D309">
        <v>147201113.99599999</v>
      </c>
      <c r="E309" t="s">
        <v>7</v>
      </c>
    </row>
    <row r="310" spans="1:5" x14ac:dyDescent="0.25">
      <c r="A310" t="s">
        <v>38</v>
      </c>
      <c r="B310">
        <v>2023</v>
      </c>
      <c r="C310" t="s">
        <v>6</v>
      </c>
      <c r="D310">
        <v>183789331.27500001</v>
      </c>
      <c r="E310" t="s">
        <v>7</v>
      </c>
    </row>
    <row r="311" spans="1:5" x14ac:dyDescent="0.25">
      <c r="A311" t="s">
        <v>38</v>
      </c>
      <c r="B311">
        <v>2025</v>
      </c>
      <c r="C311" t="s">
        <v>6</v>
      </c>
      <c r="D311">
        <v>692536042.375</v>
      </c>
      <c r="E311" t="s">
        <v>7</v>
      </c>
    </row>
    <row r="312" spans="1:5" x14ac:dyDescent="0.25">
      <c r="A312" t="s">
        <v>40</v>
      </c>
      <c r="B312">
        <v>2010</v>
      </c>
      <c r="C312" t="s">
        <v>6</v>
      </c>
      <c r="D312">
        <v>13983400</v>
      </c>
      <c r="E312" t="s">
        <v>7</v>
      </c>
    </row>
    <row r="313" spans="1:5" x14ac:dyDescent="0.25">
      <c r="A313" t="s">
        <v>40</v>
      </c>
      <c r="B313">
        <v>2011</v>
      </c>
      <c r="C313" t="s">
        <v>6</v>
      </c>
      <c r="D313">
        <v>17581783.260000002</v>
      </c>
      <c r="E313" t="s">
        <v>7</v>
      </c>
    </row>
    <row r="314" spans="1:5" x14ac:dyDescent="0.25">
      <c r="A314" t="s">
        <v>40</v>
      </c>
      <c r="B314">
        <v>2012</v>
      </c>
      <c r="C314" t="s">
        <v>6</v>
      </c>
      <c r="D314">
        <v>19596376.355999999</v>
      </c>
      <c r="E314" t="s">
        <v>7</v>
      </c>
    </row>
    <row r="315" spans="1:5" x14ac:dyDescent="0.25">
      <c r="A315" t="s">
        <v>40</v>
      </c>
      <c r="B315">
        <v>2013</v>
      </c>
      <c r="C315" t="s">
        <v>6</v>
      </c>
      <c r="D315">
        <v>20562890.824000001</v>
      </c>
      <c r="E315" t="s">
        <v>7</v>
      </c>
    </row>
    <row r="316" spans="1:5" x14ac:dyDescent="0.25">
      <c r="A316" t="s">
        <v>40</v>
      </c>
      <c r="B316">
        <v>2014</v>
      </c>
      <c r="C316" t="s">
        <v>6</v>
      </c>
      <c r="D316">
        <v>29769565</v>
      </c>
      <c r="E316" t="s">
        <v>7</v>
      </c>
    </row>
    <row r="317" spans="1:5" x14ac:dyDescent="0.25">
      <c r="A317" t="s">
        <v>40</v>
      </c>
      <c r="B317">
        <v>2015</v>
      </c>
      <c r="C317" t="s">
        <v>6</v>
      </c>
      <c r="D317">
        <v>29707022.640999999</v>
      </c>
      <c r="E317" t="s">
        <v>7</v>
      </c>
    </row>
    <row r="318" spans="1:5" x14ac:dyDescent="0.25">
      <c r="A318" t="s">
        <v>40</v>
      </c>
      <c r="B318">
        <v>2016</v>
      </c>
      <c r="C318" t="s">
        <v>6</v>
      </c>
      <c r="D318">
        <v>39195034.909000002</v>
      </c>
      <c r="E318" t="s">
        <v>7</v>
      </c>
    </row>
    <row r="319" spans="1:5" x14ac:dyDescent="0.25">
      <c r="A319" t="s">
        <v>40</v>
      </c>
      <c r="B319">
        <v>2017</v>
      </c>
      <c r="C319" t="s">
        <v>6</v>
      </c>
      <c r="D319">
        <v>51615366.182999998</v>
      </c>
      <c r="E319" t="s">
        <v>7</v>
      </c>
    </row>
    <row r="320" spans="1:5" x14ac:dyDescent="0.25">
      <c r="A320" t="s">
        <v>40</v>
      </c>
      <c r="B320">
        <v>2018</v>
      </c>
      <c r="C320" t="s">
        <v>6</v>
      </c>
      <c r="D320">
        <v>51106509.454999998</v>
      </c>
      <c r="E320" t="s">
        <v>7</v>
      </c>
    </row>
    <row r="321" spans="1:5" x14ac:dyDescent="0.25">
      <c r="A321" t="s">
        <v>40</v>
      </c>
      <c r="B321">
        <v>2019</v>
      </c>
      <c r="C321" t="s">
        <v>6</v>
      </c>
      <c r="D321">
        <v>48695553.653999999</v>
      </c>
      <c r="E321" t="s">
        <v>7</v>
      </c>
    </row>
    <row r="322" spans="1:5" x14ac:dyDescent="0.25">
      <c r="A322" t="s">
        <v>40</v>
      </c>
      <c r="B322">
        <v>2020</v>
      </c>
      <c r="C322" t="s">
        <v>6</v>
      </c>
      <c r="D322">
        <v>56990658.148999996</v>
      </c>
      <c r="E322" t="s">
        <v>7</v>
      </c>
    </row>
    <row r="323" spans="1:5" x14ac:dyDescent="0.25">
      <c r="A323" t="s">
        <v>40</v>
      </c>
      <c r="B323">
        <v>2021</v>
      </c>
      <c r="C323" t="s">
        <v>6</v>
      </c>
      <c r="D323">
        <v>63600855.761</v>
      </c>
      <c r="E323" t="s">
        <v>7</v>
      </c>
    </row>
    <row r="324" spans="1:5" x14ac:dyDescent="0.25">
      <c r="A324" t="s">
        <v>40</v>
      </c>
      <c r="B324">
        <v>2022</v>
      </c>
      <c r="C324" t="s">
        <v>6</v>
      </c>
      <c r="D324">
        <v>66730638.526000001</v>
      </c>
      <c r="E324" t="s">
        <v>7</v>
      </c>
    </row>
    <row r="325" spans="1:5" x14ac:dyDescent="0.25">
      <c r="A325" t="s">
        <v>40</v>
      </c>
      <c r="B325">
        <v>2023</v>
      </c>
      <c r="C325" t="s">
        <v>6</v>
      </c>
      <c r="D325">
        <v>49774957.478</v>
      </c>
      <c r="E325" t="s">
        <v>7</v>
      </c>
    </row>
    <row r="326" spans="1:5" x14ac:dyDescent="0.25">
      <c r="A326" t="s">
        <v>40</v>
      </c>
      <c r="B326">
        <v>2024</v>
      </c>
      <c r="C326" t="s">
        <v>6</v>
      </c>
      <c r="D326">
        <v>43532776.042999998</v>
      </c>
      <c r="E326" t="s">
        <v>7</v>
      </c>
    </row>
    <row r="327" spans="1:5" x14ac:dyDescent="0.25">
      <c r="A327" t="s">
        <v>40</v>
      </c>
      <c r="B327">
        <v>2025</v>
      </c>
      <c r="C327" t="s">
        <v>6</v>
      </c>
      <c r="D327">
        <v>31322445.767000001</v>
      </c>
      <c r="E327" t="s">
        <v>7</v>
      </c>
    </row>
    <row r="328" spans="1:5" x14ac:dyDescent="0.25">
      <c r="A328" t="s">
        <v>41</v>
      </c>
      <c r="B328">
        <v>2015</v>
      </c>
      <c r="C328" t="s">
        <v>6</v>
      </c>
      <c r="D328">
        <v>2400887</v>
      </c>
      <c r="E328" t="s">
        <v>7</v>
      </c>
    </row>
    <row r="329" spans="1:5" x14ac:dyDescent="0.25">
      <c r="A329" t="s">
        <v>41</v>
      </c>
      <c r="B329">
        <v>2016</v>
      </c>
      <c r="C329" t="s">
        <v>6</v>
      </c>
      <c r="D329">
        <v>3876621</v>
      </c>
      <c r="E329" t="s">
        <v>7</v>
      </c>
    </row>
    <row r="330" spans="1:5" x14ac:dyDescent="0.25">
      <c r="A330" t="s">
        <v>41</v>
      </c>
      <c r="B330">
        <v>2018</v>
      </c>
      <c r="C330" t="s">
        <v>6</v>
      </c>
      <c r="D330">
        <v>3439977</v>
      </c>
      <c r="E330" t="s">
        <v>7</v>
      </c>
    </row>
    <row r="331" spans="1:5" x14ac:dyDescent="0.25">
      <c r="A331" t="s">
        <v>41</v>
      </c>
      <c r="B331">
        <v>2022</v>
      </c>
      <c r="C331" t="s">
        <v>6</v>
      </c>
      <c r="D331">
        <v>2609616.2829999998</v>
      </c>
      <c r="E331" t="s">
        <v>7</v>
      </c>
    </row>
    <row r="332" spans="1:5" x14ac:dyDescent="0.25">
      <c r="A332" t="s">
        <v>42</v>
      </c>
      <c r="B332">
        <v>2010</v>
      </c>
      <c r="C332" t="s">
        <v>6</v>
      </c>
      <c r="D332">
        <v>2590288.87</v>
      </c>
      <c r="E332" t="s">
        <v>7</v>
      </c>
    </row>
    <row r="333" spans="1:5" x14ac:dyDescent="0.25">
      <c r="A333" t="s">
        <v>42</v>
      </c>
      <c r="B333">
        <v>2011</v>
      </c>
      <c r="C333" t="s">
        <v>6</v>
      </c>
      <c r="D333">
        <v>2177255.0699999998</v>
      </c>
      <c r="E333" t="s">
        <v>7</v>
      </c>
    </row>
    <row r="334" spans="1:5" x14ac:dyDescent="0.25">
      <c r="A334" t="s">
        <v>42</v>
      </c>
      <c r="B334">
        <v>2013</v>
      </c>
      <c r="C334" t="s">
        <v>6</v>
      </c>
      <c r="D334">
        <v>3366439.36</v>
      </c>
      <c r="E334" t="s">
        <v>7</v>
      </c>
    </row>
    <row r="335" spans="1:5" x14ac:dyDescent="0.25">
      <c r="A335" t="s">
        <v>42</v>
      </c>
      <c r="B335">
        <v>2014</v>
      </c>
      <c r="C335" t="s">
        <v>6</v>
      </c>
      <c r="D335">
        <v>2813887</v>
      </c>
      <c r="E335" t="s">
        <v>7</v>
      </c>
    </row>
    <row r="336" spans="1:5" x14ac:dyDescent="0.25">
      <c r="A336" t="s">
        <v>42</v>
      </c>
      <c r="B336">
        <v>2015</v>
      </c>
      <c r="C336" t="s">
        <v>6</v>
      </c>
      <c r="D336">
        <v>4479036.05</v>
      </c>
      <c r="E336" t="s">
        <v>7</v>
      </c>
    </row>
    <row r="337" spans="1:5" x14ac:dyDescent="0.25">
      <c r="A337" t="s">
        <v>42</v>
      </c>
      <c r="B337">
        <v>2016</v>
      </c>
      <c r="C337" t="s">
        <v>6</v>
      </c>
      <c r="D337">
        <v>2192917.0299999998</v>
      </c>
      <c r="E337" t="s">
        <v>7</v>
      </c>
    </row>
    <row r="338" spans="1:5" x14ac:dyDescent="0.25">
      <c r="A338" t="s">
        <v>42</v>
      </c>
      <c r="B338">
        <v>2017</v>
      </c>
      <c r="C338" t="s">
        <v>6</v>
      </c>
      <c r="D338">
        <v>4916708.3099999996</v>
      </c>
      <c r="E338" t="s">
        <v>7</v>
      </c>
    </row>
    <row r="339" spans="1:5" x14ac:dyDescent="0.25">
      <c r="A339" t="s">
        <v>42</v>
      </c>
      <c r="B339">
        <v>2018</v>
      </c>
      <c r="C339" t="s">
        <v>6</v>
      </c>
      <c r="D339">
        <v>9874284.2799999993</v>
      </c>
      <c r="E339" t="s">
        <v>7</v>
      </c>
    </row>
    <row r="340" spans="1:5" x14ac:dyDescent="0.25">
      <c r="A340" t="s">
        <v>42</v>
      </c>
      <c r="B340">
        <v>2019</v>
      </c>
      <c r="C340" t="s">
        <v>6</v>
      </c>
      <c r="D340">
        <v>9182488.5500000007</v>
      </c>
      <c r="E340" t="s">
        <v>7</v>
      </c>
    </row>
    <row r="341" spans="1:5" x14ac:dyDescent="0.25">
      <c r="A341" t="s">
        <v>42</v>
      </c>
      <c r="B341">
        <v>2020</v>
      </c>
      <c r="C341" t="s">
        <v>6</v>
      </c>
      <c r="D341">
        <v>3791524</v>
      </c>
      <c r="E341" t="s">
        <v>7</v>
      </c>
    </row>
    <row r="342" spans="1:5" x14ac:dyDescent="0.25">
      <c r="A342" t="s">
        <v>42</v>
      </c>
      <c r="B342">
        <v>2024</v>
      </c>
      <c r="C342" t="s">
        <v>6</v>
      </c>
      <c r="D342">
        <v>17709957.295000002</v>
      </c>
      <c r="E342" t="s">
        <v>7</v>
      </c>
    </row>
    <row r="343" spans="1:5" x14ac:dyDescent="0.25">
      <c r="A343" t="s">
        <v>42</v>
      </c>
      <c r="B343">
        <v>2025</v>
      </c>
      <c r="C343" t="s">
        <v>6</v>
      </c>
      <c r="D343">
        <v>6438390.2970000003</v>
      </c>
      <c r="E343" t="s">
        <v>7</v>
      </c>
    </row>
    <row r="344" spans="1:5" x14ac:dyDescent="0.25">
      <c r="A344" t="s">
        <v>43</v>
      </c>
      <c r="B344">
        <v>2010</v>
      </c>
      <c r="C344" t="s">
        <v>6</v>
      </c>
      <c r="D344">
        <v>76799755</v>
      </c>
      <c r="E344" t="s">
        <v>7</v>
      </c>
    </row>
    <row r="345" spans="1:5" x14ac:dyDescent="0.25">
      <c r="A345" t="s">
        <v>43</v>
      </c>
      <c r="B345">
        <v>2011</v>
      </c>
      <c r="C345" t="s">
        <v>6</v>
      </c>
      <c r="D345">
        <v>51903511</v>
      </c>
      <c r="E345" t="s">
        <v>7</v>
      </c>
    </row>
    <row r="346" spans="1:5" x14ac:dyDescent="0.25">
      <c r="A346" t="s">
        <v>43</v>
      </c>
      <c r="B346">
        <v>2012</v>
      </c>
      <c r="C346" t="s">
        <v>6</v>
      </c>
      <c r="D346">
        <v>38795733</v>
      </c>
      <c r="E346" t="s">
        <v>7</v>
      </c>
    </row>
    <row r="347" spans="1:5" x14ac:dyDescent="0.25">
      <c r="A347" t="s">
        <v>43</v>
      </c>
      <c r="B347">
        <v>2013</v>
      </c>
      <c r="C347" t="s">
        <v>6</v>
      </c>
      <c r="D347">
        <v>21112721</v>
      </c>
      <c r="E347" t="s">
        <v>7</v>
      </c>
    </row>
    <row r="348" spans="1:5" x14ac:dyDescent="0.25">
      <c r="A348" t="s">
        <v>43</v>
      </c>
      <c r="B348">
        <v>2014</v>
      </c>
      <c r="C348" t="s">
        <v>6</v>
      </c>
      <c r="D348">
        <v>75353939.060000002</v>
      </c>
      <c r="E348" t="s">
        <v>7</v>
      </c>
    </row>
    <row r="349" spans="1:5" x14ac:dyDescent="0.25">
      <c r="A349" t="s">
        <v>43</v>
      </c>
      <c r="B349">
        <v>2015</v>
      </c>
      <c r="C349" t="s">
        <v>6</v>
      </c>
      <c r="D349">
        <v>75114819.299999997</v>
      </c>
      <c r="E349" t="s">
        <v>7</v>
      </c>
    </row>
    <row r="350" spans="1:5" x14ac:dyDescent="0.25">
      <c r="A350" t="s">
        <v>43</v>
      </c>
      <c r="B350">
        <v>2016</v>
      </c>
      <c r="C350" t="s">
        <v>6</v>
      </c>
      <c r="D350">
        <v>71977677.998999998</v>
      </c>
      <c r="E350" t="s">
        <v>7</v>
      </c>
    </row>
    <row r="351" spans="1:5" x14ac:dyDescent="0.25">
      <c r="A351" t="s">
        <v>43</v>
      </c>
      <c r="B351">
        <v>2017</v>
      </c>
      <c r="C351" t="s">
        <v>6</v>
      </c>
      <c r="D351">
        <v>174756373.13999999</v>
      </c>
      <c r="E351" t="s">
        <v>7</v>
      </c>
    </row>
    <row r="352" spans="1:5" x14ac:dyDescent="0.25">
      <c r="A352" t="s">
        <v>43</v>
      </c>
      <c r="B352">
        <v>2018</v>
      </c>
      <c r="C352" t="s">
        <v>6</v>
      </c>
      <c r="D352">
        <v>141466225.83399999</v>
      </c>
      <c r="E352" t="s">
        <v>7</v>
      </c>
    </row>
    <row r="353" spans="1:5" x14ac:dyDescent="0.25">
      <c r="A353" t="s">
        <v>43</v>
      </c>
      <c r="B353">
        <v>2019</v>
      </c>
      <c r="C353" t="s">
        <v>6</v>
      </c>
      <c r="D353">
        <v>87068665.5</v>
      </c>
      <c r="E353" t="s">
        <v>7</v>
      </c>
    </row>
    <row r="354" spans="1:5" x14ac:dyDescent="0.25">
      <c r="A354" t="s">
        <v>43</v>
      </c>
      <c r="B354">
        <v>2020</v>
      </c>
      <c r="C354" t="s">
        <v>6</v>
      </c>
      <c r="D354">
        <v>88547407.079999998</v>
      </c>
      <c r="E354" t="s">
        <v>7</v>
      </c>
    </row>
    <row r="355" spans="1:5" x14ac:dyDescent="0.25">
      <c r="A355" t="s">
        <v>43</v>
      </c>
      <c r="B355">
        <v>2021</v>
      </c>
      <c r="C355" t="s">
        <v>6</v>
      </c>
      <c r="D355">
        <v>82993200</v>
      </c>
      <c r="E355" t="s">
        <v>7</v>
      </c>
    </row>
    <row r="356" spans="1:5" x14ac:dyDescent="0.25">
      <c r="A356" t="s">
        <v>43</v>
      </c>
      <c r="B356">
        <v>2022</v>
      </c>
      <c r="C356" t="s">
        <v>6</v>
      </c>
      <c r="D356">
        <v>77457931.594999999</v>
      </c>
      <c r="E356" t="s">
        <v>7</v>
      </c>
    </row>
    <row r="357" spans="1:5" x14ac:dyDescent="0.25">
      <c r="A357" t="s">
        <v>43</v>
      </c>
      <c r="B357">
        <v>2023</v>
      </c>
      <c r="C357" t="s">
        <v>6</v>
      </c>
      <c r="D357">
        <v>68805553.930000007</v>
      </c>
      <c r="E357" t="s">
        <v>7</v>
      </c>
    </row>
    <row r="358" spans="1:5" x14ac:dyDescent="0.25">
      <c r="A358" t="s">
        <v>43</v>
      </c>
      <c r="B358">
        <v>2024</v>
      </c>
      <c r="C358" t="s">
        <v>6</v>
      </c>
      <c r="D358">
        <v>110426190.31</v>
      </c>
      <c r="E358" t="s">
        <v>7</v>
      </c>
    </row>
    <row r="359" spans="1:5" x14ac:dyDescent="0.25">
      <c r="A359" t="s">
        <v>43</v>
      </c>
      <c r="B359">
        <v>2025</v>
      </c>
      <c r="C359" t="s">
        <v>6</v>
      </c>
      <c r="D359">
        <v>73864673.359999895</v>
      </c>
      <c r="E359" t="s">
        <v>7</v>
      </c>
    </row>
    <row r="360" spans="1:5" x14ac:dyDescent="0.25">
      <c r="A360" t="s">
        <v>44</v>
      </c>
      <c r="B360">
        <v>2010</v>
      </c>
      <c r="C360" t="s">
        <v>6</v>
      </c>
      <c r="D360">
        <v>4421489</v>
      </c>
      <c r="E360" t="s">
        <v>7</v>
      </c>
    </row>
    <row r="361" spans="1:5" x14ac:dyDescent="0.25">
      <c r="A361" t="s">
        <v>44</v>
      </c>
      <c r="B361">
        <v>2011</v>
      </c>
      <c r="C361" t="s">
        <v>6</v>
      </c>
      <c r="D361">
        <v>7666385</v>
      </c>
      <c r="E361" t="s">
        <v>7</v>
      </c>
    </row>
    <row r="362" spans="1:5" x14ac:dyDescent="0.25">
      <c r="A362" t="s">
        <v>44</v>
      </c>
      <c r="B362">
        <v>2012</v>
      </c>
      <c r="C362" t="s">
        <v>6</v>
      </c>
      <c r="D362">
        <v>8214169</v>
      </c>
      <c r="E362" t="s">
        <v>7</v>
      </c>
    </row>
    <row r="363" spans="1:5" x14ac:dyDescent="0.25">
      <c r="A363" t="s">
        <v>44</v>
      </c>
      <c r="B363">
        <v>2013</v>
      </c>
      <c r="C363" t="s">
        <v>6</v>
      </c>
      <c r="D363">
        <v>9742412</v>
      </c>
      <c r="E363" t="s">
        <v>7</v>
      </c>
    </row>
    <row r="364" spans="1:5" x14ac:dyDescent="0.25">
      <c r="A364" t="s">
        <v>44</v>
      </c>
      <c r="B364">
        <v>2014</v>
      </c>
      <c r="C364" t="s">
        <v>6</v>
      </c>
      <c r="D364">
        <v>13651925</v>
      </c>
      <c r="E364" t="s">
        <v>7</v>
      </c>
    </row>
    <row r="365" spans="1:5" x14ac:dyDescent="0.25">
      <c r="A365" t="s">
        <v>44</v>
      </c>
      <c r="B365">
        <v>2015</v>
      </c>
      <c r="C365" t="s">
        <v>6</v>
      </c>
      <c r="D365">
        <v>10070954</v>
      </c>
      <c r="E365" t="s">
        <v>7</v>
      </c>
    </row>
    <row r="366" spans="1:5" x14ac:dyDescent="0.25">
      <c r="A366" t="s">
        <v>44</v>
      </c>
      <c r="B366">
        <v>2016</v>
      </c>
      <c r="C366" t="s">
        <v>6</v>
      </c>
      <c r="D366">
        <v>13673809.173</v>
      </c>
      <c r="E366" t="s">
        <v>7</v>
      </c>
    </row>
    <row r="367" spans="1:5" x14ac:dyDescent="0.25">
      <c r="A367" t="s">
        <v>44</v>
      </c>
      <c r="B367">
        <v>2017</v>
      </c>
      <c r="C367" t="s">
        <v>6</v>
      </c>
      <c r="D367">
        <v>14964213.927999999</v>
      </c>
      <c r="E367" t="s">
        <v>7</v>
      </c>
    </row>
    <row r="368" spans="1:5" x14ac:dyDescent="0.25">
      <c r="A368" t="s">
        <v>44</v>
      </c>
      <c r="B368">
        <v>2018</v>
      </c>
      <c r="C368" t="s">
        <v>6</v>
      </c>
      <c r="D368">
        <v>13199511.353</v>
      </c>
      <c r="E368" t="s">
        <v>7</v>
      </c>
    </row>
    <row r="369" spans="1:5" x14ac:dyDescent="0.25">
      <c r="A369" t="s">
        <v>44</v>
      </c>
      <c r="B369">
        <v>2019</v>
      </c>
      <c r="C369" t="s">
        <v>6</v>
      </c>
      <c r="D369">
        <v>13128472.273</v>
      </c>
      <c r="E369" t="s">
        <v>7</v>
      </c>
    </row>
    <row r="370" spans="1:5" x14ac:dyDescent="0.25">
      <c r="A370" t="s">
        <v>44</v>
      </c>
      <c r="B370">
        <v>2020</v>
      </c>
      <c r="C370" t="s">
        <v>6</v>
      </c>
      <c r="D370">
        <v>17226856.230999999</v>
      </c>
      <c r="E370" t="s">
        <v>7</v>
      </c>
    </row>
    <row r="371" spans="1:5" x14ac:dyDescent="0.25">
      <c r="A371" t="s">
        <v>44</v>
      </c>
      <c r="B371">
        <v>2021</v>
      </c>
      <c r="C371" t="s">
        <v>6</v>
      </c>
      <c r="D371">
        <v>18664494.530000001</v>
      </c>
      <c r="E371" t="s">
        <v>7</v>
      </c>
    </row>
    <row r="372" spans="1:5" x14ac:dyDescent="0.25">
      <c r="A372" t="s">
        <v>44</v>
      </c>
      <c r="B372">
        <v>2022</v>
      </c>
      <c r="C372" t="s">
        <v>6</v>
      </c>
      <c r="D372">
        <v>21007243</v>
      </c>
      <c r="E372" t="s">
        <v>7</v>
      </c>
    </row>
    <row r="373" spans="1:5" x14ac:dyDescent="0.25">
      <c r="A373" t="s">
        <v>44</v>
      </c>
      <c r="B373">
        <v>2023</v>
      </c>
      <c r="C373" t="s">
        <v>6</v>
      </c>
      <c r="D373">
        <v>24072107.375999998</v>
      </c>
      <c r="E373" t="s">
        <v>7</v>
      </c>
    </row>
    <row r="374" spans="1:5" x14ac:dyDescent="0.25">
      <c r="A374" t="s">
        <v>44</v>
      </c>
      <c r="B374">
        <v>2024</v>
      </c>
      <c r="C374" t="s">
        <v>6</v>
      </c>
      <c r="D374">
        <v>29571986.243000001</v>
      </c>
      <c r="E374" t="s">
        <v>7</v>
      </c>
    </row>
    <row r="375" spans="1:5" x14ac:dyDescent="0.25">
      <c r="A375" t="s">
        <v>44</v>
      </c>
      <c r="B375">
        <v>2025</v>
      </c>
      <c r="C375" t="s">
        <v>6</v>
      </c>
      <c r="D375">
        <v>26676351.276999999</v>
      </c>
      <c r="E375" t="s">
        <v>7</v>
      </c>
    </row>
    <row r="376" spans="1:5" x14ac:dyDescent="0.25">
      <c r="A376" t="s">
        <v>45</v>
      </c>
      <c r="B376">
        <v>2015</v>
      </c>
      <c r="C376" t="s">
        <v>6</v>
      </c>
      <c r="D376">
        <v>1853406.5</v>
      </c>
      <c r="E376" t="s">
        <v>7</v>
      </c>
    </row>
    <row r="377" spans="1:5" x14ac:dyDescent="0.25">
      <c r="A377" t="s">
        <v>45</v>
      </c>
      <c r="B377">
        <v>2016</v>
      </c>
      <c r="C377" t="s">
        <v>6</v>
      </c>
      <c r="D377">
        <v>1996059.18</v>
      </c>
      <c r="E377" t="s">
        <v>7</v>
      </c>
    </row>
    <row r="378" spans="1:5" x14ac:dyDescent="0.25">
      <c r="A378" t="s">
        <v>45</v>
      </c>
      <c r="B378">
        <v>2017</v>
      </c>
      <c r="C378" t="s">
        <v>6</v>
      </c>
      <c r="D378">
        <v>1888188.1</v>
      </c>
      <c r="E378" t="s">
        <v>7</v>
      </c>
    </row>
    <row r="379" spans="1:5" x14ac:dyDescent="0.25">
      <c r="A379" t="s">
        <v>45</v>
      </c>
      <c r="B379">
        <v>2018</v>
      </c>
      <c r="C379" t="s">
        <v>6</v>
      </c>
      <c r="D379">
        <v>2232058.66</v>
      </c>
      <c r="E379" t="s">
        <v>7</v>
      </c>
    </row>
    <row r="380" spans="1:5" x14ac:dyDescent="0.25">
      <c r="A380" t="s">
        <v>45</v>
      </c>
      <c r="B380">
        <v>2019</v>
      </c>
      <c r="C380" t="s">
        <v>6</v>
      </c>
      <c r="D380">
        <v>2558622.92</v>
      </c>
      <c r="E380" t="s">
        <v>7</v>
      </c>
    </row>
    <row r="381" spans="1:5" x14ac:dyDescent="0.25">
      <c r="A381" t="s">
        <v>45</v>
      </c>
      <c r="B381">
        <v>2020</v>
      </c>
      <c r="C381" t="s">
        <v>6</v>
      </c>
      <c r="D381">
        <v>3057763.95</v>
      </c>
      <c r="E381" t="s">
        <v>7</v>
      </c>
    </row>
    <row r="382" spans="1:5" x14ac:dyDescent="0.25">
      <c r="A382" t="s">
        <v>45</v>
      </c>
      <c r="B382">
        <v>2021</v>
      </c>
      <c r="C382" t="s">
        <v>6</v>
      </c>
      <c r="D382">
        <v>3612704.5419999999</v>
      </c>
      <c r="E382" t="s">
        <v>7</v>
      </c>
    </row>
    <row r="383" spans="1:5" x14ac:dyDescent="0.25">
      <c r="A383" t="s">
        <v>45</v>
      </c>
      <c r="B383">
        <v>2022</v>
      </c>
      <c r="C383" t="s">
        <v>6</v>
      </c>
      <c r="D383">
        <v>3048818.4139999999</v>
      </c>
      <c r="E383" t="s">
        <v>7</v>
      </c>
    </row>
    <row r="384" spans="1:5" x14ac:dyDescent="0.25">
      <c r="A384" t="s">
        <v>45</v>
      </c>
      <c r="B384">
        <v>2023</v>
      </c>
      <c r="C384" t="s">
        <v>6</v>
      </c>
      <c r="D384">
        <v>3233872.4559999998</v>
      </c>
      <c r="E384" t="s">
        <v>7</v>
      </c>
    </row>
    <row r="385" spans="1:5" x14ac:dyDescent="0.25">
      <c r="A385" t="s">
        <v>45</v>
      </c>
      <c r="B385">
        <v>2024</v>
      </c>
      <c r="C385" t="s">
        <v>6</v>
      </c>
      <c r="D385">
        <v>3224772.54</v>
      </c>
      <c r="E385" t="s">
        <v>7</v>
      </c>
    </row>
    <row r="386" spans="1:5" x14ac:dyDescent="0.25">
      <c r="A386" t="s">
        <v>46</v>
      </c>
      <c r="B386">
        <v>2013</v>
      </c>
      <c r="C386" t="s">
        <v>6</v>
      </c>
      <c r="D386">
        <v>2436010</v>
      </c>
      <c r="E386" t="s">
        <v>7</v>
      </c>
    </row>
    <row r="387" spans="1:5" x14ac:dyDescent="0.25">
      <c r="A387" t="s">
        <v>46</v>
      </c>
      <c r="B387">
        <v>2014</v>
      </c>
      <c r="C387" t="s">
        <v>6</v>
      </c>
      <c r="D387">
        <v>2992006</v>
      </c>
      <c r="E387" t="s">
        <v>7</v>
      </c>
    </row>
    <row r="388" spans="1:5" x14ac:dyDescent="0.25">
      <c r="A388" t="s">
        <v>46</v>
      </c>
      <c r="B388">
        <v>2015</v>
      </c>
      <c r="C388" t="s">
        <v>6</v>
      </c>
      <c r="D388">
        <v>3401379</v>
      </c>
      <c r="E388" t="s">
        <v>7</v>
      </c>
    </row>
    <row r="389" spans="1:5" x14ac:dyDescent="0.25">
      <c r="A389" t="s">
        <v>46</v>
      </c>
      <c r="B389">
        <v>2017</v>
      </c>
      <c r="C389" t="s">
        <v>6</v>
      </c>
      <c r="D389">
        <v>1814282</v>
      </c>
      <c r="E389" t="s">
        <v>7</v>
      </c>
    </row>
    <row r="390" spans="1:5" x14ac:dyDescent="0.25">
      <c r="A390" t="s">
        <v>46</v>
      </c>
      <c r="B390">
        <v>2018</v>
      </c>
      <c r="C390" t="s">
        <v>6</v>
      </c>
      <c r="D390">
        <v>3285760</v>
      </c>
      <c r="E390" t="s">
        <v>7</v>
      </c>
    </row>
    <row r="391" spans="1:5" x14ac:dyDescent="0.25">
      <c r="A391" t="s">
        <v>46</v>
      </c>
      <c r="B391">
        <v>2019</v>
      </c>
      <c r="C391" t="s">
        <v>6</v>
      </c>
      <c r="D391">
        <v>11462311</v>
      </c>
      <c r="E391" t="s">
        <v>7</v>
      </c>
    </row>
    <row r="392" spans="1:5" x14ac:dyDescent="0.25">
      <c r="A392" t="s">
        <v>46</v>
      </c>
      <c r="B392">
        <v>2020</v>
      </c>
      <c r="C392" t="s">
        <v>6</v>
      </c>
      <c r="D392">
        <v>10133081</v>
      </c>
      <c r="E392" t="s">
        <v>7</v>
      </c>
    </row>
    <row r="393" spans="1:5" x14ac:dyDescent="0.25">
      <c r="A393" t="s">
        <v>46</v>
      </c>
      <c r="B393">
        <v>2022</v>
      </c>
      <c r="C393" t="s">
        <v>6</v>
      </c>
      <c r="D393">
        <v>4681070</v>
      </c>
      <c r="E393" t="s">
        <v>7</v>
      </c>
    </row>
    <row r="394" spans="1:5" x14ac:dyDescent="0.25">
      <c r="A394" t="s">
        <v>47</v>
      </c>
      <c r="B394">
        <v>2003</v>
      </c>
      <c r="C394" t="s">
        <v>6</v>
      </c>
      <c r="D394">
        <v>28821703</v>
      </c>
      <c r="E394" t="s">
        <v>7</v>
      </c>
    </row>
    <row r="395" spans="1:5" x14ac:dyDescent="0.25">
      <c r="A395" t="s">
        <v>47</v>
      </c>
      <c r="B395">
        <v>2004</v>
      </c>
      <c r="C395" t="s">
        <v>6</v>
      </c>
      <c r="D395">
        <v>37053312</v>
      </c>
      <c r="E395" t="s">
        <v>7</v>
      </c>
    </row>
    <row r="396" spans="1:5" x14ac:dyDescent="0.25">
      <c r="A396" t="s">
        <v>47</v>
      </c>
      <c r="B396">
        <v>2005</v>
      </c>
      <c r="C396" t="s">
        <v>6</v>
      </c>
      <c r="D396">
        <v>29616246</v>
      </c>
      <c r="E396" t="s">
        <v>7</v>
      </c>
    </row>
    <row r="397" spans="1:5" x14ac:dyDescent="0.25">
      <c r="A397" t="s">
        <v>47</v>
      </c>
      <c r="B397">
        <v>2006</v>
      </c>
      <c r="C397" t="s">
        <v>6</v>
      </c>
      <c r="D397">
        <v>24771491</v>
      </c>
      <c r="E397" t="s">
        <v>7</v>
      </c>
    </row>
    <row r="398" spans="1:5" x14ac:dyDescent="0.25">
      <c r="A398" t="s">
        <v>47</v>
      </c>
      <c r="B398">
        <v>2007</v>
      </c>
      <c r="C398" t="s">
        <v>6</v>
      </c>
      <c r="D398">
        <v>34843646</v>
      </c>
      <c r="E398" t="s">
        <v>7</v>
      </c>
    </row>
    <row r="399" spans="1:5" x14ac:dyDescent="0.25">
      <c r="A399" t="s">
        <v>47</v>
      </c>
      <c r="B399">
        <v>2008</v>
      </c>
      <c r="C399" t="s">
        <v>6</v>
      </c>
      <c r="D399">
        <v>13533977</v>
      </c>
      <c r="E399" t="s">
        <v>7</v>
      </c>
    </row>
    <row r="400" spans="1:5" x14ac:dyDescent="0.25">
      <c r="A400" t="s">
        <v>47</v>
      </c>
      <c r="B400">
        <v>2009</v>
      </c>
      <c r="C400" t="s">
        <v>6</v>
      </c>
      <c r="D400">
        <v>2332834.2000000002</v>
      </c>
      <c r="E400" t="s">
        <v>7</v>
      </c>
    </row>
    <row r="401" spans="1:5" x14ac:dyDescent="0.25">
      <c r="A401" t="s">
        <v>47</v>
      </c>
      <c r="B401">
        <v>2010</v>
      </c>
      <c r="C401" t="s">
        <v>6</v>
      </c>
      <c r="D401">
        <v>27349968.399999999</v>
      </c>
      <c r="E401" t="s">
        <v>7</v>
      </c>
    </row>
    <row r="402" spans="1:5" x14ac:dyDescent="0.25">
      <c r="A402" t="s">
        <v>47</v>
      </c>
      <c r="B402">
        <v>2011</v>
      </c>
      <c r="C402" t="s">
        <v>6</v>
      </c>
      <c r="D402">
        <v>55440963.880999997</v>
      </c>
      <c r="E402" t="s">
        <v>7</v>
      </c>
    </row>
    <row r="403" spans="1:5" x14ac:dyDescent="0.25">
      <c r="A403" t="s">
        <v>47</v>
      </c>
      <c r="B403">
        <v>2012</v>
      </c>
      <c r="C403" t="s">
        <v>6</v>
      </c>
      <c r="D403">
        <v>155911564.80700001</v>
      </c>
      <c r="E403" t="s">
        <v>7</v>
      </c>
    </row>
    <row r="404" spans="1:5" x14ac:dyDescent="0.25">
      <c r="A404" t="s">
        <v>47</v>
      </c>
      <c r="B404">
        <v>2013</v>
      </c>
      <c r="C404" t="s">
        <v>6</v>
      </c>
      <c r="D404">
        <v>49953333.590000004</v>
      </c>
      <c r="E404" t="s">
        <v>7</v>
      </c>
    </row>
    <row r="405" spans="1:5" x14ac:dyDescent="0.25">
      <c r="A405" t="s">
        <v>47</v>
      </c>
      <c r="B405">
        <v>2014</v>
      </c>
      <c r="C405" t="s">
        <v>6</v>
      </c>
      <c r="D405">
        <v>32561244.199999999</v>
      </c>
      <c r="E405" t="s">
        <v>7</v>
      </c>
    </row>
    <row r="406" spans="1:5" x14ac:dyDescent="0.25">
      <c r="A406" t="s">
        <v>47</v>
      </c>
      <c r="B406">
        <v>2015</v>
      </c>
      <c r="C406" t="s">
        <v>6</v>
      </c>
      <c r="D406">
        <v>43180313</v>
      </c>
      <c r="E406" t="s">
        <v>7</v>
      </c>
    </row>
    <row r="407" spans="1:5" x14ac:dyDescent="0.25">
      <c r="A407" t="s">
        <v>47</v>
      </c>
      <c r="B407">
        <v>2016</v>
      </c>
      <c r="C407" t="s">
        <v>6</v>
      </c>
      <c r="D407">
        <v>37834674.899999999</v>
      </c>
      <c r="E407" t="s">
        <v>7</v>
      </c>
    </row>
    <row r="408" spans="1:5" x14ac:dyDescent="0.25">
      <c r="A408" t="s">
        <v>47</v>
      </c>
      <c r="B408">
        <v>2017</v>
      </c>
      <c r="C408" t="s">
        <v>6</v>
      </c>
      <c r="D408">
        <v>34700897.020000003</v>
      </c>
      <c r="E408" t="s">
        <v>7</v>
      </c>
    </row>
    <row r="409" spans="1:5" x14ac:dyDescent="0.25">
      <c r="A409" t="s">
        <v>47</v>
      </c>
      <c r="B409">
        <v>2018</v>
      </c>
      <c r="C409" t="s">
        <v>6</v>
      </c>
      <c r="D409">
        <v>35480352.170000002</v>
      </c>
      <c r="E409" t="s">
        <v>7</v>
      </c>
    </row>
    <row r="410" spans="1:5" x14ac:dyDescent="0.25">
      <c r="A410" t="s">
        <v>47</v>
      </c>
      <c r="B410">
        <v>2019</v>
      </c>
      <c r="C410" t="s">
        <v>6</v>
      </c>
      <c r="D410">
        <v>35040399.960000001</v>
      </c>
      <c r="E410" t="s">
        <v>7</v>
      </c>
    </row>
    <row r="411" spans="1:5" x14ac:dyDescent="0.25">
      <c r="A411" t="s">
        <v>47</v>
      </c>
      <c r="B411">
        <v>2020</v>
      </c>
      <c r="C411" t="s">
        <v>6</v>
      </c>
      <c r="D411">
        <v>44997010.467</v>
      </c>
      <c r="E411" t="s">
        <v>7</v>
      </c>
    </row>
    <row r="412" spans="1:5" x14ac:dyDescent="0.25">
      <c r="A412" t="s">
        <v>47</v>
      </c>
      <c r="B412">
        <v>2021</v>
      </c>
      <c r="C412" t="s">
        <v>6</v>
      </c>
      <c r="D412">
        <v>47982546.770000003</v>
      </c>
      <c r="E412" t="s">
        <v>7</v>
      </c>
    </row>
    <row r="413" spans="1:5" x14ac:dyDescent="0.25">
      <c r="A413" t="s">
        <v>47</v>
      </c>
      <c r="B413">
        <v>2022</v>
      </c>
      <c r="C413" t="s">
        <v>6</v>
      </c>
      <c r="D413">
        <v>53438365.799999997</v>
      </c>
      <c r="E413" t="s">
        <v>7</v>
      </c>
    </row>
    <row r="414" spans="1:5" x14ac:dyDescent="0.25">
      <c r="A414" t="s">
        <v>48</v>
      </c>
      <c r="B414">
        <v>2025</v>
      </c>
      <c r="C414" t="s">
        <v>6</v>
      </c>
      <c r="D414">
        <v>873176.51</v>
      </c>
      <c r="E414" t="s">
        <v>7</v>
      </c>
    </row>
    <row r="415" spans="1:5" x14ac:dyDescent="0.25">
      <c r="A415" t="s">
        <v>49</v>
      </c>
      <c r="B415">
        <v>2002</v>
      </c>
      <c r="C415" t="s">
        <v>6</v>
      </c>
      <c r="D415">
        <v>58702818.995999999</v>
      </c>
      <c r="E415" t="s">
        <v>7</v>
      </c>
    </row>
    <row r="416" spans="1:5" x14ac:dyDescent="0.25">
      <c r="A416" t="s">
        <v>49</v>
      </c>
      <c r="B416">
        <v>2003</v>
      </c>
      <c r="C416" t="s">
        <v>6</v>
      </c>
      <c r="D416">
        <v>49202771.215000004</v>
      </c>
      <c r="E416" t="s">
        <v>7</v>
      </c>
    </row>
    <row r="417" spans="1:5" x14ac:dyDescent="0.25">
      <c r="A417" t="s">
        <v>49</v>
      </c>
      <c r="B417">
        <v>2004</v>
      </c>
      <c r="C417" t="s">
        <v>6</v>
      </c>
      <c r="D417">
        <v>52762098.990000002</v>
      </c>
      <c r="E417" t="s">
        <v>7</v>
      </c>
    </row>
    <row r="418" spans="1:5" x14ac:dyDescent="0.25">
      <c r="A418" t="s">
        <v>49</v>
      </c>
      <c r="B418">
        <v>2005</v>
      </c>
      <c r="C418" t="s">
        <v>6</v>
      </c>
      <c r="D418">
        <v>67129402.873999998</v>
      </c>
      <c r="E418" t="s">
        <v>7</v>
      </c>
    </row>
    <row r="419" spans="1:5" x14ac:dyDescent="0.25">
      <c r="A419" t="s">
        <v>49</v>
      </c>
      <c r="B419">
        <v>2006</v>
      </c>
      <c r="C419" t="s">
        <v>6</v>
      </c>
      <c r="D419">
        <v>69327136.086999997</v>
      </c>
      <c r="E419" t="s">
        <v>7</v>
      </c>
    </row>
    <row r="420" spans="1:5" x14ac:dyDescent="0.25">
      <c r="A420" t="s">
        <v>49</v>
      </c>
      <c r="B420">
        <v>2007</v>
      </c>
      <c r="C420" t="s">
        <v>6</v>
      </c>
      <c r="D420">
        <v>70485577.781000003</v>
      </c>
      <c r="E420" t="s">
        <v>7</v>
      </c>
    </row>
    <row r="421" spans="1:5" x14ac:dyDescent="0.25">
      <c r="A421" t="s">
        <v>49</v>
      </c>
      <c r="B421">
        <v>2008</v>
      </c>
      <c r="C421" t="s">
        <v>6</v>
      </c>
      <c r="D421">
        <v>74128347.044</v>
      </c>
      <c r="E421" t="s">
        <v>7</v>
      </c>
    </row>
    <row r="422" spans="1:5" x14ac:dyDescent="0.25">
      <c r="A422" t="s">
        <v>49</v>
      </c>
      <c r="B422">
        <v>2009</v>
      </c>
      <c r="C422" t="s">
        <v>6</v>
      </c>
      <c r="D422">
        <v>68958502.276999995</v>
      </c>
      <c r="E422" t="s">
        <v>7</v>
      </c>
    </row>
    <row r="423" spans="1:5" x14ac:dyDescent="0.25">
      <c r="A423" t="s">
        <v>49</v>
      </c>
      <c r="B423">
        <v>2010</v>
      </c>
      <c r="C423" t="s">
        <v>6</v>
      </c>
      <c r="D423">
        <v>74981659.096000001</v>
      </c>
      <c r="E423" t="s">
        <v>7</v>
      </c>
    </row>
    <row r="424" spans="1:5" x14ac:dyDescent="0.25">
      <c r="A424" t="s">
        <v>49</v>
      </c>
      <c r="B424">
        <v>2011</v>
      </c>
      <c r="C424" t="s">
        <v>6</v>
      </c>
      <c r="D424">
        <v>93632869.053000003</v>
      </c>
      <c r="E424" t="s">
        <v>7</v>
      </c>
    </row>
    <row r="425" spans="1:5" x14ac:dyDescent="0.25">
      <c r="A425" t="s">
        <v>49</v>
      </c>
      <c r="B425">
        <v>2012</v>
      </c>
      <c r="C425" t="s">
        <v>6</v>
      </c>
      <c r="D425">
        <v>85210293.834000006</v>
      </c>
      <c r="E425" t="s">
        <v>7</v>
      </c>
    </row>
    <row r="426" spans="1:5" x14ac:dyDescent="0.25">
      <c r="A426" t="s">
        <v>49</v>
      </c>
      <c r="B426">
        <v>2013</v>
      </c>
      <c r="C426" t="s">
        <v>6</v>
      </c>
      <c r="D426">
        <v>78373781.450000003</v>
      </c>
      <c r="E426" t="s">
        <v>7</v>
      </c>
    </row>
    <row r="427" spans="1:5" x14ac:dyDescent="0.25">
      <c r="A427" t="s">
        <v>49</v>
      </c>
      <c r="B427">
        <v>2014</v>
      </c>
      <c r="C427" t="s">
        <v>6</v>
      </c>
      <c r="D427">
        <v>79983769.131999999</v>
      </c>
      <c r="E427" t="s">
        <v>7</v>
      </c>
    </row>
    <row r="428" spans="1:5" x14ac:dyDescent="0.25">
      <c r="A428" t="s">
        <v>49</v>
      </c>
      <c r="B428">
        <v>2015</v>
      </c>
      <c r="C428" t="s">
        <v>6</v>
      </c>
      <c r="D428">
        <v>84741438.530000001</v>
      </c>
      <c r="E428" t="s">
        <v>7</v>
      </c>
    </row>
    <row r="429" spans="1:5" x14ac:dyDescent="0.25">
      <c r="A429" t="s">
        <v>49</v>
      </c>
      <c r="B429">
        <v>2016</v>
      </c>
      <c r="C429" t="s">
        <v>6</v>
      </c>
      <c r="D429">
        <v>90497430.424999997</v>
      </c>
      <c r="E429" t="s">
        <v>7</v>
      </c>
    </row>
    <row r="430" spans="1:5" x14ac:dyDescent="0.25">
      <c r="A430" t="s">
        <v>49</v>
      </c>
      <c r="B430">
        <v>2017</v>
      </c>
      <c r="C430" t="s">
        <v>6</v>
      </c>
      <c r="D430">
        <v>97631053.725999996</v>
      </c>
      <c r="E430" t="s">
        <v>7</v>
      </c>
    </row>
    <row r="431" spans="1:5" x14ac:dyDescent="0.25">
      <c r="A431" t="s">
        <v>49</v>
      </c>
      <c r="B431">
        <v>2018</v>
      </c>
      <c r="C431" t="s">
        <v>6</v>
      </c>
      <c r="D431">
        <v>102591937.932</v>
      </c>
      <c r="E431" t="s">
        <v>7</v>
      </c>
    </row>
    <row r="432" spans="1:5" x14ac:dyDescent="0.25">
      <c r="A432" t="s">
        <v>49</v>
      </c>
      <c r="B432">
        <v>2019</v>
      </c>
      <c r="C432" t="s">
        <v>6</v>
      </c>
      <c r="D432">
        <v>95936904.187000006</v>
      </c>
      <c r="E432" t="s">
        <v>7</v>
      </c>
    </row>
    <row r="433" spans="1:5" x14ac:dyDescent="0.25">
      <c r="A433" t="s">
        <v>49</v>
      </c>
      <c r="B433">
        <v>2020</v>
      </c>
      <c r="C433" t="s">
        <v>6</v>
      </c>
      <c r="D433">
        <v>106207657.587</v>
      </c>
      <c r="E433" t="s">
        <v>7</v>
      </c>
    </row>
    <row r="434" spans="1:5" x14ac:dyDescent="0.25">
      <c r="A434" t="s">
        <v>49</v>
      </c>
      <c r="B434">
        <v>2021</v>
      </c>
      <c r="C434" t="s">
        <v>6</v>
      </c>
      <c r="D434">
        <v>96794742.7959999</v>
      </c>
      <c r="E434" t="s">
        <v>7</v>
      </c>
    </row>
    <row r="435" spans="1:5" x14ac:dyDescent="0.25">
      <c r="A435" t="s">
        <v>49</v>
      </c>
      <c r="B435">
        <v>2022</v>
      </c>
      <c r="C435" t="s">
        <v>6</v>
      </c>
      <c r="D435">
        <v>96553675.380999997</v>
      </c>
      <c r="E435" t="s">
        <v>7</v>
      </c>
    </row>
    <row r="436" spans="1:5" x14ac:dyDescent="0.25">
      <c r="A436" t="s">
        <v>49</v>
      </c>
      <c r="B436">
        <v>2023</v>
      </c>
      <c r="C436" t="s">
        <v>6</v>
      </c>
      <c r="D436">
        <v>103888492.645</v>
      </c>
      <c r="E436" t="s">
        <v>7</v>
      </c>
    </row>
    <row r="437" spans="1:5" x14ac:dyDescent="0.25">
      <c r="A437" t="s">
        <v>49</v>
      </c>
      <c r="B437">
        <v>2024</v>
      </c>
      <c r="C437" t="s">
        <v>6</v>
      </c>
      <c r="D437">
        <v>106986895.721</v>
      </c>
      <c r="E437" t="s">
        <v>7</v>
      </c>
    </row>
    <row r="438" spans="1:5" x14ac:dyDescent="0.25">
      <c r="A438" t="s">
        <v>49</v>
      </c>
      <c r="B438">
        <v>2025</v>
      </c>
      <c r="C438" t="s">
        <v>6</v>
      </c>
      <c r="D438">
        <v>101587099.744</v>
      </c>
      <c r="E438" t="s">
        <v>7</v>
      </c>
    </row>
    <row r="439" spans="1:5" x14ac:dyDescent="0.25">
      <c r="A439" t="s">
        <v>50</v>
      </c>
      <c r="B439">
        <v>2010</v>
      </c>
      <c r="C439" t="s">
        <v>6</v>
      </c>
      <c r="D439">
        <v>588726990</v>
      </c>
      <c r="E439" t="s">
        <v>7</v>
      </c>
    </row>
    <row r="440" spans="1:5" x14ac:dyDescent="0.25">
      <c r="A440" t="s">
        <v>50</v>
      </c>
      <c r="B440">
        <v>2011</v>
      </c>
      <c r="C440" t="s">
        <v>6</v>
      </c>
      <c r="D440">
        <v>576241031</v>
      </c>
      <c r="E440" t="s">
        <v>7</v>
      </c>
    </row>
    <row r="441" spans="1:5" x14ac:dyDescent="0.25">
      <c r="A441" t="s">
        <v>50</v>
      </c>
      <c r="B441">
        <v>2012</v>
      </c>
      <c r="C441" t="s">
        <v>6</v>
      </c>
      <c r="D441">
        <v>559492762</v>
      </c>
      <c r="E441" t="s">
        <v>7</v>
      </c>
    </row>
    <row r="442" spans="1:5" x14ac:dyDescent="0.25">
      <c r="A442" t="s">
        <v>50</v>
      </c>
      <c r="B442">
        <v>2013</v>
      </c>
      <c r="C442" t="s">
        <v>6</v>
      </c>
      <c r="D442">
        <v>550883859</v>
      </c>
      <c r="E442" t="s">
        <v>7</v>
      </c>
    </row>
    <row r="443" spans="1:5" x14ac:dyDescent="0.25">
      <c r="A443" t="s">
        <v>50</v>
      </c>
      <c r="B443">
        <v>2014</v>
      </c>
      <c r="C443" t="s">
        <v>6</v>
      </c>
      <c r="D443">
        <v>595479085</v>
      </c>
      <c r="E443" t="s">
        <v>7</v>
      </c>
    </row>
    <row r="444" spans="1:5" x14ac:dyDescent="0.25">
      <c r="A444" t="s">
        <v>50</v>
      </c>
      <c r="B444">
        <v>2015</v>
      </c>
      <c r="C444" t="s">
        <v>6</v>
      </c>
      <c r="D444">
        <v>561630822.29400003</v>
      </c>
      <c r="E444" t="s">
        <v>7</v>
      </c>
    </row>
    <row r="445" spans="1:5" x14ac:dyDescent="0.25">
      <c r="A445" t="s">
        <v>50</v>
      </c>
      <c r="B445">
        <v>2016</v>
      </c>
      <c r="C445" t="s">
        <v>6</v>
      </c>
      <c r="D445">
        <v>563152955.23099995</v>
      </c>
      <c r="E445" t="s">
        <v>7</v>
      </c>
    </row>
    <row r="446" spans="1:5" x14ac:dyDescent="0.25">
      <c r="A446" t="s">
        <v>50</v>
      </c>
      <c r="B446">
        <v>2017</v>
      </c>
      <c r="C446" t="s">
        <v>6</v>
      </c>
      <c r="D446">
        <v>490482330.05800003</v>
      </c>
      <c r="E446" t="s">
        <v>7</v>
      </c>
    </row>
    <row r="447" spans="1:5" x14ac:dyDescent="0.25">
      <c r="A447" t="s">
        <v>50</v>
      </c>
      <c r="B447">
        <v>2018</v>
      </c>
      <c r="C447" t="s">
        <v>6</v>
      </c>
      <c r="D447">
        <v>514415168.51999998</v>
      </c>
      <c r="E447" t="s">
        <v>7</v>
      </c>
    </row>
    <row r="448" spans="1:5" x14ac:dyDescent="0.25">
      <c r="A448" t="s">
        <v>50</v>
      </c>
      <c r="B448">
        <v>2019</v>
      </c>
      <c r="C448" t="s">
        <v>6</v>
      </c>
      <c r="D448">
        <v>441891507.46499997</v>
      </c>
      <c r="E448" t="s">
        <v>7</v>
      </c>
    </row>
    <row r="449" spans="1:5" x14ac:dyDescent="0.25">
      <c r="A449" t="s">
        <v>50</v>
      </c>
      <c r="B449">
        <v>2020</v>
      </c>
      <c r="C449" t="s">
        <v>6</v>
      </c>
      <c r="D449">
        <v>582657601.21599996</v>
      </c>
      <c r="E449" t="s">
        <v>7</v>
      </c>
    </row>
    <row r="450" spans="1:5" x14ac:dyDescent="0.25">
      <c r="A450" t="s">
        <v>50</v>
      </c>
      <c r="B450">
        <v>2021</v>
      </c>
      <c r="C450" t="s">
        <v>6</v>
      </c>
      <c r="D450">
        <v>471026442.727</v>
      </c>
      <c r="E450" t="s">
        <v>7</v>
      </c>
    </row>
    <row r="451" spans="1:5" x14ac:dyDescent="0.25">
      <c r="A451" t="s">
        <v>50</v>
      </c>
      <c r="B451">
        <v>2022</v>
      </c>
      <c r="C451" t="s">
        <v>6</v>
      </c>
      <c r="D451">
        <v>513792909.30500001</v>
      </c>
      <c r="E451" t="s">
        <v>7</v>
      </c>
    </row>
    <row r="452" spans="1:5" x14ac:dyDescent="0.25">
      <c r="A452" t="s">
        <v>50</v>
      </c>
      <c r="B452">
        <v>2023</v>
      </c>
      <c r="C452" t="s">
        <v>6</v>
      </c>
      <c r="D452">
        <v>444404332.98199999</v>
      </c>
      <c r="E452" t="s">
        <v>7</v>
      </c>
    </row>
    <row r="453" spans="1:5" x14ac:dyDescent="0.25">
      <c r="A453" t="s">
        <v>50</v>
      </c>
      <c r="B453">
        <v>2024</v>
      </c>
      <c r="C453" t="s">
        <v>6</v>
      </c>
      <c r="D453">
        <v>579464066.50300002</v>
      </c>
      <c r="E453" t="s">
        <v>7</v>
      </c>
    </row>
    <row r="454" spans="1:5" x14ac:dyDescent="0.25">
      <c r="A454" t="s">
        <v>50</v>
      </c>
      <c r="B454">
        <v>2025</v>
      </c>
      <c r="C454" t="s">
        <v>6</v>
      </c>
      <c r="D454">
        <v>95222869.525000006</v>
      </c>
      <c r="E454" t="s">
        <v>7</v>
      </c>
    </row>
    <row r="455" spans="1:5" x14ac:dyDescent="0.25">
      <c r="A455" t="s">
        <v>51</v>
      </c>
      <c r="B455">
        <v>2021</v>
      </c>
      <c r="C455" t="s">
        <v>6</v>
      </c>
      <c r="D455">
        <v>2327752</v>
      </c>
      <c r="E455" t="s">
        <v>7</v>
      </c>
    </row>
    <row r="456" spans="1:5" x14ac:dyDescent="0.25">
      <c r="A456" t="s">
        <v>51</v>
      </c>
      <c r="B456">
        <v>2022</v>
      </c>
      <c r="C456" t="s">
        <v>6</v>
      </c>
      <c r="D456">
        <v>4930614</v>
      </c>
      <c r="E456" t="s">
        <v>7</v>
      </c>
    </row>
    <row r="457" spans="1:5" x14ac:dyDescent="0.25">
      <c r="A457" t="s">
        <v>52</v>
      </c>
      <c r="B457">
        <v>2025</v>
      </c>
      <c r="C457" t="s">
        <v>6</v>
      </c>
      <c r="D457">
        <v>1138702</v>
      </c>
      <c r="E457" t="s">
        <v>7</v>
      </c>
    </row>
    <row r="458" spans="1:5" x14ac:dyDescent="0.25">
      <c r="A458" t="s">
        <v>53</v>
      </c>
      <c r="B458">
        <v>2022</v>
      </c>
      <c r="C458" t="s">
        <v>6</v>
      </c>
      <c r="D458">
        <v>2796226</v>
      </c>
      <c r="E458" t="s">
        <v>7</v>
      </c>
    </row>
    <row r="459" spans="1:5" x14ac:dyDescent="0.25">
      <c r="A459" t="s">
        <v>53</v>
      </c>
      <c r="B459">
        <v>2023</v>
      </c>
      <c r="C459" t="s">
        <v>6</v>
      </c>
      <c r="D459">
        <v>2895769</v>
      </c>
      <c r="E459" t="s">
        <v>7</v>
      </c>
    </row>
    <row r="460" spans="1:5" x14ac:dyDescent="0.25">
      <c r="A460" t="s">
        <v>53</v>
      </c>
      <c r="B460">
        <v>2024</v>
      </c>
      <c r="C460" t="s">
        <v>6</v>
      </c>
      <c r="D460">
        <v>3742950.46</v>
      </c>
      <c r="E460" t="s">
        <v>7</v>
      </c>
    </row>
    <row r="461" spans="1:5" x14ac:dyDescent="0.25">
      <c r="A461" t="s">
        <v>53</v>
      </c>
      <c r="B461">
        <v>2025</v>
      </c>
      <c r="C461" t="s">
        <v>6</v>
      </c>
      <c r="D461">
        <v>3114324.997</v>
      </c>
      <c r="E461" t="s">
        <v>7</v>
      </c>
    </row>
    <row r="462" spans="1:5" x14ac:dyDescent="0.25">
      <c r="A462" t="s">
        <v>54</v>
      </c>
      <c r="B462">
        <v>2017</v>
      </c>
      <c r="C462" t="s">
        <v>6</v>
      </c>
      <c r="D462">
        <v>21758991.399999999</v>
      </c>
      <c r="E462" t="s">
        <v>7</v>
      </c>
    </row>
    <row r="463" spans="1:5" x14ac:dyDescent="0.25">
      <c r="A463" t="s">
        <v>54</v>
      </c>
      <c r="B463">
        <v>2018</v>
      </c>
      <c r="C463" t="s">
        <v>6</v>
      </c>
      <c r="D463">
        <v>18092247.100000001</v>
      </c>
      <c r="E463" t="s">
        <v>7</v>
      </c>
    </row>
    <row r="464" spans="1:5" x14ac:dyDescent="0.25">
      <c r="A464" t="s">
        <v>54</v>
      </c>
      <c r="B464">
        <v>2019</v>
      </c>
      <c r="C464" t="s">
        <v>6</v>
      </c>
      <c r="D464">
        <v>17457510.199999999</v>
      </c>
      <c r="E464" t="s">
        <v>7</v>
      </c>
    </row>
    <row r="465" spans="1:5" x14ac:dyDescent="0.25">
      <c r="A465" t="s">
        <v>55</v>
      </c>
      <c r="B465">
        <v>2010</v>
      </c>
      <c r="C465" t="s">
        <v>6</v>
      </c>
      <c r="D465">
        <v>5214074</v>
      </c>
      <c r="E465" t="s">
        <v>7</v>
      </c>
    </row>
    <row r="466" spans="1:5" x14ac:dyDescent="0.25">
      <c r="A466" t="s">
        <v>55</v>
      </c>
      <c r="B466">
        <v>2011</v>
      </c>
      <c r="C466" t="s">
        <v>6</v>
      </c>
      <c r="D466">
        <v>3931545</v>
      </c>
      <c r="E466" t="s">
        <v>7</v>
      </c>
    </row>
    <row r="467" spans="1:5" x14ac:dyDescent="0.25">
      <c r="A467" t="s">
        <v>55</v>
      </c>
      <c r="B467">
        <v>2012</v>
      </c>
      <c r="C467" t="s">
        <v>6</v>
      </c>
      <c r="D467">
        <v>4526804</v>
      </c>
      <c r="E467" t="s">
        <v>7</v>
      </c>
    </row>
    <row r="468" spans="1:5" x14ac:dyDescent="0.25">
      <c r="A468" t="s">
        <v>55</v>
      </c>
      <c r="B468">
        <v>2013</v>
      </c>
      <c r="C468" t="s">
        <v>6</v>
      </c>
      <c r="D468">
        <v>4275569</v>
      </c>
      <c r="E468" t="s">
        <v>7</v>
      </c>
    </row>
    <row r="469" spans="1:5" x14ac:dyDescent="0.25">
      <c r="A469" t="s">
        <v>55</v>
      </c>
      <c r="B469">
        <v>2014</v>
      </c>
      <c r="C469" t="s">
        <v>6</v>
      </c>
      <c r="D469">
        <v>3948646</v>
      </c>
      <c r="E469" t="s">
        <v>7</v>
      </c>
    </row>
    <row r="470" spans="1:5" x14ac:dyDescent="0.25">
      <c r="A470" t="s">
        <v>55</v>
      </c>
      <c r="B470">
        <v>2015</v>
      </c>
      <c r="C470" t="s">
        <v>6</v>
      </c>
      <c r="D470">
        <v>3285660</v>
      </c>
      <c r="E470" t="s">
        <v>7</v>
      </c>
    </row>
    <row r="471" spans="1:5" x14ac:dyDescent="0.25">
      <c r="A471" t="s">
        <v>55</v>
      </c>
      <c r="B471">
        <v>2016</v>
      </c>
      <c r="C471" t="s">
        <v>6</v>
      </c>
      <c r="D471">
        <v>3912353</v>
      </c>
      <c r="E471" t="s">
        <v>7</v>
      </c>
    </row>
    <row r="472" spans="1:5" x14ac:dyDescent="0.25">
      <c r="A472" t="s">
        <v>55</v>
      </c>
      <c r="B472">
        <v>2017</v>
      </c>
      <c r="C472" t="s">
        <v>6</v>
      </c>
      <c r="D472">
        <v>3051474</v>
      </c>
      <c r="E472" t="s">
        <v>7</v>
      </c>
    </row>
    <row r="473" spans="1:5" x14ac:dyDescent="0.25">
      <c r="A473" t="s">
        <v>55</v>
      </c>
      <c r="B473">
        <v>2018</v>
      </c>
      <c r="C473" t="s">
        <v>6</v>
      </c>
      <c r="D473">
        <v>6024583.182</v>
      </c>
      <c r="E473" t="s">
        <v>7</v>
      </c>
    </row>
    <row r="474" spans="1:5" x14ac:dyDescent="0.25">
      <c r="A474" t="s">
        <v>55</v>
      </c>
      <c r="B474">
        <v>2019</v>
      </c>
      <c r="C474" t="s">
        <v>6</v>
      </c>
      <c r="D474">
        <v>3256518.1710000001</v>
      </c>
      <c r="E474" t="s">
        <v>7</v>
      </c>
    </row>
    <row r="475" spans="1:5" x14ac:dyDescent="0.25">
      <c r="A475" t="s">
        <v>55</v>
      </c>
      <c r="B475">
        <v>2020</v>
      </c>
      <c r="C475" t="s">
        <v>6</v>
      </c>
      <c r="D475">
        <v>4009994.7009999999</v>
      </c>
      <c r="E475" t="s">
        <v>7</v>
      </c>
    </row>
    <row r="476" spans="1:5" x14ac:dyDescent="0.25">
      <c r="A476" t="s">
        <v>56</v>
      </c>
      <c r="B476">
        <v>2015</v>
      </c>
      <c r="C476" t="s">
        <v>6</v>
      </c>
      <c r="D476">
        <v>41243112.527000003</v>
      </c>
      <c r="E476" t="s">
        <v>7</v>
      </c>
    </row>
    <row r="477" spans="1:5" x14ac:dyDescent="0.25">
      <c r="A477" t="s">
        <v>56</v>
      </c>
      <c r="B477">
        <v>2016</v>
      </c>
      <c r="C477" t="s">
        <v>6</v>
      </c>
      <c r="D477">
        <v>43221813.648999996</v>
      </c>
      <c r="E477" t="s">
        <v>7</v>
      </c>
    </row>
    <row r="478" spans="1:5" x14ac:dyDescent="0.25">
      <c r="A478" t="s">
        <v>56</v>
      </c>
      <c r="B478">
        <v>2017</v>
      </c>
      <c r="C478" t="s">
        <v>6</v>
      </c>
      <c r="D478">
        <v>42802744.623000003</v>
      </c>
      <c r="E478" t="s">
        <v>7</v>
      </c>
    </row>
    <row r="479" spans="1:5" x14ac:dyDescent="0.25">
      <c r="A479" t="s">
        <v>56</v>
      </c>
      <c r="B479">
        <v>2018</v>
      </c>
      <c r="C479" t="s">
        <v>6</v>
      </c>
      <c r="D479">
        <v>43672836.781999998</v>
      </c>
      <c r="E479" t="s">
        <v>7</v>
      </c>
    </row>
    <row r="480" spans="1:5" x14ac:dyDescent="0.25">
      <c r="A480" t="s">
        <v>56</v>
      </c>
      <c r="B480">
        <v>2019</v>
      </c>
      <c r="C480" t="s">
        <v>6</v>
      </c>
      <c r="D480">
        <v>51502757.773999996</v>
      </c>
      <c r="E480" t="s">
        <v>7</v>
      </c>
    </row>
    <row r="481" spans="1:5" x14ac:dyDescent="0.25">
      <c r="A481" t="s">
        <v>56</v>
      </c>
      <c r="B481">
        <v>2020</v>
      </c>
      <c r="C481" t="s">
        <v>6</v>
      </c>
      <c r="D481">
        <v>66956902.776000001</v>
      </c>
      <c r="E481" t="s">
        <v>7</v>
      </c>
    </row>
    <row r="482" spans="1:5" x14ac:dyDescent="0.25">
      <c r="A482" t="s">
        <v>56</v>
      </c>
      <c r="B482">
        <v>2021</v>
      </c>
      <c r="C482" t="s">
        <v>6</v>
      </c>
      <c r="D482">
        <v>55714263.038000003</v>
      </c>
      <c r="E482" t="s">
        <v>7</v>
      </c>
    </row>
    <row r="483" spans="1:5" x14ac:dyDescent="0.25">
      <c r="A483" t="s">
        <v>56</v>
      </c>
      <c r="B483">
        <v>2022</v>
      </c>
      <c r="C483" t="s">
        <v>6</v>
      </c>
      <c r="D483">
        <v>63314879.794</v>
      </c>
      <c r="E483" t="s">
        <v>7</v>
      </c>
    </row>
    <row r="484" spans="1:5" x14ac:dyDescent="0.25">
      <c r="A484" t="s">
        <v>56</v>
      </c>
      <c r="B484">
        <v>2023</v>
      </c>
      <c r="C484" t="s">
        <v>6</v>
      </c>
      <c r="D484">
        <v>58834172.299999997</v>
      </c>
      <c r="E484" t="s">
        <v>7</v>
      </c>
    </row>
    <row r="485" spans="1:5" x14ac:dyDescent="0.25">
      <c r="A485" t="s">
        <v>5</v>
      </c>
      <c r="B485">
        <v>2014</v>
      </c>
      <c r="C485" t="s">
        <v>57</v>
      </c>
      <c r="D485">
        <v>3165181.9479999999</v>
      </c>
      <c r="E485" t="s">
        <v>7</v>
      </c>
    </row>
    <row r="486" spans="1:5" x14ac:dyDescent="0.25">
      <c r="A486" t="s">
        <v>8</v>
      </c>
      <c r="B486">
        <v>2022</v>
      </c>
      <c r="C486" t="s">
        <v>57</v>
      </c>
      <c r="D486">
        <v>46199247.788000003</v>
      </c>
      <c r="E486" t="s">
        <v>7</v>
      </c>
    </row>
    <row r="487" spans="1:5" x14ac:dyDescent="0.25">
      <c r="A487" t="s">
        <v>9</v>
      </c>
      <c r="B487">
        <v>2015</v>
      </c>
      <c r="C487" t="s">
        <v>57</v>
      </c>
      <c r="D487">
        <v>8715045.4010000005</v>
      </c>
      <c r="E487" t="s">
        <v>7</v>
      </c>
    </row>
    <row r="488" spans="1:5" x14ac:dyDescent="0.25">
      <c r="A488" t="s">
        <v>9</v>
      </c>
      <c r="B488">
        <v>2023</v>
      </c>
      <c r="C488" t="s">
        <v>57</v>
      </c>
      <c r="D488">
        <v>16305511.582</v>
      </c>
      <c r="E488" t="s">
        <v>7</v>
      </c>
    </row>
    <row r="489" spans="1:5" x14ac:dyDescent="0.25">
      <c r="A489" t="s">
        <v>9</v>
      </c>
      <c r="B489">
        <v>2025</v>
      </c>
      <c r="C489" t="s">
        <v>57</v>
      </c>
      <c r="D489">
        <v>9688969.9000000004</v>
      </c>
      <c r="E489" t="s">
        <v>7</v>
      </c>
    </row>
    <row r="490" spans="1:5" x14ac:dyDescent="0.25">
      <c r="A490" t="s">
        <v>10</v>
      </c>
      <c r="B490">
        <v>2003</v>
      </c>
      <c r="C490" t="s">
        <v>57</v>
      </c>
      <c r="D490">
        <v>5656598</v>
      </c>
      <c r="E490" t="s">
        <v>7</v>
      </c>
    </row>
    <row r="491" spans="1:5" x14ac:dyDescent="0.25">
      <c r="A491" t="s">
        <v>10</v>
      </c>
      <c r="B491">
        <v>2005</v>
      </c>
      <c r="C491" t="s">
        <v>57</v>
      </c>
      <c r="D491">
        <v>9709593</v>
      </c>
      <c r="E491" t="s">
        <v>7</v>
      </c>
    </row>
    <row r="492" spans="1:5" x14ac:dyDescent="0.25">
      <c r="A492" t="s">
        <v>10</v>
      </c>
      <c r="B492">
        <v>2006</v>
      </c>
      <c r="C492" t="s">
        <v>57</v>
      </c>
      <c r="D492">
        <v>11212903</v>
      </c>
      <c r="E492" t="s">
        <v>7</v>
      </c>
    </row>
    <row r="493" spans="1:5" x14ac:dyDescent="0.25">
      <c r="A493" t="s">
        <v>10</v>
      </c>
      <c r="B493">
        <v>2007</v>
      </c>
      <c r="C493" t="s">
        <v>57</v>
      </c>
      <c r="D493">
        <v>19714529</v>
      </c>
      <c r="E493" t="s">
        <v>7</v>
      </c>
    </row>
    <row r="494" spans="1:5" x14ac:dyDescent="0.25">
      <c r="A494" t="s">
        <v>10</v>
      </c>
      <c r="B494">
        <v>2008</v>
      </c>
      <c r="C494" t="s">
        <v>57</v>
      </c>
      <c r="D494">
        <v>19298944</v>
      </c>
      <c r="E494" t="s">
        <v>7</v>
      </c>
    </row>
    <row r="495" spans="1:5" x14ac:dyDescent="0.25">
      <c r="A495" t="s">
        <v>10</v>
      </c>
      <c r="B495">
        <v>2009</v>
      </c>
      <c r="C495" t="s">
        <v>57</v>
      </c>
      <c r="D495">
        <v>19121160</v>
      </c>
      <c r="E495" t="s">
        <v>7</v>
      </c>
    </row>
    <row r="496" spans="1:5" x14ac:dyDescent="0.25">
      <c r="A496" t="s">
        <v>10</v>
      </c>
      <c r="B496">
        <v>2010</v>
      </c>
      <c r="C496" t="s">
        <v>57</v>
      </c>
      <c r="D496">
        <v>11193183</v>
      </c>
      <c r="E496" t="s">
        <v>7</v>
      </c>
    </row>
    <row r="497" spans="1:5" x14ac:dyDescent="0.25">
      <c r="A497" t="s">
        <v>10</v>
      </c>
      <c r="B497">
        <v>2011</v>
      </c>
      <c r="C497" t="s">
        <v>57</v>
      </c>
      <c r="D497">
        <v>12607473</v>
      </c>
      <c r="E497" t="s">
        <v>7</v>
      </c>
    </row>
    <row r="498" spans="1:5" x14ac:dyDescent="0.25">
      <c r="A498" t="s">
        <v>10</v>
      </c>
      <c r="B498">
        <v>2015</v>
      </c>
      <c r="C498" t="s">
        <v>57</v>
      </c>
      <c r="D498">
        <v>7889465</v>
      </c>
      <c r="E498" t="s">
        <v>7</v>
      </c>
    </row>
    <row r="499" spans="1:5" x14ac:dyDescent="0.25">
      <c r="A499" t="s">
        <v>10</v>
      </c>
      <c r="B499">
        <v>2017</v>
      </c>
      <c r="C499" t="s">
        <v>57</v>
      </c>
      <c r="D499">
        <v>7681399</v>
      </c>
      <c r="E499" t="s">
        <v>7</v>
      </c>
    </row>
    <row r="500" spans="1:5" x14ac:dyDescent="0.25">
      <c r="A500" t="s">
        <v>10</v>
      </c>
      <c r="B500">
        <v>2021</v>
      </c>
      <c r="C500" t="s">
        <v>57</v>
      </c>
      <c r="D500">
        <v>10448226</v>
      </c>
      <c r="E500" t="s">
        <v>7</v>
      </c>
    </row>
    <row r="501" spans="1:5" x14ac:dyDescent="0.25">
      <c r="A501" t="s">
        <v>10</v>
      </c>
      <c r="B501">
        <v>2022</v>
      </c>
      <c r="C501" t="s">
        <v>57</v>
      </c>
      <c r="D501">
        <v>19394416</v>
      </c>
      <c r="E501" t="s">
        <v>7</v>
      </c>
    </row>
    <row r="502" spans="1:5" x14ac:dyDescent="0.25">
      <c r="A502" t="s">
        <v>10</v>
      </c>
      <c r="B502">
        <v>2023</v>
      </c>
      <c r="C502" t="s">
        <v>57</v>
      </c>
      <c r="D502">
        <v>22571307</v>
      </c>
      <c r="E502" t="s">
        <v>7</v>
      </c>
    </row>
    <row r="503" spans="1:5" x14ac:dyDescent="0.25">
      <c r="A503" t="s">
        <v>10</v>
      </c>
      <c r="B503">
        <v>2024</v>
      </c>
      <c r="C503" t="s">
        <v>57</v>
      </c>
      <c r="D503">
        <v>26554009</v>
      </c>
      <c r="E503" t="s">
        <v>7</v>
      </c>
    </row>
    <row r="504" spans="1:5" x14ac:dyDescent="0.25">
      <c r="A504" t="s">
        <v>10</v>
      </c>
      <c r="B504">
        <v>2025</v>
      </c>
      <c r="C504" t="s">
        <v>57</v>
      </c>
      <c r="D504">
        <v>26930391</v>
      </c>
      <c r="E504" t="s">
        <v>7</v>
      </c>
    </row>
    <row r="505" spans="1:5" x14ac:dyDescent="0.25">
      <c r="A505" t="s">
        <v>11</v>
      </c>
      <c r="B505">
        <v>2012</v>
      </c>
      <c r="C505" t="s">
        <v>57</v>
      </c>
      <c r="D505">
        <v>18611291.408</v>
      </c>
      <c r="E505" t="s">
        <v>7</v>
      </c>
    </row>
    <row r="506" spans="1:5" x14ac:dyDescent="0.25">
      <c r="A506" t="s">
        <v>11</v>
      </c>
      <c r="B506">
        <v>2016</v>
      </c>
      <c r="C506" t="s">
        <v>57</v>
      </c>
      <c r="D506">
        <v>9845590.3090000004</v>
      </c>
      <c r="E506" t="s">
        <v>7</v>
      </c>
    </row>
    <row r="507" spans="1:5" x14ac:dyDescent="0.25">
      <c r="A507" t="s">
        <v>12</v>
      </c>
      <c r="B507">
        <v>2010</v>
      </c>
      <c r="C507" t="s">
        <v>57</v>
      </c>
      <c r="D507">
        <v>134152947.962</v>
      </c>
      <c r="E507" t="s">
        <v>7</v>
      </c>
    </row>
    <row r="508" spans="1:5" x14ac:dyDescent="0.25">
      <c r="A508" t="s">
        <v>12</v>
      </c>
      <c r="B508">
        <v>2011</v>
      </c>
      <c r="C508" t="s">
        <v>57</v>
      </c>
      <c r="D508">
        <v>242138219.91100001</v>
      </c>
      <c r="E508" t="s">
        <v>7</v>
      </c>
    </row>
    <row r="509" spans="1:5" x14ac:dyDescent="0.25">
      <c r="A509" t="s">
        <v>12</v>
      </c>
      <c r="B509">
        <v>2012</v>
      </c>
      <c r="C509" t="s">
        <v>57</v>
      </c>
      <c r="D509">
        <v>213155123.74399999</v>
      </c>
      <c r="E509" t="s">
        <v>7</v>
      </c>
    </row>
    <row r="510" spans="1:5" x14ac:dyDescent="0.25">
      <c r="A510" t="s">
        <v>12</v>
      </c>
      <c r="B510">
        <v>2016</v>
      </c>
      <c r="C510" t="s">
        <v>57</v>
      </c>
      <c r="D510">
        <v>362890053.93000001</v>
      </c>
      <c r="E510" t="s">
        <v>7</v>
      </c>
    </row>
    <row r="511" spans="1:5" x14ac:dyDescent="0.25">
      <c r="A511" t="s">
        <v>12</v>
      </c>
      <c r="B511">
        <v>2017</v>
      </c>
      <c r="C511" t="s">
        <v>57</v>
      </c>
      <c r="D511">
        <v>417937610.29400003</v>
      </c>
      <c r="E511" t="s">
        <v>7</v>
      </c>
    </row>
    <row r="512" spans="1:5" x14ac:dyDescent="0.25">
      <c r="A512" t="s">
        <v>12</v>
      </c>
      <c r="B512">
        <v>2018</v>
      </c>
      <c r="C512" t="s">
        <v>57</v>
      </c>
      <c r="D512">
        <v>487379646.528</v>
      </c>
      <c r="E512" t="s">
        <v>7</v>
      </c>
    </row>
    <row r="513" spans="1:5" x14ac:dyDescent="0.25">
      <c r="A513" t="s">
        <v>12</v>
      </c>
      <c r="B513">
        <v>2019</v>
      </c>
      <c r="C513" t="s">
        <v>57</v>
      </c>
      <c r="D513">
        <v>503441081.17000002</v>
      </c>
      <c r="E513" t="s">
        <v>7</v>
      </c>
    </row>
    <row r="514" spans="1:5" x14ac:dyDescent="0.25">
      <c r="A514" t="s">
        <v>12</v>
      </c>
      <c r="B514">
        <v>2020</v>
      </c>
      <c r="C514" t="s">
        <v>57</v>
      </c>
      <c r="D514">
        <v>579716302.46700001</v>
      </c>
      <c r="E514" t="s">
        <v>7</v>
      </c>
    </row>
    <row r="515" spans="1:5" x14ac:dyDescent="0.25">
      <c r="A515" t="s">
        <v>12</v>
      </c>
      <c r="B515">
        <v>2021</v>
      </c>
      <c r="C515" t="s">
        <v>57</v>
      </c>
      <c r="D515">
        <v>702569283.16199994</v>
      </c>
      <c r="E515" t="s">
        <v>7</v>
      </c>
    </row>
    <row r="516" spans="1:5" x14ac:dyDescent="0.25">
      <c r="A516" t="s">
        <v>12</v>
      </c>
      <c r="B516">
        <v>2022</v>
      </c>
      <c r="C516" t="s">
        <v>57</v>
      </c>
      <c r="D516">
        <v>788668798.16600001</v>
      </c>
      <c r="E516" t="s">
        <v>7</v>
      </c>
    </row>
    <row r="517" spans="1:5" x14ac:dyDescent="0.25">
      <c r="A517" t="s">
        <v>12</v>
      </c>
      <c r="B517">
        <v>2023</v>
      </c>
      <c r="C517" t="s">
        <v>57</v>
      </c>
      <c r="D517">
        <v>833186043.68099999</v>
      </c>
      <c r="E517" t="s">
        <v>7</v>
      </c>
    </row>
    <row r="518" spans="1:5" x14ac:dyDescent="0.25">
      <c r="A518" t="s">
        <v>12</v>
      </c>
      <c r="B518">
        <v>2024</v>
      </c>
      <c r="C518" t="s">
        <v>57</v>
      </c>
      <c r="D518">
        <v>1053409365.487</v>
      </c>
      <c r="E518" t="s">
        <v>7</v>
      </c>
    </row>
    <row r="519" spans="1:5" x14ac:dyDescent="0.25">
      <c r="A519" t="s">
        <v>13</v>
      </c>
      <c r="B519">
        <v>2014</v>
      </c>
      <c r="C519" t="s">
        <v>57</v>
      </c>
      <c r="D519">
        <v>40956180.799999997</v>
      </c>
      <c r="E519" t="s">
        <v>7</v>
      </c>
    </row>
    <row r="520" spans="1:5" x14ac:dyDescent="0.25">
      <c r="A520" t="s">
        <v>13</v>
      </c>
      <c r="B520">
        <v>2016</v>
      </c>
      <c r="C520" t="s">
        <v>57</v>
      </c>
      <c r="D520">
        <v>17629629.789999999</v>
      </c>
      <c r="E520" t="s">
        <v>7</v>
      </c>
    </row>
    <row r="521" spans="1:5" x14ac:dyDescent="0.25">
      <c r="A521" t="s">
        <v>13</v>
      </c>
      <c r="B521">
        <v>2018</v>
      </c>
      <c r="C521" t="s">
        <v>57</v>
      </c>
      <c r="D521">
        <v>14397229.119999999</v>
      </c>
      <c r="E521" t="s">
        <v>7</v>
      </c>
    </row>
    <row r="522" spans="1:5" x14ac:dyDescent="0.25">
      <c r="A522" t="s">
        <v>13</v>
      </c>
      <c r="B522">
        <v>2020</v>
      </c>
      <c r="C522" t="s">
        <v>57</v>
      </c>
      <c r="D522">
        <v>26909653.039999999</v>
      </c>
      <c r="E522" t="s">
        <v>7</v>
      </c>
    </row>
    <row r="523" spans="1:5" x14ac:dyDescent="0.25">
      <c r="A523" t="s">
        <v>13</v>
      </c>
      <c r="B523">
        <v>2021</v>
      </c>
      <c r="C523" t="s">
        <v>57</v>
      </c>
      <c r="D523">
        <v>20860811.649999999</v>
      </c>
      <c r="E523" t="s">
        <v>7</v>
      </c>
    </row>
    <row r="524" spans="1:5" x14ac:dyDescent="0.25">
      <c r="A524" t="s">
        <v>13</v>
      </c>
      <c r="B524">
        <v>2022</v>
      </c>
      <c r="C524" t="s">
        <v>57</v>
      </c>
      <c r="D524">
        <v>19481994.530000001</v>
      </c>
      <c r="E524" t="s">
        <v>7</v>
      </c>
    </row>
    <row r="525" spans="1:5" x14ac:dyDescent="0.25">
      <c r="A525" t="s">
        <v>13</v>
      </c>
      <c r="B525">
        <v>2023</v>
      </c>
      <c r="C525" t="s">
        <v>57</v>
      </c>
      <c r="D525">
        <v>21258158.739999998</v>
      </c>
      <c r="E525" t="s">
        <v>7</v>
      </c>
    </row>
    <row r="526" spans="1:5" x14ac:dyDescent="0.25">
      <c r="A526" t="s">
        <v>13</v>
      </c>
      <c r="B526">
        <v>2025</v>
      </c>
      <c r="C526" t="s">
        <v>57</v>
      </c>
      <c r="D526">
        <v>13570564.67</v>
      </c>
      <c r="E526" t="s">
        <v>7</v>
      </c>
    </row>
    <row r="527" spans="1:5" x14ac:dyDescent="0.25">
      <c r="A527" t="s">
        <v>14</v>
      </c>
      <c r="B527">
        <v>2015</v>
      </c>
      <c r="C527" t="s">
        <v>57</v>
      </c>
      <c r="D527">
        <v>2085324</v>
      </c>
      <c r="E527" t="s">
        <v>7</v>
      </c>
    </row>
    <row r="528" spans="1:5" x14ac:dyDescent="0.25">
      <c r="A528" t="s">
        <v>15</v>
      </c>
      <c r="B528">
        <v>2015</v>
      </c>
      <c r="C528" t="s">
        <v>57</v>
      </c>
      <c r="D528">
        <v>8077285</v>
      </c>
      <c r="E528" t="s">
        <v>7</v>
      </c>
    </row>
    <row r="529" spans="1:5" x14ac:dyDescent="0.25">
      <c r="A529" t="s">
        <v>15</v>
      </c>
      <c r="B529">
        <v>2016</v>
      </c>
      <c r="C529" t="s">
        <v>57</v>
      </c>
      <c r="D529">
        <v>7817642</v>
      </c>
      <c r="E529" t="s">
        <v>7</v>
      </c>
    </row>
    <row r="530" spans="1:5" x14ac:dyDescent="0.25">
      <c r="A530" t="s">
        <v>15</v>
      </c>
      <c r="B530">
        <v>2023</v>
      </c>
      <c r="C530" t="s">
        <v>57</v>
      </c>
      <c r="D530">
        <v>14329219</v>
      </c>
      <c r="E530" t="s">
        <v>7</v>
      </c>
    </row>
    <row r="531" spans="1:5" x14ac:dyDescent="0.25">
      <c r="A531" t="s">
        <v>15</v>
      </c>
      <c r="B531">
        <v>2025</v>
      </c>
      <c r="C531" t="s">
        <v>57</v>
      </c>
      <c r="D531">
        <v>16870793</v>
      </c>
      <c r="E531" t="s">
        <v>7</v>
      </c>
    </row>
    <row r="532" spans="1:5" x14ac:dyDescent="0.25">
      <c r="A532" t="s">
        <v>16</v>
      </c>
      <c r="B532">
        <v>2008</v>
      </c>
      <c r="C532" t="s">
        <v>57</v>
      </c>
      <c r="D532">
        <v>10376391.441</v>
      </c>
      <c r="E532" t="s">
        <v>7</v>
      </c>
    </row>
    <row r="533" spans="1:5" x14ac:dyDescent="0.25">
      <c r="A533" t="s">
        <v>17</v>
      </c>
      <c r="B533">
        <v>2010</v>
      </c>
      <c r="C533" t="s">
        <v>57</v>
      </c>
      <c r="D533">
        <v>322810975.30000001</v>
      </c>
      <c r="E533" t="s">
        <v>7</v>
      </c>
    </row>
    <row r="534" spans="1:5" x14ac:dyDescent="0.25">
      <c r="A534" t="s">
        <v>17</v>
      </c>
      <c r="B534">
        <v>2011</v>
      </c>
      <c r="C534" t="s">
        <v>57</v>
      </c>
      <c r="D534">
        <v>557832807.15999997</v>
      </c>
      <c r="E534" t="s">
        <v>7</v>
      </c>
    </row>
    <row r="535" spans="1:5" x14ac:dyDescent="0.25">
      <c r="A535" t="s">
        <v>17</v>
      </c>
      <c r="B535">
        <v>2012</v>
      </c>
      <c r="C535" t="s">
        <v>57</v>
      </c>
      <c r="D535">
        <v>834126333.77900004</v>
      </c>
      <c r="E535" t="s">
        <v>7</v>
      </c>
    </row>
    <row r="536" spans="1:5" x14ac:dyDescent="0.25">
      <c r="A536" t="s">
        <v>17</v>
      </c>
      <c r="B536">
        <v>2013</v>
      </c>
      <c r="C536" t="s">
        <v>57</v>
      </c>
      <c r="D536">
        <v>1030175200.29</v>
      </c>
      <c r="E536" t="s">
        <v>7</v>
      </c>
    </row>
    <row r="537" spans="1:5" x14ac:dyDescent="0.25">
      <c r="A537" t="s">
        <v>17</v>
      </c>
      <c r="B537">
        <v>2014</v>
      </c>
      <c r="C537" t="s">
        <v>57</v>
      </c>
      <c r="D537">
        <v>1003479726.74</v>
      </c>
      <c r="E537" t="s">
        <v>7</v>
      </c>
    </row>
    <row r="538" spans="1:5" x14ac:dyDescent="0.25">
      <c r="A538" t="s">
        <v>17</v>
      </c>
      <c r="B538">
        <v>2015</v>
      </c>
      <c r="C538" t="s">
        <v>57</v>
      </c>
      <c r="D538">
        <v>706849928.00399995</v>
      </c>
      <c r="E538" t="s">
        <v>7</v>
      </c>
    </row>
    <row r="539" spans="1:5" x14ac:dyDescent="0.25">
      <c r="A539" t="s">
        <v>17</v>
      </c>
      <c r="B539">
        <v>2016</v>
      </c>
      <c r="C539" t="s">
        <v>57</v>
      </c>
      <c r="D539">
        <v>741362552.35300004</v>
      </c>
      <c r="E539" t="s">
        <v>7</v>
      </c>
    </row>
    <row r="540" spans="1:5" x14ac:dyDescent="0.25">
      <c r="A540" t="s">
        <v>17</v>
      </c>
      <c r="B540">
        <v>2017</v>
      </c>
      <c r="C540" t="s">
        <v>57</v>
      </c>
      <c r="D540">
        <v>1055478196.13</v>
      </c>
      <c r="E540" t="s">
        <v>7</v>
      </c>
    </row>
    <row r="541" spans="1:5" x14ac:dyDescent="0.25">
      <c r="A541" t="s">
        <v>17</v>
      </c>
      <c r="B541">
        <v>2018</v>
      </c>
      <c r="C541" t="s">
        <v>57</v>
      </c>
      <c r="D541">
        <v>1126407614.404</v>
      </c>
      <c r="E541" t="s">
        <v>7</v>
      </c>
    </row>
    <row r="542" spans="1:5" x14ac:dyDescent="0.25">
      <c r="A542" t="s">
        <v>17</v>
      </c>
      <c r="B542">
        <v>2019</v>
      </c>
      <c r="C542" t="s">
        <v>57</v>
      </c>
      <c r="D542">
        <v>1066210956.51</v>
      </c>
      <c r="E542" t="s">
        <v>7</v>
      </c>
    </row>
    <row r="543" spans="1:5" x14ac:dyDescent="0.25">
      <c r="A543" t="s">
        <v>17</v>
      </c>
      <c r="B543">
        <v>2020</v>
      </c>
      <c r="C543" t="s">
        <v>57</v>
      </c>
      <c r="D543">
        <v>1033422014.7</v>
      </c>
      <c r="E543" t="s">
        <v>7</v>
      </c>
    </row>
    <row r="544" spans="1:5" x14ac:dyDescent="0.25">
      <c r="A544" t="s">
        <v>17</v>
      </c>
      <c r="B544">
        <v>2021</v>
      </c>
      <c r="C544" t="s">
        <v>57</v>
      </c>
      <c r="D544">
        <v>1135871160.96</v>
      </c>
      <c r="E544" t="s">
        <v>7</v>
      </c>
    </row>
    <row r="545" spans="1:5" x14ac:dyDescent="0.25">
      <c r="A545" t="s">
        <v>17</v>
      </c>
      <c r="B545">
        <v>2022</v>
      </c>
      <c r="C545" t="s">
        <v>57</v>
      </c>
      <c r="D545">
        <v>81325619.116999999</v>
      </c>
      <c r="E545" t="s">
        <v>7</v>
      </c>
    </row>
    <row r="546" spans="1:5" x14ac:dyDescent="0.25">
      <c r="A546" t="s">
        <v>17</v>
      </c>
      <c r="B546">
        <v>2024</v>
      </c>
      <c r="C546" t="s">
        <v>57</v>
      </c>
      <c r="D546">
        <v>1410291636.957</v>
      </c>
      <c r="E546" t="s">
        <v>7</v>
      </c>
    </row>
    <row r="547" spans="1:5" x14ac:dyDescent="0.25">
      <c r="A547" t="s">
        <v>18</v>
      </c>
      <c r="B547">
        <v>2004</v>
      </c>
      <c r="C547" t="s">
        <v>57</v>
      </c>
      <c r="D547">
        <v>31073370.359999999</v>
      </c>
      <c r="E547" t="s">
        <v>7</v>
      </c>
    </row>
    <row r="548" spans="1:5" x14ac:dyDescent="0.25">
      <c r="A548" t="s">
        <v>18</v>
      </c>
      <c r="B548">
        <v>2005</v>
      </c>
      <c r="C548" t="s">
        <v>57</v>
      </c>
      <c r="D548">
        <v>51958957.579999998</v>
      </c>
      <c r="E548" t="s">
        <v>7</v>
      </c>
    </row>
    <row r="549" spans="1:5" x14ac:dyDescent="0.25">
      <c r="A549" t="s">
        <v>18</v>
      </c>
      <c r="B549">
        <v>2006</v>
      </c>
      <c r="C549" t="s">
        <v>57</v>
      </c>
      <c r="D549">
        <v>49215390.649999999</v>
      </c>
      <c r="E549" t="s">
        <v>7</v>
      </c>
    </row>
    <row r="550" spans="1:5" x14ac:dyDescent="0.25">
      <c r="A550" t="s">
        <v>18</v>
      </c>
      <c r="B550">
        <v>2007</v>
      </c>
      <c r="C550" t="s">
        <v>57</v>
      </c>
      <c r="D550">
        <v>92834156.170000002</v>
      </c>
      <c r="E550" t="s">
        <v>7</v>
      </c>
    </row>
    <row r="551" spans="1:5" x14ac:dyDescent="0.25">
      <c r="A551" t="s">
        <v>18</v>
      </c>
      <c r="B551">
        <v>2008</v>
      </c>
      <c r="C551" t="s">
        <v>57</v>
      </c>
      <c r="D551">
        <v>106356922.42</v>
      </c>
      <c r="E551" t="s">
        <v>7</v>
      </c>
    </row>
    <row r="552" spans="1:5" x14ac:dyDescent="0.25">
      <c r="A552" t="s">
        <v>18</v>
      </c>
      <c r="B552">
        <v>2009</v>
      </c>
      <c r="C552" t="s">
        <v>57</v>
      </c>
      <c r="D552">
        <v>73686141.439999998</v>
      </c>
      <c r="E552" t="s">
        <v>7</v>
      </c>
    </row>
    <row r="553" spans="1:5" x14ac:dyDescent="0.25">
      <c r="A553" t="s">
        <v>18</v>
      </c>
      <c r="B553">
        <v>2010</v>
      </c>
      <c r="C553" t="s">
        <v>57</v>
      </c>
      <c r="D553">
        <v>65022103.740000002</v>
      </c>
      <c r="E553" t="s">
        <v>7</v>
      </c>
    </row>
    <row r="554" spans="1:5" x14ac:dyDescent="0.25">
      <c r="A554" t="s">
        <v>18</v>
      </c>
      <c r="B554">
        <v>2011</v>
      </c>
      <c r="C554" t="s">
        <v>57</v>
      </c>
      <c r="D554">
        <v>67705622.980000004</v>
      </c>
      <c r="E554" t="s">
        <v>7</v>
      </c>
    </row>
    <row r="555" spans="1:5" x14ac:dyDescent="0.25">
      <c r="A555" t="s">
        <v>18</v>
      </c>
      <c r="B555">
        <v>2012</v>
      </c>
      <c r="C555" t="s">
        <v>57</v>
      </c>
      <c r="D555">
        <v>96976519.75</v>
      </c>
      <c r="E555" t="s">
        <v>7</v>
      </c>
    </row>
    <row r="556" spans="1:5" x14ac:dyDescent="0.25">
      <c r="A556" t="s">
        <v>18</v>
      </c>
      <c r="B556">
        <v>2013</v>
      </c>
      <c r="C556" t="s">
        <v>57</v>
      </c>
      <c r="D556">
        <v>106606803.88</v>
      </c>
      <c r="E556" t="s">
        <v>7</v>
      </c>
    </row>
    <row r="557" spans="1:5" x14ac:dyDescent="0.25">
      <c r="A557" t="s">
        <v>18</v>
      </c>
      <c r="B557">
        <v>2014</v>
      </c>
      <c r="C557" t="s">
        <v>57</v>
      </c>
      <c r="D557">
        <v>97831294.709999993</v>
      </c>
      <c r="E557" t="s">
        <v>7</v>
      </c>
    </row>
    <row r="558" spans="1:5" x14ac:dyDescent="0.25">
      <c r="A558" t="s">
        <v>18</v>
      </c>
      <c r="B558">
        <v>2015</v>
      </c>
      <c r="C558" t="s">
        <v>57</v>
      </c>
      <c r="D558">
        <v>73625371.489999995</v>
      </c>
      <c r="E558" t="s">
        <v>7</v>
      </c>
    </row>
    <row r="559" spans="1:5" x14ac:dyDescent="0.25">
      <c r="A559" t="s">
        <v>18</v>
      </c>
      <c r="B559">
        <v>2016</v>
      </c>
      <c r="C559" t="s">
        <v>57</v>
      </c>
      <c r="D559">
        <v>77300718.049999997</v>
      </c>
      <c r="E559" t="s">
        <v>7</v>
      </c>
    </row>
    <row r="560" spans="1:5" x14ac:dyDescent="0.25">
      <c r="A560" t="s">
        <v>18</v>
      </c>
      <c r="B560">
        <v>2017</v>
      </c>
      <c r="C560" t="s">
        <v>57</v>
      </c>
      <c r="D560">
        <v>88788545.239999995</v>
      </c>
      <c r="E560" t="s">
        <v>7</v>
      </c>
    </row>
    <row r="561" spans="1:5" x14ac:dyDescent="0.25">
      <c r="A561" t="s">
        <v>18</v>
      </c>
      <c r="B561">
        <v>2018</v>
      </c>
      <c r="C561" t="s">
        <v>57</v>
      </c>
      <c r="D561">
        <v>84919604.359999999</v>
      </c>
      <c r="E561" t="s">
        <v>7</v>
      </c>
    </row>
    <row r="562" spans="1:5" x14ac:dyDescent="0.25">
      <c r="A562" t="s">
        <v>18</v>
      </c>
      <c r="B562">
        <v>2019</v>
      </c>
      <c r="C562" t="s">
        <v>57</v>
      </c>
      <c r="D562">
        <v>77623180.359999999</v>
      </c>
      <c r="E562" t="s">
        <v>7</v>
      </c>
    </row>
    <row r="563" spans="1:5" x14ac:dyDescent="0.25">
      <c r="A563" t="s">
        <v>18</v>
      </c>
      <c r="B563">
        <v>2020</v>
      </c>
      <c r="C563" t="s">
        <v>57</v>
      </c>
      <c r="D563">
        <v>74951906.859999999</v>
      </c>
      <c r="E563" t="s">
        <v>7</v>
      </c>
    </row>
    <row r="564" spans="1:5" x14ac:dyDescent="0.25">
      <c r="A564" t="s">
        <v>18</v>
      </c>
      <c r="B564">
        <v>2021</v>
      </c>
      <c r="C564" t="s">
        <v>57</v>
      </c>
      <c r="D564">
        <v>80367170.760000005</v>
      </c>
      <c r="E564" t="s">
        <v>7</v>
      </c>
    </row>
    <row r="565" spans="1:5" x14ac:dyDescent="0.25">
      <c r="A565" t="s">
        <v>18</v>
      </c>
      <c r="B565">
        <v>2022</v>
      </c>
      <c r="C565" t="s">
        <v>57</v>
      </c>
      <c r="D565">
        <v>98818762.319999993</v>
      </c>
      <c r="E565" t="s">
        <v>7</v>
      </c>
    </row>
    <row r="566" spans="1:5" x14ac:dyDescent="0.25">
      <c r="A566" t="s">
        <v>18</v>
      </c>
      <c r="B566">
        <v>2023</v>
      </c>
      <c r="C566" t="s">
        <v>57</v>
      </c>
      <c r="D566">
        <v>97051324.299999997</v>
      </c>
      <c r="E566" t="s">
        <v>7</v>
      </c>
    </row>
    <row r="567" spans="1:5" x14ac:dyDescent="0.25">
      <c r="A567" t="s">
        <v>18</v>
      </c>
      <c r="B567">
        <v>2024</v>
      </c>
      <c r="C567" t="s">
        <v>57</v>
      </c>
      <c r="D567">
        <v>100614248.56</v>
      </c>
      <c r="E567" t="s">
        <v>7</v>
      </c>
    </row>
    <row r="568" spans="1:5" x14ac:dyDescent="0.25">
      <c r="A568" t="s">
        <v>18</v>
      </c>
      <c r="B568">
        <v>2025</v>
      </c>
      <c r="C568" t="s">
        <v>57</v>
      </c>
      <c r="D568">
        <v>127324986.72</v>
      </c>
      <c r="E568" t="s">
        <v>7</v>
      </c>
    </row>
    <row r="569" spans="1:5" x14ac:dyDescent="0.25">
      <c r="A569" t="s">
        <v>19</v>
      </c>
      <c r="B569">
        <v>2014</v>
      </c>
      <c r="C569" t="s">
        <v>57</v>
      </c>
      <c r="D569">
        <v>97493.43</v>
      </c>
      <c r="E569" t="s">
        <v>7</v>
      </c>
    </row>
    <row r="570" spans="1:5" x14ac:dyDescent="0.25">
      <c r="A570" t="s">
        <v>20</v>
      </c>
      <c r="B570">
        <v>2014</v>
      </c>
      <c r="C570" t="s">
        <v>57</v>
      </c>
      <c r="D570">
        <v>9299498.3660000004</v>
      </c>
      <c r="E570" t="s">
        <v>7</v>
      </c>
    </row>
    <row r="571" spans="1:5" x14ac:dyDescent="0.25">
      <c r="A571" t="s">
        <v>20</v>
      </c>
      <c r="B571">
        <v>2015</v>
      </c>
      <c r="C571" t="s">
        <v>57</v>
      </c>
      <c r="D571">
        <v>22634553.405000001</v>
      </c>
      <c r="E571" t="s">
        <v>7</v>
      </c>
    </row>
    <row r="572" spans="1:5" x14ac:dyDescent="0.25">
      <c r="A572" t="s">
        <v>20</v>
      </c>
      <c r="B572">
        <v>2016</v>
      </c>
      <c r="C572" t="s">
        <v>57</v>
      </c>
      <c r="D572">
        <v>7392132.5310000004</v>
      </c>
      <c r="E572" t="s">
        <v>7</v>
      </c>
    </row>
    <row r="573" spans="1:5" x14ac:dyDescent="0.25">
      <c r="A573" t="s">
        <v>20</v>
      </c>
      <c r="B573">
        <v>2017</v>
      </c>
      <c r="C573" t="s">
        <v>57</v>
      </c>
      <c r="D573">
        <v>9625540.8469999991</v>
      </c>
      <c r="E573" t="s">
        <v>7</v>
      </c>
    </row>
    <row r="574" spans="1:5" x14ac:dyDescent="0.25">
      <c r="A574" t="s">
        <v>20</v>
      </c>
      <c r="B574">
        <v>2018</v>
      </c>
      <c r="C574" t="s">
        <v>57</v>
      </c>
      <c r="D574">
        <v>13706474.482999999</v>
      </c>
      <c r="E574" t="s">
        <v>7</v>
      </c>
    </row>
    <row r="575" spans="1:5" x14ac:dyDescent="0.25">
      <c r="A575" t="s">
        <v>20</v>
      </c>
      <c r="B575">
        <v>2019</v>
      </c>
      <c r="C575" t="s">
        <v>57</v>
      </c>
      <c r="D575">
        <v>14861107.802999999</v>
      </c>
      <c r="E575" t="s">
        <v>7</v>
      </c>
    </row>
    <row r="576" spans="1:5" x14ac:dyDescent="0.25">
      <c r="A576" t="s">
        <v>20</v>
      </c>
      <c r="B576">
        <v>2020</v>
      </c>
      <c r="C576" t="s">
        <v>57</v>
      </c>
      <c r="D576">
        <v>17561426.644000001</v>
      </c>
      <c r="E576" t="s">
        <v>7</v>
      </c>
    </row>
    <row r="577" spans="1:5" x14ac:dyDescent="0.25">
      <c r="A577" t="s">
        <v>20</v>
      </c>
      <c r="B577">
        <v>2021</v>
      </c>
      <c r="C577" t="s">
        <v>57</v>
      </c>
      <c r="D577">
        <v>16556878.073000001</v>
      </c>
      <c r="E577" t="s">
        <v>7</v>
      </c>
    </row>
    <row r="578" spans="1:5" x14ac:dyDescent="0.25">
      <c r="A578" t="s">
        <v>20</v>
      </c>
      <c r="B578">
        <v>2022</v>
      </c>
      <c r="C578" t="s">
        <v>57</v>
      </c>
      <c r="D578">
        <v>17710321.197999999</v>
      </c>
      <c r="E578" t="s">
        <v>7</v>
      </c>
    </row>
    <row r="579" spans="1:5" x14ac:dyDescent="0.25">
      <c r="A579" t="s">
        <v>20</v>
      </c>
      <c r="B579">
        <v>2023</v>
      </c>
      <c r="C579" t="s">
        <v>57</v>
      </c>
      <c r="D579">
        <v>13047474.593</v>
      </c>
      <c r="E579" t="s">
        <v>7</v>
      </c>
    </row>
    <row r="580" spans="1:5" x14ac:dyDescent="0.25">
      <c r="A580" t="s">
        <v>20</v>
      </c>
      <c r="B580">
        <v>2024</v>
      </c>
      <c r="C580" t="s">
        <v>57</v>
      </c>
      <c r="D580">
        <v>16728908.562999999</v>
      </c>
      <c r="E580" t="s">
        <v>7</v>
      </c>
    </row>
    <row r="581" spans="1:5" x14ac:dyDescent="0.25">
      <c r="A581" t="s">
        <v>20</v>
      </c>
      <c r="B581">
        <v>2025</v>
      </c>
      <c r="C581" t="s">
        <v>57</v>
      </c>
      <c r="D581">
        <v>8593999.2449999992</v>
      </c>
      <c r="E581" t="s">
        <v>7</v>
      </c>
    </row>
    <row r="582" spans="1:5" x14ac:dyDescent="0.25">
      <c r="A582" t="s">
        <v>21</v>
      </c>
      <c r="B582">
        <v>2000</v>
      </c>
      <c r="C582" t="s">
        <v>57</v>
      </c>
      <c r="D582">
        <v>153172974.71200001</v>
      </c>
      <c r="E582" t="s">
        <v>7</v>
      </c>
    </row>
    <row r="583" spans="1:5" x14ac:dyDescent="0.25">
      <c r="A583" t="s">
        <v>21</v>
      </c>
      <c r="B583">
        <v>2001</v>
      </c>
      <c r="C583" t="s">
        <v>57</v>
      </c>
      <c r="D583">
        <v>30494807.465999998</v>
      </c>
      <c r="E583" t="s">
        <v>7</v>
      </c>
    </row>
    <row r="584" spans="1:5" x14ac:dyDescent="0.25">
      <c r="A584" t="s">
        <v>21</v>
      </c>
      <c r="B584">
        <v>2002</v>
      </c>
      <c r="C584" t="s">
        <v>57</v>
      </c>
      <c r="D584">
        <v>43154333.847000003</v>
      </c>
      <c r="E584" t="s">
        <v>7</v>
      </c>
    </row>
    <row r="585" spans="1:5" x14ac:dyDescent="0.25">
      <c r="A585" t="s">
        <v>21</v>
      </c>
      <c r="B585">
        <v>2003</v>
      </c>
      <c r="C585" t="s">
        <v>57</v>
      </c>
      <c r="D585">
        <v>60147705.619999997</v>
      </c>
      <c r="E585" t="s">
        <v>7</v>
      </c>
    </row>
    <row r="586" spans="1:5" x14ac:dyDescent="0.25">
      <c r="A586" t="s">
        <v>21</v>
      </c>
      <c r="B586">
        <v>2004</v>
      </c>
      <c r="C586" t="s">
        <v>57</v>
      </c>
      <c r="D586">
        <v>65430668.475000001</v>
      </c>
      <c r="E586" t="s">
        <v>7</v>
      </c>
    </row>
    <row r="587" spans="1:5" x14ac:dyDescent="0.25">
      <c r="A587" t="s">
        <v>21</v>
      </c>
      <c r="B587">
        <v>2005</v>
      </c>
      <c r="C587" t="s">
        <v>57</v>
      </c>
      <c r="D587">
        <v>62949102.777000003</v>
      </c>
      <c r="E587" t="s">
        <v>7</v>
      </c>
    </row>
    <row r="588" spans="1:5" x14ac:dyDescent="0.25">
      <c r="A588" t="s">
        <v>21</v>
      </c>
      <c r="B588">
        <v>2006</v>
      </c>
      <c r="C588" t="s">
        <v>57</v>
      </c>
      <c r="D588">
        <v>61926487.535999998</v>
      </c>
      <c r="E588" t="s">
        <v>7</v>
      </c>
    </row>
    <row r="589" spans="1:5" x14ac:dyDescent="0.25">
      <c r="A589" t="s">
        <v>21</v>
      </c>
      <c r="B589">
        <v>2007</v>
      </c>
      <c r="C589" t="s">
        <v>57</v>
      </c>
      <c r="D589">
        <v>83025237.953999996</v>
      </c>
      <c r="E589" t="s">
        <v>7</v>
      </c>
    </row>
    <row r="590" spans="1:5" x14ac:dyDescent="0.25">
      <c r="A590" t="s">
        <v>21</v>
      </c>
      <c r="B590">
        <v>2008</v>
      </c>
      <c r="C590" t="s">
        <v>57</v>
      </c>
      <c r="D590">
        <v>79599303.354000002</v>
      </c>
      <c r="E590" t="s">
        <v>7</v>
      </c>
    </row>
    <row r="591" spans="1:5" x14ac:dyDescent="0.25">
      <c r="A591" t="s">
        <v>21</v>
      </c>
      <c r="B591">
        <v>2009</v>
      </c>
      <c r="C591" t="s">
        <v>57</v>
      </c>
      <c r="D591">
        <v>63875341.516000003</v>
      </c>
      <c r="E591" t="s">
        <v>7</v>
      </c>
    </row>
    <row r="592" spans="1:5" x14ac:dyDescent="0.25">
      <c r="A592" t="s">
        <v>21</v>
      </c>
      <c r="B592">
        <v>2010</v>
      </c>
      <c r="C592" t="s">
        <v>57</v>
      </c>
      <c r="D592">
        <v>24790214.427000001</v>
      </c>
      <c r="E592" t="s">
        <v>7</v>
      </c>
    </row>
    <row r="593" spans="1:5" x14ac:dyDescent="0.25">
      <c r="A593" t="s">
        <v>21</v>
      </c>
      <c r="B593">
        <v>2011</v>
      </c>
      <c r="C593" t="s">
        <v>57</v>
      </c>
      <c r="D593">
        <v>34763750.564000003</v>
      </c>
      <c r="E593" t="s">
        <v>7</v>
      </c>
    </row>
    <row r="594" spans="1:5" x14ac:dyDescent="0.25">
      <c r="A594" t="s">
        <v>21</v>
      </c>
      <c r="B594">
        <v>2012</v>
      </c>
      <c r="C594" t="s">
        <v>57</v>
      </c>
      <c r="D594">
        <v>25076164.210999999</v>
      </c>
      <c r="E594" t="s">
        <v>7</v>
      </c>
    </row>
    <row r="595" spans="1:5" x14ac:dyDescent="0.25">
      <c r="A595" t="s">
        <v>21</v>
      </c>
      <c r="B595">
        <v>2013</v>
      </c>
      <c r="C595" t="s">
        <v>57</v>
      </c>
      <c r="D595">
        <v>31669098.385000002</v>
      </c>
      <c r="E595" t="s">
        <v>7</v>
      </c>
    </row>
    <row r="596" spans="1:5" x14ac:dyDescent="0.25">
      <c r="A596" t="s">
        <v>21</v>
      </c>
      <c r="B596">
        <v>2014</v>
      </c>
      <c r="C596" t="s">
        <v>57</v>
      </c>
      <c r="D596">
        <v>21622995.899999999</v>
      </c>
      <c r="E596" t="s">
        <v>7</v>
      </c>
    </row>
    <row r="597" spans="1:5" x14ac:dyDescent="0.25">
      <c r="A597" t="s">
        <v>21</v>
      </c>
      <c r="B597">
        <v>2015</v>
      </c>
      <c r="C597" t="s">
        <v>57</v>
      </c>
      <c r="D597">
        <v>11988431.948999999</v>
      </c>
      <c r="E597" t="s">
        <v>7</v>
      </c>
    </row>
    <row r="598" spans="1:5" x14ac:dyDescent="0.25">
      <c r="A598" t="s">
        <v>21</v>
      </c>
      <c r="B598">
        <v>2016</v>
      </c>
      <c r="C598" t="s">
        <v>57</v>
      </c>
      <c r="D598">
        <v>11510588.353</v>
      </c>
      <c r="E598" t="s">
        <v>7</v>
      </c>
    </row>
    <row r="599" spans="1:5" x14ac:dyDescent="0.25">
      <c r="A599" t="s">
        <v>21</v>
      </c>
      <c r="B599">
        <v>2017</v>
      </c>
      <c r="C599" t="s">
        <v>57</v>
      </c>
      <c r="D599">
        <v>20220061.059</v>
      </c>
      <c r="E599" t="s">
        <v>7</v>
      </c>
    </row>
    <row r="600" spans="1:5" x14ac:dyDescent="0.25">
      <c r="A600" t="s">
        <v>21</v>
      </c>
      <c r="B600">
        <v>2018</v>
      </c>
      <c r="C600" t="s">
        <v>57</v>
      </c>
      <c r="D600">
        <v>16840774.787999999</v>
      </c>
      <c r="E600" t="s">
        <v>7</v>
      </c>
    </row>
    <row r="601" spans="1:5" x14ac:dyDescent="0.25">
      <c r="A601" t="s">
        <v>21</v>
      </c>
      <c r="B601">
        <v>2019</v>
      </c>
      <c r="C601" t="s">
        <v>57</v>
      </c>
      <c r="D601">
        <v>17694948.848000001</v>
      </c>
      <c r="E601" t="s">
        <v>7</v>
      </c>
    </row>
    <row r="602" spans="1:5" x14ac:dyDescent="0.25">
      <c r="A602" t="s">
        <v>21</v>
      </c>
      <c r="B602">
        <v>2020</v>
      </c>
      <c r="C602" t="s">
        <v>57</v>
      </c>
      <c r="D602">
        <v>18984567.942000002</v>
      </c>
      <c r="E602" t="s">
        <v>7</v>
      </c>
    </row>
    <row r="603" spans="1:5" x14ac:dyDescent="0.25">
      <c r="A603" t="s">
        <v>21</v>
      </c>
      <c r="B603">
        <v>2021</v>
      </c>
      <c r="C603" t="s">
        <v>57</v>
      </c>
      <c r="D603">
        <v>22697824.833999999</v>
      </c>
      <c r="E603" t="s">
        <v>7</v>
      </c>
    </row>
    <row r="604" spans="1:5" x14ac:dyDescent="0.25">
      <c r="A604" t="s">
        <v>21</v>
      </c>
      <c r="B604">
        <v>2022</v>
      </c>
      <c r="C604" t="s">
        <v>57</v>
      </c>
      <c r="D604">
        <v>24151483.838</v>
      </c>
      <c r="E604" t="s">
        <v>7</v>
      </c>
    </row>
    <row r="605" spans="1:5" x14ac:dyDescent="0.25">
      <c r="A605" t="s">
        <v>21</v>
      </c>
      <c r="B605">
        <v>2023</v>
      </c>
      <c r="C605" t="s">
        <v>57</v>
      </c>
      <c r="D605">
        <v>23612458.204</v>
      </c>
      <c r="E605" t="s">
        <v>7</v>
      </c>
    </row>
    <row r="606" spans="1:5" x14ac:dyDescent="0.25">
      <c r="A606" t="s">
        <v>21</v>
      </c>
      <c r="B606">
        <v>2024</v>
      </c>
      <c r="C606" t="s">
        <v>57</v>
      </c>
      <c r="D606">
        <v>22747176.936999999</v>
      </c>
      <c r="E606" t="s">
        <v>7</v>
      </c>
    </row>
    <row r="607" spans="1:5" x14ac:dyDescent="0.25">
      <c r="A607" t="s">
        <v>22</v>
      </c>
      <c r="B607">
        <v>2008</v>
      </c>
      <c r="C607" t="s">
        <v>57</v>
      </c>
      <c r="D607">
        <v>128406528.499</v>
      </c>
      <c r="E607" t="s">
        <v>7</v>
      </c>
    </row>
    <row r="608" spans="1:5" x14ac:dyDescent="0.25">
      <c r="A608" t="s">
        <v>22</v>
      </c>
      <c r="B608">
        <v>2009</v>
      </c>
      <c r="C608" t="s">
        <v>57</v>
      </c>
      <c r="D608">
        <v>72772637.187000006</v>
      </c>
      <c r="E608" t="s">
        <v>7</v>
      </c>
    </row>
    <row r="609" spans="1:5" x14ac:dyDescent="0.25">
      <c r="A609" t="s">
        <v>22</v>
      </c>
      <c r="B609">
        <v>2010</v>
      </c>
      <c r="C609" t="s">
        <v>57</v>
      </c>
      <c r="D609">
        <v>52872734.556999996</v>
      </c>
      <c r="E609" t="s">
        <v>7</v>
      </c>
    </row>
    <row r="610" spans="1:5" x14ac:dyDescent="0.25">
      <c r="A610" t="s">
        <v>22</v>
      </c>
      <c r="B610">
        <v>2011</v>
      </c>
      <c r="C610" t="s">
        <v>57</v>
      </c>
      <c r="D610">
        <v>60017546.487000003</v>
      </c>
      <c r="E610" t="s">
        <v>7</v>
      </c>
    </row>
    <row r="611" spans="1:5" x14ac:dyDescent="0.25">
      <c r="A611" t="s">
        <v>22</v>
      </c>
      <c r="B611">
        <v>2012</v>
      </c>
      <c r="C611" t="s">
        <v>57</v>
      </c>
      <c r="D611">
        <v>65188666.236000001</v>
      </c>
      <c r="E611" t="s">
        <v>7</v>
      </c>
    </row>
    <row r="612" spans="1:5" x14ac:dyDescent="0.25">
      <c r="A612" t="s">
        <v>22</v>
      </c>
      <c r="B612">
        <v>2013</v>
      </c>
      <c r="C612" t="s">
        <v>57</v>
      </c>
      <c r="D612">
        <v>79366678.806999996</v>
      </c>
      <c r="E612" t="s">
        <v>7</v>
      </c>
    </row>
    <row r="613" spans="1:5" x14ac:dyDescent="0.25">
      <c r="A613" t="s">
        <v>22</v>
      </c>
      <c r="B613">
        <v>2014</v>
      </c>
      <c r="C613" t="s">
        <v>57</v>
      </c>
      <c r="D613">
        <v>67750411.604000106</v>
      </c>
      <c r="E613" t="s">
        <v>7</v>
      </c>
    </row>
    <row r="614" spans="1:5" x14ac:dyDescent="0.25">
      <c r="A614" t="s">
        <v>22</v>
      </c>
      <c r="B614">
        <v>2015</v>
      </c>
      <c r="C614" t="s">
        <v>57</v>
      </c>
      <c r="D614">
        <v>59468073.689999998</v>
      </c>
      <c r="E614" t="s">
        <v>7</v>
      </c>
    </row>
    <row r="615" spans="1:5" x14ac:dyDescent="0.25">
      <c r="A615" t="s">
        <v>22</v>
      </c>
      <c r="B615">
        <v>2016</v>
      </c>
      <c r="C615" t="s">
        <v>57</v>
      </c>
      <c r="D615">
        <v>58793744.722000003</v>
      </c>
      <c r="E615" t="s">
        <v>7</v>
      </c>
    </row>
    <row r="616" spans="1:5" x14ac:dyDescent="0.25">
      <c r="A616" t="s">
        <v>22</v>
      </c>
      <c r="B616">
        <v>2017</v>
      </c>
      <c r="C616" t="s">
        <v>57</v>
      </c>
      <c r="D616">
        <v>59791542.136</v>
      </c>
      <c r="E616" t="s">
        <v>7</v>
      </c>
    </row>
    <row r="617" spans="1:5" x14ac:dyDescent="0.25">
      <c r="A617" t="s">
        <v>22</v>
      </c>
      <c r="B617">
        <v>2018</v>
      </c>
      <c r="C617" t="s">
        <v>57</v>
      </c>
      <c r="D617">
        <v>75554558.494000003</v>
      </c>
      <c r="E617" t="s">
        <v>7</v>
      </c>
    </row>
    <row r="618" spans="1:5" x14ac:dyDescent="0.25">
      <c r="A618" t="s">
        <v>22</v>
      </c>
      <c r="B618">
        <v>2019</v>
      </c>
      <c r="C618" t="s">
        <v>57</v>
      </c>
      <c r="D618">
        <v>67566871.231999993</v>
      </c>
      <c r="E618" t="s">
        <v>7</v>
      </c>
    </row>
    <row r="619" spans="1:5" x14ac:dyDescent="0.25">
      <c r="A619" t="s">
        <v>22</v>
      </c>
      <c r="B619">
        <v>2020</v>
      </c>
      <c r="C619" t="s">
        <v>57</v>
      </c>
      <c r="D619">
        <v>62674536.270000003</v>
      </c>
      <c r="E619" t="s">
        <v>7</v>
      </c>
    </row>
    <row r="620" spans="1:5" x14ac:dyDescent="0.25">
      <c r="A620" t="s">
        <v>22</v>
      </c>
      <c r="B620">
        <v>2021</v>
      </c>
      <c r="C620" t="s">
        <v>57</v>
      </c>
      <c r="D620">
        <v>60701969.745999999</v>
      </c>
      <c r="E620" t="s">
        <v>7</v>
      </c>
    </row>
    <row r="621" spans="1:5" x14ac:dyDescent="0.25">
      <c r="A621" t="s">
        <v>22</v>
      </c>
      <c r="B621">
        <v>2022</v>
      </c>
      <c r="C621" t="s">
        <v>57</v>
      </c>
      <c r="D621">
        <v>66442611.011</v>
      </c>
      <c r="E621" t="s">
        <v>7</v>
      </c>
    </row>
    <row r="622" spans="1:5" x14ac:dyDescent="0.25">
      <c r="A622" t="s">
        <v>22</v>
      </c>
      <c r="B622">
        <v>2023</v>
      </c>
      <c r="C622" t="s">
        <v>57</v>
      </c>
      <c r="D622">
        <v>77212224.841999993</v>
      </c>
      <c r="E622" t="s">
        <v>7</v>
      </c>
    </row>
    <row r="623" spans="1:5" x14ac:dyDescent="0.25">
      <c r="A623" t="s">
        <v>22</v>
      </c>
      <c r="B623">
        <v>2024</v>
      </c>
      <c r="C623" t="s">
        <v>57</v>
      </c>
      <c r="D623">
        <v>78791696.251000002</v>
      </c>
      <c r="E623" t="s">
        <v>7</v>
      </c>
    </row>
    <row r="624" spans="1:5" x14ac:dyDescent="0.25">
      <c r="A624" t="s">
        <v>22</v>
      </c>
      <c r="B624">
        <v>2025</v>
      </c>
      <c r="C624" t="s">
        <v>57</v>
      </c>
      <c r="D624">
        <v>58280159.011</v>
      </c>
      <c r="E624" t="s">
        <v>7</v>
      </c>
    </row>
    <row r="625" spans="1:5" x14ac:dyDescent="0.25">
      <c r="A625" t="s">
        <v>23</v>
      </c>
      <c r="B625">
        <v>2010</v>
      </c>
      <c r="C625" t="s">
        <v>57</v>
      </c>
      <c r="D625">
        <v>107315280.977</v>
      </c>
      <c r="E625" t="s">
        <v>7</v>
      </c>
    </row>
    <row r="626" spans="1:5" x14ac:dyDescent="0.25">
      <c r="A626" t="s">
        <v>23</v>
      </c>
      <c r="B626">
        <v>2011</v>
      </c>
      <c r="C626" t="s">
        <v>57</v>
      </c>
      <c r="D626">
        <v>124111272.96699999</v>
      </c>
      <c r="E626" t="s">
        <v>7</v>
      </c>
    </row>
    <row r="627" spans="1:5" x14ac:dyDescent="0.25">
      <c r="A627" t="s">
        <v>23</v>
      </c>
      <c r="B627">
        <v>2012</v>
      </c>
      <c r="C627" t="s">
        <v>57</v>
      </c>
      <c r="D627">
        <v>136628212.45300001</v>
      </c>
      <c r="E627" t="s">
        <v>7</v>
      </c>
    </row>
    <row r="628" spans="1:5" x14ac:dyDescent="0.25">
      <c r="A628" t="s">
        <v>23</v>
      </c>
      <c r="B628">
        <v>2013</v>
      </c>
      <c r="C628" t="s">
        <v>57</v>
      </c>
      <c r="D628">
        <v>155899659.42399999</v>
      </c>
      <c r="E628" t="s">
        <v>7</v>
      </c>
    </row>
    <row r="629" spans="1:5" x14ac:dyDescent="0.25">
      <c r="A629" t="s">
        <v>23</v>
      </c>
      <c r="B629">
        <v>2014</v>
      </c>
      <c r="C629" t="s">
        <v>57</v>
      </c>
      <c r="D629">
        <v>141053782.98699999</v>
      </c>
      <c r="E629" t="s">
        <v>7</v>
      </c>
    </row>
    <row r="630" spans="1:5" x14ac:dyDescent="0.25">
      <c r="A630" t="s">
        <v>23</v>
      </c>
      <c r="B630">
        <v>2015</v>
      </c>
      <c r="C630" t="s">
        <v>57</v>
      </c>
      <c r="D630">
        <v>196762396.748</v>
      </c>
      <c r="E630" t="s">
        <v>7</v>
      </c>
    </row>
    <row r="631" spans="1:5" x14ac:dyDescent="0.25">
      <c r="A631" t="s">
        <v>23</v>
      </c>
      <c r="B631">
        <v>2016</v>
      </c>
      <c r="C631" t="s">
        <v>57</v>
      </c>
      <c r="D631">
        <v>163747894.419</v>
      </c>
      <c r="E631" t="s">
        <v>7</v>
      </c>
    </row>
    <row r="632" spans="1:5" x14ac:dyDescent="0.25">
      <c r="A632" t="s">
        <v>23</v>
      </c>
      <c r="B632">
        <v>2017</v>
      </c>
      <c r="C632" t="s">
        <v>57</v>
      </c>
      <c r="D632">
        <v>140529507.27000001</v>
      </c>
      <c r="E632" t="s">
        <v>7</v>
      </c>
    </row>
    <row r="633" spans="1:5" x14ac:dyDescent="0.25">
      <c r="A633" t="s">
        <v>23</v>
      </c>
      <c r="B633">
        <v>2018</v>
      </c>
      <c r="C633" t="s">
        <v>57</v>
      </c>
      <c r="D633">
        <v>153562686.54100001</v>
      </c>
      <c r="E633" t="s">
        <v>7</v>
      </c>
    </row>
    <row r="634" spans="1:5" x14ac:dyDescent="0.25">
      <c r="A634" t="s">
        <v>23</v>
      </c>
      <c r="B634">
        <v>2019</v>
      </c>
      <c r="C634" t="s">
        <v>57</v>
      </c>
      <c r="D634">
        <v>145761816.796</v>
      </c>
      <c r="E634" t="s">
        <v>7</v>
      </c>
    </row>
    <row r="635" spans="1:5" x14ac:dyDescent="0.25">
      <c r="A635" t="s">
        <v>23</v>
      </c>
      <c r="B635">
        <v>2020</v>
      </c>
      <c r="C635" t="s">
        <v>57</v>
      </c>
      <c r="D635">
        <v>124061376.052</v>
      </c>
      <c r="E635" t="s">
        <v>7</v>
      </c>
    </row>
    <row r="636" spans="1:5" x14ac:dyDescent="0.25">
      <c r="A636" t="s">
        <v>23</v>
      </c>
      <c r="B636">
        <v>2021</v>
      </c>
      <c r="C636" t="s">
        <v>57</v>
      </c>
      <c r="D636">
        <v>152816162.405</v>
      </c>
      <c r="E636" t="s">
        <v>7</v>
      </c>
    </row>
    <row r="637" spans="1:5" x14ac:dyDescent="0.25">
      <c r="A637" t="s">
        <v>23</v>
      </c>
      <c r="B637">
        <v>2022</v>
      </c>
      <c r="C637" t="s">
        <v>57</v>
      </c>
      <c r="D637">
        <v>141585187.706</v>
      </c>
      <c r="E637" t="s">
        <v>7</v>
      </c>
    </row>
    <row r="638" spans="1:5" x14ac:dyDescent="0.25">
      <c r="A638" t="s">
        <v>23</v>
      </c>
      <c r="B638">
        <v>2023</v>
      </c>
      <c r="C638" t="s">
        <v>57</v>
      </c>
      <c r="D638">
        <v>140471452.51100001</v>
      </c>
      <c r="E638" t="s">
        <v>7</v>
      </c>
    </row>
    <row r="639" spans="1:5" x14ac:dyDescent="0.25">
      <c r="A639" t="s">
        <v>24</v>
      </c>
      <c r="B639">
        <v>2025</v>
      </c>
      <c r="C639" t="s">
        <v>57</v>
      </c>
      <c r="D639">
        <v>7446144.3959999997</v>
      </c>
      <c r="E639" t="s">
        <v>7</v>
      </c>
    </row>
    <row r="640" spans="1:5" x14ac:dyDescent="0.25">
      <c r="A640" t="s">
        <v>25</v>
      </c>
      <c r="B640">
        <v>2010</v>
      </c>
      <c r="C640" t="s">
        <v>57</v>
      </c>
      <c r="D640">
        <v>47461921</v>
      </c>
      <c r="E640" t="s">
        <v>7</v>
      </c>
    </row>
    <row r="641" spans="1:5" x14ac:dyDescent="0.25">
      <c r="A641" t="s">
        <v>25</v>
      </c>
      <c r="B641">
        <v>2011</v>
      </c>
      <c r="C641" t="s">
        <v>57</v>
      </c>
      <c r="D641">
        <v>38632761</v>
      </c>
      <c r="E641" t="s">
        <v>7</v>
      </c>
    </row>
    <row r="642" spans="1:5" x14ac:dyDescent="0.25">
      <c r="A642" t="s">
        <v>25</v>
      </c>
      <c r="B642">
        <v>2012</v>
      </c>
      <c r="C642" t="s">
        <v>57</v>
      </c>
      <c r="D642">
        <v>35849544</v>
      </c>
      <c r="E642" t="s">
        <v>7</v>
      </c>
    </row>
    <row r="643" spans="1:5" x14ac:dyDescent="0.25">
      <c r="A643" t="s">
        <v>25</v>
      </c>
      <c r="B643">
        <v>2017</v>
      </c>
      <c r="C643" t="s">
        <v>57</v>
      </c>
      <c r="D643">
        <v>30702505</v>
      </c>
      <c r="E643" t="s">
        <v>7</v>
      </c>
    </row>
    <row r="644" spans="1:5" x14ac:dyDescent="0.25">
      <c r="A644" t="s">
        <v>25</v>
      </c>
      <c r="B644">
        <v>2019</v>
      </c>
      <c r="C644" t="s">
        <v>57</v>
      </c>
      <c r="D644">
        <v>35108187</v>
      </c>
      <c r="E644" t="s">
        <v>7</v>
      </c>
    </row>
    <row r="645" spans="1:5" x14ac:dyDescent="0.25">
      <c r="A645" t="s">
        <v>25</v>
      </c>
      <c r="B645">
        <v>2020</v>
      </c>
      <c r="C645" t="s">
        <v>57</v>
      </c>
      <c r="D645">
        <v>40157163</v>
      </c>
      <c r="E645" t="s">
        <v>7</v>
      </c>
    </row>
    <row r="646" spans="1:5" x14ac:dyDescent="0.25">
      <c r="A646" t="s">
        <v>25</v>
      </c>
      <c r="B646">
        <v>2021</v>
      </c>
      <c r="C646" t="s">
        <v>57</v>
      </c>
      <c r="D646">
        <v>43977438</v>
      </c>
      <c r="E646" t="s">
        <v>7</v>
      </c>
    </row>
    <row r="647" spans="1:5" x14ac:dyDescent="0.25">
      <c r="A647" t="s">
        <v>25</v>
      </c>
      <c r="B647">
        <v>2022</v>
      </c>
      <c r="C647" t="s">
        <v>57</v>
      </c>
      <c r="D647">
        <v>57757848</v>
      </c>
      <c r="E647" t="s">
        <v>7</v>
      </c>
    </row>
    <row r="648" spans="1:5" x14ac:dyDescent="0.25">
      <c r="A648" t="s">
        <v>25</v>
      </c>
      <c r="B648">
        <v>2023</v>
      </c>
      <c r="C648" t="s">
        <v>57</v>
      </c>
      <c r="D648">
        <v>35734700</v>
      </c>
      <c r="E648" t="s">
        <v>7</v>
      </c>
    </row>
    <row r="649" spans="1:5" x14ac:dyDescent="0.25">
      <c r="A649" t="s">
        <v>25</v>
      </c>
      <c r="B649">
        <v>2024</v>
      </c>
      <c r="C649" t="s">
        <v>57</v>
      </c>
      <c r="D649">
        <v>49100154</v>
      </c>
      <c r="E649" t="s">
        <v>7</v>
      </c>
    </row>
    <row r="650" spans="1:5" x14ac:dyDescent="0.25">
      <c r="A650" t="s">
        <v>25</v>
      </c>
      <c r="B650">
        <v>2025</v>
      </c>
      <c r="C650" t="s">
        <v>57</v>
      </c>
      <c r="D650">
        <v>40581135</v>
      </c>
      <c r="E650" t="s">
        <v>7</v>
      </c>
    </row>
    <row r="651" spans="1:5" x14ac:dyDescent="0.25">
      <c r="A651" t="s">
        <v>26</v>
      </c>
      <c r="B651">
        <v>2025</v>
      </c>
      <c r="C651" t="s">
        <v>57</v>
      </c>
      <c r="D651">
        <v>2739378.4649999999</v>
      </c>
      <c r="E651" t="s">
        <v>7</v>
      </c>
    </row>
    <row r="652" spans="1:5" x14ac:dyDescent="0.25">
      <c r="A652" t="s">
        <v>27</v>
      </c>
      <c r="B652">
        <v>2025</v>
      </c>
      <c r="C652" t="s">
        <v>57</v>
      </c>
      <c r="D652">
        <v>2607277.3650000002</v>
      </c>
      <c r="E652" t="s">
        <v>7</v>
      </c>
    </row>
    <row r="653" spans="1:5" x14ac:dyDescent="0.25">
      <c r="A653" t="s">
        <v>28</v>
      </c>
      <c r="B653">
        <v>2012</v>
      </c>
      <c r="C653" t="s">
        <v>57</v>
      </c>
      <c r="D653">
        <v>29261076</v>
      </c>
      <c r="E653" t="s">
        <v>7</v>
      </c>
    </row>
    <row r="654" spans="1:5" x14ac:dyDescent="0.25">
      <c r="A654" t="s">
        <v>28</v>
      </c>
      <c r="B654">
        <v>2013</v>
      </c>
      <c r="C654" t="s">
        <v>57</v>
      </c>
      <c r="D654">
        <v>347659779</v>
      </c>
      <c r="E654" t="s">
        <v>7</v>
      </c>
    </row>
    <row r="655" spans="1:5" x14ac:dyDescent="0.25">
      <c r="A655" t="s">
        <v>28</v>
      </c>
      <c r="B655">
        <v>2014</v>
      </c>
      <c r="C655" t="s">
        <v>57</v>
      </c>
      <c r="D655">
        <v>263240243</v>
      </c>
      <c r="E655" t="s">
        <v>7</v>
      </c>
    </row>
    <row r="656" spans="1:5" x14ac:dyDescent="0.25">
      <c r="A656" t="s">
        <v>28</v>
      </c>
      <c r="B656">
        <v>2015</v>
      </c>
      <c r="C656" t="s">
        <v>57</v>
      </c>
      <c r="D656">
        <v>294983735.45899999</v>
      </c>
      <c r="E656" t="s">
        <v>7</v>
      </c>
    </row>
    <row r="657" spans="1:5" x14ac:dyDescent="0.25">
      <c r="A657" t="s">
        <v>28</v>
      </c>
      <c r="B657">
        <v>2016</v>
      </c>
      <c r="C657" t="s">
        <v>57</v>
      </c>
      <c r="D657">
        <v>278972503.91600001</v>
      </c>
      <c r="E657" t="s">
        <v>7</v>
      </c>
    </row>
    <row r="658" spans="1:5" x14ac:dyDescent="0.25">
      <c r="A658" t="s">
        <v>28</v>
      </c>
      <c r="B658">
        <v>2017</v>
      </c>
      <c r="C658" t="s">
        <v>57</v>
      </c>
      <c r="D658">
        <v>358988097.61000001</v>
      </c>
      <c r="E658" t="s">
        <v>7</v>
      </c>
    </row>
    <row r="659" spans="1:5" x14ac:dyDescent="0.25">
      <c r="A659" t="s">
        <v>28</v>
      </c>
      <c r="B659">
        <v>2018</v>
      </c>
      <c r="C659" t="s">
        <v>57</v>
      </c>
      <c r="D659">
        <v>387288553.14999998</v>
      </c>
      <c r="E659" t="s">
        <v>7</v>
      </c>
    </row>
    <row r="660" spans="1:5" x14ac:dyDescent="0.25">
      <c r="A660" t="s">
        <v>28</v>
      </c>
      <c r="B660">
        <v>2019</v>
      </c>
      <c r="C660" t="s">
        <v>57</v>
      </c>
      <c r="D660">
        <v>410937783.023</v>
      </c>
      <c r="E660" t="s">
        <v>7</v>
      </c>
    </row>
    <row r="661" spans="1:5" x14ac:dyDescent="0.25">
      <c r="A661" t="s">
        <v>28</v>
      </c>
      <c r="B661">
        <v>2020</v>
      </c>
      <c r="C661" t="s">
        <v>57</v>
      </c>
      <c r="D661">
        <v>339398042.51899999</v>
      </c>
      <c r="E661" t="s">
        <v>7</v>
      </c>
    </row>
    <row r="662" spans="1:5" x14ac:dyDescent="0.25">
      <c r="A662" t="s">
        <v>28</v>
      </c>
      <c r="B662">
        <v>2021</v>
      </c>
      <c r="C662" t="s">
        <v>57</v>
      </c>
      <c r="D662">
        <v>276352138.98199999</v>
      </c>
      <c r="E662" t="s">
        <v>7</v>
      </c>
    </row>
    <row r="663" spans="1:5" x14ac:dyDescent="0.25">
      <c r="A663" t="s">
        <v>28</v>
      </c>
      <c r="B663">
        <v>2022</v>
      </c>
      <c r="C663" t="s">
        <v>57</v>
      </c>
      <c r="D663">
        <v>332723145.11500001</v>
      </c>
      <c r="E663" t="s">
        <v>7</v>
      </c>
    </row>
    <row r="664" spans="1:5" x14ac:dyDescent="0.25">
      <c r="A664" t="s">
        <v>28</v>
      </c>
      <c r="B664">
        <v>2023</v>
      </c>
      <c r="C664" t="s">
        <v>57</v>
      </c>
      <c r="D664">
        <v>334614528.42699999</v>
      </c>
      <c r="E664" t="s">
        <v>7</v>
      </c>
    </row>
    <row r="665" spans="1:5" x14ac:dyDescent="0.25">
      <c r="A665" t="s">
        <v>28</v>
      </c>
      <c r="B665">
        <v>2024</v>
      </c>
      <c r="C665" t="s">
        <v>57</v>
      </c>
      <c r="D665">
        <v>346746450.5</v>
      </c>
      <c r="E665" t="s">
        <v>7</v>
      </c>
    </row>
    <row r="666" spans="1:5" x14ac:dyDescent="0.25">
      <c r="A666" t="s">
        <v>29</v>
      </c>
      <c r="B666">
        <v>2000</v>
      </c>
      <c r="C666" t="s">
        <v>57</v>
      </c>
      <c r="D666">
        <v>48438534.963</v>
      </c>
      <c r="E666" t="s">
        <v>7</v>
      </c>
    </row>
    <row r="667" spans="1:5" x14ac:dyDescent="0.25">
      <c r="A667" t="s">
        <v>29</v>
      </c>
      <c r="B667">
        <v>2001</v>
      </c>
      <c r="C667" t="s">
        <v>57</v>
      </c>
      <c r="D667">
        <v>58040534.420999996</v>
      </c>
      <c r="E667" t="s">
        <v>7</v>
      </c>
    </row>
    <row r="668" spans="1:5" x14ac:dyDescent="0.25">
      <c r="A668" t="s">
        <v>29</v>
      </c>
      <c r="B668">
        <v>2002</v>
      </c>
      <c r="C668" t="s">
        <v>57</v>
      </c>
      <c r="D668">
        <v>82711532.878999993</v>
      </c>
      <c r="E668" t="s">
        <v>7</v>
      </c>
    </row>
    <row r="669" spans="1:5" x14ac:dyDescent="0.25">
      <c r="A669" t="s">
        <v>29</v>
      </c>
      <c r="B669">
        <v>2003</v>
      </c>
      <c r="C669" t="s">
        <v>57</v>
      </c>
      <c r="D669">
        <v>78728508.842999905</v>
      </c>
      <c r="E669" t="s">
        <v>7</v>
      </c>
    </row>
    <row r="670" spans="1:5" x14ac:dyDescent="0.25">
      <c r="A670" t="s">
        <v>29</v>
      </c>
      <c r="B670">
        <v>2004</v>
      </c>
      <c r="C670" t="s">
        <v>57</v>
      </c>
      <c r="D670">
        <v>90491053.334000096</v>
      </c>
      <c r="E670" t="s">
        <v>7</v>
      </c>
    </row>
    <row r="671" spans="1:5" x14ac:dyDescent="0.25">
      <c r="A671" t="s">
        <v>29</v>
      </c>
      <c r="B671">
        <v>2005</v>
      </c>
      <c r="C671" t="s">
        <v>57</v>
      </c>
      <c r="D671">
        <v>96572658.427999899</v>
      </c>
      <c r="E671" t="s">
        <v>7</v>
      </c>
    </row>
    <row r="672" spans="1:5" x14ac:dyDescent="0.25">
      <c r="A672" t="s">
        <v>29</v>
      </c>
      <c r="B672">
        <v>2006</v>
      </c>
      <c r="C672" t="s">
        <v>57</v>
      </c>
      <c r="D672">
        <v>102476729.771</v>
      </c>
      <c r="E672" t="s">
        <v>7</v>
      </c>
    </row>
    <row r="673" spans="1:5" x14ac:dyDescent="0.25">
      <c r="A673" t="s">
        <v>29</v>
      </c>
      <c r="B673">
        <v>2007</v>
      </c>
      <c r="C673" t="s">
        <v>57</v>
      </c>
      <c r="D673">
        <v>125015835.722</v>
      </c>
      <c r="E673" t="s">
        <v>7</v>
      </c>
    </row>
    <row r="674" spans="1:5" x14ac:dyDescent="0.25">
      <c r="A674" t="s">
        <v>29</v>
      </c>
      <c r="B674">
        <v>2008</v>
      </c>
      <c r="C674" t="s">
        <v>57</v>
      </c>
      <c r="D674">
        <v>139609588.36300001</v>
      </c>
      <c r="E674" t="s">
        <v>7</v>
      </c>
    </row>
    <row r="675" spans="1:5" x14ac:dyDescent="0.25">
      <c r="A675" t="s">
        <v>29</v>
      </c>
      <c r="B675">
        <v>2009</v>
      </c>
      <c r="C675" t="s">
        <v>57</v>
      </c>
      <c r="D675">
        <v>130257415.928</v>
      </c>
      <c r="E675" t="s">
        <v>7</v>
      </c>
    </row>
    <row r="676" spans="1:5" x14ac:dyDescent="0.25">
      <c r="A676" t="s">
        <v>29</v>
      </c>
      <c r="B676">
        <v>2010</v>
      </c>
      <c r="C676" t="s">
        <v>57</v>
      </c>
      <c r="D676">
        <v>108576968.42299999</v>
      </c>
      <c r="E676" t="s">
        <v>7</v>
      </c>
    </row>
    <row r="677" spans="1:5" x14ac:dyDescent="0.25">
      <c r="A677" t="s">
        <v>29</v>
      </c>
      <c r="B677">
        <v>2011</v>
      </c>
      <c r="C677" t="s">
        <v>57</v>
      </c>
      <c r="D677">
        <v>119647342.906</v>
      </c>
      <c r="E677" t="s">
        <v>7</v>
      </c>
    </row>
    <row r="678" spans="1:5" x14ac:dyDescent="0.25">
      <c r="A678" t="s">
        <v>29</v>
      </c>
      <c r="B678">
        <v>2012</v>
      </c>
      <c r="C678" t="s">
        <v>57</v>
      </c>
      <c r="D678">
        <v>136511068.11500001</v>
      </c>
      <c r="E678" t="s">
        <v>7</v>
      </c>
    </row>
    <row r="679" spans="1:5" x14ac:dyDescent="0.25">
      <c r="A679" t="s">
        <v>29</v>
      </c>
      <c r="B679">
        <v>2013</v>
      </c>
      <c r="C679" t="s">
        <v>57</v>
      </c>
      <c r="D679">
        <v>154164982.63</v>
      </c>
      <c r="E679" t="s">
        <v>7</v>
      </c>
    </row>
    <row r="680" spans="1:5" x14ac:dyDescent="0.25">
      <c r="A680" t="s">
        <v>29</v>
      </c>
      <c r="B680">
        <v>2014</v>
      </c>
      <c r="C680" t="s">
        <v>57</v>
      </c>
      <c r="D680">
        <v>174867362.993</v>
      </c>
      <c r="E680" t="s">
        <v>7</v>
      </c>
    </row>
    <row r="681" spans="1:5" x14ac:dyDescent="0.25">
      <c r="A681" t="s">
        <v>29</v>
      </c>
      <c r="B681">
        <v>2015</v>
      </c>
      <c r="C681" t="s">
        <v>57</v>
      </c>
      <c r="D681">
        <v>162431790.20100001</v>
      </c>
      <c r="E681" t="s">
        <v>7</v>
      </c>
    </row>
    <row r="682" spans="1:5" x14ac:dyDescent="0.25">
      <c r="A682" t="s">
        <v>29</v>
      </c>
      <c r="B682">
        <v>2016</v>
      </c>
      <c r="C682" t="s">
        <v>57</v>
      </c>
      <c r="D682">
        <v>167773533.634</v>
      </c>
      <c r="E682" t="s">
        <v>7</v>
      </c>
    </row>
    <row r="683" spans="1:5" x14ac:dyDescent="0.25">
      <c r="A683" t="s">
        <v>29</v>
      </c>
      <c r="B683">
        <v>2017</v>
      </c>
      <c r="C683" t="s">
        <v>57</v>
      </c>
      <c r="D683">
        <v>188645818.215</v>
      </c>
      <c r="E683" t="s">
        <v>7</v>
      </c>
    </row>
    <row r="684" spans="1:5" x14ac:dyDescent="0.25">
      <c r="A684" t="s">
        <v>29</v>
      </c>
      <c r="B684">
        <v>2018</v>
      </c>
      <c r="C684" t="s">
        <v>57</v>
      </c>
      <c r="D684">
        <v>207303246.28400001</v>
      </c>
      <c r="E684" t="s">
        <v>7</v>
      </c>
    </row>
    <row r="685" spans="1:5" x14ac:dyDescent="0.25">
      <c r="A685" t="s">
        <v>29</v>
      </c>
      <c r="B685">
        <v>2019</v>
      </c>
      <c r="C685" t="s">
        <v>57</v>
      </c>
      <c r="D685">
        <v>199698203.26100001</v>
      </c>
      <c r="E685" t="s">
        <v>7</v>
      </c>
    </row>
    <row r="686" spans="1:5" x14ac:dyDescent="0.25">
      <c r="A686" t="s">
        <v>29</v>
      </c>
      <c r="B686">
        <v>2020</v>
      </c>
      <c r="C686" t="s">
        <v>57</v>
      </c>
      <c r="D686">
        <v>243544496.10600001</v>
      </c>
      <c r="E686" t="s">
        <v>7</v>
      </c>
    </row>
    <row r="687" spans="1:5" x14ac:dyDescent="0.25">
      <c r="A687" t="s">
        <v>29</v>
      </c>
      <c r="B687">
        <v>2021</v>
      </c>
      <c r="C687" t="s">
        <v>57</v>
      </c>
      <c r="D687">
        <v>250105514.315</v>
      </c>
      <c r="E687" t="s">
        <v>7</v>
      </c>
    </row>
    <row r="688" spans="1:5" x14ac:dyDescent="0.25">
      <c r="A688" t="s">
        <v>29</v>
      </c>
      <c r="B688">
        <v>2022</v>
      </c>
      <c r="C688" t="s">
        <v>57</v>
      </c>
      <c r="D688">
        <v>259488012.43700001</v>
      </c>
      <c r="E688" t="s">
        <v>7</v>
      </c>
    </row>
    <row r="689" spans="1:5" x14ac:dyDescent="0.25">
      <c r="A689" t="s">
        <v>29</v>
      </c>
      <c r="B689">
        <v>2023</v>
      </c>
      <c r="C689" t="s">
        <v>57</v>
      </c>
      <c r="D689">
        <v>271734481.986</v>
      </c>
      <c r="E689" t="s">
        <v>7</v>
      </c>
    </row>
    <row r="690" spans="1:5" x14ac:dyDescent="0.25">
      <c r="A690" t="s">
        <v>29</v>
      </c>
      <c r="B690">
        <v>2024</v>
      </c>
      <c r="C690" t="s">
        <v>57</v>
      </c>
      <c r="D690">
        <v>305028068.56699997</v>
      </c>
      <c r="E690" t="s">
        <v>7</v>
      </c>
    </row>
    <row r="691" spans="1:5" x14ac:dyDescent="0.25">
      <c r="A691" t="s">
        <v>29</v>
      </c>
      <c r="B691">
        <v>2025</v>
      </c>
      <c r="C691" t="s">
        <v>57</v>
      </c>
      <c r="D691">
        <v>251131332.86700001</v>
      </c>
      <c r="E691" t="s">
        <v>7</v>
      </c>
    </row>
    <row r="692" spans="1:5" x14ac:dyDescent="0.25">
      <c r="A692" t="s">
        <v>30</v>
      </c>
      <c r="B692">
        <v>2017</v>
      </c>
      <c r="C692" t="s">
        <v>57</v>
      </c>
      <c r="D692">
        <v>8124781.5939999996</v>
      </c>
      <c r="E692" t="s">
        <v>7</v>
      </c>
    </row>
    <row r="693" spans="1:5" x14ac:dyDescent="0.25">
      <c r="A693" t="s">
        <v>31</v>
      </c>
      <c r="B693">
        <v>2025</v>
      </c>
      <c r="C693" t="s">
        <v>57</v>
      </c>
      <c r="D693">
        <v>6006570.3399999999</v>
      </c>
      <c r="E693" t="s">
        <v>7</v>
      </c>
    </row>
    <row r="694" spans="1:5" x14ac:dyDescent="0.25">
      <c r="A694" t="s">
        <v>32</v>
      </c>
      <c r="B694">
        <v>2013</v>
      </c>
      <c r="C694" t="s">
        <v>57</v>
      </c>
      <c r="D694">
        <v>169425.16399999999</v>
      </c>
      <c r="E694" t="s">
        <v>7</v>
      </c>
    </row>
    <row r="695" spans="1:5" x14ac:dyDescent="0.25">
      <c r="A695" t="s">
        <v>33</v>
      </c>
      <c r="B695">
        <v>2000</v>
      </c>
      <c r="C695" t="s">
        <v>57</v>
      </c>
      <c r="D695">
        <v>20932526.776000001</v>
      </c>
      <c r="E695" t="s">
        <v>7</v>
      </c>
    </row>
    <row r="696" spans="1:5" x14ac:dyDescent="0.25">
      <c r="A696" t="s">
        <v>33</v>
      </c>
      <c r="B696">
        <v>2001</v>
      </c>
      <c r="C696" t="s">
        <v>57</v>
      </c>
      <c r="D696">
        <v>56358900.338</v>
      </c>
      <c r="E696" t="s">
        <v>7</v>
      </c>
    </row>
    <row r="697" spans="1:5" x14ac:dyDescent="0.25">
      <c r="A697" t="s">
        <v>33</v>
      </c>
      <c r="B697">
        <v>2002</v>
      </c>
      <c r="C697" t="s">
        <v>57</v>
      </c>
      <c r="D697">
        <v>28428037.971999999</v>
      </c>
      <c r="E697" t="s">
        <v>7</v>
      </c>
    </row>
    <row r="698" spans="1:5" x14ac:dyDescent="0.25">
      <c r="A698" t="s">
        <v>33</v>
      </c>
      <c r="B698">
        <v>2003</v>
      </c>
      <c r="C698" t="s">
        <v>57</v>
      </c>
      <c r="D698">
        <v>42622524.390000001</v>
      </c>
      <c r="E698" t="s">
        <v>7</v>
      </c>
    </row>
    <row r="699" spans="1:5" x14ac:dyDescent="0.25">
      <c r="A699" t="s">
        <v>33</v>
      </c>
      <c r="B699">
        <v>2004</v>
      </c>
      <c r="C699" t="s">
        <v>57</v>
      </c>
      <c r="D699">
        <v>41377571.218000002</v>
      </c>
      <c r="E699" t="s">
        <v>7</v>
      </c>
    </row>
    <row r="700" spans="1:5" x14ac:dyDescent="0.25">
      <c r="A700" t="s">
        <v>33</v>
      </c>
      <c r="B700">
        <v>2005</v>
      </c>
      <c r="C700" t="s">
        <v>57</v>
      </c>
      <c r="D700">
        <v>20382229.331</v>
      </c>
      <c r="E700" t="s">
        <v>7</v>
      </c>
    </row>
    <row r="701" spans="1:5" x14ac:dyDescent="0.25">
      <c r="A701" t="s">
        <v>33</v>
      </c>
      <c r="B701">
        <v>2006</v>
      </c>
      <c r="C701" t="s">
        <v>57</v>
      </c>
      <c r="D701">
        <v>44309304.814000003</v>
      </c>
      <c r="E701" t="s">
        <v>7</v>
      </c>
    </row>
    <row r="702" spans="1:5" x14ac:dyDescent="0.25">
      <c r="A702" t="s">
        <v>33</v>
      </c>
      <c r="B702">
        <v>2007</v>
      </c>
      <c r="C702" t="s">
        <v>57</v>
      </c>
      <c r="D702">
        <v>42212927.810000002</v>
      </c>
      <c r="E702" t="s">
        <v>7</v>
      </c>
    </row>
    <row r="703" spans="1:5" x14ac:dyDescent="0.25">
      <c r="A703" t="s">
        <v>33</v>
      </c>
      <c r="B703">
        <v>2008</v>
      </c>
      <c r="C703" t="s">
        <v>57</v>
      </c>
      <c r="D703">
        <v>31961269.173</v>
      </c>
      <c r="E703" t="s">
        <v>7</v>
      </c>
    </row>
    <row r="704" spans="1:5" x14ac:dyDescent="0.25">
      <c r="A704" t="s">
        <v>33</v>
      </c>
      <c r="B704">
        <v>2009</v>
      </c>
      <c r="C704" t="s">
        <v>57</v>
      </c>
      <c r="D704">
        <v>22969716.346999999</v>
      </c>
      <c r="E704" t="s">
        <v>7</v>
      </c>
    </row>
    <row r="705" spans="1:5" x14ac:dyDescent="0.25">
      <c r="A705" t="s">
        <v>33</v>
      </c>
      <c r="B705">
        <v>2010</v>
      </c>
      <c r="C705" t="s">
        <v>57</v>
      </c>
      <c r="D705">
        <v>37164530.630999997</v>
      </c>
      <c r="E705" t="s">
        <v>7</v>
      </c>
    </row>
    <row r="706" spans="1:5" x14ac:dyDescent="0.25">
      <c r="A706" t="s">
        <v>33</v>
      </c>
      <c r="B706">
        <v>2011</v>
      </c>
      <c r="C706" t="s">
        <v>57</v>
      </c>
      <c r="D706">
        <v>44270014.681000002</v>
      </c>
      <c r="E706" t="s">
        <v>7</v>
      </c>
    </row>
    <row r="707" spans="1:5" x14ac:dyDescent="0.25">
      <c r="A707" t="s">
        <v>33</v>
      </c>
      <c r="B707">
        <v>2012</v>
      </c>
      <c r="C707" t="s">
        <v>57</v>
      </c>
      <c r="D707">
        <v>38358196.376999997</v>
      </c>
      <c r="E707" t="s">
        <v>7</v>
      </c>
    </row>
    <row r="708" spans="1:5" x14ac:dyDescent="0.25">
      <c r="A708" t="s">
        <v>33</v>
      </c>
      <c r="B708">
        <v>2013</v>
      </c>
      <c r="C708" t="s">
        <v>57</v>
      </c>
      <c r="D708">
        <v>43592024.844999999</v>
      </c>
      <c r="E708" t="s">
        <v>7</v>
      </c>
    </row>
    <row r="709" spans="1:5" x14ac:dyDescent="0.25">
      <c r="A709" t="s">
        <v>33</v>
      </c>
      <c r="B709">
        <v>2014</v>
      </c>
      <c r="C709" t="s">
        <v>57</v>
      </c>
      <c r="D709">
        <v>49392254.603</v>
      </c>
      <c r="E709" t="s">
        <v>7</v>
      </c>
    </row>
    <row r="710" spans="1:5" x14ac:dyDescent="0.25">
      <c r="A710" t="s">
        <v>33</v>
      </c>
      <c r="B710">
        <v>2015</v>
      </c>
      <c r="C710" t="s">
        <v>57</v>
      </c>
      <c r="D710">
        <v>34654535.318999998</v>
      </c>
      <c r="E710" t="s">
        <v>7</v>
      </c>
    </row>
    <row r="711" spans="1:5" x14ac:dyDescent="0.25">
      <c r="A711" t="s">
        <v>33</v>
      </c>
      <c r="B711">
        <v>2016</v>
      </c>
      <c r="C711" t="s">
        <v>57</v>
      </c>
      <c r="D711">
        <v>29436013.530999999</v>
      </c>
      <c r="E711" t="s">
        <v>7</v>
      </c>
    </row>
    <row r="712" spans="1:5" x14ac:dyDescent="0.25">
      <c r="A712" t="s">
        <v>33</v>
      </c>
      <c r="B712">
        <v>2017</v>
      </c>
      <c r="C712" t="s">
        <v>57</v>
      </c>
      <c r="D712">
        <v>39811942.387999997</v>
      </c>
      <c r="E712" t="s">
        <v>7</v>
      </c>
    </row>
    <row r="713" spans="1:5" x14ac:dyDescent="0.25">
      <c r="A713" t="s">
        <v>33</v>
      </c>
      <c r="B713">
        <v>2018</v>
      </c>
      <c r="C713" t="s">
        <v>57</v>
      </c>
      <c r="D713">
        <v>33676919.478</v>
      </c>
      <c r="E713" t="s">
        <v>7</v>
      </c>
    </row>
    <row r="714" spans="1:5" x14ac:dyDescent="0.25">
      <c r="A714" t="s">
        <v>33</v>
      </c>
      <c r="B714">
        <v>2019</v>
      </c>
      <c r="C714" t="s">
        <v>57</v>
      </c>
      <c r="D714">
        <v>31920351.316</v>
      </c>
      <c r="E714" t="s">
        <v>7</v>
      </c>
    </row>
    <row r="715" spans="1:5" x14ac:dyDescent="0.25">
      <c r="A715" t="s">
        <v>33</v>
      </c>
      <c r="B715">
        <v>2020</v>
      </c>
      <c r="C715" t="s">
        <v>57</v>
      </c>
      <c r="D715">
        <v>23313662.877999999</v>
      </c>
      <c r="E715" t="s">
        <v>7</v>
      </c>
    </row>
    <row r="716" spans="1:5" x14ac:dyDescent="0.25">
      <c r="A716" t="s">
        <v>33</v>
      </c>
      <c r="B716">
        <v>2021</v>
      </c>
      <c r="C716" t="s">
        <v>57</v>
      </c>
      <c r="D716">
        <v>15674990.444</v>
      </c>
      <c r="E716" t="s">
        <v>7</v>
      </c>
    </row>
    <row r="717" spans="1:5" x14ac:dyDescent="0.25">
      <c r="A717" t="s">
        <v>33</v>
      </c>
      <c r="B717">
        <v>2022</v>
      </c>
      <c r="C717" t="s">
        <v>57</v>
      </c>
      <c r="D717">
        <v>17190881.191</v>
      </c>
      <c r="E717" t="s">
        <v>7</v>
      </c>
    </row>
    <row r="718" spans="1:5" x14ac:dyDescent="0.25">
      <c r="A718" t="s">
        <v>33</v>
      </c>
      <c r="B718">
        <v>2023</v>
      </c>
      <c r="C718" t="s">
        <v>57</v>
      </c>
      <c r="D718">
        <v>21281061.092</v>
      </c>
      <c r="E718" t="s">
        <v>7</v>
      </c>
    </row>
    <row r="719" spans="1:5" x14ac:dyDescent="0.25">
      <c r="A719" t="s">
        <v>34</v>
      </c>
      <c r="B719">
        <v>2018</v>
      </c>
      <c r="C719" t="s">
        <v>57</v>
      </c>
      <c r="D719">
        <v>40525202.392999999</v>
      </c>
      <c r="E719" t="s">
        <v>7</v>
      </c>
    </row>
    <row r="720" spans="1:5" x14ac:dyDescent="0.25">
      <c r="A720" t="s">
        <v>35</v>
      </c>
      <c r="B720">
        <v>2010</v>
      </c>
      <c r="C720" t="s">
        <v>57</v>
      </c>
      <c r="D720">
        <v>249349565.10299999</v>
      </c>
      <c r="E720" t="s">
        <v>7</v>
      </c>
    </row>
    <row r="721" spans="1:5" x14ac:dyDescent="0.25">
      <c r="A721" t="s">
        <v>35</v>
      </c>
      <c r="B721">
        <v>2011</v>
      </c>
      <c r="C721" t="s">
        <v>57</v>
      </c>
      <c r="D721">
        <v>267824019.30700001</v>
      </c>
      <c r="E721" t="s">
        <v>7</v>
      </c>
    </row>
    <row r="722" spans="1:5" x14ac:dyDescent="0.25">
      <c r="A722" t="s">
        <v>35</v>
      </c>
      <c r="B722">
        <v>2012</v>
      </c>
      <c r="C722" t="s">
        <v>57</v>
      </c>
      <c r="D722">
        <v>336925110.88700002</v>
      </c>
      <c r="E722" t="s">
        <v>7</v>
      </c>
    </row>
    <row r="723" spans="1:5" x14ac:dyDescent="0.25">
      <c r="A723" t="s">
        <v>35</v>
      </c>
      <c r="B723">
        <v>2013</v>
      </c>
      <c r="C723" t="s">
        <v>57</v>
      </c>
      <c r="D723">
        <v>312995480.93199998</v>
      </c>
      <c r="E723" t="s">
        <v>7</v>
      </c>
    </row>
    <row r="724" spans="1:5" x14ac:dyDescent="0.25">
      <c r="A724" t="s">
        <v>35</v>
      </c>
      <c r="B724">
        <v>2014</v>
      </c>
      <c r="C724" t="s">
        <v>57</v>
      </c>
      <c r="D724">
        <v>307904498.00700003</v>
      </c>
      <c r="E724" t="s">
        <v>7</v>
      </c>
    </row>
    <row r="725" spans="1:5" x14ac:dyDescent="0.25">
      <c r="A725" t="s">
        <v>35</v>
      </c>
      <c r="B725">
        <v>2015</v>
      </c>
      <c r="C725" t="s">
        <v>57</v>
      </c>
      <c r="D725">
        <v>219047382.42899999</v>
      </c>
      <c r="E725" t="s">
        <v>7</v>
      </c>
    </row>
    <row r="726" spans="1:5" x14ac:dyDescent="0.25">
      <c r="A726" t="s">
        <v>35</v>
      </c>
      <c r="B726">
        <v>2016</v>
      </c>
      <c r="C726" t="s">
        <v>57</v>
      </c>
      <c r="D726">
        <v>252308224.965</v>
      </c>
      <c r="E726" t="s">
        <v>7</v>
      </c>
    </row>
    <row r="727" spans="1:5" x14ac:dyDescent="0.25">
      <c r="A727" t="s">
        <v>35</v>
      </c>
      <c r="B727">
        <v>2017</v>
      </c>
      <c r="C727" t="s">
        <v>57</v>
      </c>
      <c r="D727">
        <v>281820477.85000002</v>
      </c>
      <c r="E727" t="s">
        <v>7</v>
      </c>
    </row>
    <row r="728" spans="1:5" x14ac:dyDescent="0.25">
      <c r="A728" t="s">
        <v>35</v>
      </c>
      <c r="B728">
        <v>2018</v>
      </c>
      <c r="C728" t="s">
        <v>57</v>
      </c>
      <c r="D728">
        <v>272141235.65100002</v>
      </c>
      <c r="E728" t="s">
        <v>7</v>
      </c>
    </row>
    <row r="729" spans="1:5" x14ac:dyDescent="0.25">
      <c r="A729" t="s">
        <v>35</v>
      </c>
      <c r="B729">
        <v>2019</v>
      </c>
      <c r="C729" t="s">
        <v>57</v>
      </c>
      <c r="D729">
        <v>242412540.153</v>
      </c>
      <c r="E729" t="s">
        <v>7</v>
      </c>
    </row>
    <row r="730" spans="1:5" x14ac:dyDescent="0.25">
      <c r="A730" t="s">
        <v>35</v>
      </c>
      <c r="B730">
        <v>2020</v>
      </c>
      <c r="C730" t="s">
        <v>57</v>
      </c>
      <c r="D730">
        <v>239443844.69</v>
      </c>
      <c r="E730" t="s">
        <v>7</v>
      </c>
    </row>
    <row r="731" spans="1:5" x14ac:dyDescent="0.25">
      <c r="A731" t="s">
        <v>35</v>
      </c>
      <c r="B731">
        <v>2021</v>
      </c>
      <c r="C731" t="s">
        <v>57</v>
      </c>
      <c r="D731">
        <v>219288256.69400001</v>
      </c>
      <c r="E731" t="s">
        <v>7</v>
      </c>
    </row>
    <row r="732" spans="1:5" x14ac:dyDescent="0.25">
      <c r="A732" t="s">
        <v>35</v>
      </c>
      <c r="B732">
        <v>2022</v>
      </c>
      <c r="C732" t="s">
        <v>57</v>
      </c>
      <c r="D732">
        <v>249807634.625</v>
      </c>
      <c r="E732" t="s">
        <v>7</v>
      </c>
    </row>
    <row r="733" spans="1:5" x14ac:dyDescent="0.25">
      <c r="A733" t="s">
        <v>35</v>
      </c>
      <c r="B733">
        <v>2023</v>
      </c>
      <c r="C733" t="s">
        <v>57</v>
      </c>
      <c r="D733">
        <v>261618347.63999999</v>
      </c>
      <c r="E733" t="s">
        <v>7</v>
      </c>
    </row>
    <row r="734" spans="1:5" x14ac:dyDescent="0.25">
      <c r="A734" t="s">
        <v>35</v>
      </c>
      <c r="B734">
        <v>2024</v>
      </c>
      <c r="C734" t="s">
        <v>57</v>
      </c>
      <c r="D734">
        <v>255964061.86000001</v>
      </c>
      <c r="E734" t="s">
        <v>7</v>
      </c>
    </row>
    <row r="735" spans="1:5" x14ac:dyDescent="0.25">
      <c r="A735" t="s">
        <v>35</v>
      </c>
      <c r="B735">
        <v>2025</v>
      </c>
      <c r="C735" t="s">
        <v>57</v>
      </c>
      <c r="D735">
        <v>193807886.05000001</v>
      </c>
      <c r="E735" t="s">
        <v>7</v>
      </c>
    </row>
    <row r="736" spans="1:5" x14ac:dyDescent="0.25">
      <c r="A736" t="s">
        <v>36</v>
      </c>
      <c r="B736">
        <v>2012</v>
      </c>
      <c r="C736" t="s">
        <v>57</v>
      </c>
      <c r="D736">
        <v>13679666</v>
      </c>
      <c r="E736" t="s">
        <v>7</v>
      </c>
    </row>
    <row r="737" spans="1:5" x14ac:dyDescent="0.25">
      <c r="A737" t="s">
        <v>36</v>
      </c>
      <c r="B737">
        <v>2013</v>
      </c>
      <c r="C737" t="s">
        <v>57</v>
      </c>
      <c r="D737">
        <v>13607433</v>
      </c>
      <c r="E737" t="s">
        <v>7</v>
      </c>
    </row>
    <row r="738" spans="1:5" x14ac:dyDescent="0.25">
      <c r="A738" t="s">
        <v>36</v>
      </c>
      <c r="B738">
        <v>2014</v>
      </c>
      <c r="C738" t="s">
        <v>57</v>
      </c>
      <c r="D738">
        <v>14071307</v>
      </c>
      <c r="E738" t="s">
        <v>7</v>
      </c>
    </row>
    <row r="739" spans="1:5" x14ac:dyDescent="0.25">
      <c r="A739" t="s">
        <v>36</v>
      </c>
      <c r="B739">
        <v>2016</v>
      </c>
      <c r="C739" t="s">
        <v>57</v>
      </c>
      <c r="D739">
        <v>10794956</v>
      </c>
      <c r="E739" t="s">
        <v>7</v>
      </c>
    </row>
    <row r="740" spans="1:5" x14ac:dyDescent="0.25">
      <c r="A740" t="s">
        <v>36</v>
      </c>
      <c r="B740">
        <v>2017</v>
      </c>
      <c r="C740" t="s">
        <v>57</v>
      </c>
      <c r="D740">
        <v>21714413</v>
      </c>
      <c r="E740" t="s">
        <v>7</v>
      </c>
    </row>
    <row r="741" spans="1:5" x14ac:dyDescent="0.25">
      <c r="A741" t="s">
        <v>36</v>
      </c>
      <c r="B741">
        <v>2018</v>
      </c>
      <c r="C741" t="s">
        <v>57</v>
      </c>
      <c r="D741">
        <v>18887766</v>
      </c>
      <c r="E741" t="s">
        <v>7</v>
      </c>
    </row>
    <row r="742" spans="1:5" x14ac:dyDescent="0.25">
      <c r="A742" t="s">
        <v>36</v>
      </c>
      <c r="B742">
        <v>2019</v>
      </c>
      <c r="C742" t="s">
        <v>57</v>
      </c>
      <c r="D742">
        <v>24971711</v>
      </c>
      <c r="E742" t="s">
        <v>7</v>
      </c>
    </row>
    <row r="743" spans="1:5" x14ac:dyDescent="0.25">
      <c r="A743" t="s">
        <v>36</v>
      </c>
      <c r="B743">
        <v>2020</v>
      </c>
      <c r="C743" t="s">
        <v>57</v>
      </c>
      <c r="D743">
        <v>51812734</v>
      </c>
      <c r="E743" t="s">
        <v>7</v>
      </c>
    </row>
    <row r="744" spans="1:5" x14ac:dyDescent="0.25">
      <c r="A744" t="s">
        <v>36</v>
      </c>
      <c r="B744">
        <v>2021</v>
      </c>
      <c r="C744" t="s">
        <v>57</v>
      </c>
      <c r="D744">
        <v>46136085</v>
      </c>
      <c r="E744" t="s">
        <v>7</v>
      </c>
    </row>
    <row r="745" spans="1:5" x14ac:dyDescent="0.25">
      <c r="A745" t="s">
        <v>36</v>
      </c>
      <c r="B745">
        <v>2022</v>
      </c>
      <c r="C745" t="s">
        <v>57</v>
      </c>
      <c r="D745">
        <v>68747114</v>
      </c>
      <c r="E745" t="s">
        <v>7</v>
      </c>
    </row>
    <row r="746" spans="1:5" x14ac:dyDescent="0.25">
      <c r="A746" t="s">
        <v>36</v>
      </c>
      <c r="B746">
        <v>2023</v>
      </c>
      <c r="C746" t="s">
        <v>57</v>
      </c>
      <c r="D746">
        <v>71630367</v>
      </c>
      <c r="E746" t="s">
        <v>7</v>
      </c>
    </row>
    <row r="747" spans="1:5" x14ac:dyDescent="0.25">
      <c r="A747" t="s">
        <v>36</v>
      </c>
      <c r="B747">
        <v>2024</v>
      </c>
      <c r="C747" t="s">
        <v>57</v>
      </c>
      <c r="D747">
        <v>76719932</v>
      </c>
      <c r="E747" t="s">
        <v>7</v>
      </c>
    </row>
    <row r="748" spans="1:5" x14ac:dyDescent="0.25">
      <c r="A748" t="s">
        <v>36</v>
      </c>
      <c r="B748">
        <v>2025</v>
      </c>
      <c r="C748" t="s">
        <v>57</v>
      </c>
      <c r="D748">
        <v>55981422</v>
      </c>
      <c r="E748" t="s">
        <v>7</v>
      </c>
    </row>
    <row r="749" spans="1:5" x14ac:dyDescent="0.25">
      <c r="A749" t="s">
        <v>37</v>
      </c>
      <c r="B749">
        <v>2000</v>
      </c>
      <c r="C749" t="s">
        <v>57</v>
      </c>
      <c r="D749">
        <v>10758706.933</v>
      </c>
      <c r="E749" t="s">
        <v>7</v>
      </c>
    </row>
    <row r="750" spans="1:5" x14ac:dyDescent="0.25">
      <c r="A750" t="s">
        <v>37</v>
      </c>
      <c r="B750">
        <v>2001</v>
      </c>
      <c r="C750" t="s">
        <v>57</v>
      </c>
      <c r="D750">
        <v>11431629.472999999</v>
      </c>
      <c r="E750" t="s">
        <v>7</v>
      </c>
    </row>
    <row r="751" spans="1:5" x14ac:dyDescent="0.25">
      <c r="A751" t="s">
        <v>37</v>
      </c>
      <c r="B751">
        <v>2002</v>
      </c>
      <c r="C751" t="s">
        <v>57</v>
      </c>
      <c r="D751">
        <v>11076969.069</v>
      </c>
      <c r="E751" t="s">
        <v>7</v>
      </c>
    </row>
    <row r="752" spans="1:5" x14ac:dyDescent="0.25">
      <c r="A752" t="s">
        <v>37</v>
      </c>
      <c r="B752">
        <v>2003</v>
      </c>
      <c r="C752" t="s">
        <v>57</v>
      </c>
      <c r="D752">
        <v>6986527.1710000001</v>
      </c>
      <c r="E752" t="s">
        <v>7</v>
      </c>
    </row>
    <row r="753" spans="1:5" x14ac:dyDescent="0.25">
      <c r="A753" t="s">
        <v>37</v>
      </c>
      <c r="B753">
        <v>2004</v>
      </c>
      <c r="C753" t="s">
        <v>57</v>
      </c>
      <c r="D753">
        <v>11123977.034</v>
      </c>
      <c r="E753" t="s">
        <v>7</v>
      </c>
    </row>
    <row r="754" spans="1:5" x14ac:dyDescent="0.25">
      <c r="A754" t="s">
        <v>37</v>
      </c>
      <c r="B754">
        <v>2005</v>
      </c>
      <c r="C754" t="s">
        <v>57</v>
      </c>
      <c r="D754">
        <v>8009359.608</v>
      </c>
      <c r="E754" t="s">
        <v>7</v>
      </c>
    </row>
    <row r="755" spans="1:5" x14ac:dyDescent="0.25">
      <c r="A755" t="s">
        <v>37</v>
      </c>
      <c r="B755">
        <v>2006</v>
      </c>
      <c r="C755" t="s">
        <v>57</v>
      </c>
      <c r="D755">
        <v>16685832.813999999</v>
      </c>
      <c r="E755" t="s">
        <v>7</v>
      </c>
    </row>
    <row r="756" spans="1:5" x14ac:dyDescent="0.25">
      <c r="A756" t="s">
        <v>37</v>
      </c>
      <c r="B756">
        <v>2007</v>
      </c>
      <c r="C756" t="s">
        <v>57</v>
      </c>
      <c r="D756">
        <v>12437973.994999999</v>
      </c>
      <c r="E756" t="s">
        <v>7</v>
      </c>
    </row>
    <row r="757" spans="1:5" x14ac:dyDescent="0.25">
      <c r="A757" t="s">
        <v>37</v>
      </c>
      <c r="B757">
        <v>2008</v>
      </c>
      <c r="C757" t="s">
        <v>57</v>
      </c>
      <c r="D757">
        <v>11078542.908</v>
      </c>
      <c r="E757" t="s">
        <v>7</v>
      </c>
    </row>
    <row r="758" spans="1:5" x14ac:dyDescent="0.25">
      <c r="A758" t="s">
        <v>37</v>
      </c>
      <c r="B758">
        <v>2009</v>
      </c>
      <c r="C758" t="s">
        <v>57</v>
      </c>
      <c r="D758">
        <v>14025442.537</v>
      </c>
      <c r="E758" t="s">
        <v>7</v>
      </c>
    </row>
    <row r="759" spans="1:5" x14ac:dyDescent="0.25">
      <c r="A759" t="s">
        <v>37</v>
      </c>
      <c r="B759">
        <v>2010</v>
      </c>
      <c r="C759" t="s">
        <v>57</v>
      </c>
      <c r="D759">
        <v>78511396.797000006</v>
      </c>
      <c r="E759" t="s">
        <v>7</v>
      </c>
    </row>
    <row r="760" spans="1:5" x14ac:dyDescent="0.25">
      <c r="A760" t="s">
        <v>37</v>
      </c>
      <c r="B760">
        <v>2011</v>
      </c>
      <c r="C760" t="s">
        <v>57</v>
      </c>
      <c r="D760">
        <v>80667589.166999996</v>
      </c>
      <c r="E760" t="s">
        <v>7</v>
      </c>
    </row>
    <row r="761" spans="1:5" x14ac:dyDescent="0.25">
      <c r="A761" t="s">
        <v>37</v>
      </c>
      <c r="B761">
        <v>2012</v>
      </c>
      <c r="C761" t="s">
        <v>57</v>
      </c>
      <c r="D761">
        <v>94913109.520999998</v>
      </c>
      <c r="E761" t="s">
        <v>7</v>
      </c>
    </row>
    <row r="762" spans="1:5" x14ac:dyDescent="0.25">
      <c r="A762" t="s">
        <v>37</v>
      </c>
      <c r="B762">
        <v>2013</v>
      </c>
      <c r="C762" t="s">
        <v>57</v>
      </c>
      <c r="D762">
        <v>130090706.358</v>
      </c>
      <c r="E762" t="s">
        <v>7</v>
      </c>
    </row>
    <row r="763" spans="1:5" x14ac:dyDescent="0.25">
      <c r="A763" t="s">
        <v>37</v>
      </c>
      <c r="B763">
        <v>2014</v>
      </c>
      <c r="C763" t="s">
        <v>57</v>
      </c>
      <c r="D763">
        <v>101468745.8</v>
      </c>
      <c r="E763" t="s">
        <v>7</v>
      </c>
    </row>
    <row r="764" spans="1:5" x14ac:dyDescent="0.25">
      <c r="A764" t="s">
        <v>37</v>
      </c>
      <c r="B764">
        <v>2015</v>
      </c>
      <c r="C764" t="s">
        <v>57</v>
      </c>
      <c r="D764">
        <v>84587499.328999996</v>
      </c>
      <c r="E764" t="s">
        <v>7</v>
      </c>
    </row>
    <row r="765" spans="1:5" x14ac:dyDescent="0.25">
      <c r="A765" t="s">
        <v>37</v>
      </c>
      <c r="B765">
        <v>2016</v>
      </c>
      <c r="C765" t="s">
        <v>57</v>
      </c>
      <c r="D765">
        <v>82323124.670000002</v>
      </c>
      <c r="E765" t="s">
        <v>7</v>
      </c>
    </row>
    <row r="766" spans="1:5" x14ac:dyDescent="0.25">
      <c r="A766" t="s">
        <v>37</v>
      </c>
      <c r="B766">
        <v>2017</v>
      </c>
      <c r="C766" t="s">
        <v>57</v>
      </c>
      <c r="D766">
        <v>94726353.048999995</v>
      </c>
      <c r="E766" t="s">
        <v>7</v>
      </c>
    </row>
    <row r="767" spans="1:5" x14ac:dyDescent="0.25">
      <c r="A767" t="s">
        <v>37</v>
      </c>
      <c r="B767">
        <v>2018</v>
      </c>
      <c r="C767" t="s">
        <v>57</v>
      </c>
      <c r="D767">
        <v>99168251.532999903</v>
      </c>
      <c r="E767" t="s">
        <v>7</v>
      </c>
    </row>
    <row r="768" spans="1:5" x14ac:dyDescent="0.25">
      <c r="A768" t="s">
        <v>37</v>
      </c>
      <c r="B768">
        <v>2019</v>
      </c>
      <c r="C768" t="s">
        <v>57</v>
      </c>
      <c r="D768">
        <v>100806450.891</v>
      </c>
      <c r="E768" t="s">
        <v>7</v>
      </c>
    </row>
    <row r="769" spans="1:5" x14ac:dyDescent="0.25">
      <c r="A769" t="s">
        <v>37</v>
      </c>
      <c r="B769">
        <v>2020</v>
      </c>
      <c r="C769" t="s">
        <v>57</v>
      </c>
      <c r="D769">
        <v>99662090.001000002</v>
      </c>
      <c r="E769" t="s">
        <v>7</v>
      </c>
    </row>
    <row r="770" spans="1:5" x14ac:dyDescent="0.25">
      <c r="A770" t="s">
        <v>37</v>
      </c>
      <c r="B770">
        <v>2021</v>
      </c>
      <c r="C770" t="s">
        <v>57</v>
      </c>
      <c r="D770">
        <v>95843537.958000004</v>
      </c>
      <c r="E770" t="s">
        <v>7</v>
      </c>
    </row>
    <row r="771" spans="1:5" x14ac:dyDescent="0.25">
      <c r="A771" t="s">
        <v>37</v>
      </c>
      <c r="B771">
        <v>2022</v>
      </c>
      <c r="C771" t="s">
        <v>57</v>
      </c>
      <c r="D771">
        <v>88058195.623999998</v>
      </c>
      <c r="E771" t="s">
        <v>7</v>
      </c>
    </row>
    <row r="772" spans="1:5" x14ac:dyDescent="0.25">
      <c r="A772" t="s">
        <v>37</v>
      </c>
      <c r="B772">
        <v>2023</v>
      </c>
      <c r="C772" t="s">
        <v>57</v>
      </c>
      <c r="D772">
        <v>79308906.172000006</v>
      </c>
      <c r="E772" t="s">
        <v>7</v>
      </c>
    </row>
    <row r="773" spans="1:5" x14ac:dyDescent="0.25">
      <c r="A773" t="s">
        <v>37</v>
      </c>
      <c r="B773">
        <v>2024</v>
      </c>
      <c r="C773" t="s">
        <v>57</v>
      </c>
      <c r="D773">
        <v>112532207.48800001</v>
      </c>
      <c r="E773" t="s">
        <v>7</v>
      </c>
    </row>
    <row r="774" spans="1:5" x14ac:dyDescent="0.25">
      <c r="A774" t="s">
        <v>37</v>
      </c>
      <c r="B774">
        <v>2025</v>
      </c>
      <c r="C774" t="s">
        <v>57</v>
      </c>
      <c r="D774">
        <v>41112902.670999996</v>
      </c>
      <c r="E774" t="s">
        <v>7</v>
      </c>
    </row>
    <row r="775" spans="1:5" x14ac:dyDescent="0.25">
      <c r="A775" t="s">
        <v>38</v>
      </c>
      <c r="B775">
        <v>2000</v>
      </c>
      <c r="C775" t="s">
        <v>57</v>
      </c>
      <c r="D775">
        <v>261460025.27599999</v>
      </c>
      <c r="E775" t="s">
        <v>7</v>
      </c>
    </row>
    <row r="776" spans="1:5" x14ac:dyDescent="0.25">
      <c r="A776" t="s">
        <v>38</v>
      </c>
      <c r="B776">
        <v>2001</v>
      </c>
      <c r="C776" t="s">
        <v>57</v>
      </c>
      <c r="D776">
        <v>378450810.56</v>
      </c>
      <c r="E776" t="s">
        <v>7</v>
      </c>
    </row>
    <row r="777" spans="1:5" x14ac:dyDescent="0.25">
      <c r="A777" t="s">
        <v>38</v>
      </c>
      <c r="B777">
        <v>2002</v>
      </c>
      <c r="C777" t="s">
        <v>57</v>
      </c>
      <c r="D777">
        <v>372078289.671</v>
      </c>
      <c r="E777" t="s">
        <v>7</v>
      </c>
    </row>
    <row r="778" spans="1:5" x14ac:dyDescent="0.25">
      <c r="A778" t="s">
        <v>38</v>
      </c>
      <c r="B778">
        <v>2003</v>
      </c>
      <c r="C778" t="s">
        <v>57</v>
      </c>
      <c r="D778">
        <v>71476390.642000198</v>
      </c>
      <c r="E778" t="s">
        <v>7</v>
      </c>
    </row>
    <row r="779" spans="1:5" x14ac:dyDescent="0.25">
      <c r="A779" t="s">
        <v>38</v>
      </c>
      <c r="B779">
        <v>2004</v>
      </c>
      <c r="C779" t="s">
        <v>57</v>
      </c>
      <c r="D779" t="s">
        <v>39</v>
      </c>
      <c r="E779" t="s">
        <v>7</v>
      </c>
    </row>
    <row r="780" spans="1:5" x14ac:dyDescent="0.25">
      <c r="A780" t="s">
        <v>38</v>
      </c>
      <c r="B780">
        <v>2005</v>
      </c>
      <c r="C780" t="s">
        <v>57</v>
      </c>
      <c r="D780">
        <v>158238751.49000001</v>
      </c>
      <c r="E780" t="s">
        <v>7</v>
      </c>
    </row>
    <row r="781" spans="1:5" x14ac:dyDescent="0.25">
      <c r="A781" t="s">
        <v>38</v>
      </c>
      <c r="B781">
        <v>2006</v>
      </c>
      <c r="C781" t="s">
        <v>57</v>
      </c>
      <c r="D781">
        <v>314919361.97600102</v>
      </c>
      <c r="E781" t="s">
        <v>7</v>
      </c>
    </row>
    <row r="782" spans="1:5" x14ac:dyDescent="0.25">
      <c r="A782" t="s">
        <v>38</v>
      </c>
      <c r="B782">
        <v>2007</v>
      </c>
      <c r="C782" t="s">
        <v>57</v>
      </c>
      <c r="D782">
        <v>238796799.278</v>
      </c>
      <c r="E782" t="s">
        <v>7</v>
      </c>
    </row>
    <row r="783" spans="1:5" x14ac:dyDescent="0.25">
      <c r="A783" t="s">
        <v>38</v>
      </c>
      <c r="B783">
        <v>2008</v>
      </c>
      <c r="C783" t="s">
        <v>57</v>
      </c>
      <c r="D783">
        <v>958832568.472</v>
      </c>
      <c r="E783" t="s">
        <v>7</v>
      </c>
    </row>
    <row r="784" spans="1:5" x14ac:dyDescent="0.25">
      <c r="A784" t="s">
        <v>38</v>
      </c>
      <c r="B784">
        <v>2009</v>
      </c>
      <c r="C784" t="s">
        <v>57</v>
      </c>
      <c r="D784">
        <v>1247291350.7379999</v>
      </c>
      <c r="E784" t="s">
        <v>7</v>
      </c>
    </row>
    <row r="785" spans="1:5" x14ac:dyDescent="0.25">
      <c r="A785" t="s">
        <v>38</v>
      </c>
      <c r="B785">
        <v>2010</v>
      </c>
      <c r="C785" t="s">
        <v>57</v>
      </c>
      <c r="D785">
        <v>2014375500.1889999</v>
      </c>
      <c r="E785" t="s">
        <v>7</v>
      </c>
    </row>
    <row r="786" spans="1:5" x14ac:dyDescent="0.25">
      <c r="A786" t="s">
        <v>38</v>
      </c>
      <c r="B786">
        <v>2011</v>
      </c>
      <c r="C786" t="s">
        <v>57</v>
      </c>
      <c r="D786">
        <v>1262067343.006</v>
      </c>
      <c r="E786" t="s">
        <v>7</v>
      </c>
    </row>
    <row r="787" spans="1:5" x14ac:dyDescent="0.25">
      <c r="A787" t="s">
        <v>38</v>
      </c>
      <c r="B787">
        <v>2015</v>
      </c>
      <c r="C787" t="s">
        <v>57</v>
      </c>
      <c r="D787">
        <v>520062002.17299801</v>
      </c>
      <c r="E787" t="s">
        <v>7</v>
      </c>
    </row>
    <row r="788" spans="1:5" x14ac:dyDescent="0.25">
      <c r="A788" t="s">
        <v>38</v>
      </c>
      <c r="B788">
        <v>2016</v>
      </c>
      <c r="C788" t="s">
        <v>57</v>
      </c>
      <c r="D788">
        <v>3442786.4099998502</v>
      </c>
      <c r="E788" t="s">
        <v>7</v>
      </c>
    </row>
    <row r="789" spans="1:5" x14ac:dyDescent="0.25">
      <c r="A789" t="s">
        <v>38</v>
      </c>
      <c r="B789">
        <v>2019</v>
      </c>
      <c r="C789" t="s">
        <v>57</v>
      </c>
      <c r="D789">
        <v>91326728.402999893</v>
      </c>
      <c r="E789" t="s">
        <v>7</v>
      </c>
    </row>
    <row r="790" spans="1:5" x14ac:dyDescent="0.25">
      <c r="A790" t="s">
        <v>38</v>
      </c>
      <c r="B790">
        <v>2020</v>
      </c>
      <c r="C790" t="s">
        <v>57</v>
      </c>
      <c r="D790">
        <v>174639136.280002</v>
      </c>
      <c r="E790" t="s">
        <v>7</v>
      </c>
    </row>
    <row r="791" spans="1:5" x14ac:dyDescent="0.25">
      <c r="A791" t="s">
        <v>38</v>
      </c>
      <c r="B791">
        <v>2021</v>
      </c>
      <c r="C791" t="s">
        <v>57</v>
      </c>
      <c r="D791">
        <v>17596765.725999799</v>
      </c>
      <c r="E791" t="s">
        <v>7</v>
      </c>
    </row>
    <row r="792" spans="1:5" x14ac:dyDescent="0.25">
      <c r="A792" t="s">
        <v>38</v>
      </c>
      <c r="B792">
        <v>2022</v>
      </c>
      <c r="C792" t="s">
        <v>57</v>
      </c>
      <c r="D792">
        <v>1116708126.562</v>
      </c>
      <c r="E792" t="s">
        <v>7</v>
      </c>
    </row>
    <row r="793" spans="1:5" x14ac:dyDescent="0.25">
      <c r="A793" t="s">
        <v>38</v>
      </c>
      <c r="B793">
        <v>2023</v>
      </c>
      <c r="C793" t="s">
        <v>57</v>
      </c>
      <c r="D793">
        <v>1335440393.5339999</v>
      </c>
      <c r="E793" t="s">
        <v>7</v>
      </c>
    </row>
    <row r="794" spans="1:5" x14ac:dyDescent="0.25">
      <c r="A794" t="s">
        <v>38</v>
      </c>
      <c r="B794">
        <v>2025</v>
      </c>
      <c r="C794" t="s">
        <v>57</v>
      </c>
      <c r="D794">
        <v>3576022613.7360001</v>
      </c>
      <c r="E794" t="s">
        <v>7</v>
      </c>
    </row>
    <row r="795" spans="1:5" x14ac:dyDescent="0.25">
      <c r="A795" t="s">
        <v>40</v>
      </c>
      <c r="B795">
        <v>2010</v>
      </c>
      <c r="C795" t="s">
        <v>57</v>
      </c>
      <c r="D795">
        <v>97238478.890000001</v>
      </c>
      <c r="E795" t="s">
        <v>7</v>
      </c>
    </row>
    <row r="796" spans="1:5" x14ac:dyDescent="0.25">
      <c r="A796" t="s">
        <v>40</v>
      </c>
      <c r="B796">
        <v>2011</v>
      </c>
      <c r="C796" t="s">
        <v>57</v>
      </c>
      <c r="D796">
        <v>86060836.165999994</v>
      </c>
      <c r="E796" t="s">
        <v>7</v>
      </c>
    </row>
    <row r="797" spans="1:5" x14ac:dyDescent="0.25">
      <c r="A797" t="s">
        <v>40</v>
      </c>
      <c r="B797">
        <v>2012</v>
      </c>
      <c r="C797" t="s">
        <v>57</v>
      </c>
      <c r="D797">
        <v>109817690.095</v>
      </c>
      <c r="E797" t="s">
        <v>7</v>
      </c>
    </row>
    <row r="798" spans="1:5" x14ac:dyDescent="0.25">
      <c r="A798" t="s">
        <v>40</v>
      </c>
      <c r="B798">
        <v>2013</v>
      </c>
      <c r="C798" t="s">
        <v>57</v>
      </c>
      <c r="D798">
        <v>135603472.85499999</v>
      </c>
      <c r="E798" t="s">
        <v>7</v>
      </c>
    </row>
    <row r="799" spans="1:5" x14ac:dyDescent="0.25">
      <c r="A799" t="s">
        <v>40</v>
      </c>
      <c r="B799">
        <v>2014</v>
      </c>
      <c r="C799" t="s">
        <v>57</v>
      </c>
      <c r="D799">
        <v>173482953.40700001</v>
      </c>
      <c r="E799" t="s">
        <v>7</v>
      </c>
    </row>
    <row r="800" spans="1:5" x14ac:dyDescent="0.25">
      <c r="A800" t="s">
        <v>40</v>
      </c>
      <c r="B800">
        <v>2015</v>
      </c>
      <c r="C800" t="s">
        <v>57</v>
      </c>
      <c r="D800">
        <v>141966240.07499999</v>
      </c>
      <c r="E800" t="s">
        <v>7</v>
      </c>
    </row>
    <row r="801" spans="1:5" x14ac:dyDescent="0.25">
      <c r="A801" t="s">
        <v>40</v>
      </c>
      <c r="B801">
        <v>2016</v>
      </c>
      <c r="C801" t="s">
        <v>57</v>
      </c>
      <c r="D801">
        <v>192040718.958</v>
      </c>
      <c r="E801" t="s">
        <v>7</v>
      </c>
    </row>
    <row r="802" spans="1:5" x14ac:dyDescent="0.25">
      <c r="A802" t="s">
        <v>40</v>
      </c>
      <c r="B802">
        <v>2017</v>
      </c>
      <c r="C802" t="s">
        <v>57</v>
      </c>
      <c r="D802">
        <v>260405543.91299999</v>
      </c>
      <c r="E802" t="s">
        <v>7</v>
      </c>
    </row>
    <row r="803" spans="1:5" x14ac:dyDescent="0.25">
      <c r="A803" t="s">
        <v>40</v>
      </c>
      <c r="B803">
        <v>2018</v>
      </c>
      <c r="C803" t="s">
        <v>57</v>
      </c>
      <c r="D803">
        <v>280776355.58099997</v>
      </c>
      <c r="E803" t="s">
        <v>7</v>
      </c>
    </row>
    <row r="804" spans="1:5" x14ac:dyDescent="0.25">
      <c r="A804" t="s">
        <v>40</v>
      </c>
      <c r="B804">
        <v>2019</v>
      </c>
      <c r="C804" t="s">
        <v>57</v>
      </c>
      <c r="D804">
        <v>265950731.14199999</v>
      </c>
      <c r="E804" t="s">
        <v>7</v>
      </c>
    </row>
    <row r="805" spans="1:5" x14ac:dyDescent="0.25">
      <c r="A805" t="s">
        <v>40</v>
      </c>
      <c r="B805">
        <v>2020</v>
      </c>
      <c r="C805" t="s">
        <v>57</v>
      </c>
      <c r="D805">
        <v>337114654.977</v>
      </c>
      <c r="E805" t="s">
        <v>7</v>
      </c>
    </row>
    <row r="806" spans="1:5" x14ac:dyDescent="0.25">
      <c r="A806" t="s">
        <v>40</v>
      </c>
      <c r="B806">
        <v>2021</v>
      </c>
      <c r="C806" t="s">
        <v>57</v>
      </c>
      <c r="D806">
        <v>378375374.77899998</v>
      </c>
      <c r="E806" t="s">
        <v>7</v>
      </c>
    </row>
    <row r="807" spans="1:5" x14ac:dyDescent="0.25">
      <c r="A807" t="s">
        <v>40</v>
      </c>
      <c r="B807">
        <v>2022</v>
      </c>
      <c r="C807" t="s">
        <v>57</v>
      </c>
      <c r="D807">
        <v>361302777.61500001</v>
      </c>
      <c r="E807" t="s">
        <v>7</v>
      </c>
    </row>
    <row r="808" spans="1:5" x14ac:dyDescent="0.25">
      <c r="A808" t="s">
        <v>40</v>
      </c>
      <c r="B808">
        <v>2023</v>
      </c>
      <c r="C808" t="s">
        <v>57</v>
      </c>
      <c r="D808">
        <v>288523216.82099998</v>
      </c>
      <c r="E808" t="s">
        <v>7</v>
      </c>
    </row>
    <row r="809" spans="1:5" x14ac:dyDescent="0.25">
      <c r="A809" t="s">
        <v>40</v>
      </c>
      <c r="B809">
        <v>2024</v>
      </c>
      <c r="C809" t="s">
        <v>57</v>
      </c>
      <c r="D809">
        <v>262066137.07699999</v>
      </c>
      <c r="E809" t="s">
        <v>7</v>
      </c>
    </row>
    <row r="810" spans="1:5" x14ac:dyDescent="0.25">
      <c r="A810" t="s">
        <v>40</v>
      </c>
      <c r="B810">
        <v>2025</v>
      </c>
      <c r="C810" t="s">
        <v>57</v>
      </c>
      <c r="D810">
        <v>187166808.502</v>
      </c>
      <c r="E810" t="s">
        <v>7</v>
      </c>
    </row>
    <row r="811" spans="1:5" x14ac:dyDescent="0.25">
      <c r="A811" t="s">
        <v>41</v>
      </c>
      <c r="B811">
        <v>2015</v>
      </c>
      <c r="C811" t="s">
        <v>57</v>
      </c>
      <c r="D811">
        <v>6392119.057</v>
      </c>
      <c r="E811" t="s">
        <v>7</v>
      </c>
    </row>
    <row r="812" spans="1:5" x14ac:dyDescent="0.25">
      <c r="A812" t="s">
        <v>41</v>
      </c>
      <c r="B812">
        <v>2016</v>
      </c>
      <c r="C812" t="s">
        <v>57</v>
      </c>
      <c r="D812">
        <v>10339078.396</v>
      </c>
      <c r="E812" t="s">
        <v>7</v>
      </c>
    </row>
    <row r="813" spans="1:5" x14ac:dyDescent="0.25">
      <c r="A813" t="s">
        <v>41</v>
      </c>
      <c r="B813">
        <v>2018</v>
      </c>
      <c r="C813" t="s">
        <v>57</v>
      </c>
      <c r="D813">
        <v>21516752.289000001</v>
      </c>
      <c r="E813" t="s">
        <v>7</v>
      </c>
    </row>
    <row r="814" spans="1:5" x14ac:dyDescent="0.25">
      <c r="A814" t="s">
        <v>41</v>
      </c>
      <c r="B814">
        <v>2022</v>
      </c>
      <c r="C814" t="s">
        <v>57</v>
      </c>
      <c r="D814">
        <v>12756709.994000001</v>
      </c>
      <c r="E814" t="s">
        <v>7</v>
      </c>
    </row>
    <row r="815" spans="1:5" x14ac:dyDescent="0.25">
      <c r="A815" t="s">
        <v>42</v>
      </c>
      <c r="B815">
        <v>2010</v>
      </c>
      <c r="C815" t="s">
        <v>57</v>
      </c>
      <c r="D815">
        <v>10387079.609999999</v>
      </c>
      <c r="E815" t="s">
        <v>7</v>
      </c>
    </row>
    <row r="816" spans="1:5" x14ac:dyDescent="0.25">
      <c r="A816" t="s">
        <v>42</v>
      </c>
      <c r="B816">
        <v>2011</v>
      </c>
      <c r="C816" t="s">
        <v>57</v>
      </c>
      <c r="D816">
        <v>10226268.380000001</v>
      </c>
      <c r="E816" t="s">
        <v>7</v>
      </c>
    </row>
    <row r="817" spans="1:5" x14ac:dyDescent="0.25">
      <c r="A817" t="s">
        <v>42</v>
      </c>
      <c r="B817">
        <v>2013</v>
      </c>
      <c r="C817" t="s">
        <v>57</v>
      </c>
      <c r="D817">
        <v>19536923.949999999</v>
      </c>
      <c r="E817" t="s">
        <v>7</v>
      </c>
    </row>
    <row r="818" spans="1:5" x14ac:dyDescent="0.25">
      <c r="A818" t="s">
        <v>42</v>
      </c>
      <c r="B818">
        <v>2014</v>
      </c>
      <c r="C818" t="s">
        <v>57</v>
      </c>
      <c r="D818">
        <v>14194099.039999999</v>
      </c>
      <c r="E818" t="s">
        <v>7</v>
      </c>
    </row>
    <row r="819" spans="1:5" x14ac:dyDescent="0.25">
      <c r="A819" t="s">
        <v>42</v>
      </c>
      <c r="B819">
        <v>2015</v>
      </c>
      <c r="C819" t="s">
        <v>57</v>
      </c>
      <c r="D819">
        <v>18180634.93</v>
      </c>
      <c r="E819" t="s">
        <v>7</v>
      </c>
    </row>
    <row r="820" spans="1:5" x14ac:dyDescent="0.25">
      <c r="A820" t="s">
        <v>42</v>
      </c>
      <c r="B820">
        <v>2016</v>
      </c>
      <c r="C820" t="s">
        <v>57</v>
      </c>
      <c r="D820">
        <v>8380722.7300000004</v>
      </c>
      <c r="E820" t="s">
        <v>7</v>
      </c>
    </row>
    <row r="821" spans="1:5" x14ac:dyDescent="0.25">
      <c r="A821" t="s">
        <v>42</v>
      </c>
      <c r="B821">
        <v>2017</v>
      </c>
      <c r="C821" t="s">
        <v>57</v>
      </c>
      <c r="D821">
        <v>23342663.41</v>
      </c>
      <c r="E821" t="s">
        <v>7</v>
      </c>
    </row>
    <row r="822" spans="1:5" x14ac:dyDescent="0.25">
      <c r="A822" t="s">
        <v>42</v>
      </c>
      <c r="B822">
        <v>2018</v>
      </c>
      <c r="C822" t="s">
        <v>57</v>
      </c>
      <c r="D822">
        <v>50541675.990000002</v>
      </c>
      <c r="E822" t="s">
        <v>7</v>
      </c>
    </row>
    <row r="823" spans="1:5" x14ac:dyDescent="0.25">
      <c r="A823" t="s">
        <v>42</v>
      </c>
      <c r="B823">
        <v>2019</v>
      </c>
      <c r="C823" t="s">
        <v>57</v>
      </c>
      <c r="D823">
        <v>41095118.280000001</v>
      </c>
      <c r="E823" t="s">
        <v>7</v>
      </c>
    </row>
    <row r="824" spans="1:5" x14ac:dyDescent="0.25">
      <c r="A824" t="s">
        <v>42</v>
      </c>
      <c r="B824">
        <v>2020</v>
      </c>
      <c r="C824" t="s">
        <v>57</v>
      </c>
      <c r="D824">
        <v>16766320.07</v>
      </c>
      <c r="E824" t="s">
        <v>7</v>
      </c>
    </row>
    <row r="825" spans="1:5" x14ac:dyDescent="0.25">
      <c r="A825" t="s">
        <v>42</v>
      </c>
      <c r="B825">
        <v>2024</v>
      </c>
      <c r="C825" t="s">
        <v>57</v>
      </c>
      <c r="D825">
        <v>84711030.157000005</v>
      </c>
      <c r="E825" t="s">
        <v>7</v>
      </c>
    </row>
    <row r="826" spans="1:5" x14ac:dyDescent="0.25">
      <c r="A826" t="s">
        <v>42</v>
      </c>
      <c r="B826">
        <v>2025</v>
      </c>
      <c r="C826" t="s">
        <v>57</v>
      </c>
      <c r="D826">
        <v>30565770.103</v>
      </c>
      <c r="E826" t="s">
        <v>7</v>
      </c>
    </row>
    <row r="827" spans="1:5" x14ac:dyDescent="0.25">
      <c r="A827" t="s">
        <v>43</v>
      </c>
      <c r="B827">
        <v>2010</v>
      </c>
      <c r="C827" t="s">
        <v>57</v>
      </c>
      <c r="D827">
        <v>231029960</v>
      </c>
      <c r="E827" t="s">
        <v>7</v>
      </c>
    </row>
    <row r="828" spans="1:5" x14ac:dyDescent="0.25">
      <c r="A828" t="s">
        <v>43</v>
      </c>
      <c r="B828">
        <v>2011</v>
      </c>
      <c r="C828" t="s">
        <v>57</v>
      </c>
      <c r="D828">
        <v>209778958</v>
      </c>
      <c r="E828" t="s">
        <v>7</v>
      </c>
    </row>
    <row r="829" spans="1:5" x14ac:dyDescent="0.25">
      <c r="A829" t="s">
        <v>43</v>
      </c>
      <c r="B829">
        <v>2012</v>
      </c>
      <c r="C829" t="s">
        <v>57</v>
      </c>
      <c r="D829">
        <v>304879638</v>
      </c>
      <c r="E829" t="s">
        <v>7</v>
      </c>
    </row>
    <row r="830" spans="1:5" x14ac:dyDescent="0.25">
      <c r="A830" t="s">
        <v>43</v>
      </c>
      <c r="B830">
        <v>2013</v>
      </c>
      <c r="C830" t="s">
        <v>57</v>
      </c>
      <c r="D830">
        <v>561004563</v>
      </c>
      <c r="E830" t="s">
        <v>7</v>
      </c>
    </row>
    <row r="831" spans="1:5" x14ac:dyDescent="0.25">
      <c r="A831" t="s">
        <v>43</v>
      </c>
      <c r="B831">
        <v>2014</v>
      </c>
      <c r="C831" t="s">
        <v>57</v>
      </c>
      <c r="D831">
        <v>326001560</v>
      </c>
      <c r="E831" t="s">
        <v>7</v>
      </c>
    </row>
    <row r="832" spans="1:5" x14ac:dyDescent="0.25">
      <c r="A832" t="s">
        <v>43</v>
      </c>
      <c r="B832">
        <v>2015</v>
      </c>
      <c r="C832" t="s">
        <v>57</v>
      </c>
      <c r="D832">
        <v>229495174</v>
      </c>
      <c r="E832" t="s">
        <v>7</v>
      </c>
    </row>
    <row r="833" spans="1:5" x14ac:dyDescent="0.25">
      <c r="A833" t="s">
        <v>43</v>
      </c>
      <c r="B833">
        <v>2016</v>
      </c>
      <c r="C833" t="s">
        <v>57</v>
      </c>
      <c r="D833">
        <v>179168302</v>
      </c>
      <c r="E833" t="s">
        <v>7</v>
      </c>
    </row>
    <row r="834" spans="1:5" x14ac:dyDescent="0.25">
      <c r="A834" t="s">
        <v>43</v>
      </c>
      <c r="B834">
        <v>2017</v>
      </c>
      <c r="C834" t="s">
        <v>57</v>
      </c>
      <c r="D834">
        <v>294307135</v>
      </c>
      <c r="E834" t="s">
        <v>7</v>
      </c>
    </row>
    <row r="835" spans="1:5" x14ac:dyDescent="0.25">
      <c r="A835" t="s">
        <v>43</v>
      </c>
      <c r="B835">
        <v>2018</v>
      </c>
      <c r="C835" t="s">
        <v>57</v>
      </c>
      <c r="D835">
        <v>353021521</v>
      </c>
      <c r="E835" t="s">
        <v>7</v>
      </c>
    </row>
    <row r="836" spans="1:5" x14ac:dyDescent="0.25">
      <c r="A836" t="s">
        <v>43</v>
      </c>
      <c r="B836">
        <v>2019</v>
      </c>
      <c r="C836" t="s">
        <v>57</v>
      </c>
      <c r="D836">
        <v>356167458</v>
      </c>
      <c r="E836" t="s">
        <v>7</v>
      </c>
    </row>
    <row r="837" spans="1:5" x14ac:dyDescent="0.25">
      <c r="A837" t="s">
        <v>43</v>
      </c>
      <c r="B837">
        <v>2020</v>
      </c>
      <c r="C837" t="s">
        <v>57</v>
      </c>
      <c r="D837">
        <v>344406121</v>
      </c>
      <c r="E837" t="s">
        <v>7</v>
      </c>
    </row>
    <row r="838" spans="1:5" x14ac:dyDescent="0.25">
      <c r="A838" t="s">
        <v>43</v>
      </c>
      <c r="B838">
        <v>2021</v>
      </c>
      <c r="C838" t="s">
        <v>57</v>
      </c>
      <c r="D838">
        <v>345060161</v>
      </c>
      <c r="E838" t="s">
        <v>7</v>
      </c>
    </row>
    <row r="839" spans="1:5" x14ac:dyDescent="0.25">
      <c r="A839" t="s">
        <v>43</v>
      </c>
      <c r="B839">
        <v>2022</v>
      </c>
      <c r="C839" t="s">
        <v>57</v>
      </c>
      <c r="D839">
        <v>339936782</v>
      </c>
      <c r="E839" t="s">
        <v>7</v>
      </c>
    </row>
    <row r="840" spans="1:5" x14ac:dyDescent="0.25">
      <c r="A840" t="s">
        <v>43</v>
      </c>
      <c r="B840">
        <v>2023</v>
      </c>
      <c r="C840" t="s">
        <v>57</v>
      </c>
      <c r="D840">
        <v>319081602</v>
      </c>
      <c r="E840" t="s">
        <v>7</v>
      </c>
    </row>
    <row r="841" spans="1:5" x14ac:dyDescent="0.25">
      <c r="A841" t="s">
        <v>43</v>
      </c>
      <c r="B841">
        <v>2024</v>
      </c>
      <c r="C841" t="s">
        <v>57</v>
      </c>
      <c r="D841">
        <v>415698282</v>
      </c>
      <c r="E841" t="s">
        <v>7</v>
      </c>
    </row>
    <row r="842" spans="1:5" x14ac:dyDescent="0.25">
      <c r="A842" t="s">
        <v>43</v>
      </c>
      <c r="B842">
        <v>2025</v>
      </c>
      <c r="C842" t="s">
        <v>57</v>
      </c>
      <c r="D842">
        <v>270098821</v>
      </c>
      <c r="E842" t="s">
        <v>7</v>
      </c>
    </row>
    <row r="843" spans="1:5" x14ac:dyDescent="0.25">
      <c r="A843" t="s">
        <v>44</v>
      </c>
      <c r="B843">
        <v>2010</v>
      </c>
      <c r="C843" t="s">
        <v>57</v>
      </c>
      <c r="D843">
        <v>27894707.682</v>
      </c>
      <c r="E843" t="s">
        <v>7</v>
      </c>
    </row>
    <row r="844" spans="1:5" x14ac:dyDescent="0.25">
      <c r="A844" t="s">
        <v>44</v>
      </c>
      <c r="B844">
        <v>2011</v>
      </c>
      <c r="C844" t="s">
        <v>57</v>
      </c>
      <c r="D844">
        <v>45871003.721000001</v>
      </c>
      <c r="E844" t="s">
        <v>7</v>
      </c>
    </row>
    <row r="845" spans="1:5" x14ac:dyDescent="0.25">
      <c r="A845" t="s">
        <v>44</v>
      </c>
      <c r="B845">
        <v>2012</v>
      </c>
      <c r="C845" t="s">
        <v>57</v>
      </c>
      <c r="D845">
        <v>56434633.594999999</v>
      </c>
      <c r="E845" t="s">
        <v>7</v>
      </c>
    </row>
    <row r="846" spans="1:5" x14ac:dyDescent="0.25">
      <c r="A846" t="s">
        <v>44</v>
      </c>
      <c r="B846">
        <v>2013</v>
      </c>
      <c r="C846" t="s">
        <v>57</v>
      </c>
      <c r="D846">
        <v>73011132.607999995</v>
      </c>
      <c r="E846" t="s">
        <v>7</v>
      </c>
    </row>
    <row r="847" spans="1:5" x14ac:dyDescent="0.25">
      <c r="A847" t="s">
        <v>44</v>
      </c>
      <c r="B847">
        <v>2014</v>
      </c>
      <c r="C847" t="s">
        <v>57</v>
      </c>
      <c r="D847">
        <v>81673126.070000097</v>
      </c>
      <c r="E847" t="s">
        <v>7</v>
      </c>
    </row>
    <row r="848" spans="1:5" x14ac:dyDescent="0.25">
      <c r="A848" t="s">
        <v>44</v>
      </c>
      <c r="B848">
        <v>2015</v>
      </c>
      <c r="C848" t="s">
        <v>57</v>
      </c>
      <c r="D848">
        <v>56873938.952</v>
      </c>
      <c r="E848" t="s">
        <v>7</v>
      </c>
    </row>
    <row r="849" spans="1:5" x14ac:dyDescent="0.25">
      <c r="A849" t="s">
        <v>44</v>
      </c>
      <c r="B849">
        <v>2016</v>
      </c>
      <c r="C849" t="s">
        <v>57</v>
      </c>
      <c r="D849">
        <v>72663252.604000002</v>
      </c>
      <c r="E849" t="s">
        <v>7</v>
      </c>
    </row>
    <row r="850" spans="1:5" x14ac:dyDescent="0.25">
      <c r="A850" t="s">
        <v>44</v>
      </c>
      <c r="B850">
        <v>2017</v>
      </c>
      <c r="C850" t="s">
        <v>57</v>
      </c>
      <c r="D850">
        <v>92427681.920000002</v>
      </c>
      <c r="E850" t="s">
        <v>7</v>
      </c>
    </row>
    <row r="851" spans="1:5" x14ac:dyDescent="0.25">
      <c r="A851" t="s">
        <v>44</v>
      </c>
      <c r="B851">
        <v>2018</v>
      </c>
      <c r="C851" t="s">
        <v>57</v>
      </c>
      <c r="D851">
        <v>101060500.483</v>
      </c>
      <c r="E851" t="s">
        <v>7</v>
      </c>
    </row>
    <row r="852" spans="1:5" x14ac:dyDescent="0.25">
      <c r="A852" t="s">
        <v>44</v>
      </c>
      <c r="B852">
        <v>2019</v>
      </c>
      <c r="C852" t="s">
        <v>57</v>
      </c>
      <c r="D852">
        <v>87759549.804000005</v>
      </c>
      <c r="E852" t="s">
        <v>7</v>
      </c>
    </row>
    <row r="853" spans="1:5" x14ac:dyDescent="0.25">
      <c r="A853" t="s">
        <v>44</v>
      </c>
      <c r="B853">
        <v>2020</v>
      </c>
      <c r="C853" t="s">
        <v>57</v>
      </c>
      <c r="D853">
        <v>102328617.366</v>
      </c>
      <c r="E853" t="s">
        <v>7</v>
      </c>
    </row>
    <row r="854" spans="1:5" x14ac:dyDescent="0.25">
      <c r="A854" t="s">
        <v>44</v>
      </c>
      <c r="B854">
        <v>2021</v>
      </c>
      <c r="C854" t="s">
        <v>57</v>
      </c>
      <c r="D854">
        <v>102668952.15800001</v>
      </c>
      <c r="E854" t="s">
        <v>7</v>
      </c>
    </row>
    <row r="855" spans="1:5" x14ac:dyDescent="0.25">
      <c r="A855" t="s">
        <v>44</v>
      </c>
      <c r="B855">
        <v>2022</v>
      </c>
      <c r="C855" t="s">
        <v>57</v>
      </c>
      <c r="D855">
        <v>117747921.301</v>
      </c>
      <c r="E855" t="s">
        <v>7</v>
      </c>
    </row>
    <row r="856" spans="1:5" x14ac:dyDescent="0.25">
      <c r="A856" t="s">
        <v>44</v>
      </c>
      <c r="B856">
        <v>2023</v>
      </c>
      <c r="C856" t="s">
        <v>57</v>
      </c>
      <c r="D856">
        <v>145377038.86899999</v>
      </c>
      <c r="E856" t="s">
        <v>7</v>
      </c>
    </row>
    <row r="857" spans="1:5" x14ac:dyDescent="0.25">
      <c r="A857" t="s">
        <v>44</v>
      </c>
      <c r="B857">
        <v>2024</v>
      </c>
      <c r="C857" t="s">
        <v>57</v>
      </c>
      <c r="D857">
        <v>166728604.81200001</v>
      </c>
      <c r="E857" t="s">
        <v>7</v>
      </c>
    </row>
    <row r="858" spans="1:5" x14ac:dyDescent="0.25">
      <c r="A858" t="s">
        <v>44</v>
      </c>
      <c r="B858">
        <v>2025</v>
      </c>
      <c r="C858" t="s">
        <v>57</v>
      </c>
      <c r="D858">
        <v>167139714.28400001</v>
      </c>
      <c r="E858" t="s">
        <v>7</v>
      </c>
    </row>
    <row r="859" spans="1:5" x14ac:dyDescent="0.25">
      <c r="A859" t="s">
        <v>45</v>
      </c>
      <c r="B859">
        <v>2015</v>
      </c>
      <c r="C859" t="s">
        <v>57</v>
      </c>
      <c r="D859">
        <v>12852247</v>
      </c>
      <c r="E859" t="s">
        <v>7</v>
      </c>
    </row>
    <row r="860" spans="1:5" x14ac:dyDescent="0.25">
      <c r="A860" t="s">
        <v>45</v>
      </c>
      <c r="B860">
        <v>2016</v>
      </c>
      <c r="C860" t="s">
        <v>57</v>
      </c>
      <c r="D860">
        <v>11866163</v>
      </c>
      <c r="E860" t="s">
        <v>7</v>
      </c>
    </row>
    <row r="861" spans="1:5" x14ac:dyDescent="0.25">
      <c r="A861" t="s">
        <v>45</v>
      </c>
      <c r="B861">
        <v>2017</v>
      </c>
      <c r="C861" t="s">
        <v>57</v>
      </c>
      <c r="D861">
        <v>11435347</v>
      </c>
      <c r="E861" t="s">
        <v>7</v>
      </c>
    </row>
    <row r="862" spans="1:5" x14ac:dyDescent="0.25">
      <c r="A862" t="s">
        <v>45</v>
      </c>
      <c r="B862">
        <v>2018</v>
      </c>
      <c r="C862" t="s">
        <v>57</v>
      </c>
      <c r="D862">
        <v>13313399</v>
      </c>
      <c r="E862" t="s">
        <v>7</v>
      </c>
    </row>
    <row r="863" spans="1:5" x14ac:dyDescent="0.25">
      <c r="A863" t="s">
        <v>45</v>
      </c>
      <c r="B863">
        <v>2019</v>
      </c>
      <c r="C863" t="s">
        <v>57</v>
      </c>
      <c r="D863">
        <v>15061230</v>
      </c>
      <c r="E863" t="s">
        <v>7</v>
      </c>
    </row>
    <row r="864" spans="1:5" x14ac:dyDescent="0.25">
      <c r="A864" t="s">
        <v>45</v>
      </c>
      <c r="B864">
        <v>2020</v>
      </c>
      <c r="C864" t="s">
        <v>57</v>
      </c>
      <c r="D864">
        <v>17965204</v>
      </c>
      <c r="E864" t="s">
        <v>7</v>
      </c>
    </row>
    <row r="865" spans="1:5" x14ac:dyDescent="0.25">
      <c r="A865" t="s">
        <v>45</v>
      </c>
      <c r="B865">
        <v>2021</v>
      </c>
      <c r="C865" t="s">
        <v>57</v>
      </c>
      <c r="D865">
        <v>21323591</v>
      </c>
      <c r="E865" t="s">
        <v>7</v>
      </c>
    </row>
    <row r="866" spans="1:5" x14ac:dyDescent="0.25">
      <c r="A866" t="s">
        <v>45</v>
      </c>
      <c r="B866">
        <v>2022</v>
      </c>
      <c r="C866" t="s">
        <v>57</v>
      </c>
      <c r="D866">
        <v>19988836</v>
      </c>
      <c r="E866" t="s">
        <v>7</v>
      </c>
    </row>
    <row r="867" spans="1:5" x14ac:dyDescent="0.25">
      <c r="A867" t="s">
        <v>45</v>
      </c>
      <c r="B867">
        <v>2023</v>
      </c>
      <c r="C867" t="s">
        <v>57</v>
      </c>
      <c r="D867">
        <v>22929505</v>
      </c>
      <c r="E867" t="s">
        <v>7</v>
      </c>
    </row>
    <row r="868" spans="1:5" x14ac:dyDescent="0.25">
      <c r="A868" t="s">
        <v>45</v>
      </c>
      <c r="B868">
        <v>2024</v>
      </c>
      <c r="C868" t="s">
        <v>57</v>
      </c>
      <c r="D868">
        <v>22476375</v>
      </c>
      <c r="E868" t="s">
        <v>7</v>
      </c>
    </row>
    <row r="869" spans="1:5" x14ac:dyDescent="0.25">
      <c r="A869" t="s">
        <v>46</v>
      </c>
      <c r="B869">
        <v>2013</v>
      </c>
      <c r="C869" t="s">
        <v>57</v>
      </c>
      <c r="D869">
        <v>10659377.538000001</v>
      </c>
      <c r="E869" t="s">
        <v>7</v>
      </c>
    </row>
    <row r="870" spans="1:5" x14ac:dyDescent="0.25">
      <c r="A870" t="s">
        <v>46</v>
      </c>
      <c r="B870">
        <v>2014</v>
      </c>
      <c r="C870" t="s">
        <v>57</v>
      </c>
      <c r="D870">
        <v>13474742.83</v>
      </c>
      <c r="E870" t="s">
        <v>7</v>
      </c>
    </row>
    <row r="871" spans="1:5" x14ac:dyDescent="0.25">
      <c r="A871" t="s">
        <v>46</v>
      </c>
      <c r="B871">
        <v>2015</v>
      </c>
      <c r="C871" t="s">
        <v>57</v>
      </c>
      <c r="D871">
        <v>11238653.567</v>
      </c>
      <c r="E871" t="s">
        <v>7</v>
      </c>
    </row>
    <row r="872" spans="1:5" x14ac:dyDescent="0.25">
      <c r="A872" t="s">
        <v>46</v>
      </c>
      <c r="B872">
        <v>2017</v>
      </c>
      <c r="C872" t="s">
        <v>57</v>
      </c>
      <c r="D872">
        <v>10552021.193</v>
      </c>
      <c r="E872" t="s">
        <v>7</v>
      </c>
    </row>
    <row r="873" spans="1:5" x14ac:dyDescent="0.25">
      <c r="A873" t="s">
        <v>46</v>
      </c>
      <c r="B873">
        <v>2018</v>
      </c>
      <c r="C873" t="s">
        <v>57</v>
      </c>
      <c r="D873">
        <v>20949425.651000001</v>
      </c>
      <c r="E873" t="s">
        <v>7</v>
      </c>
    </row>
    <row r="874" spans="1:5" x14ac:dyDescent="0.25">
      <c r="A874" t="s">
        <v>46</v>
      </c>
      <c r="B874">
        <v>2019</v>
      </c>
      <c r="C874" t="s">
        <v>57</v>
      </c>
      <c r="D874">
        <v>67996572.969999999</v>
      </c>
      <c r="E874" t="s">
        <v>7</v>
      </c>
    </row>
    <row r="875" spans="1:5" x14ac:dyDescent="0.25">
      <c r="A875" t="s">
        <v>46</v>
      </c>
      <c r="B875">
        <v>2020</v>
      </c>
      <c r="C875" t="s">
        <v>57</v>
      </c>
      <c r="D875">
        <v>51027203.306000002</v>
      </c>
      <c r="E875" t="s">
        <v>7</v>
      </c>
    </row>
    <row r="876" spans="1:5" x14ac:dyDescent="0.25">
      <c r="A876" t="s">
        <v>46</v>
      </c>
      <c r="B876">
        <v>2022</v>
      </c>
      <c r="C876" t="s">
        <v>57</v>
      </c>
      <c r="D876">
        <v>25483039.160999998</v>
      </c>
      <c r="E876" t="s">
        <v>7</v>
      </c>
    </row>
    <row r="877" spans="1:5" x14ac:dyDescent="0.25">
      <c r="A877" t="s">
        <v>47</v>
      </c>
      <c r="B877">
        <v>2003</v>
      </c>
      <c r="C877" t="s">
        <v>57</v>
      </c>
      <c r="D877">
        <v>458115737.73100001</v>
      </c>
      <c r="E877" t="s">
        <v>7</v>
      </c>
    </row>
    <row r="878" spans="1:5" x14ac:dyDescent="0.25">
      <c r="A878" t="s">
        <v>47</v>
      </c>
      <c r="B878">
        <v>2004</v>
      </c>
      <c r="C878" t="s">
        <v>57</v>
      </c>
      <c r="D878">
        <v>507789452.93699998</v>
      </c>
      <c r="E878" t="s">
        <v>7</v>
      </c>
    </row>
    <row r="879" spans="1:5" x14ac:dyDescent="0.25">
      <c r="A879" t="s">
        <v>47</v>
      </c>
      <c r="B879">
        <v>2005</v>
      </c>
      <c r="C879" t="s">
        <v>57</v>
      </c>
      <c r="D879">
        <v>439864010.18900001</v>
      </c>
      <c r="E879" t="s">
        <v>7</v>
      </c>
    </row>
    <row r="880" spans="1:5" x14ac:dyDescent="0.25">
      <c r="A880" t="s">
        <v>47</v>
      </c>
      <c r="B880">
        <v>2006</v>
      </c>
      <c r="C880" t="s">
        <v>57</v>
      </c>
      <c r="D880">
        <v>562220839.43900001</v>
      </c>
      <c r="E880" t="s">
        <v>7</v>
      </c>
    </row>
    <row r="881" spans="1:5" x14ac:dyDescent="0.25">
      <c r="A881" t="s">
        <v>47</v>
      </c>
      <c r="B881">
        <v>2007</v>
      </c>
      <c r="C881" t="s">
        <v>57</v>
      </c>
      <c r="D881">
        <v>574809124.32299995</v>
      </c>
      <c r="E881" t="s">
        <v>7</v>
      </c>
    </row>
    <row r="882" spans="1:5" x14ac:dyDescent="0.25">
      <c r="A882" t="s">
        <v>47</v>
      </c>
      <c r="B882">
        <v>2008</v>
      </c>
      <c r="C882" t="s">
        <v>57</v>
      </c>
      <c r="D882">
        <v>304974750.71200001</v>
      </c>
      <c r="E882" t="s">
        <v>7</v>
      </c>
    </row>
    <row r="883" spans="1:5" x14ac:dyDescent="0.25">
      <c r="A883" t="s">
        <v>47</v>
      </c>
      <c r="B883">
        <v>2009</v>
      </c>
      <c r="C883" t="s">
        <v>57</v>
      </c>
      <c r="D883">
        <v>6722711.9539999999</v>
      </c>
      <c r="E883" t="s">
        <v>7</v>
      </c>
    </row>
    <row r="884" spans="1:5" x14ac:dyDescent="0.25">
      <c r="A884" t="s">
        <v>47</v>
      </c>
      <c r="B884">
        <v>2010</v>
      </c>
      <c r="C884" t="s">
        <v>57</v>
      </c>
      <c r="D884">
        <v>561273047.58399999</v>
      </c>
      <c r="E884" t="s">
        <v>7</v>
      </c>
    </row>
    <row r="885" spans="1:5" x14ac:dyDescent="0.25">
      <c r="A885" t="s">
        <v>47</v>
      </c>
      <c r="B885">
        <v>2011</v>
      </c>
      <c r="C885" t="s">
        <v>57</v>
      </c>
      <c r="D885">
        <v>798224346.08899999</v>
      </c>
      <c r="E885" t="s">
        <v>7</v>
      </c>
    </row>
    <row r="886" spans="1:5" x14ac:dyDescent="0.25">
      <c r="A886" t="s">
        <v>47</v>
      </c>
      <c r="B886">
        <v>2012</v>
      </c>
      <c r="C886" t="s">
        <v>57</v>
      </c>
      <c r="D886">
        <v>1194233632.4949999</v>
      </c>
      <c r="E886" t="s">
        <v>7</v>
      </c>
    </row>
    <row r="887" spans="1:5" x14ac:dyDescent="0.25">
      <c r="A887" t="s">
        <v>47</v>
      </c>
      <c r="B887">
        <v>2013</v>
      </c>
      <c r="C887" t="s">
        <v>57</v>
      </c>
      <c r="D887">
        <v>1126285330.4719999</v>
      </c>
      <c r="E887" t="s">
        <v>7</v>
      </c>
    </row>
    <row r="888" spans="1:5" x14ac:dyDescent="0.25">
      <c r="A888" t="s">
        <v>47</v>
      </c>
      <c r="B888">
        <v>2014</v>
      </c>
      <c r="C888" t="s">
        <v>57</v>
      </c>
      <c r="D888">
        <v>959077778.80999994</v>
      </c>
      <c r="E888" t="s">
        <v>7</v>
      </c>
    </row>
    <row r="889" spans="1:5" x14ac:dyDescent="0.25">
      <c r="A889" t="s">
        <v>47</v>
      </c>
      <c r="B889">
        <v>2015</v>
      </c>
      <c r="C889" t="s">
        <v>57</v>
      </c>
      <c r="D889">
        <v>228391538.403</v>
      </c>
      <c r="E889" t="s">
        <v>7</v>
      </c>
    </row>
    <row r="890" spans="1:5" x14ac:dyDescent="0.25">
      <c r="A890" t="s">
        <v>47</v>
      </c>
      <c r="B890">
        <v>2016</v>
      </c>
      <c r="C890" t="s">
        <v>57</v>
      </c>
      <c r="D890">
        <v>256761349.72299999</v>
      </c>
      <c r="E890" t="s">
        <v>7</v>
      </c>
    </row>
    <row r="891" spans="1:5" x14ac:dyDescent="0.25">
      <c r="A891" t="s">
        <v>47</v>
      </c>
      <c r="B891">
        <v>2017</v>
      </c>
      <c r="C891" t="s">
        <v>57</v>
      </c>
      <c r="D891">
        <v>255867116.36199999</v>
      </c>
      <c r="E891" t="s">
        <v>7</v>
      </c>
    </row>
    <row r="892" spans="1:5" x14ac:dyDescent="0.25">
      <c r="A892" t="s">
        <v>47</v>
      </c>
      <c r="B892">
        <v>2018</v>
      </c>
      <c r="C892" t="s">
        <v>57</v>
      </c>
      <c r="D892">
        <v>274376972.699</v>
      </c>
      <c r="E892" t="s">
        <v>7</v>
      </c>
    </row>
    <row r="893" spans="1:5" x14ac:dyDescent="0.25">
      <c r="A893" t="s">
        <v>47</v>
      </c>
      <c r="B893">
        <v>2019</v>
      </c>
      <c r="C893" t="s">
        <v>57</v>
      </c>
      <c r="D893">
        <v>226941357.88499999</v>
      </c>
      <c r="E893" t="s">
        <v>7</v>
      </c>
    </row>
    <row r="894" spans="1:5" x14ac:dyDescent="0.25">
      <c r="A894" t="s">
        <v>47</v>
      </c>
      <c r="B894">
        <v>2020</v>
      </c>
      <c r="C894" t="s">
        <v>57</v>
      </c>
      <c r="D894">
        <v>226748518.70899999</v>
      </c>
      <c r="E894" t="s">
        <v>7</v>
      </c>
    </row>
    <row r="895" spans="1:5" x14ac:dyDescent="0.25">
      <c r="A895" t="s">
        <v>47</v>
      </c>
      <c r="B895">
        <v>2021</v>
      </c>
      <c r="C895" t="s">
        <v>57</v>
      </c>
      <c r="D895">
        <v>270513615.03399998</v>
      </c>
      <c r="E895" t="s">
        <v>7</v>
      </c>
    </row>
    <row r="896" spans="1:5" x14ac:dyDescent="0.25">
      <c r="A896" t="s">
        <v>47</v>
      </c>
      <c r="B896">
        <v>2022</v>
      </c>
      <c r="C896" t="s">
        <v>57</v>
      </c>
      <c r="D896">
        <v>303146638.53600001</v>
      </c>
      <c r="E896" t="s">
        <v>7</v>
      </c>
    </row>
    <row r="897" spans="1:5" x14ac:dyDescent="0.25">
      <c r="A897" t="s">
        <v>48</v>
      </c>
      <c r="B897">
        <v>2025</v>
      </c>
      <c r="C897" t="s">
        <v>57</v>
      </c>
      <c r="D897">
        <v>1803648.675</v>
      </c>
      <c r="E897" t="s">
        <v>7</v>
      </c>
    </row>
    <row r="898" spans="1:5" x14ac:dyDescent="0.25">
      <c r="A898" t="s">
        <v>49</v>
      </c>
      <c r="B898">
        <v>2002</v>
      </c>
      <c r="C898" t="s">
        <v>57</v>
      </c>
      <c r="D898">
        <v>207129474.38</v>
      </c>
      <c r="E898" t="s">
        <v>7</v>
      </c>
    </row>
    <row r="899" spans="1:5" x14ac:dyDescent="0.25">
      <c r="A899" t="s">
        <v>49</v>
      </c>
      <c r="B899">
        <v>2003</v>
      </c>
      <c r="C899" t="s">
        <v>57</v>
      </c>
      <c r="D899">
        <v>190962183.06200001</v>
      </c>
      <c r="E899" t="s">
        <v>7</v>
      </c>
    </row>
    <row r="900" spans="1:5" x14ac:dyDescent="0.25">
      <c r="A900" t="s">
        <v>49</v>
      </c>
      <c r="B900">
        <v>2004</v>
      </c>
      <c r="C900" t="s">
        <v>57</v>
      </c>
      <c r="D900">
        <v>224479252.56999999</v>
      </c>
      <c r="E900" t="s">
        <v>7</v>
      </c>
    </row>
    <row r="901" spans="1:5" x14ac:dyDescent="0.25">
      <c r="A901" t="s">
        <v>49</v>
      </c>
      <c r="B901">
        <v>2005</v>
      </c>
      <c r="C901" t="s">
        <v>57</v>
      </c>
      <c r="D901">
        <v>286000444.03200001</v>
      </c>
      <c r="E901" t="s">
        <v>7</v>
      </c>
    </row>
    <row r="902" spans="1:5" x14ac:dyDescent="0.25">
      <c r="A902" t="s">
        <v>49</v>
      </c>
      <c r="B902">
        <v>2006</v>
      </c>
      <c r="C902" t="s">
        <v>57</v>
      </c>
      <c r="D902">
        <v>319990850.76499999</v>
      </c>
      <c r="E902" t="s">
        <v>7</v>
      </c>
    </row>
    <row r="903" spans="1:5" x14ac:dyDescent="0.25">
      <c r="A903" t="s">
        <v>49</v>
      </c>
      <c r="B903">
        <v>2007</v>
      </c>
      <c r="C903" t="s">
        <v>57</v>
      </c>
      <c r="D903">
        <v>361085187.88700002</v>
      </c>
      <c r="E903" t="s">
        <v>7</v>
      </c>
    </row>
    <row r="904" spans="1:5" x14ac:dyDescent="0.25">
      <c r="A904" t="s">
        <v>49</v>
      </c>
      <c r="B904">
        <v>2008</v>
      </c>
      <c r="C904" t="s">
        <v>57</v>
      </c>
      <c r="D904">
        <v>463269788.77499998</v>
      </c>
      <c r="E904" t="s">
        <v>7</v>
      </c>
    </row>
    <row r="905" spans="1:5" x14ac:dyDescent="0.25">
      <c r="A905" t="s">
        <v>49</v>
      </c>
      <c r="B905">
        <v>2009</v>
      </c>
      <c r="C905" t="s">
        <v>57</v>
      </c>
      <c r="D905">
        <v>392523401.787</v>
      </c>
      <c r="E905" t="s">
        <v>7</v>
      </c>
    </row>
    <row r="906" spans="1:5" x14ac:dyDescent="0.25">
      <c r="A906" t="s">
        <v>49</v>
      </c>
      <c r="B906">
        <v>2010</v>
      </c>
      <c r="C906" t="s">
        <v>57</v>
      </c>
      <c r="D906">
        <v>402689593.125</v>
      </c>
      <c r="E906" t="s">
        <v>7</v>
      </c>
    </row>
    <row r="907" spans="1:5" x14ac:dyDescent="0.25">
      <c r="A907" t="s">
        <v>49</v>
      </c>
      <c r="B907">
        <v>2011</v>
      </c>
      <c r="C907" t="s">
        <v>57</v>
      </c>
      <c r="D907">
        <v>590211957.39400005</v>
      </c>
      <c r="E907" t="s">
        <v>7</v>
      </c>
    </row>
    <row r="908" spans="1:5" x14ac:dyDescent="0.25">
      <c r="A908" t="s">
        <v>49</v>
      </c>
      <c r="B908">
        <v>2012</v>
      </c>
      <c r="C908" t="s">
        <v>57</v>
      </c>
      <c r="D908">
        <v>571439284.25700104</v>
      </c>
      <c r="E908" t="s">
        <v>7</v>
      </c>
    </row>
    <row r="909" spans="1:5" x14ac:dyDescent="0.25">
      <c r="A909" t="s">
        <v>49</v>
      </c>
      <c r="B909">
        <v>2013</v>
      </c>
      <c r="C909" t="s">
        <v>57</v>
      </c>
      <c r="D909">
        <v>567915662.30900002</v>
      </c>
      <c r="E909" t="s">
        <v>7</v>
      </c>
    </row>
    <row r="910" spans="1:5" x14ac:dyDescent="0.25">
      <c r="A910" t="s">
        <v>49</v>
      </c>
      <c r="B910">
        <v>2014</v>
      </c>
      <c r="C910" t="s">
        <v>57</v>
      </c>
      <c r="D910">
        <v>561917618.38</v>
      </c>
      <c r="E910" t="s">
        <v>7</v>
      </c>
    </row>
    <row r="911" spans="1:5" x14ac:dyDescent="0.25">
      <c r="A911" t="s">
        <v>49</v>
      </c>
      <c r="B911">
        <v>2015</v>
      </c>
      <c r="C911" t="s">
        <v>57</v>
      </c>
      <c r="D911">
        <v>456493833.62</v>
      </c>
      <c r="E911" t="s">
        <v>7</v>
      </c>
    </row>
    <row r="912" spans="1:5" x14ac:dyDescent="0.25">
      <c r="A912" t="s">
        <v>49</v>
      </c>
      <c r="B912">
        <v>2016</v>
      </c>
      <c r="C912" t="s">
        <v>57</v>
      </c>
      <c r="D912">
        <v>486059200.68000001</v>
      </c>
      <c r="E912" t="s">
        <v>7</v>
      </c>
    </row>
    <row r="913" spans="1:5" x14ac:dyDescent="0.25">
      <c r="A913" t="s">
        <v>49</v>
      </c>
      <c r="B913">
        <v>2017</v>
      </c>
      <c r="C913" t="s">
        <v>57</v>
      </c>
      <c r="D913">
        <v>593129248.64699996</v>
      </c>
      <c r="E913" t="s">
        <v>7</v>
      </c>
    </row>
    <row r="914" spans="1:5" x14ac:dyDescent="0.25">
      <c r="A914" t="s">
        <v>49</v>
      </c>
      <c r="B914">
        <v>2018</v>
      </c>
      <c r="C914" t="s">
        <v>57</v>
      </c>
      <c r="D914">
        <v>656991661.93599999</v>
      </c>
      <c r="E914" t="s">
        <v>7</v>
      </c>
    </row>
    <row r="915" spans="1:5" x14ac:dyDescent="0.25">
      <c r="A915" t="s">
        <v>49</v>
      </c>
      <c r="B915">
        <v>2019</v>
      </c>
      <c r="C915" t="s">
        <v>57</v>
      </c>
      <c r="D915">
        <v>587863245.94400001</v>
      </c>
      <c r="E915" t="s">
        <v>7</v>
      </c>
    </row>
    <row r="916" spans="1:5" x14ac:dyDescent="0.25">
      <c r="A916" t="s">
        <v>49</v>
      </c>
      <c r="B916">
        <v>2020</v>
      </c>
      <c r="C916" t="s">
        <v>57</v>
      </c>
      <c r="D916">
        <v>664228244.49399996</v>
      </c>
      <c r="E916" t="s">
        <v>7</v>
      </c>
    </row>
    <row r="917" spans="1:5" x14ac:dyDescent="0.25">
      <c r="A917" t="s">
        <v>49</v>
      </c>
      <c r="B917">
        <v>2021</v>
      </c>
      <c r="C917" t="s">
        <v>57</v>
      </c>
      <c r="D917">
        <v>635114053.21500003</v>
      </c>
      <c r="E917" t="s">
        <v>7</v>
      </c>
    </row>
    <row r="918" spans="1:5" x14ac:dyDescent="0.25">
      <c r="A918" t="s">
        <v>49</v>
      </c>
      <c r="B918">
        <v>2022</v>
      </c>
      <c r="C918" t="s">
        <v>57</v>
      </c>
      <c r="D918">
        <v>646706781.16199994</v>
      </c>
      <c r="E918" t="s">
        <v>7</v>
      </c>
    </row>
    <row r="919" spans="1:5" x14ac:dyDescent="0.25">
      <c r="A919" t="s">
        <v>49</v>
      </c>
      <c r="B919">
        <v>2023</v>
      </c>
      <c r="C919" t="s">
        <v>57</v>
      </c>
      <c r="D919">
        <v>790360622.03400004</v>
      </c>
      <c r="E919" t="s">
        <v>7</v>
      </c>
    </row>
    <row r="920" spans="1:5" x14ac:dyDescent="0.25">
      <c r="A920" t="s">
        <v>49</v>
      </c>
      <c r="B920">
        <v>2024</v>
      </c>
      <c r="C920" t="s">
        <v>57</v>
      </c>
      <c r="D920">
        <v>826864823.94099998</v>
      </c>
      <c r="E920" t="s">
        <v>7</v>
      </c>
    </row>
    <row r="921" spans="1:5" x14ac:dyDescent="0.25">
      <c r="A921" t="s">
        <v>49</v>
      </c>
      <c r="B921">
        <v>2025</v>
      </c>
      <c r="C921" t="s">
        <v>57</v>
      </c>
      <c r="D921">
        <v>795235146.59800005</v>
      </c>
      <c r="E921" t="s">
        <v>7</v>
      </c>
    </row>
    <row r="922" spans="1:5" x14ac:dyDescent="0.25">
      <c r="A922" t="s">
        <v>50</v>
      </c>
      <c r="B922">
        <v>2010</v>
      </c>
      <c r="C922" t="s">
        <v>57</v>
      </c>
      <c r="D922">
        <v>1879315622</v>
      </c>
      <c r="E922" t="s">
        <v>7</v>
      </c>
    </row>
    <row r="923" spans="1:5" x14ac:dyDescent="0.25">
      <c r="A923" t="s">
        <v>50</v>
      </c>
      <c r="B923">
        <v>2011</v>
      </c>
      <c r="C923" t="s">
        <v>57</v>
      </c>
      <c r="D923">
        <v>2297696408</v>
      </c>
      <c r="E923" t="s">
        <v>7</v>
      </c>
    </row>
    <row r="924" spans="1:5" x14ac:dyDescent="0.25">
      <c r="A924" t="s">
        <v>50</v>
      </c>
      <c r="B924">
        <v>2012</v>
      </c>
      <c r="C924" t="s">
        <v>57</v>
      </c>
      <c r="D924">
        <v>2673478350</v>
      </c>
      <c r="E924" t="s">
        <v>7</v>
      </c>
    </row>
    <row r="925" spans="1:5" x14ac:dyDescent="0.25">
      <c r="A925" t="s">
        <v>50</v>
      </c>
      <c r="B925">
        <v>2013</v>
      </c>
      <c r="C925" t="s">
        <v>57</v>
      </c>
      <c r="D925">
        <v>2650581933</v>
      </c>
      <c r="E925" t="s">
        <v>7</v>
      </c>
    </row>
    <row r="926" spans="1:5" x14ac:dyDescent="0.25">
      <c r="A926" t="s">
        <v>50</v>
      </c>
      <c r="B926">
        <v>2014</v>
      </c>
      <c r="C926" t="s">
        <v>57</v>
      </c>
      <c r="D926">
        <v>2378197531.875</v>
      </c>
      <c r="E926" t="s">
        <v>7</v>
      </c>
    </row>
    <row r="927" spans="1:5" x14ac:dyDescent="0.25">
      <c r="A927" t="s">
        <v>50</v>
      </c>
      <c r="B927">
        <v>2015</v>
      </c>
      <c r="C927" t="s">
        <v>57</v>
      </c>
      <c r="D927">
        <v>1997111366.6400001</v>
      </c>
      <c r="E927" t="s">
        <v>7</v>
      </c>
    </row>
    <row r="928" spans="1:5" x14ac:dyDescent="0.25">
      <c r="A928" t="s">
        <v>50</v>
      </c>
      <c r="B928">
        <v>2016</v>
      </c>
      <c r="C928" t="s">
        <v>57</v>
      </c>
      <c r="D928">
        <v>2002419592.4100001</v>
      </c>
      <c r="E928" t="s">
        <v>7</v>
      </c>
    </row>
    <row r="929" spans="1:5" x14ac:dyDescent="0.25">
      <c r="A929" t="s">
        <v>50</v>
      </c>
      <c r="B929">
        <v>2017</v>
      </c>
      <c r="C929" t="s">
        <v>57</v>
      </c>
      <c r="D929">
        <v>2083602088.6400001</v>
      </c>
      <c r="E929" t="s">
        <v>7</v>
      </c>
    </row>
    <row r="930" spans="1:5" x14ac:dyDescent="0.25">
      <c r="A930" t="s">
        <v>50</v>
      </c>
      <c r="B930">
        <v>2018</v>
      </c>
      <c r="C930" t="s">
        <v>57</v>
      </c>
      <c r="D930">
        <v>2274561483.4400001</v>
      </c>
      <c r="E930" t="s">
        <v>7</v>
      </c>
    </row>
    <row r="931" spans="1:5" x14ac:dyDescent="0.25">
      <c r="A931" t="s">
        <v>50</v>
      </c>
      <c r="B931">
        <v>2019</v>
      </c>
      <c r="C931" t="s">
        <v>57</v>
      </c>
      <c r="D931">
        <v>1973571307.1989999</v>
      </c>
      <c r="E931" t="s">
        <v>7</v>
      </c>
    </row>
    <row r="932" spans="1:5" x14ac:dyDescent="0.25">
      <c r="A932" t="s">
        <v>50</v>
      </c>
      <c r="B932">
        <v>2020</v>
      </c>
      <c r="C932" t="s">
        <v>57</v>
      </c>
      <c r="D932">
        <v>2373410939.0760002</v>
      </c>
      <c r="E932" t="s">
        <v>7</v>
      </c>
    </row>
    <row r="933" spans="1:5" x14ac:dyDescent="0.25">
      <c r="A933" t="s">
        <v>50</v>
      </c>
      <c r="B933">
        <v>2021</v>
      </c>
      <c r="C933" t="s">
        <v>57</v>
      </c>
      <c r="D933">
        <v>1917813135.1689999</v>
      </c>
      <c r="E933" t="s">
        <v>7</v>
      </c>
    </row>
    <row r="934" spans="1:5" x14ac:dyDescent="0.25">
      <c r="A934" t="s">
        <v>50</v>
      </c>
      <c r="B934">
        <v>2022</v>
      </c>
      <c r="C934" t="s">
        <v>57</v>
      </c>
      <c r="D934">
        <v>2284284903.842</v>
      </c>
      <c r="E934" t="s">
        <v>7</v>
      </c>
    </row>
    <row r="935" spans="1:5" x14ac:dyDescent="0.25">
      <c r="A935" t="s">
        <v>50</v>
      </c>
      <c r="B935">
        <v>2023</v>
      </c>
      <c r="C935" t="s">
        <v>57</v>
      </c>
      <c r="D935">
        <v>2087350874.0829999</v>
      </c>
      <c r="E935" t="s">
        <v>7</v>
      </c>
    </row>
    <row r="936" spans="1:5" x14ac:dyDescent="0.25">
      <c r="A936" t="s">
        <v>50</v>
      </c>
      <c r="B936">
        <v>2024</v>
      </c>
      <c r="C936" t="s">
        <v>57</v>
      </c>
      <c r="D936">
        <v>2498606741.6279998</v>
      </c>
      <c r="E936" t="s">
        <v>7</v>
      </c>
    </row>
    <row r="937" spans="1:5" x14ac:dyDescent="0.25">
      <c r="A937" t="s">
        <v>50</v>
      </c>
      <c r="B937">
        <v>2025</v>
      </c>
      <c r="C937" t="s">
        <v>57</v>
      </c>
      <c r="D937">
        <v>402333025.14700001</v>
      </c>
      <c r="E937" t="s">
        <v>7</v>
      </c>
    </row>
    <row r="938" spans="1:5" x14ac:dyDescent="0.25">
      <c r="A938" t="s">
        <v>51</v>
      </c>
      <c r="B938">
        <v>2021</v>
      </c>
      <c r="C938" t="s">
        <v>57</v>
      </c>
      <c r="D938">
        <v>12830817.432</v>
      </c>
      <c r="E938" t="s">
        <v>7</v>
      </c>
    </row>
    <row r="939" spans="1:5" x14ac:dyDescent="0.25">
      <c r="A939" t="s">
        <v>51</v>
      </c>
      <c r="B939">
        <v>2022</v>
      </c>
      <c r="C939" t="s">
        <v>57</v>
      </c>
      <c r="D939">
        <v>26418338.793000001</v>
      </c>
      <c r="E939" t="s">
        <v>7</v>
      </c>
    </row>
    <row r="940" spans="1:5" x14ac:dyDescent="0.25">
      <c r="A940" t="s">
        <v>52</v>
      </c>
      <c r="B940">
        <v>2025</v>
      </c>
      <c r="C940" t="s">
        <v>57</v>
      </c>
      <c r="D940">
        <v>5576659</v>
      </c>
      <c r="E940" t="s">
        <v>7</v>
      </c>
    </row>
    <row r="941" spans="1:5" x14ac:dyDescent="0.25">
      <c r="A941" t="s">
        <v>53</v>
      </c>
      <c r="B941">
        <v>2022</v>
      </c>
      <c r="C941" t="s">
        <v>57</v>
      </c>
      <c r="D941">
        <v>15391837</v>
      </c>
      <c r="E941" t="s">
        <v>7</v>
      </c>
    </row>
    <row r="942" spans="1:5" x14ac:dyDescent="0.25">
      <c r="A942" t="s">
        <v>53</v>
      </c>
      <c r="B942">
        <v>2023</v>
      </c>
      <c r="C942" t="s">
        <v>57</v>
      </c>
      <c r="D942">
        <v>16443986</v>
      </c>
      <c r="E942" t="s">
        <v>7</v>
      </c>
    </row>
    <row r="943" spans="1:5" x14ac:dyDescent="0.25">
      <c r="A943" t="s">
        <v>53</v>
      </c>
      <c r="B943">
        <v>2024</v>
      </c>
      <c r="C943" t="s">
        <v>57</v>
      </c>
      <c r="D943">
        <v>23350910</v>
      </c>
      <c r="E943" t="s">
        <v>7</v>
      </c>
    </row>
    <row r="944" spans="1:5" x14ac:dyDescent="0.25">
      <c r="A944" t="s">
        <v>53</v>
      </c>
      <c r="B944">
        <v>2025</v>
      </c>
      <c r="C944" t="s">
        <v>57</v>
      </c>
      <c r="D944">
        <v>19784527</v>
      </c>
      <c r="E944" t="s">
        <v>7</v>
      </c>
    </row>
    <row r="945" spans="1:5" x14ac:dyDescent="0.25">
      <c r="A945" t="s">
        <v>54</v>
      </c>
      <c r="B945">
        <v>2017</v>
      </c>
      <c r="C945" t="s">
        <v>57</v>
      </c>
      <c r="D945">
        <v>68891249.329999998</v>
      </c>
      <c r="E945" t="s">
        <v>7</v>
      </c>
    </row>
    <row r="946" spans="1:5" x14ac:dyDescent="0.25">
      <c r="A946" t="s">
        <v>54</v>
      </c>
      <c r="B946">
        <v>2018</v>
      </c>
      <c r="C946" t="s">
        <v>57</v>
      </c>
      <c r="D946">
        <v>71525987.577999905</v>
      </c>
      <c r="E946" t="s">
        <v>7</v>
      </c>
    </row>
    <row r="947" spans="1:5" x14ac:dyDescent="0.25">
      <c r="A947" t="s">
        <v>54</v>
      </c>
      <c r="B947">
        <v>2019</v>
      </c>
      <c r="C947" t="s">
        <v>57</v>
      </c>
      <c r="D947">
        <v>64820873.306999996</v>
      </c>
      <c r="E947" t="s">
        <v>7</v>
      </c>
    </row>
    <row r="948" spans="1:5" x14ac:dyDescent="0.25">
      <c r="A948" t="s">
        <v>55</v>
      </c>
      <c r="B948">
        <v>2010</v>
      </c>
      <c r="C948" t="s">
        <v>57</v>
      </c>
      <c r="D948">
        <v>20577905.364999998</v>
      </c>
      <c r="E948" t="s">
        <v>7</v>
      </c>
    </row>
    <row r="949" spans="1:5" x14ac:dyDescent="0.25">
      <c r="A949" t="s">
        <v>55</v>
      </c>
      <c r="B949">
        <v>2011</v>
      </c>
      <c r="C949" t="s">
        <v>57</v>
      </c>
      <c r="D949">
        <v>24874654.401000001</v>
      </c>
      <c r="E949" t="s">
        <v>7</v>
      </c>
    </row>
    <row r="950" spans="1:5" x14ac:dyDescent="0.25">
      <c r="A950" t="s">
        <v>55</v>
      </c>
      <c r="B950">
        <v>2012</v>
      </c>
      <c r="C950" t="s">
        <v>57</v>
      </c>
      <c r="D950">
        <v>26068592.318</v>
      </c>
      <c r="E950" t="s">
        <v>7</v>
      </c>
    </row>
    <row r="951" spans="1:5" x14ac:dyDescent="0.25">
      <c r="A951" t="s">
        <v>55</v>
      </c>
      <c r="B951">
        <v>2013</v>
      </c>
      <c r="C951" t="s">
        <v>57</v>
      </c>
      <c r="D951">
        <v>27469715.59</v>
      </c>
      <c r="E951" t="s">
        <v>7</v>
      </c>
    </row>
    <row r="952" spans="1:5" x14ac:dyDescent="0.25">
      <c r="A952" t="s">
        <v>55</v>
      </c>
      <c r="B952">
        <v>2014</v>
      </c>
      <c r="C952" t="s">
        <v>57</v>
      </c>
      <c r="D952">
        <v>26501560.386</v>
      </c>
      <c r="E952" t="s">
        <v>7</v>
      </c>
    </row>
    <row r="953" spans="1:5" x14ac:dyDescent="0.25">
      <c r="A953" t="s">
        <v>55</v>
      </c>
      <c r="B953">
        <v>2015</v>
      </c>
      <c r="C953" t="s">
        <v>57</v>
      </c>
      <c r="D953">
        <v>18997907.379000001</v>
      </c>
      <c r="E953" t="s">
        <v>7</v>
      </c>
    </row>
    <row r="954" spans="1:5" x14ac:dyDescent="0.25">
      <c r="A954" t="s">
        <v>55</v>
      </c>
      <c r="B954">
        <v>2016</v>
      </c>
      <c r="C954" t="s">
        <v>57</v>
      </c>
      <c r="D954">
        <v>21914232.855999999</v>
      </c>
      <c r="E954" t="s">
        <v>7</v>
      </c>
    </row>
    <row r="955" spans="1:5" x14ac:dyDescent="0.25">
      <c r="A955" t="s">
        <v>55</v>
      </c>
      <c r="B955">
        <v>2017</v>
      </c>
      <c r="C955" t="s">
        <v>57</v>
      </c>
      <c r="D955">
        <v>17774303.723000001</v>
      </c>
      <c r="E955" t="s">
        <v>7</v>
      </c>
    </row>
    <row r="956" spans="1:5" x14ac:dyDescent="0.25">
      <c r="A956" t="s">
        <v>55</v>
      </c>
      <c r="B956">
        <v>2018</v>
      </c>
      <c r="C956" t="s">
        <v>57</v>
      </c>
      <c r="D956">
        <v>24218517.695999999</v>
      </c>
      <c r="E956" t="s">
        <v>7</v>
      </c>
    </row>
    <row r="957" spans="1:5" x14ac:dyDescent="0.25">
      <c r="A957" t="s">
        <v>55</v>
      </c>
      <c r="B957">
        <v>2019</v>
      </c>
      <c r="C957" t="s">
        <v>57</v>
      </c>
      <c r="D957">
        <v>21476089.392999999</v>
      </c>
      <c r="E957" t="s">
        <v>7</v>
      </c>
    </row>
    <row r="958" spans="1:5" x14ac:dyDescent="0.25">
      <c r="A958" t="s">
        <v>55</v>
      </c>
      <c r="B958">
        <v>2020</v>
      </c>
      <c r="C958" t="s">
        <v>57</v>
      </c>
      <c r="D958">
        <v>23640777.175000001</v>
      </c>
      <c r="E958" t="s">
        <v>7</v>
      </c>
    </row>
    <row r="959" spans="1:5" x14ac:dyDescent="0.25">
      <c r="A959" t="s">
        <v>56</v>
      </c>
      <c r="B959">
        <v>2015</v>
      </c>
      <c r="C959" t="s">
        <v>57</v>
      </c>
      <c r="D959">
        <v>185996022.08199999</v>
      </c>
      <c r="E959" t="s">
        <v>7</v>
      </c>
    </row>
    <row r="960" spans="1:5" x14ac:dyDescent="0.25">
      <c r="A960" t="s">
        <v>56</v>
      </c>
      <c r="B960">
        <v>2016</v>
      </c>
      <c r="C960" t="s">
        <v>57</v>
      </c>
      <c r="D960">
        <v>200330807.433</v>
      </c>
      <c r="E960" t="s">
        <v>7</v>
      </c>
    </row>
    <row r="961" spans="1:5" x14ac:dyDescent="0.25">
      <c r="A961" t="s">
        <v>56</v>
      </c>
      <c r="B961">
        <v>2017</v>
      </c>
      <c r="C961" t="s">
        <v>57</v>
      </c>
      <c r="D961">
        <v>235422977.572</v>
      </c>
      <c r="E961" t="s">
        <v>7</v>
      </c>
    </row>
    <row r="962" spans="1:5" x14ac:dyDescent="0.25">
      <c r="A962" t="s">
        <v>56</v>
      </c>
      <c r="B962">
        <v>2018</v>
      </c>
      <c r="C962" t="s">
        <v>57</v>
      </c>
      <c r="D962">
        <v>249354319.76199999</v>
      </c>
      <c r="E962" t="s">
        <v>7</v>
      </c>
    </row>
    <row r="963" spans="1:5" x14ac:dyDescent="0.25">
      <c r="A963" t="s">
        <v>56</v>
      </c>
      <c r="B963">
        <v>2019</v>
      </c>
      <c r="C963" t="s">
        <v>57</v>
      </c>
      <c r="D963">
        <v>253329384.76100001</v>
      </c>
      <c r="E963" t="s">
        <v>7</v>
      </c>
    </row>
    <row r="964" spans="1:5" x14ac:dyDescent="0.25">
      <c r="A964" t="s">
        <v>56</v>
      </c>
      <c r="B964">
        <v>2020</v>
      </c>
      <c r="C964" t="s">
        <v>57</v>
      </c>
      <c r="D964">
        <v>300395051.77399999</v>
      </c>
      <c r="E964" t="s">
        <v>7</v>
      </c>
    </row>
    <row r="965" spans="1:5" x14ac:dyDescent="0.25">
      <c r="A965" t="s">
        <v>56</v>
      </c>
      <c r="B965">
        <v>2021</v>
      </c>
      <c r="C965" t="s">
        <v>57</v>
      </c>
      <c r="D965">
        <v>280345908.17900002</v>
      </c>
      <c r="E965" t="s">
        <v>7</v>
      </c>
    </row>
    <row r="966" spans="1:5" x14ac:dyDescent="0.25">
      <c r="A966" t="s">
        <v>56</v>
      </c>
      <c r="B966">
        <v>2022</v>
      </c>
      <c r="C966" t="s">
        <v>57</v>
      </c>
      <c r="D966">
        <v>309505104.171</v>
      </c>
      <c r="E966" t="s">
        <v>7</v>
      </c>
    </row>
    <row r="967" spans="1:5" x14ac:dyDescent="0.25">
      <c r="A967" t="s">
        <v>56</v>
      </c>
      <c r="B967">
        <v>2023</v>
      </c>
      <c r="C967" t="s">
        <v>57</v>
      </c>
      <c r="D967">
        <v>354039562.44999999</v>
      </c>
      <c r="E967" t="s">
        <v>7</v>
      </c>
    </row>
    <row r="968" spans="1:5" x14ac:dyDescent="0.25">
      <c r="A968" t="s">
        <v>5</v>
      </c>
      <c r="B968">
        <v>2014</v>
      </c>
      <c r="C968" t="s">
        <v>58</v>
      </c>
      <c r="D968">
        <v>1.3128543211381001</v>
      </c>
      <c r="E968" t="s">
        <v>7</v>
      </c>
    </row>
    <row r="969" spans="1:5" x14ac:dyDescent="0.25">
      <c r="A969" t="s">
        <v>8</v>
      </c>
      <c r="B969">
        <v>2022</v>
      </c>
      <c r="C969" t="s">
        <v>58</v>
      </c>
      <c r="D969">
        <v>5.3274955259748298</v>
      </c>
      <c r="E969" t="s">
        <v>7</v>
      </c>
    </row>
    <row r="970" spans="1:5" x14ac:dyDescent="0.25">
      <c r="A970" t="s">
        <v>9</v>
      </c>
      <c r="B970">
        <v>2015</v>
      </c>
      <c r="C970" t="s">
        <v>58</v>
      </c>
      <c r="D970">
        <v>5.8427402252588196</v>
      </c>
      <c r="E970" t="s">
        <v>7</v>
      </c>
    </row>
    <row r="971" spans="1:5" x14ac:dyDescent="0.25">
      <c r="A971" t="s">
        <v>9</v>
      </c>
      <c r="B971">
        <v>2023</v>
      </c>
      <c r="C971" t="s">
        <v>58</v>
      </c>
      <c r="D971">
        <v>6.7593780690106202</v>
      </c>
      <c r="E971" t="s">
        <v>7</v>
      </c>
    </row>
    <row r="972" spans="1:5" x14ac:dyDescent="0.25">
      <c r="A972" t="s">
        <v>9</v>
      </c>
      <c r="B972">
        <v>2025</v>
      </c>
      <c r="C972" t="s">
        <v>58</v>
      </c>
      <c r="D972">
        <v>7.7583186005029097</v>
      </c>
      <c r="E972" t="s">
        <v>7</v>
      </c>
    </row>
    <row r="973" spans="1:5" x14ac:dyDescent="0.25">
      <c r="A973" t="s">
        <v>10</v>
      </c>
      <c r="B973">
        <v>2003</v>
      </c>
      <c r="C973" t="s">
        <v>58</v>
      </c>
      <c r="D973">
        <v>2.0643689486918402</v>
      </c>
      <c r="E973" t="s">
        <v>7</v>
      </c>
    </row>
    <row r="974" spans="1:5" x14ac:dyDescent="0.25">
      <c r="A974" t="s">
        <v>10</v>
      </c>
      <c r="B974">
        <v>2005</v>
      </c>
      <c r="C974" t="s">
        <v>58</v>
      </c>
      <c r="D974">
        <v>2.4084718758813599</v>
      </c>
      <c r="E974" t="s">
        <v>7</v>
      </c>
    </row>
    <row r="975" spans="1:5" x14ac:dyDescent="0.25">
      <c r="A975" t="s">
        <v>10</v>
      </c>
      <c r="B975">
        <v>2006</v>
      </c>
      <c r="C975" t="s">
        <v>58</v>
      </c>
      <c r="D975">
        <v>2.8017520284330399</v>
      </c>
      <c r="E975" t="s">
        <v>7</v>
      </c>
    </row>
    <row r="976" spans="1:5" x14ac:dyDescent="0.25">
      <c r="A976" t="s">
        <v>10</v>
      </c>
      <c r="B976">
        <v>2007</v>
      </c>
      <c r="C976" t="s">
        <v>58</v>
      </c>
      <c r="D976">
        <v>3.3081215947892999</v>
      </c>
      <c r="E976" t="s">
        <v>7</v>
      </c>
    </row>
    <row r="977" spans="1:5" x14ac:dyDescent="0.25">
      <c r="A977" t="s">
        <v>10</v>
      </c>
      <c r="B977">
        <v>2008</v>
      </c>
      <c r="C977" t="s">
        <v>58</v>
      </c>
      <c r="D977">
        <v>4.0032359532662003</v>
      </c>
      <c r="E977" t="s">
        <v>7</v>
      </c>
    </row>
    <row r="978" spans="1:5" x14ac:dyDescent="0.25">
      <c r="A978" t="s">
        <v>10</v>
      </c>
      <c r="B978">
        <v>2009</v>
      </c>
      <c r="C978" t="s">
        <v>58</v>
      </c>
      <c r="D978">
        <v>3.7403794259530998</v>
      </c>
      <c r="E978" t="s">
        <v>7</v>
      </c>
    </row>
    <row r="979" spans="1:5" x14ac:dyDescent="0.25">
      <c r="A979" t="s">
        <v>10</v>
      </c>
      <c r="B979">
        <v>2010</v>
      </c>
      <c r="C979" t="s">
        <v>58</v>
      </c>
      <c r="D979">
        <v>3.98104119259275</v>
      </c>
      <c r="E979" t="s">
        <v>7</v>
      </c>
    </row>
    <row r="980" spans="1:5" x14ac:dyDescent="0.25">
      <c r="A980" t="s">
        <v>10</v>
      </c>
      <c r="B980">
        <v>2011</v>
      </c>
      <c r="C980" t="s">
        <v>58</v>
      </c>
      <c r="D980">
        <v>4.5671274074600001</v>
      </c>
      <c r="E980" t="s">
        <v>7</v>
      </c>
    </row>
    <row r="981" spans="1:5" x14ac:dyDescent="0.25">
      <c r="A981" t="s">
        <v>10</v>
      </c>
      <c r="B981">
        <v>2015</v>
      </c>
      <c r="C981" t="s">
        <v>58</v>
      </c>
      <c r="D981">
        <v>4.0782798520347301</v>
      </c>
      <c r="E981" t="s">
        <v>7</v>
      </c>
    </row>
    <row r="982" spans="1:5" x14ac:dyDescent="0.25">
      <c r="A982" t="s">
        <v>10</v>
      </c>
      <c r="B982">
        <v>2017</v>
      </c>
      <c r="C982" t="s">
        <v>58</v>
      </c>
      <c r="D982">
        <v>4.8628698874779896</v>
      </c>
      <c r="E982" t="s">
        <v>7</v>
      </c>
    </row>
    <row r="983" spans="1:5" x14ac:dyDescent="0.25">
      <c r="A983" t="s">
        <v>10</v>
      </c>
      <c r="B983">
        <v>2021</v>
      </c>
      <c r="C983" t="s">
        <v>58</v>
      </c>
      <c r="D983">
        <v>4.0213150737227599</v>
      </c>
      <c r="E983" t="s">
        <v>7</v>
      </c>
    </row>
    <row r="984" spans="1:5" x14ac:dyDescent="0.25">
      <c r="A984" t="s">
        <v>10</v>
      </c>
      <c r="B984">
        <v>2022</v>
      </c>
      <c r="C984" t="s">
        <v>58</v>
      </c>
      <c r="D984">
        <v>4.3071250377938304</v>
      </c>
      <c r="E984" t="s">
        <v>7</v>
      </c>
    </row>
    <row r="985" spans="1:5" x14ac:dyDescent="0.25">
      <c r="A985" t="s">
        <v>10</v>
      </c>
      <c r="B985">
        <v>2023</v>
      </c>
      <c r="C985" t="s">
        <v>58</v>
      </c>
      <c r="D985">
        <v>4.8228508829143797</v>
      </c>
      <c r="E985" t="s">
        <v>7</v>
      </c>
    </row>
    <row r="986" spans="1:5" x14ac:dyDescent="0.25">
      <c r="A986" t="s">
        <v>10</v>
      </c>
      <c r="B986">
        <v>2024</v>
      </c>
      <c r="C986" t="s">
        <v>58</v>
      </c>
      <c r="D986">
        <v>4.8708229922747304</v>
      </c>
      <c r="E986" t="s">
        <v>7</v>
      </c>
    </row>
    <row r="987" spans="1:5" x14ac:dyDescent="0.25">
      <c r="A987" t="s">
        <v>10</v>
      </c>
      <c r="B987">
        <v>2025</v>
      </c>
      <c r="C987" t="s">
        <v>58</v>
      </c>
      <c r="D987">
        <v>4.80418552119695</v>
      </c>
      <c r="E987" t="s">
        <v>7</v>
      </c>
    </row>
    <row r="988" spans="1:5" x14ac:dyDescent="0.25">
      <c r="A988" t="s">
        <v>11</v>
      </c>
      <c r="B988">
        <v>2012</v>
      </c>
      <c r="C988" t="s">
        <v>58</v>
      </c>
      <c r="D988">
        <v>4.8636130578295997</v>
      </c>
      <c r="E988" t="s">
        <v>7</v>
      </c>
    </row>
    <row r="989" spans="1:5" x14ac:dyDescent="0.25">
      <c r="A989" t="s">
        <v>11</v>
      </c>
      <c r="B989">
        <v>2016</v>
      </c>
      <c r="C989" t="s">
        <v>58</v>
      </c>
      <c r="D989">
        <v>3.9075167896068299</v>
      </c>
      <c r="E989" t="s">
        <v>7</v>
      </c>
    </row>
    <row r="990" spans="1:5" x14ac:dyDescent="0.25">
      <c r="A990" t="s">
        <v>12</v>
      </c>
      <c r="B990">
        <v>2010</v>
      </c>
      <c r="C990" t="s">
        <v>58</v>
      </c>
      <c r="D990">
        <v>3.6122542085202598</v>
      </c>
      <c r="E990" t="s">
        <v>7</v>
      </c>
    </row>
    <row r="991" spans="1:5" x14ac:dyDescent="0.25">
      <c r="A991" t="s">
        <v>12</v>
      </c>
      <c r="B991">
        <v>2011</v>
      </c>
      <c r="C991" t="s">
        <v>58</v>
      </c>
      <c r="D991">
        <v>4.6194370665179996</v>
      </c>
      <c r="E991" t="s">
        <v>7</v>
      </c>
    </row>
    <row r="992" spans="1:5" x14ac:dyDescent="0.25">
      <c r="A992" t="s">
        <v>12</v>
      </c>
      <c r="B992">
        <v>2012</v>
      </c>
      <c r="C992" t="s">
        <v>58</v>
      </c>
      <c r="D992">
        <v>5.4385313951483996</v>
      </c>
      <c r="E992" t="s">
        <v>7</v>
      </c>
    </row>
    <row r="993" spans="1:5" x14ac:dyDescent="0.25">
      <c r="A993" t="s">
        <v>12</v>
      </c>
      <c r="B993">
        <v>2016</v>
      </c>
      <c r="C993" t="s">
        <v>58</v>
      </c>
      <c r="D993">
        <v>4.6301675676676597</v>
      </c>
      <c r="E993" t="s">
        <v>7</v>
      </c>
    </row>
    <row r="994" spans="1:5" x14ac:dyDescent="0.25">
      <c r="A994" t="s">
        <v>12</v>
      </c>
      <c r="B994">
        <v>2017</v>
      </c>
      <c r="C994" t="s">
        <v>58</v>
      </c>
      <c r="D994">
        <v>5.3738270461519297</v>
      </c>
      <c r="E994" t="s">
        <v>7</v>
      </c>
    </row>
    <row r="995" spans="1:5" x14ac:dyDescent="0.25">
      <c r="A995" t="s">
        <v>12</v>
      </c>
      <c r="B995">
        <v>2018</v>
      </c>
      <c r="C995" t="s">
        <v>58</v>
      </c>
      <c r="D995">
        <v>4.5902466329138099</v>
      </c>
      <c r="E995" t="s">
        <v>7</v>
      </c>
    </row>
    <row r="996" spans="1:5" x14ac:dyDescent="0.25">
      <c r="A996" t="s">
        <v>12</v>
      </c>
      <c r="B996">
        <v>2019</v>
      </c>
      <c r="C996" t="s">
        <v>58</v>
      </c>
      <c r="D996">
        <v>4.0730010340161096</v>
      </c>
      <c r="E996" t="s">
        <v>7</v>
      </c>
    </row>
    <row r="997" spans="1:5" x14ac:dyDescent="0.25">
      <c r="A997" t="s">
        <v>12</v>
      </c>
      <c r="B997">
        <v>2020</v>
      </c>
      <c r="C997" t="s">
        <v>58</v>
      </c>
      <c r="D997">
        <v>4.2506192166139201</v>
      </c>
      <c r="E997" t="s">
        <v>7</v>
      </c>
    </row>
    <row r="998" spans="1:5" x14ac:dyDescent="0.25">
      <c r="A998" t="s">
        <v>12</v>
      </c>
      <c r="B998">
        <v>2021</v>
      </c>
      <c r="C998" t="s">
        <v>58</v>
      </c>
      <c r="D998">
        <v>5.1860435176349702</v>
      </c>
      <c r="E998" t="s">
        <v>7</v>
      </c>
    </row>
    <row r="999" spans="1:5" x14ac:dyDescent="0.25">
      <c r="A999" t="s">
        <v>12</v>
      </c>
      <c r="B999">
        <v>2022</v>
      </c>
      <c r="C999" t="s">
        <v>58</v>
      </c>
      <c r="D999">
        <v>6.04139749070238</v>
      </c>
      <c r="E999" t="s">
        <v>7</v>
      </c>
    </row>
    <row r="1000" spans="1:5" x14ac:dyDescent="0.25">
      <c r="A1000" t="s">
        <v>12</v>
      </c>
      <c r="B1000">
        <v>2023</v>
      </c>
      <c r="C1000" t="s">
        <v>58</v>
      </c>
      <c r="D1000">
        <v>5.9676136485664202</v>
      </c>
      <c r="E1000" t="s">
        <v>7</v>
      </c>
    </row>
    <row r="1001" spans="1:5" x14ac:dyDescent="0.25">
      <c r="A1001" t="s">
        <v>12</v>
      </c>
      <c r="B1001">
        <v>2024</v>
      </c>
      <c r="C1001" t="s">
        <v>58</v>
      </c>
      <c r="D1001">
        <v>5.0718339837095199</v>
      </c>
      <c r="E1001" t="s">
        <v>7</v>
      </c>
    </row>
    <row r="1002" spans="1:5" x14ac:dyDescent="0.25">
      <c r="A1002" t="s">
        <v>13</v>
      </c>
      <c r="B1002">
        <v>2014</v>
      </c>
      <c r="C1002" t="s">
        <v>58</v>
      </c>
      <c r="D1002">
        <v>5.9576790147577396</v>
      </c>
      <c r="E1002" t="s">
        <v>7</v>
      </c>
    </row>
    <row r="1003" spans="1:5" x14ac:dyDescent="0.25">
      <c r="A1003" t="s">
        <v>13</v>
      </c>
      <c r="B1003">
        <v>2016</v>
      </c>
      <c r="C1003" t="s">
        <v>58</v>
      </c>
      <c r="D1003">
        <v>5.4926685837656102</v>
      </c>
      <c r="E1003" t="s">
        <v>7</v>
      </c>
    </row>
    <row r="1004" spans="1:5" x14ac:dyDescent="0.25">
      <c r="A1004" t="s">
        <v>13</v>
      </c>
      <c r="B1004">
        <v>2018</v>
      </c>
      <c r="C1004" t="s">
        <v>58</v>
      </c>
      <c r="D1004">
        <v>6.2616119238469299</v>
      </c>
      <c r="E1004" t="s">
        <v>7</v>
      </c>
    </row>
    <row r="1005" spans="1:5" x14ac:dyDescent="0.25">
      <c r="A1005" t="s">
        <v>13</v>
      </c>
      <c r="B1005">
        <v>2020</v>
      </c>
      <c r="C1005" t="s">
        <v>58</v>
      </c>
      <c r="D1005">
        <v>5.4571350145503397</v>
      </c>
      <c r="E1005" t="s">
        <v>7</v>
      </c>
    </row>
    <row r="1006" spans="1:5" x14ac:dyDescent="0.25">
      <c r="A1006" t="s">
        <v>13</v>
      </c>
      <c r="B1006">
        <v>2021</v>
      </c>
      <c r="C1006" t="s">
        <v>58</v>
      </c>
      <c r="D1006">
        <v>5.62160639204704</v>
      </c>
      <c r="E1006" t="s">
        <v>7</v>
      </c>
    </row>
    <row r="1007" spans="1:5" x14ac:dyDescent="0.25">
      <c r="A1007" t="s">
        <v>13</v>
      </c>
      <c r="B1007">
        <v>2022</v>
      </c>
      <c r="C1007" t="s">
        <v>58</v>
      </c>
      <c r="D1007">
        <v>5.8330247396307602</v>
      </c>
      <c r="E1007" t="s">
        <v>7</v>
      </c>
    </row>
    <row r="1008" spans="1:5" x14ac:dyDescent="0.25">
      <c r="A1008" t="s">
        <v>13</v>
      </c>
      <c r="B1008">
        <v>2023</v>
      </c>
      <c r="C1008" t="s">
        <v>58</v>
      </c>
      <c r="D1008">
        <v>6.3848264701791901</v>
      </c>
      <c r="E1008" t="s">
        <v>7</v>
      </c>
    </row>
    <row r="1009" spans="1:5" x14ac:dyDescent="0.25">
      <c r="A1009" t="s">
        <v>13</v>
      </c>
      <c r="B1009">
        <v>2025</v>
      </c>
      <c r="C1009" t="s">
        <v>58</v>
      </c>
      <c r="D1009">
        <v>6.1106565348061803</v>
      </c>
      <c r="E1009" t="s">
        <v>7</v>
      </c>
    </row>
    <row r="1010" spans="1:5" x14ac:dyDescent="0.25">
      <c r="A1010" t="s">
        <v>14</v>
      </c>
      <c r="B1010">
        <v>2015</v>
      </c>
      <c r="C1010" t="s">
        <v>58</v>
      </c>
      <c r="D1010">
        <v>0.13655773431892801</v>
      </c>
      <c r="E1010" t="s">
        <v>7</v>
      </c>
    </row>
    <row r="1011" spans="1:5" x14ac:dyDescent="0.25">
      <c r="A1011" t="s">
        <v>15</v>
      </c>
      <c r="B1011">
        <v>2015</v>
      </c>
      <c r="C1011" t="s">
        <v>58</v>
      </c>
      <c r="D1011">
        <v>3.2311259618630999</v>
      </c>
      <c r="E1011" t="s">
        <v>7</v>
      </c>
    </row>
    <row r="1012" spans="1:5" x14ac:dyDescent="0.25">
      <c r="A1012" t="s">
        <v>15</v>
      </c>
      <c r="B1012">
        <v>2016</v>
      </c>
      <c r="C1012" t="s">
        <v>58</v>
      </c>
      <c r="D1012">
        <v>4.66639368187443</v>
      </c>
      <c r="E1012" t="s">
        <v>7</v>
      </c>
    </row>
    <row r="1013" spans="1:5" x14ac:dyDescent="0.25">
      <c r="A1013" t="s">
        <v>15</v>
      </c>
      <c r="B1013">
        <v>2023</v>
      </c>
      <c r="C1013" t="s">
        <v>58</v>
      </c>
      <c r="D1013">
        <v>6.3285604418289303</v>
      </c>
      <c r="E1013" t="s">
        <v>7</v>
      </c>
    </row>
    <row r="1014" spans="1:5" x14ac:dyDescent="0.25">
      <c r="A1014" t="s">
        <v>15</v>
      </c>
      <c r="B1014">
        <v>2025</v>
      </c>
      <c r="C1014" t="s">
        <v>58</v>
      </c>
      <c r="D1014">
        <v>7.3706392014788404</v>
      </c>
      <c r="E1014" t="s">
        <v>7</v>
      </c>
    </row>
    <row r="1015" spans="1:5" x14ac:dyDescent="0.25">
      <c r="A1015" t="s">
        <v>16</v>
      </c>
      <c r="B1015">
        <v>2008</v>
      </c>
      <c r="C1015" t="s">
        <v>58</v>
      </c>
      <c r="D1015">
        <v>5.1752343460802397</v>
      </c>
      <c r="E1015" t="s">
        <v>7</v>
      </c>
    </row>
    <row r="1016" spans="1:5" x14ac:dyDescent="0.25">
      <c r="A1016" t="s">
        <v>17</v>
      </c>
      <c r="B1016">
        <v>2010</v>
      </c>
      <c r="C1016" t="s">
        <v>58</v>
      </c>
      <c r="D1016">
        <v>3.86279341402967</v>
      </c>
      <c r="E1016" t="s">
        <v>7</v>
      </c>
    </row>
    <row r="1017" spans="1:5" x14ac:dyDescent="0.25">
      <c r="A1017" t="s">
        <v>17</v>
      </c>
      <c r="B1017">
        <v>2011</v>
      </c>
      <c r="C1017" t="s">
        <v>58</v>
      </c>
      <c r="D1017">
        <v>4.5508808838276904</v>
      </c>
      <c r="E1017" t="s">
        <v>7</v>
      </c>
    </row>
    <row r="1018" spans="1:5" x14ac:dyDescent="0.25">
      <c r="A1018" t="s">
        <v>17</v>
      </c>
      <c r="B1018">
        <v>2012</v>
      </c>
      <c r="C1018" t="s">
        <v>58</v>
      </c>
      <c r="D1018">
        <v>5.4025448990935097</v>
      </c>
      <c r="E1018" t="s">
        <v>7</v>
      </c>
    </row>
    <row r="1019" spans="1:5" x14ac:dyDescent="0.25">
      <c r="A1019" t="s">
        <v>17</v>
      </c>
      <c r="B1019">
        <v>2013</v>
      </c>
      <c r="C1019" t="s">
        <v>58</v>
      </c>
      <c r="D1019">
        <v>5.8437358765236702</v>
      </c>
      <c r="E1019" t="s">
        <v>7</v>
      </c>
    </row>
    <row r="1020" spans="1:5" x14ac:dyDescent="0.25">
      <c r="A1020" t="s">
        <v>17</v>
      </c>
      <c r="B1020">
        <v>2014</v>
      </c>
      <c r="C1020" t="s">
        <v>58</v>
      </c>
      <c r="D1020">
        <v>5.1287818052469598</v>
      </c>
      <c r="E1020" t="s">
        <v>7</v>
      </c>
    </row>
    <row r="1021" spans="1:5" x14ac:dyDescent="0.25">
      <c r="A1021" t="s">
        <v>17</v>
      </c>
      <c r="B1021">
        <v>2015</v>
      </c>
      <c r="C1021" t="s">
        <v>58</v>
      </c>
      <c r="D1021">
        <v>4.0461790654159699</v>
      </c>
      <c r="E1021" t="s">
        <v>7</v>
      </c>
    </row>
    <row r="1022" spans="1:5" x14ac:dyDescent="0.25">
      <c r="A1022" t="s">
        <v>17</v>
      </c>
      <c r="B1022">
        <v>2016</v>
      </c>
      <c r="C1022" t="s">
        <v>58</v>
      </c>
      <c r="D1022">
        <v>4.1008944431763297</v>
      </c>
      <c r="E1022" t="s">
        <v>7</v>
      </c>
    </row>
    <row r="1023" spans="1:5" x14ac:dyDescent="0.25">
      <c r="A1023" t="s">
        <v>17</v>
      </c>
      <c r="B1023">
        <v>2017</v>
      </c>
      <c r="C1023" t="s">
        <v>58</v>
      </c>
      <c r="D1023">
        <v>4.8290621428412797</v>
      </c>
      <c r="E1023" t="s">
        <v>7</v>
      </c>
    </row>
    <row r="1024" spans="1:5" x14ac:dyDescent="0.25">
      <c r="A1024" t="s">
        <v>17</v>
      </c>
      <c r="B1024">
        <v>2018</v>
      </c>
      <c r="C1024" t="s">
        <v>58</v>
      </c>
      <c r="D1024">
        <v>4.9932017731671099</v>
      </c>
      <c r="E1024" t="s">
        <v>7</v>
      </c>
    </row>
    <row r="1025" spans="1:5" x14ac:dyDescent="0.25">
      <c r="A1025" t="s">
        <v>17</v>
      </c>
      <c r="B1025">
        <v>2019</v>
      </c>
      <c r="C1025" t="s">
        <v>58</v>
      </c>
      <c r="D1025">
        <v>4.46081571912109</v>
      </c>
      <c r="E1025" t="s">
        <v>7</v>
      </c>
    </row>
    <row r="1026" spans="1:5" x14ac:dyDescent="0.25">
      <c r="A1026" t="s">
        <v>17</v>
      </c>
      <c r="B1026">
        <v>2020</v>
      </c>
      <c r="C1026" t="s">
        <v>58</v>
      </c>
      <c r="D1026">
        <v>4.1761144211216497</v>
      </c>
      <c r="E1026" t="s">
        <v>7</v>
      </c>
    </row>
    <row r="1027" spans="1:5" x14ac:dyDescent="0.25">
      <c r="A1027" t="s">
        <v>17</v>
      </c>
      <c r="B1027">
        <v>2021</v>
      </c>
      <c r="C1027" t="s">
        <v>58</v>
      </c>
      <c r="D1027">
        <v>4.3834952721179699</v>
      </c>
      <c r="E1027" t="s">
        <v>7</v>
      </c>
    </row>
    <row r="1028" spans="1:5" x14ac:dyDescent="0.25">
      <c r="A1028" t="s">
        <v>17</v>
      </c>
      <c r="B1028">
        <v>2022</v>
      </c>
      <c r="C1028" t="s">
        <v>58</v>
      </c>
      <c r="D1028">
        <v>4.4655330237575397</v>
      </c>
      <c r="E1028" t="s">
        <v>7</v>
      </c>
    </row>
    <row r="1029" spans="1:5" x14ac:dyDescent="0.25">
      <c r="A1029" t="s">
        <v>17</v>
      </c>
      <c r="B1029">
        <v>2024</v>
      </c>
      <c r="C1029" t="s">
        <v>58</v>
      </c>
      <c r="D1029">
        <v>4.8986461202147096</v>
      </c>
      <c r="E1029" t="s">
        <v>7</v>
      </c>
    </row>
    <row r="1030" spans="1:5" x14ac:dyDescent="0.25">
      <c r="A1030" t="s">
        <v>18</v>
      </c>
      <c r="B1030">
        <v>2004</v>
      </c>
      <c r="C1030" t="s">
        <v>58</v>
      </c>
      <c r="D1030">
        <v>3.2280252194845298</v>
      </c>
      <c r="E1030" t="s">
        <v>7</v>
      </c>
    </row>
    <row r="1031" spans="1:5" x14ac:dyDescent="0.25">
      <c r="A1031" t="s">
        <v>18</v>
      </c>
      <c r="B1031">
        <v>2005</v>
      </c>
      <c r="C1031" t="s">
        <v>58</v>
      </c>
      <c r="D1031">
        <v>3.6790427022103098</v>
      </c>
      <c r="E1031" t="s">
        <v>7</v>
      </c>
    </row>
    <row r="1032" spans="1:5" x14ac:dyDescent="0.25">
      <c r="A1032" t="s">
        <v>18</v>
      </c>
      <c r="B1032">
        <v>2006</v>
      </c>
      <c r="C1032" t="s">
        <v>58</v>
      </c>
      <c r="D1032">
        <v>3.9670754974944402</v>
      </c>
      <c r="E1032" t="s">
        <v>7</v>
      </c>
    </row>
    <row r="1033" spans="1:5" x14ac:dyDescent="0.25">
      <c r="A1033" t="s">
        <v>18</v>
      </c>
      <c r="B1033">
        <v>2007</v>
      </c>
      <c r="C1033" t="s">
        <v>58</v>
      </c>
      <c r="D1033">
        <v>4.8451290243726399</v>
      </c>
      <c r="E1033" t="s">
        <v>7</v>
      </c>
    </row>
    <row r="1034" spans="1:5" x14ac:dyDescent="0.25">
      <c r="A1034" t="s">
        <v>18</v>
      </c>
      <c r="B1034">
        <v>2008</v>
      </c>
      <c r="C1034" t="s">
        <v>58</v>
      </c>
      <c r="D1034">
        <v>5.58784257169245</v>
      </c>
      <c r="E1034" t="s">
        <v>7</v>
      </c>
    </row>
    <row r="1035" spans="1:5" x14ac:dyDescent="0.25">
      <c r="A1035" t="s">
        <v>18</v>
      </c>
      <c r="B1035">
        <v>2009</v>
      </c>
      <c r="C1035" t="s">
        <v>58</v>
      </c>
      <c r="D1035">
        <v>4.0509968673472496</v>
      </c>
      <c r="E1035" t="s">
        <v>7</v>
      </c>
    </row>
    <row r="1036" spans="1:5" x14ac:dyDescent="0.25">
      <c r="A1036" t="s">
        <v>18</v>
      </c>
      <c r="B1036">
        <v>2010</v>
      </c>
      <c r="C1036" t="s">
        <v>58</v>
      </c>
      <c r="D1036">
        <v>4.5719840763410904</v>
      </c>
      <c r="E1036" t="s">
        <v>7</v>
      </c>
    </row>
    <row r="1037" spans="1:5" x14ac:dyDescent="0.25">
      <c r="A1037" t="s">
        <v>18</v>
      </c>
      <c r="B1037">
        <v>2011</v>
      </c>
      <c r="C1037" t="s">
        <v>58</v>
      </c>
      <c r="D1037">
        <v>4.7326314241575904</v>
      </c>
      <c r="E1037" t="s">
        <v>7</v>
      </c>
    </row>
    <row r="1038" spans="1:5" x14ac:dyDescent="0.25">
      <c r="A1038" t="s">
        <v>18</v>
      </c>
      <c r="B1038">
        <v>2012</v>
      </c>
      <c r="C1038" t="s">
        <v>58</v>
      </c>
      <c r="D1038">
        <v>5.5493145795476604</v>
      </c>
      <c r="E1038" t="s">
        <v>7</v>
      </c>
    </row>
    <row r="1039" spans="1:5" x14ac:dyDescent="0.25">
      <c r="A1039" t="s">
        <v>18</v>
      </c>
      <c r="B1039">
        <v>2013</v>
      </c>
      <c r="C1039" t="s">
        <v>58</v>
      </c>
      <c r="D1039">
        <v>5.4805342347020103</v>
      </c>
      <c r="E1039" t="s">
        <v>7</v>
      </c>
    </row>
    <row r="1040" spans="1:5" x14ac:dyDescent="0.25">
      <c r="A1040" t="s">
        <v>18</v>
      </c>
      <c r="B1040">
        <v>2014</v>
      </c>
      <c r="C1040" t="s">
        <v>58</v>
      </c>
      <c r="D1040">
        <v>4.8770918921536603</v>
      </c>
      <c r="E1040" t="s">
        <v>7</v>
      </c>
    </row>
    <row r="1041" spans="1:5" x14ac:dyDescent="0.25">
      <c r="A1041" t="s">
        <v>18</v>
      </c>
      <c r="B1041">
        <v>2015</v>
      </c>
      <c r="C1041" t="s">
        <v>58</v>
      </c>
      <c r="D1041">
        <v>4.1638846914535197</v>
      </c>
      <c r="E1041" t="s">
        <v>7</v>
      </c>
    </row>
    <row r="1042" spans="1:5" x14ac:dyDescent="0.25">
      <c r="A1042" t="s">
        <v>18</v>
      </c>
      <c r="B1042">
        <v>2016</v>
      </c>
      <c r="C1042" t="s">
        <v>58</v>
      </c>
      <c r="D1042">
        <v>4.1939968701029198</v>
      </c>
      <c r="E1042" t="s">
        <v>7</v>
      </c>
    </row>
    <row r="1043" spans="1:5" x14ac:dyDescent="0.25">
      <c r="A1043" t="s">
        <v>18</v>
      </c>
      <c r="B1043">
        <v>2017</v>
      </c>
      <c r="C1043" t="s">
        <v>58</v>
      </c>
      <c r="D1043">
        <v>4.6679358627195802</v>
      </c>
      <c r="E1043" t="s">
        <v>7</v>
      </c>
    </row>
    <row r="1044" spans="1:5" x14ac:dyDescent="0.25">
      <c r="A1044" t="s">
        <v>18</v>
      </c>
      <c r="B1044">
        <v>2018</v>
      </c>
      <c r="C1044" t="s">
        <v>58</v>
      </c>
      <c r="D1044">
        <v>5.0217455760016003</v>
      </c>
      <c r="E1044" t="s">
        <v>7</v>
      </c>
    </row>
    <row r="1045" spans="1:5" x14ac:dyDescent="0.25">
      <c r="A1045" t="s">
        <v>18</v>
      </c>
      <c r="B1045">
        <v>2019</v>
      </c>
      <c r="C1045" t="s">
        <v>58</v>
      </c>
      <c r="D1045">
        <v>4.5793569624468997</v>
      </c>
      <c r="E1045" t="s">
        <v>7</v>
      </c>
    </row>
    <row r="1046" spans="1:5" x14ac:dyDescent="0.25">
      <c r="A1046" t="s">
        <v>18</v>
      </c>
      <c r="B1046">
        <v>2020</v>
      </c>
      <c r="C1046" t="s">
        <v>58</v>
      </c>
      <c r="D1046">
        <v>4.4641833541824401</v>
      </c>
      <c r="E1046" t="s">
        <v>7</v>
      </c>
    </row>
    <row r="1047" spans="1:5" x14ac:dyDescent="0.25">
      <c r="A1047" t="s">
        <v>18</v>
      </c>
      <c r="B1047">
        <v>2021</v>
      </c>
      <c r="C1047" t="s">
        <v>58</v>
      </c>
      <c r="D1047">
        <v>4.8570234481559904</v>
      </c>
      <c r="E1047" t="s">
        <v>7</v>
      </c>
    </row>
    <row r="1048" spans="1:5" x14ac:dyDescent="0.25">
      <c r="A1048" t="s">
        <v>18</v>
      </c>
      <c r="B1048">
        <v>2022</v>
      </c>
      <c r="C1048" t="s">
        <v>58</v>
      </c>
      <c r="D1048">
        <v>5.2275075995407096</v>
      </c>
      <c r="E1048" t="s">
        <v>7</v>
      </c>
    </row>
    <row r="1049" spans="1:5" x14ac:dyDescent="0.25">
      <c r="A1049" t="s">
        <v>18</v>
      </c>
      <c r="B1049">
        <v>2023</v>
      </c>
      <c r="C1049" t="s">
        <v>58</v>
      </c>
      <c r="D1049">
        <v>5.3288290365516602</v>
      </c>
      <c r="E1049" t="s">
        <v>7</v>
      </c>
    </row>
    <row r="1050" spans="1:5" x14ac:dyDescent="0.25">
      <c r="A1050" t="s">
        <v>18</v>
      </c>
      <c r="B1050">
        <v>2024</v>
      </c>
      <c r="C1050" t="s">
        <v>58</v>
      </c>
      <c r="D1050">
        <v>4.91736437863349</v>
      </c>
      <c r="E1050" t="s">
        <v>7</v>
      </c>
    </row>
    <row r="1051" spans="1:5" x14ac:dyDescent="0.25">
      <c r="A1051" t="s">
        <v>18</v>
      </c>
      <c r="B1051">
        <v>2025</v>
      </c>
      <c r="C1051" t="s">
        <v>58</v>
      </c>
      <c r="D1051">
        <v>4.9139098048741303</v>
      </c>
      <c r="E1051" t="s">
        <v>7</v>
      </c>
    </row>
    <row r="1052" spans="1:5" x14ac:dyDescent="0.25">
      <c r="A1052" t="s">
        <v>19</v>
      </c>
      <c r="B1052">
        <v>2014</v>
      </c>
      <c r="C1052" t="s">
        <v>58</v>
      </c>
      <c r="D1052">
        <v>3.0333715760961201E-2</v>
      </c>
      <c r="E1052" t="s">
        <v>7</v>
      </c>
    </row>
    <row r="1053" spans="1:5" x14ac:dyDescent="0.25">
      <c r="A1053" t="s">
        <v>20</v>
      </c>
      <c r="B1053">
        <v>2014</v>
      </c>
      <c r="C1053" t="s">
        <v>58</v>
      </c>
      <c r="D1053">
        <v>0.71263167276734396</v>
      </c>
      <c r="E1053" t="s">
        <v>7</v>
      </c>
    </row>
    <row r="1054" spans="1:5" x14ac:dyDescent="0.25">
      <c r="A1054" t="s">
        <v>20</v>
      </c>
      <c r="B1054">
        <v>2015</v>
      </c>
      <c r="C1054" t="s">
        <v>58</v>
      </c>
      <c r="D1054">
        <v>1.94854472577402</v>
      </c>
      <c r="E1054" t="s">
        <v>7</v>
      </c>
    </row>
    <row r="1055" spans="1:5" x14ac:dyDescent="0.25">
      <c r="A1055" t="s">
        <v>20</v>
      </c>
      <c r="B1055">
        <v>2016</v>
      </c>
      <c r="C1055" t="s">
        <v>58</v>
      </c>
      <c r="D1055">
        <v>0.40474181492859801</v>
      </c>
      <c r="E1055" t="s">
        <v>7</v>
      </c>
    </row>
    <row r="1056" spans="1:5" x14ac:dyDescent="0.25">
      <c r="A1056" t="s">
        <v>20</v>
      </c>
      <c r="B1056">
        <v>2017</v>
      </c>
      <c r="C1056" t="s">
        <v>58</v>
      </c>
      <c r="D1056">
        <v>0.803706619230381</v>
      </c>
      <c r="E1056" t="s">
        <v>7</v>
      </c>
    </row>
    <row r="1057" spans="1:5" x14ac:dyDescent="0.25">
      <c r="A1057" t="s">
        <v>20</v>
      </c>
      <c r="B1057">
        <v>2018</v>
      </c>
      <c r="C1057" t="s">
        <v>58</v>
      </c>
      <c r="D1057">
        <v>0.83916159228516296</v>
      </c>
      <c r="E1057" t="s">
        <v>7</v>
      </c>
    </row>
    <row r="1058" spans="1:5" x14ac:dyDescent="0.25">
      <c r="A1058" t="s">
        <v>20</v>
      </c>
      <c r="B1058">
        <v>2019</v>
      </c>
      <c r="C1058" t="s">
        <v>58</v>
      </c>
      <c r="D1058">
        <v>0.77931045026552603</v>
      </c>
      <c r="E1058" t="s">
        <v>7</v>
      </c>
    </row>
    <row r="1059" spans="1:5" x14ac:dyDescent="0.25">
      <c r="A1059" t="s">
        <v>20</v>
      </c>
      <c r="B1059">
        <v>2020</v>
      </c>
      <c r="C1059" t="s">
        <v>58</v>
      </c>
      <c r="D1059">
        <v>0.77869603731701698</v>
      </c>
      <c r="E1059" t="s">
        <v>7</v>
      </c>
    </row>
    <row r="1060" spans="1:5" x14ac:dyDescent="0.25">
      <c r="A1060" t="s">
        <v>20</v>
      </c>
      <c r="B1060">
        <v>2021</v>
      </c>
      <c r="C1060" t="s">
        <v>58</v>
      </c>
      <c r="D1060">
        <v>0.77199993287369895</v>
      </c>
      <c r="E1060" t="s">
        <v>7</v>
      </c>
    </row>
    <row r="1061" spans="1:5" x14ac:dyDescent="0.25">
      <c r="A1061" t="s">
        <v>20</v>
      </c>
      <c r="B1061">
        <v>2022</v>
      </c>
      <c r="C1061" t="s">
        <v>58</v>
      </c>
      <c r="D1061">
        <v>0.77086901236863303</v>
      </c>
      <c r="E1061" t="s">
        <v>7</v>
      </c>
    </row>
    <row r="1062" spans="1:5" x14ac:dyDescent="0.25">
      <c r="A1062" t="s">
        <v>20</v>
      </c>
      <c r="B1062">
        <v>2023</v>
      </c>
      <c r="C1062" t="s">
        <v>58</v>
      </c>
      <c r="D1062">
        <v>0.85226094216100501</v>
      </c>
      <c r="E1062" t="s">
        <v>7</v>
      </c>
    </row>
    <row r="1063" spans="1:5" x14ac:dyDescent="0.25">
      <c r="A1063" t="s">
        <v>20</v>
      </c>
      <c r="B1063">
        <v>2024</v>
      </c>
      <c r="C1063" t="s">
        <v>58</v>
      </c>
      <c r="D1063">
        <v>0.83936757514666904</v>
      </c>
      <c r="E1063" t="s">
        <v>7</v>
      </c>
    </row>
    <row r="1064" spans="1:5" x14ac:dyDescent="0.25">
      <c r="A1064" t="s">
        <v>20</v>
      </c>
      <c r="B1064">
        <v>2025</v>
      </c>
      <c r="C1064" t="s">
        <v>58</v>
      </c>
      <c r="D1064">
        <v>0.95405766388527302</v>
      </c>
      <c r="E1064" t="s">
        <v>7</v>
      </c>
    </row>
    <row r="1065" spans="1:5" x14ac:dyDescent="0.25">
      <c r="A1065" t="s">
        <v>21</v>
      </c>
      <c r="B1065">
        <v>2000</v>
      </c>
      <c r="C1065" t="s">
        <v>58</v>
      </c>
      <c r="D1065">
        <v>2.4555345655434699</v>
      </c>
      <c r="E1065" t="s">
        <v>7</v>
      </c>
    </row>
    <row r="1066" spans="1:5" x14ac:dyDescent="0.25">
      <c r="A1066" t="s">
        <v>21</v>
      </c>
      <c r="B1066">
        <v>2001</v>
      </c>
      <c r="C1066" t="s">
        <v>58</v>
      </c>
      <c r="D1066">
        <v>2.24371976978576</v>
      </c>
      <c r="E1066" t="s">
        <v>7</v>
      </c>
    </row>
    <row r="1067" spans="1:5" x14ac:dyDescent="0.25">
      <c r="A1067" t="s">
        <v>21</v>
      </c>
      <c r="B1067">
        <v>2002</v>
      </c>
      <c r="C1067" t="s">
        <v>58</v>
      </c>
      <c r="D1067">
        <v>2.6987446334686198</v>
      </c>
      <c r="E1067" t="s">
        <v>7</v>
      </c>
    </row>
    <row r="1068" spans="1:5" x14ac:dyDescent="0.25">
      <c r="A1068" t="s">
        <v>21</v>
      </c>
      <c r="B1068">
        <v>2003</v>
      </c>
      <c r="C1068" t="s">
        <v>58</v>
      </c>
      <c r="D1068">
        <v>3.4659442233641902</v>
      </c>
      <c r="E1068" t="s">
        <v>7</v>
      </c>
    </row>
    <row r="1069" spans="1:5" x14ac:dyDescent="0.25">
      <c r="A1069" t="s">
        <v>21</v>
      </c>
      <c r="B1069">
        <v>2004</v>
      </c>
      <c r="C1069" t="s">
        <v>58</v>
      </c>
      <c r="D1069">
        <v>3.9175664410366799</v>
      </c>
      <c r="E1069" t="s">
        <v>7</v>
      </c>
    </row>
    <row r="1070" spans="1:5" x14ac:dyDescent="0.25">
      <c r="A1070" t="s">
        <v>21</v>
      </c>
      <c r="B1070">
        <v>2005</v>
      </c>
      <c r="C1070" t="s">
        <v>58</v>
      </c>
      <c r="D1070">
        <v>2.99158823718607</v>
      </c>
      <c r="E1070" t="s">
        <v>7</v>
      </c>
    </row>
    <row r="1071" spans="1:5" x14ac:dyDescent="0.25">
      <c r="A1071" t="s">
        <v>21</v>
      </c>
      <c r="B1071">
        <v>2006</v>
      </c>
      <c r="C1071" t="s">
        <v>58</v>
      </c>
      <c r="D1071">
        <v>3.73257827215394</v>
      </c>
      <c r="E1071" t="s">
        <v>7</v>
      </c>
    </row>
    <row r="1072" spans="1:5" x14ac:dyDescent="0.25">
      <c r="A1072" t="s">
        <v>21</v>
      </c>
      <c r="B1072">
        <v>2007</v>
      </c>
      <c r="C1072" t="s">
        <v>58</v>
      </c>
      <c r="D1072">
        <v>4.1574268430692696</v>
      </c>
      <c r="E1072" t="s">
        <v>7</v>
      </c>
    </row>
    <row r="1073" spans="1:5" x14ac:dyDescent="0.25">
      <c r="A1073" t="s">
        <v>21</v>
      </c>
      <c r="B1073">
        <v>2008</v>
      </c>
      <c r="C1073" t="s">
        <v>58</v>
      </c>
      <c r="D1073">
        <v>6.4514020484943098</v>
      </c>
      <c r="E1073" t="s">
        <v>7</v>
      </c>
    </row>
    <row r="1074" spans="1:5" x14ac:dyDescent="0.25">
      <c r="A1074" t="s">
        <v>21</v>
      </c>
      <c r="B1074">
        <v>2009</v>
      </c>
      <c r="C1074" t="s">
        <v>58</v>
      </c>
      <c r="D1074">
        <v>5.72471978047788</v>
      </c>
      <c r="E1074" t="s">
        <v>7</v>
      </c>
    </row>
    <row r="1075" spans="1:5" x14ac:dyDescent="0.25">
      <c r="A1075" t="s">
        <v>21</v>
      </c>
      <c r="B1075">
        <v>2010</v>
      </c>
      <c r="C1075" t="s">
        <v>58</v>
      </c>
      <c r="D1075">
        <v>6.4161851145275204</v>
      </c>
      <c r="E1075" t="s">
        <v>7</v>
      </c>
    </row>
    <row r="1076" spans="1:5" x14ac:dyDescent="0.25">
      <c r="A1076" t="s">
        <v>21</v>
      </c>
      <c r="B1076">
        <v>2011</v>
      </c>
      <c r="C1076" t="s">
        <v>58</v>
      </c>
      <c r="D1076">
        <v>6.3825344821635097</v>
      </c>
      <c r="E1076" t="s">
        <v>7</v>
      </c>
    </row>
    <row r="1077" spans="1:5" x14ac:dyDescent="0.25">
      <c r="A1077" t="s">
        <v>21</v>
      </c>
      <c r="B1077">
        <v>2012</v>
      </c>
      <c r="C1077" t="s">
        <v>58</v>
      </c>
      <c r="D1077">
        <v>7.0292549786959704</v>
      </c>
      <c r="E1077" t="s">
        <v>7</v>
      </c>
    </row>
    <row r="1078" spans="1:5" x14ac:dyDescent="0.25">
      <c r="A1078" t="s">
        <v>21</v>
      </c>
      <c r="B1078">
        <v>2013</v>
      </c>
      <c r="C1078" t="s">
        <v>58</v>
      </c>
      <c r="D1078">
        <v>7.1600945930364004</v>
      </c>
      <c r="E1078" t="s">
        <v>7</v>
      </c>
    </row>
    <row r="1079" spans="1:5" x14ac:dyDescent="0.25">
      <c r="A1079" t="s">
        <v>21</v>
      </c>
      <c r="B1079">
        <v>2014</v>
      </c>
      <c r="C1079" t="s">
        <v>58</v>
      </c>
      <c r="D1079">
        <v>6.1612525441564099</v>
      </c>
      <c r="E1079" t="s">
        <v>7</v>
      </c>
    </row>
    <row r="1080" spans="1:5" x14ac:dyDescent="0.25">
      <c r="A1080" t="s">
        <v>21</v>
      </c>
      <c r="B1080">
        <v>2015</v>
      </c>
      <c r="C1080" t="s">
        <v>58</v>
      </c>
      <c r="D1080">
        <v>5.5217959602249698</v>
      </c>
      <c r="E1080" t="s">
        <v>7</v>
      </c>
    </row>
    <row r="1081" spans="1:5" x14ac:dyDescent="0.25">
      <c r="A1081" t="s">
        <v>21</v>
      </c>
      <c r="B1081">
        <v>2016</v>
      </c>
      <c r="C1081" t="s">
        <v>58</v>
      </c>
      <c r="D1081">
        <v>5.3713425537445101</v>
      </c>
      <c r="E1081" t="s">
        <v>7</v>
      </c>
    </row>
    <row r="1082" spans="1:5" x14ac:dyDescent="0.25">
      <c r="A1082" t="s">
        <v>21</v>
      </c>
      <c r="B1082">
        <v>2017</v>
      </c>
      <c r="C1082" t="s">
        <v>58</v>
      </c>
      <c r="D1082">
        <v>5.7376201750919202</v>
      </c>
      <c r="E1082" t="s">
        <v>7</v>
      </c>
    </row>
    <row r="1083" spans="1:5" x14ac:dyDescent="0.25">
      <c r="A1083" t="s">
        <v>21</v>
      </c>
      <c r="B1083">
        <v>2018</v>
      </c>
      <c r="C1083" t="s">
        <v>58</v>
      </c>
      <c r="D1083">
        <v>5.7095974880988196</v>
      </c>
      <c r="E1083" t="s">
        <v>7</v>
      </c>
    </row>
    <row r="1084" spans="1:5" x14ac:dyDescent="0.25">
      <c r="A1084" t="s">
        <v>21</v>
      </c>
      <c r="B1084">
        <v>2019</v>
      </c>
      <c r="C1084" t="s">
        <v>58</v>
      </c>
      <c r="D1084">
        <v>5.8822543479612301</v>
      </c>
      <c r="E1084" t="s">
        <v>7</v>
      </c>
    </row>
    <row r="1085" spans="1:5" x14ac:dyDescent="0.25">
      <c r="A1085" t="s">
        <v>21</v>
      </c>
      <c r="B1085">
        <v>2020</v>
      </c>
      <c r="C1085" t="s">
        <v>58</v>
      </c>
      <c r="D1085">
        <v>6.1155014566682899</v>
      </c>
      <c r="E1085" t="s">
        <v>7</v>
      </c>
    </row>
    <row r="1086" spans="1:5" x14ac:dyDescent="0.25">
      <c r="A1086" t="s">
        <v>21</v>
      </c>
      <c r="B1086">
        <v>2021</v>
      </c>
      <c r="C1086" t="s">
        <v>58</v>
      </c>
      <c r="D1086">
        <v>5.9336447350922299</v>
      </c>
      <c r="E1086" t="s">
        <v>7</v>
      </c>
    </row>
    <row r="1087" spans="1:5" x14ac:dyDescent="0.25">
      <c r="A1087" t="s">
        <v>21</v>
      </c>
      <c r="B1087">
        <v>2022</v>
      </c>
      <c r="C1087" t="s">
        <v>58</v>
      </c>
      <c r="D1087">
        <v>5.5684908066631502</v>
      </c>
      <c r="E1087" t="s">
        <v>7</v>
      </c>
    </row>
    <row r="1088" spans="1:5" x14ac:dyDescent="0.25">
      <c r="A1088" t="s">
        <v>21</v>
      </c>
      <c r="B1088">
        <v>2023</v>
      </c>
      <c r="C1088" t="s">
        <v>58</v>
      </c>
      <c r="D1088">
        <v>5.8237821289200999</v>
      </c>
      <c r="E1088" t="s">
        <v>7</v>
      </c>
    </row>
    <row r="1089" spans="1:5" x14ac:dyDescent="0.25">
      <c r="A1089" t="s">
        <v>21</v>
      </c>
      <c r="B1089">
        <v>2024</v>
      </c>
      <c r="C1089" t="s">
        <v>58</v>
      </c>
      <c r="D1089">
        <v>6.2045943903344201</v>
      </c>
      <c r="E1089" t="s">
        <v>7</v>
      </c>
    </row>
    <row r="1090" spans="1:5" x14ac:dyDescent="0.25">
      <c r="A1090" t="s">
        <v>22</v>
      </c>
      <c r="B1090">
        <v>2008</v>
      </c>
      <c r="C1090" t="s">
        <v>58</v>
      </c>
      <c r="D1090">
        <v>5.0209066138518104</v>
      </c>
      <c r="E1090" t="s">
        <v>7</v>
      </c>
    </row>
    <row r="1091" spans="1:5" x14ac:dyDescent="0.25">
      <c r="A1091" t="s">
        <v>22</v>
      </c>
      <c r="B1091">
        <v>2009</v>
      </c>
      <c r="C1091" t="s">
        <v>58</v>
      </c>
      <c r="D1091">
        <v>4.14448490055549</v>
      </c>
      <c r="E1091" t="s">
        <v>7</v>
      </c>
    </row>
    <row r="1092" spans="1:5" x14ac:dyDescent="0.25">
      <c r="A1092" t="s">
        <v>22</v>
      </c>
      <c r="B1092">
        <v>2010</v>
      </c>
      <c r="C1092" t="s">
        <v>58</v>
      </c>
      <c r="D1092">
        <v>3.6427794284300798</v>
      </c>
      <c r="E1092" t="s">
        <v>7</v>
      </c>
    </row>
    <row r="1093" spans="1:5" x14ac:dyDescent="0.25">
      <c r="A1093" t="s">
        <v>22</v>
      </c>
      <c r="B1093">
        <v>2011</v>
      </c>
      <c r="C1093" t="s">
        <v>58</v>
      </c>
      <c r="D1093">
        <v>4.0924842761240097</v>
      </c>
      <c r="E1093" t="s">
        <v>7</v>
      </c>
    </row>
    <row r="1094" spans="1:5" x14ac:dyDescent="0.25">
      <c r="A1094" t="s">
        <v>22</v>
      </c>
      <c r="B1094">
        <v>2012</v>
      </c>
      <c r="C1094" t="s">
        <v>58</v>
      </c>
      <c r="D1094">
        <v>4.8927135756328104</v>
      </c>
      <c r="E1094" t="s">
        <v>7</v>
      </c>
    </row>
    <row r="1095" spans="1:5" x14ac:dyDescent="0.25">
      <c r="A1095" t="s">
        <v>22</v>
      </c>
      <c r="B1095">
        <v>2013</v>
      </c>
      <c r="C1095" t="s">
        <v>58</v>
      </c>
      <c r="D1095">
        <v>5.7233936472614797</v>
      </c>
      <c r="E1095" t="s">
        <v>7</v>
      </c>
    </row>
    <row r="1096" spans="1:5" x14ac:dyDescent="0.25">
      <c r="A1096" t="s">
        <v>22</v>
      </c>
      <c r="B1096">
        <v>2014</v>
      </c>
      <c r="C1096" t="s">
        <v>58</v>
      </c>
      <c r="D1096">
        <v>5.4499469993983896</v>
      </c>
      <c r="E1096" t="s">
        <v>7</v>
      </c>
    </row>
    <row r="1097" spans="1:5" x14ac:dyDescent="0.25">
      <c r="A1097" t="s">
        <v>22</v>
      </c>
      <c r="B1097">
        <v>2015</v>
      </c>
      <c r="C1097" t="s">
        <v>58</v>
      </c>
      <c r="D1097">
        <v>4.1263833832508396</v>
      </c>
      <c r="E1097" t="s">
        <v>7</v>
      </c>
    </row>
    <row r="1098" spans="1:5" x14ac:dyDescent="0.25">
      <c r="A1098" t="s">
        <v>22</v>
      </c>
      <c r="B1098">
        <v>2016</v>
      </c>
      <c r="C1098" t="s">
        <v>58</v>
      </c>
      <c r="D1098">
        <v>3.9719172276527002</v>
      </c>
      <c r="E1098" t="s">
        <v>7</v>
      </c>
    </row>
    <row r="1099" spans="1:5" x14ac:dyDescent="0.25">
      <c r="A1099" t="s">
        <v>22</v>
      </c>
      <c r="B1099">
        <v>2017</v>
      </c>
      <c r="C1099" t="s">
        <v>58</v>
      </c>
      <c r="D1099">
        <v>4.39173184179353</v>
      </c>
      <c r="E1099" t="s">
        <v>7</v>
      </c>
    </row>
    <row r="1100" spans="1:5" x14ac:dyDescent="0.25">
      <c r="A1100" t="s">
        <v>22</v>
      </c>
      <c r="B1100">
        <v>2018</v>
      </c>
      <c r="C1100" t="s">
        <v>58</v>
      </c>
      <c r="D1100">
        <v>5.0295663739553502</v>
      </c>
      <c r="E1100" t="s">
        <v>7</v>
      </c>
    </row>
    <row r="1101" spans="1:5" x14ac:dyDescent="0.25">
      <c r="A1101" t="s">
        <v>22</v>
      </c>
      <c r="B1101">
        <v>2019</v>
      </c>
      <c r="C1101" t="s">
        <v>58</v>
      </c>
      <c r="D1101">
        <v>4.6323835146699199</v>
      </c>
      <c r="E1101" t="s">
        <v>7</v>
      </c>
    </row>
    <row r="1102" spans="1:5" x14ac:dyDescent="0.25">
      <c r="A1102" t="s">
        <v>22</v>
      </c>
      <c r="B1102">
        <v>2020</v>
      </c>
      <c r="C1102" t="s">
        <v>58</v>
      </c>
      <c r="D1102">
        <v>4.5505472867546599</v>
      </c>
      <c r="E1102" t="s">
        <v>7</v>
      </c>
    </row>
    <row r="1103" spans="1:5" x14ac:dyDescent="0.25">
      <c r="A1103" t="s">
        <v>22</v>
      </c>
      <c r="B1103">
        <v>2021</v>
      </c>
      <c r="C1103" t="s">
        <v>58</v>
      </c>
      <c r="D1103">
        <v>4.5004002220619697</v>
      </c>
      <c r="E1103" t="s">
        <v>7</v>
      </c>
    </row>
    <row r="1104" spans="1:5" x14ac:dyDescent="0.25">
      <c r="A1104" t="s">
        <v>22</v>
      </c>
      <c r="B1104">
        <v>2022</v>
      </c>
      <c r="C1104" t="s">
        <v>58</v>
      </c>
      <c r="D1104">
        <v>4.4667034268500796</v>
      </c>
      <c r="E1104" t="s">
        <v>7</v>
      </c>
    </row>
    <row r="1105" spans="1:5" x14ac:dyDescent="0.25">
      <c r="A1105" t="s">
        <v>22</v>
      </c>
      <c r="B1105">
        <v>2023</v>
      </c>
      <c r="C1105" t="s">
        <v>58</v>
      </c>
      <c r="D1105">
        <v>5.08779939492449</v>
      </c>
      <c r="E1105" t="s">
        <v>7</v>
      </c>
    </row>
    <row r="1106" spans="1:5" x14ac:dyDescent="0.25">
      <c r="A1106" t="s">
        <v>22</v>
      </c>
      <c r="B1106">
        <v>2024</v>
      </c>
      <c r="C1106" t="s">
        <v>58</v>
      </c>
      <c r="D1106">
        <v>5.1606947217755099</v>
      </c>
      <c r="E1106" t="s">
        <v>7</v>
      </c>
    </row>
    <row r="1107" spans="1:5" x14ac:dyDescent="0.25">
      <c r="A1107" t="s">
        <v>22</v>
      </c>
      <c r="B1107">
        <v>2025</v>
      </c>
      <c r="C1107" t="s">
        <v>58</v>
      </c>
      <c r="D1107">
        <v>5.1178030222880198</v>
      </c>
      <c r="E1107" t="s">
        <v>7</v>
      </c>
    </row>
    <row r="1108" spans="1:5" x14ac:dyDescent="0.25">
      <c r="A1108" t="s">
        <v>23</v>
      </c>
      <c r="B1108">
        <v>2010</v>
      </c>
      <c r="C1108" t="s">
        <v>58</v>
      </c>
      <c r="D1108">
        <v>4.0667582560073399</v>
      </c>
      <c r="E1108" t="s">
        <v>7</v>
      </c>
    </row>
    <row r="1109" spans="1:5" x14ac:dyDescent="0.25">
      <c r="A1109" t="s">
        <v>23</v>
      </c>
      <c r="B1109">
        <v>2011</v>
      </c>
      <c r="C1109" t="s">
        <v>58</v>
      </c>
      <c r="D1109">
        <v>4.6227979527531504</v>
      </c>
      <c r="E1109" t="s">
        <v>7</v>
      </c>
    </row>
    <row r="1110" spans="1:5" x14ac:dyDescent="0.25">
      <c r="A1110" t="s">
        <v>23</v>
      </c>
      <c r="B1110">
        <v>2012</v>
      </c>
      <c r="C1110" t="s">
        <v>58</v>
      </c>
      <c r="D1110">
        <v>4.9794009278676503</v>
      </c>
      <c r="E1110" t="s">
        <v>7</v>
      </c>
    </row>
    <row r="1111" spans="1:5" x14ac:dyDescent="0.25">
      <c r="A1111" t="s">
        <v>23</v>
      </c>
      <c r="B1111">
        <v>2013</v>
      </c>
      <c r="C1111" t="s">
        <v>58</v>
      </c>
      <c r="D1111">
        <v>6.4180819118752099</v>
      </c>
      <c r="E1111" t="s">
        <v>7</v>
      </c>
    </row>
    <row r="1112" spans="1:5" x14ac:dyDescent="0.25">
      <c r="A1112" t="s">
        <v>23</v>
      </c>
      <c r="B1112">
        <v>2014</v>
      </c>
      <c r="C1112" t="s">
        <v>58</v>
      </c>
      <c r="D1112">
        <v>6.2556484728678097</v>
      </c>
      <c r="E1112" t="s">
        <v>7</v>
      </c>
    </row>
    <row r="1113" spans="1:5" x14ac:dyDescent="0.25">
      <c r="A1113" t="s">
        <v>23</v>
      </c>
      <c r="B1113">
        <v>2015</v>
      </c>
      <c r="C1113" t="s">
        <v>58</v>
      </c>
      <c r="D1113">
        <v>3.1341768501104399</v>
      </c>
      <c r="E1113" t="s">
        <v>7</v>
      </c>
    </row>
    <row r="1114" spans="1:5" x14ac:dyDescent="0.25">
      <c r="A1114" t="s">
        <v>23</v>
      </c>
      <c r="B1114">
        <v>2016</v>
      </c>
      <c r="C1114" t="s">
        <v>58</v>
      </c>
      <c r="D1114">
        <v>4.89449004830729</v>
      </c>
      <c r="E1114" t="s">
        <v>7</v>
      </c>
    </row>
    <row r="1115" spans="1:5" x14ac:dyDescent="0.25">
      <c r="A1115" t="s">
        <v>23</v>
      </c>
      <c r="B1115">
        <v>2017</v>
      </c>
      <c r="C1115" t="s">
        <v>58</v>
      </c>
      <c r="D1115">
        <v>4.9722804730438703</v>
      </c>
      <c r="E1115" t="s">
        <v>7</v>
      </c>
    </row>
    <row r="1116" spans="1:5" x14ac:dyDescent="0.25">
      <c r="A1116" t="s">
        <v>23</v>
      </c>
      <c r="B1116">
        <v>2018</v>
      </c>
      <c r="C1116" t="s">
        <v>58</v>
      </c>
      <c r="D1116">
        <v>5.3576574740475502</v>
      </c>
      <c r="E1116" t="s">
        <v>7</v>
      </c>
    </row>
    <row r="1117" spans="1:5" x14ac:dyDescent="0.25">
      <c r="A1117" t="s">
        <v>23</v>
      </c>
      <c r="B1117">
        <v>2019</v>
      </c>
      <c r="C1117" t="s">
        <v>58</v>
      </c>
      <c r="D1117">
        <v>4.9026462494391501</v>
      </c>
      <c r="E1117" t="s">
        <v>7</v>
      </c>
    </row>
    <row r="1118" spans="1:5" x14ac:dyDescent="0.25">
      <c r="A1118" t="s">
        <v>23</v>
      </c>
      <c r="B1118">
        <v>2020</v>
      </c>
      <c r="C1118" t="s">
        <v>58</v>
      </c>
      <c r="D1118">
        <v>4.6543946355100498</v>
      </c>
      <c r="E1118" t="s">
        <v>7</v>
      </c>
    </row>
    <row r="1119" spans="1:5" x14ac:dyDescent="0.25">
      <c r="A1119" t="s">
        <v>23</v>
      </c>
      <c r="B1119">
        <v>2021</v>
      </c>
      <c r="C1119" t="s">
        <v>58</v>
      </c>
      <c r="D1119">
        <v>4.9137245192468599</v>
      </c>
      <c r="E1119" t="s">
        <v>7</v>
      </c>
    </row>
    <row r="1120" spans="1:5" x14ac:dyDescent="0.25">
      <c r="A1120" t="s">
        <v>23</v>
      </c>
      <c r="B1120">
        <v>2022</v>
      </c>
      <c r="C1120" t="s">
        <v>58</v>
      </c>
      <c r="D1120">
        <v>5.3294346989327401</v>
      </c>
      <c r="E1120" t="s">
        <v>7</v>
      </c>
    </row>
    <row r="1121" spans="1:5" x14ac:dyDescent="0.25">
      <c r="A1121" t="s">
        <v>23</v>
      </c>
      <c r="B1121">
        <v>2023</v>
      </c>
      <c r="C1121" t="s">
        <v>58</v>
      </c>
      <c r="D1121">
        <v>5.3953117323345303</v>
      </c>
      <c r="E1121" t="s">
        <v>7</v>
      </c>
    </row>
    <row r="1122" spans="1:5" x14ac:dyDescent="0.25">
      <c r="A1122" t="s">
        <v>24</v>
      </c>
      <c r="B1122">
        <v>2025</v>
      </c>
      <c r="C1122" t="s">
        <v>58</v>
      </c>
      <c r="D1122">
        <v>9.5063270822933799</v>
      </c>
      <c r="E1122" t="s">
        <v>7</v>
      </c>
    </row>
    <row r="1123" spans="1:5" x14ac:dyDescent="0.25">
      <c r="A1123" t="s">
        <v>25</v>
      </c>
      <c r="B1123">
        <v>2010</v>
      </c>
      <c r="C1123" t="s">
        <v>58</v>
      </c>
      <c r="D1123">
        <v>2.0047520330661701</v>
      </c>
      <c r="E1123" t="s">
        <v>7</v>
      </c>
    </row>
    <row r="1124" spans="1:5" x14ac:dyDescent="0.25">
      <c r="A1124" t="s">
        <v>25</v>
      </c>
      <c r="B1124">
        <v>2011</v>
      </c>
      <c r="C1124" t="s">
        <v>58</v>
      </c>
      <c r="D1124">
        <v>2.21855653443395</v>
      </c>
      <c r="E1124" t="s">
        <v>7</v>
      </c>
    </row>
    <row r="1125" spans="1:5" x14ac:dyDescent="0.25">
      <c r="A1125" t="s">
        <v>25</v>
      </c>
      <c r="B1125">
        <v>2012</v>
      </c>
      <c r="C1125" t="s">
        <v>58</v>
      </c>
      <c r="D1125">
        <v>6.7178259826702202</v>
      </c>
      <c r="E1125" t="s">
        <v>7</v>
      </c>
    </row>
    <row r="1126" spans="1:5" x14ac:dyDescent="0.25">
      <c r="A1126" t="s">
        <v>25</v>
      </c>
      <c r="B1126">
        <v>2017</v>
      </c>
      <c r="C1126" t="s">
        <v>58</v>
      </c>
      <c r="D1126">
        <v>5.6861766249053796</v>
      </c>
      <c r="E1126" t="s">
        <v>7</v>
      </c>
    </row>
    <row r="1127" spans="1:5" x14ac:dyDescent="0.25">
      <c r="A1127" t="s">
        <v>25</v>
      </c>
      <c r="B1127">
        <v>2019</v>
      </c>
      <c r="C1127" t="s">
        <v>58</v>
      </c>
      <c r="D1127">
        <v>5.2707271426890001</v>
      </c>
      <c r="E1127" t="s">
        <v>7</v>
      </c>
    </row>
    <row r="1128" spans="1:5" x14ac:dyDescent="0.25">
      <c r="A1128" t="s">
        <v>25</v>
      </c>
      <c r="B1128">
        <v>2020</v>
      </c>
      <c r="C1128" t="s">
        <v>58</v>
      </c>
      <c r="D1128">
        <v>5.3252875938024999</v>
      </c>
      <c r="E1128" t="s">
        <v>7</v>
      </c>
    </row>
    <row r="1129" spans="1:5" x14ac:dyDescent="0.25">
      <c r="A1129" t="s">
        <v>25</v>
      </c>
      <c r="B1129">
        <v>2021</v>
      </c>
      <c r="C1129" t="s">
        <v>58</v>
      </c>
      <c r="D1129">
        <v>5.3512830381580399</v>
      </c>
      <c r="E1129" t="s">
        <v>7</v>
      </c>
    </row>
    <row r="1130" spans="1:5" x14ac:dyDescent="0.25">
      <c r="A1130" t="s">
        <v>25</v>
      </c>
      <c r="B1130">
        <v>2022</v>
      </c>
      <c r="C1130" t="s">
        <v>58</v>
      </c>
      <c r="D1130">
        <v>5.5389057414968503</v>
      </c>
      <c r="E1130" t="s">
        <v>7</v>
      </c>
    </row>
    <row r="1131" spans="1:5" x14ac:dyDescent="0.25">
      <c r="A1131" t="s">
        <v>25</v>
      </c>
      <c r="B1131">
        <v>2023</v>
      </c>
      <c r="C1131" t="s">
        <v>58</v>
      </c>
      <c r="D1131">
        <v>5.8104258467341996</v>
      </c>
      <c r="E1131" t="s">
        <v>7</v>
      </c>
    </row>
    <row r="1132" spans="1:5" x14ac:dyDescent="0.25">
      <c r="A1132" t="s">
        <v>25</v>
      </c>
      <c r="B1132">
        <v>2024</v>
      </c>
      <c r="C1132" t="s">
        <v>58</v>
      </c>
      <c r="D1132">
        <v>5.8140825637394897</v>
      </c>
      <c r="E1132" t="s">
        <v>7</v>
      </c>
    </row>
    <row r="1133" spans="1:5" x14ac:dyDescent="0.25">
      <c r="A1133" t="s">
        <v>25</v>
      </c>
      <c r="B1133">
        <v>2025</v>
      </c>
      <c r="C1133" t="s">
        <v>58</v>
      </c>
      <c r="D1133">
        <v>6.0663692763881896</v>
      </c>
      <c r="E1133" t="s">
        <v>7</v>
      </c>
    </row>
    <row r="1134" spans="1:5" x14ac:dyDescent="0.25">
      <c r="A1134" t="s">
        <v>26</v>
      </c>
      <c r="B1134">
        <v>2025</v>
      </c>
      <c r="C1134" t="s">
        <v>58</v>
      </c>
      <c r="D1134">
        <v>1.3308841004515399</v>
      </c>
      <c r="E1134" t="s">
        <v>7</v>
      </c>
    </row>
    <row r="1135" spans="1:5" x14ac:dyDescent="0.25">
      <c r="A1135" t="s">
        <v>27</v>
      </c>
      <c r="B1135">
        <v>2025</v>
      </c>
      <c r="C1135" t="s">
        <v>58</v>
      </c>
      <c r="D1135">
        <v>3.55678491403286</v>
      </c>
      <c r="E1135" t="s">
        <v>7</v>
      </c>
    </row>
    <row r="1136" spans="1:5" x14ac:dyDescent="0.25">
      <c r="A1136" t="s">
        <v>28</v>
      </c>
      <c r="B1136">
        <v>2012</v>
      </c>
      <c r="C1136" t="s">
        <v>58</v>
      </c>
      <c r="D1136">
        <v>5.1810881301492504</v>
      </c>
      <c r="E1136" t="s">
        <v>7</v>
      </c>
    </row>
    <row r="1137" spans="1:5" x14ac:dyDescent="0.25">
      <c r="A1137" t="s">
        <v>28</v>
      </c>
      <c r="B1137">
        <v>2013</v>
      </c>
      <c r="C1137" t="s">
        <v>58</v>
      </c>
      <c r="D1137">
        <v>0.89675781604598603</v>
      </c>
      <c r="E1137" t="s">
        <v>7</v>
      </c>
    </row>
    <row r="1138" spans="1:5" x14ac:dyDescent="0.25">
      <c r="A1138" t="s">
        <v>28</v>
      </c>
      <c r="B1138">
        <v>2014</v>
      </c>
      <c r="C1138" t="s">
        <v>58</v>
      </c>
      <c r="D1138">
        <v>4.4200067582855098</v>
      </c>
      <c r="E1138" t="s">
        <v>7</v>
      </c>
    </row>
    <row r="1139" spans="1:5" x14ac:dyDescent="0.25">
      <c r="A1139" t="s">
        <v>28</v>
      </c>
      <c r="B1139">
        <v>2015</v>
      </c>
      <c r="C1139" t="s">
        <v>58</v>
      </c>
      <c r="D1139">
        <v>4.5097474628559402</v>
      </c>
      <c r="E1139" t="s">
        <v>7</v>
      </c>
    </row>
    <row r="1140" spans="1:5" x14ac:dyDescent="0.25">
      <c r="A1140" t="s">
        <v>28</v>
      </c>
      <c r="B1140">
        <v>2016</v>
      </c>
      <c r="C1140" t="s">
        <v>58</v>
      </c>
      <c r="D1140">
        <v>4.6349468131117799</v>
      </c>
      <c r="E1140" t="s">
        <v>7</v>
      </c>
    </row>
    <row r="1141" spans="1:5" x14ac:dyDescent="0.25">
      <c r="A1141" t="s">
        <v>28</v>
      </c>
      <c r="B1141">
        <v>2017</v>
      </c>
      <c r="C1141" t="s">
        <v>58</v>
      </c>
      <c r="D1141">
        <v>4.6716132772098904</v>
      </c>
      <c r="E1141" t="s">
        <v>7</v>
      </c>
    </row>
    <row r="1142" spans="1:5" x14ac:dyDescent="0.25">
      <c r="A1142" t="s">
        <v>28</v>
      </c>
      <c r="B1142">
        <v>2018</v>
      </c>
      <c r="C1142" t="s">
        <v>58</v>
      </c>
      <c r="D1142">
        <v>4.7096128230089596</v>
      </c>
      <c r="E1142" t="s">
        <v>7</v>
      </c>
    </row>
    <row r="1143" spans="1:5" x14ac:dyDescent="0.25">
      <c r="A1143" t="s">
        <v>28</v>
      </c>
      <c r="B1143">
        <v>2019</v>
      </c>
      <c r="C1143" t="s">
        <v>58</v>
      </c>
      <c r="D1143">
        <v>4.29977895151801</v>
      </c>
      <c r="E1143" t="s">
        <v>7</v>
      </c>
    </row>
    <row r="1144" spans="1:5" x14ac:dyDescent="0.25">
      <c r="A1144" t="s">
        <v>28</v>
      </c>
      <c r="B1144">
        <v>2020</v>
      </c>
      <c r="C1144" t="s">
        <v>58</v>
      </c>
      <c r="D1144">
        <v>4.1400426627865201</v>
      </c>
      <c r="E1144" t="s">
        <v>7</v>
      </c>
    </row>
    <row r="1145" spans="1:5" x14ac:dyDescent="0.25">
      <c r="A1145" t="s">
        <v>28</v>
      </c>
      <c r="B1145">
        <v>2021</v>
      </c>
      <c r="C1145" t="s">
        <v>58</v>
      </c>
      <c r="D1145">
        <v>4.2386144102512899</v>
      </c>
      <c r="E1145" t="s">
        <v>7</v>
      </c>
    </row>
    <row r="1146" spans="1:5" x14ac:dyDescent="0.25">
      <c r="A1146" t="s">
        <v>28</v>
      </c>
      <c r="B1146">
        <v>2022</v>
      </c>
      <c r="C1146" t="s">
        <v>58</v>
      </c>
      <c r="D1146">
        <v>4.6197986225045096</v>
      </c>
      <c r="E1146" t="s">
        <v>7</v>
      </c>
    </row>
    <row r="1147" spans="1:5" x14ac:dyDescent="0.25">
      <c r="A1147" t="s">
        <v>28</v>
      </c>
      <c r="B1147">
        <v>2023</v>
      </c>
      <c r="C1147" t="s">
        <v>58</v>
      </c>
      <c r="D1147">
        <v>4.8060776653656498</v>
      </c>
      <c r="E1147" t="s">
        <v>7</v>
      </c>
    </row>
    <row r="1148" spans="1:5" x14ac:dyDescent="0.25">
      <c r="A1148" t="s">
        <v>28</v>
      </c>
      <c r="B1148">
        <v>2024</v>
      </c>
      <c r="C1148" t="s">
        <v>58</v>
      </c>
      <c r="D1148">
        <v>4.4653269720236404</v>
      </c>
      <c r="E1148" t="s">
        <v>7</v>
      </c>
    </row>
    <row r="1149" spans="1:5" x14ac:dyDescent="0.25">
      <c r="A1149" t="s">
        <v>29</v>
      </c>
      <c r="B1149">
        <v>2000</v>
      </c>
      <c r="C1149" t="s">
        <v>58</v>
      </c>
      <c r="D1149">
        <v>3.7102565779001999</v>
      </c>
      <c r="E1149" t="s">
        <v>7</v>
      </c>
    </row>
    <row r="1150" spans="1:5" x14ac:dyDescent="0.25">
      <c r="A1150" t="s">
        <v>29</v>
      </c>
      <c r="B1150">
        <v>2001</v>
      </c>
      <c r="C1150" t="s">
        <v>58</v>
      </c>
      <c r="D1150">
        <v>4.1042949750993802</v>
      </c>
      <c r="E1150" t="s">
        <v>7</v>
      </c>
    </row>
    <row r="1151" spans="1:5" x14ac:dyDescent="0.25">
      <c r="A1151" t="s">
        <v>29</v>
      </c>
      <c r="B1151">
        <v>2002</v>
      </c>
      <c r="C1151" t="s">
        <v>58</v>
      </c>
      <c r="D1151">
        <v>4.2971226737468404</v>
      </c>
      <c r="E1151" t="s">
        <v>7</v>
      </c>
    </row>
    <row r="1152" spans="1:5" x14ac:dyDescent="0.25">
      <c r="A1152" t="s">
        <v>29</v>
      </c>
      <c r="B1152">
        <v>2003</v>
      </c>
      <c r="C1152" t="s">
        <v>58</v>
      </c>
      <c r="D1152">
        <v>5.0443394393443297</v>
      </c>
      <c r="E1152" t="s">
        <v>7</v>
      </c>
    </row>
    <row r="1153" spans="1:5" x14ac:dyDescent="0.25">
      <c r="A1153" t="s">
        <v>29</v>
      </c>
      <c r="B1153">
        <v>2004</v>
      </c>
      <c r="C1153" t="s">
        <v>58</v>
      </c>
      <c r="D1153">
        <v>5.1564615617018799</v>
      </c>
      <c r="E1153" t="s">
        <v>7</v>
      </c>
    </row>
    <row r="1154" spans="1:5" x14ac:dyDescent="0.25">
      <c r="A1154" t="s">
        <v>29</v>
      </c>
      <c r="B1154">
        <v>2005</v>
      </c>
      <c r="C1154" t="s">
        <v>58</v>
      </c>
      <c r="D1154">
        <v>5.2878056018095698</v>
      </c>
      <c r="E1154" t="s">
        <v>7</v>
      </c>
    </row>
    <row r="1155" spans="1:5" x14ac:dyDescent="0.25">
      <c r="A1155" t="s">
        <v>29</v>
      </c>
      <c r="B1155">
        <v>2006</v>
      </c>
      <c r="C1155" t="s">
        <v>58</v>
      </c>
      <c r="D1155">
        <v>5.8984766428009001</v>
      </c>
      <c r="E1155" t="s">
        <v>7</v>
      </c>
    </row>
    <row r="1156" spans="1:5" x14ac:dyDescent="0.25">
      <c r="A1156" t="s">
        <v>29</v>
      </c>
      <c r="B1156">
        <v>2007</v>
      </c>
      <c r="C1156" t="s">
        <v>58</v>
      </c>
      <c r="D1156">
        <v>6.84131605880882</v>
      </c>
      <c r="E1156" t="s">
        <v>7</v>
      </c>
    </row>
    <row r="1157" spans="1:5" x14ac:dyDescent="0.25">
      <c r="A1157" t="s">
        <v>29</v>
      </c>
      <c r="B1157">
        <v>2008</v>
      </c>
      <c r="C1157" t="s">
        <v>58</v>
      </c>
      <c r="D1157">
        <v>8.1675842982189693</v>
      </c>
      <c r="E1157" t="s">
        <v>7</v>
      </c>
    </row>
    <row r="1158" spans="1:5" x14ac:dyDescent="0.25">
      <c r="A1158" t="s">
        <v>29</v>
      </c>
      <c r="B1158">
        <v>2009</v>
      </c>
      <c r="C1158" t="s">
        <v>58</v>
      </c>
      <c r="D1158">
        <v>7.7712762852108996</v>
      </c>
      <c r="E1158" t="s">
        <v>7</v>
      </c>
    </row>
    <row r="1159" spans="1:5" x14ac:dyDescent="0.25">
      <c r="A1159" t="s">
        <v>29</v>
      </c>
      <c r="B1159">
        <v>2010</v>
      </c>
      <c r="C1159" t="s">
        <v>58</v>
      </c>
      <c r="D1159">
        <v>8.85561859120123</v>
      </c>
      <c r="E1159" t="s">
        <v>7</v>
      </c>
    </row>
    <row r="1160" spans="1:5" x14ac:dyDescent="0.25">
      <c r="A1160" t="s">
        <v>29</v>
      </c>
      <c r="B1160">
        <v>2011</v>
      </c>
      <c r="C1160" t="s">
        <v>58</v>
      </c>
      <c r="D1160">
        <v>9.2880198500221294</v>
      </c>
      <c r="E1160" t="s">
        <v>7</v>
      </c>
    </row>
    <row r="1161" spans="1:5" x14ac:dyDescent="0.25">
      <c r="A1161" t="s">
        <v>29</v>
      </c>
      <c r="B1161">
        <v>2012</v>
      </c>
      <c r="C1161" t="s">
        <v>58</v>
      </c>
      <c r="D1161">
        <v>9.9018647446033796</v>
      </c>
      <c r="E1161" t="s">
        <v>7</v>
      </c>
    </row>
    <row r="1162" spans="1:5" x14ac:dyDescent="0.25">
      <c r="A1162" t="s">
        <v>29</v>
      </c>
      <c r="B1162">
        <v>2013</v>
      </c>
      <c r="C1162" t="s">
        <v>58</v>
      </c>
      <c r="D1162">
        <v>11.582643323065399</v>
      </c>
      <c r="E1162" t="s">
        <v>7</v>
      </c>
    </row>
    <row r="1163" spans="1:5" x14ac:dyDescent="0.25">
      <c r="A1163" t="s">
        <v>29</v>
      </c>
      <c r="B1163">
        <v>2014</v>
      </c>
      <c r="C1163" t="s">
        <v>58</v>
      </c>
      <c r="D1163">
        <v>8.0535835506840403</v>
      </c>
      <c r="E1163" t="s">
        <v>7</v>
      </c>
    </row>
    <row r="1164" spans="1:5" x14ac:dyDescent="0.25">
      <c r="A1164" t="s">
        <v>29</v>
      </c>
      <c r="B1164">
        <v>2015</v>
      </c>
      <c r="C1164" t="s">
        <v>58</v>
      </c>
      <c r="D1164">
        <v>6.8727907213228097</v>
      </c>
      <c r="E1164" t="s">
        <v>7</v>
      </c>
    </row>
    <row r="1165" spans="1:5" x14ac:dyDescent="0.25">
      <c r="A1165" t="s">
        <v>29</v>
      </c>
      <c r="B1165">
        <v>2016</v>
      </c>
      <c r="C1165" t="s">
        <v>58</v>
      </c>
      <c r="D1165">
        <v>6.9743856515004001</v>
      </c>
      <c r="E1165" t="s">
        <v>7</v>
      </c>
    </row>
    <row r="1166" spans="1:5" x14ac:dyDescent="0.25">
      <c r="A1166" t="s">
        <v>29</v>
      </c>
      <c r="B1166">
        <v>2017</v>
      </c>
      <c r="C1166" t="s">
        <v>58</v>
      </c>
      <c r="D1166">
        <v>8.0742597642178193</v>
      </c>
      <c r="E1166" t="s">
        <v>7</v>
      </c>
    </row>
    <row r="1167" spans="1:5" x14ac:dyDescent="0.25">
      <c r="A1167" t="s">
        <v>29</v>
      </c>
      <c r="B1167">
        <v>2018</v>
      </c>
      <c r="C1167" t="s">
        <v>58</v>
      </c>
      <c r="D1167">
        <v>8.3747758240935095</v>
      </c>
      <c r="E1167" t="s">
        <v>7</v>
      </c>
    </row>
    <row r="1168" spans="1:5" x14ac:dyDescent="0.25">
      <c r="A1168" t="s">
        <v>29</v>
      </c>
      <c r="B1168">
        <v>2019</v>
      </c>
      <c r="C1168" t="s">
        <v>58</v>
      </c>
      <c r="D1168">
        <v>7.6719930035173904</v>
      </c>
      <c r="E1168" t="s">
        <v>7</v>
      </c>
    </row>
    <row r="1169" spans="1:5" x14ac:dyDescent="0.25">
      <c r="A1169" t="s">
        <v>29</v>
      </c>
      <c r="B1169">
        <v>2020</v>
      </c>
      <c r="C1169" t="s">
        <v>58</v>
      </c>
      <c r="D1169">
        <v>7.4686355025402804</v>
      </c>
      <c r="E1169" t="s">
        <v>7</v>
      </c>
    </row>
    <row r="1170" spans="1:5" x14ac:dyDescent="0.25">
      <c r="A1170" t="s">
        <v>29</v>
      </c>
      <c r="B1170">
        <v>2021</v>
      </c>
      <c r="C1170" t="s">
        <v>58</v>
      </c>
      <c r="D1170">
        <v>7.5365472844333601</v>
      </c>
      <c r="E1170" t="s">
        <v>7</v>
      </c>
    </row>
    <row r="1171" spans="1:5" x14ac:dyDescent="0.25">
      <c r="A1171" t="s">
        <v>29</v>
      </c>
      <c r="B1171">
        <v>2022</v>
      </c>
      <c r="C1171" t="s">
        <v>58</v>
      </c>
      <c r="D1171">
        <v>7.6283984155540203</v>
      </c>
      <c r="E1171" t="s">
        <v>7</v>
      </c>
    </row>
    <row r="1172" spans="1:5" x14ac:dyDescent="0.25">
      <c r="A1172" t="s">
        <v>29</v>
      </c>
      <c r="B1172">
        <v>2023</v>
      </c>
      <c r="C1172" t="s">
        <v>58</v>
      </c>
      <c r="D1172">
        <v>8.7758265277689205</v>
      </c>
      <c r="E1172" t="s">
        <v>7</v>
      </c>
    </row>
    <row r="1173" spans="1:5" x14ac:dyDescent="0.25">
      <c r="A1173" t="s">
        <v>29</v>
      </c>
      <c r="B1173">
        <v>2024</v>
      </c>
      <c r="C1173" t="s">
        <v>58</v>
      </c>
      <c r="D1173">
        <v>9.3782456640904108</v>
      </c>
      <c r="E1173" t="s">
        <v>7</v>
      </c>
    </row>
    <row r="1174" spans="1:5" x14ac:dyDescent="0.25">
      <c r="A1174" t="s">
        <v>29</v>
      </c>
      <c r="B1174">
        <v>2025</v>
      </c>
      <c r="C1174" t="s">
        <v>58</v>
      </c>
      <c r="D1174">
        <v>8.4308557297319595</v>
      </c>
      <c r="E1174" t="s">
        <v>7</v>
      </c>
    </row>
    <row r="1175" spans="1:5" x14ac:dyDescent="0.25">
      <c r="A1175" t="s">
        <v>30</v>
      </c>
      <c r="B1175">
        <v>2017</v>
      </c>
      <c r="C1175" t="s">
        <v>58</v>
      </c>
      <c r="D1175">
        <v>5.0467039782885896</v>
      </c>
      <c r="E1175" t="s">
        <v>7</v>
      </c>
    </row>
    <row r="1176" spans="1:5" x14ac:dyDescent="0.25">
      <c r="A1176" t="s">
        <v>31</v>
      </c>
      <c r="B1176">
        <v>2025</v>
      </c>
      <c r="C1176" t="s">
        <v>58</v>
      </c>
      <c r="D1176">
        <v>6.96307816584312</v>
      </c>
      <c r="E1176" t="s">
        <v>7</v>
      </c>
    </row>
    <row r="1177" spans="1:5" x14ac:dyDescent="0.25">
      <c r="A1177" t="s">
        <v>32</v>
      </c>
      <c r="B1177">
        <v>2013</v>
      </c>
      <c r="C1177" t="s">
        <v>58</v>
      </c>
      <c r="D1177">
        <v>5.4744012495549103E-2</v>
      </c>
      <c r="E1177" t="s">
        <v>7</v>
      </c>
    </row>
    <row r="1178" spans="1:5" x14ac:dyDescent="0.25">
      <c r="A1178" t="s">
        <v>33</v>
      </c>
      <c r="B1178">
        <v>2000</v>
      </c>
      <c r="C1178" t="s">
        <v>58</v>
      </c>
      <c r="D1178">
        <v>2.1020719203417899</v>
      </c>
      <c r="E1178" t="s">
        <v>7</v>
      </c>
    </row>
    <row r="1179" spans="1:5" x14ac:dyDescent="0.25">
      <c r="A1179" t="s">
        <v>33</v>
      </c>
      <c r="B1179">
        <v>2001</v>
      </c>
      <c r="C1179" t="s">
        <v>58</v>
      </c>
      <c r="D1179">
        <v>2.03719361842793</v>
      </c>
      <c r="E1179" t="s">
        <v>7</v>
      </c>
    </row>
    <row r="1180" spans="1:5" x14ac:dyDescent="0.25">
      <c r="A1180" t="s">
        <v>33</v>
      </c>
      <c r="B1180">
        <v>2002</v>
      </c>
      <c r="C1180" t="s">
        <v>58</v>
      </c>
      <c r="D1180">
        <v>2.2729703561981598</v>
      </c>
      <c r="E1180" t="s">
        <v>7</v>
      </c>
    </row>
    <row r="1181" spans="1:5" x14ac:dyDescent="0.25">
      <c r="A1181" t="s">
        <v>33</v>
      </c>
      <c r="B1181">
        <v>2003</v>
      </c>
      <c r="C1181" t="s">
        <v>58</v>
      </c>
      <c r="D1181">
        <v>2.1128743655803701</v>
      </c>
      <c r="E1181" t="s">
        <v>7</v>
      </c>
    </row>
    <row r="1182" spans="1:5" x14ac:dyDescent="0.25">
      <c r="A1182" t="s">
        <v>33</v>
      </c>
      <c r="B1182">
        <v>2004</v>
      </c>
      <c r="C1182" t="s">
        <v>58</v>
      </c>
      <c r="D1182">
        <v>2.24043275367081</v>
      </c>
      <c r="E1182" t="s">
        <v>7</v>
      </c>
    </row>
    <row r="1183" spans="1:5" x14ac:dyDescent="0.25">
      <c r="A1183" t="s">
        <v>33</v>
      </c>
      <c r="B1183">
        <v>2005</v>
      </c>
      <c r="C1183" t="s">
        <v>58</v>
      </c>
      <c r="D1183">
        <v>2.2411658825643199</v>
      </c>
      <c r="E1183" t="s">
        <v>7</v>
      </c>
    </row>
    <row r="1184" spans="1:5" x14ac:dyDescent="0.25">
      <c r="A1184" t="s">
        <v>33</v>
      </c>
      <c r="B1184">
        <v>2006</v>
      </c>
      <c r="C1184" t="s">
        <v>58</v>
      </c>
      <c r="D1184">
        <v>2.5704278291610398</v>
      </c>
      <c r="E1184" t="s">
        <v>7</v>
      </c>
    </row>
    <row r="1185" spans="1:5" x14ac:dyDescent="0.25">
      <c r="A1185" t="s">
        <v>33</v>
      </c>
      <c r="B1185">
        <v>2007</v>
      </c>
      <c r="C1185" t="s">
        <v>58</v>
      </c>
      <c r="D1185">
        <v>3.3982301826260599</v>
      </c>
      <c r="E1185" t="s">
        <v>7</v>
      </c>
    </row>
    <row r="1186" spans="1:5" x14ac:dyDescent="0.25">
      <c r="A1186" t="s">
        <v>33</v>
      </c>
      <c r="B1186">
        <v>2008</v>
      </c>
      <c r="C1186" t="s">
        <v>58</v>
      </c>
      <c r="D1186">
        <v>4.2360718357034504</v>
      </c>
      <c r="E1186" t="s">
        <v>7</v>
      </c>
    </row>
    <row r="1187" spans="1:5" x14ac:dyDescent="0.25">
      <c r="A1187" t="s">
        <v>33</v>
      </c>
      <c r="B1187">
        <v>2009</v>
      </c>
      <c r="C1187" t="s">
        <v>58</v>
      </c>
      <c r="D1187">
        <v>3.7653811546929301</v>
      </c>
      <c r="E1187" t="s">
        <v>7</v>
      </c>
    </row>
    <row r="1188" spans="1:5" x14ac:dyDescent="0.25">
      <c r="A1188" t="s">
        <v>33</v>
      </c>
      <c r="B1188">
        <v>2010</v>
      </c>
      <c r="C1188" t="s">
        <v>58</v>
      </c>
      <c r="D1188">
        <v>3.5333616405460102</v>
      </c>
      <c r="E1188" t="s">
        <v>7</v>
      </c>
    </row>
    <row r="1189" spans="1:5" x14ac:dyDescent="0.25">
      <c r="A1189" t="s">
        <v>33</v>
      </c>
      <c r="B1189">
        <v>2011</v>
      </c>
      <c r="C1189" t="s">
        <v>58</v>
      </c>
      <c r="D1189">
        <v>3.9399455911226902</v>
      </c>
      <c r="E1189" t="s">
        <v>7</v>
      </c>
    </row>
    <row r="1190" spans="1:5" x14ac:dyDescent="0.25">
      <c r="A1190" t="s">
        <v>33</v>
      </c>
      <c r="B1190">
        <v>2012</v>
      </c>
      <c r="C1190" t="s">
        <v>58</v>
      </c>
      <c r="D1190">
        <v>5.1326493471480896</v>
      </c>
      <c r="E1190" t="s">
        <v>7</v>
      </c>
    </row>
    <row r="1191" spans="1:5" x14ac:dyDescent="0.25">
      <c r="A1191" t="s">
        <v>33</v>
      </c>
      <c r="B1191">
        <v>2013</v>
      </c>
      <c r="C1191" t="s">
        <v>58</v>
      </c>
      <c r="D1191">
        <v>5.8135907496371102</v>
      </c>
      <c r="E1191" t="s">
        <v>7</v>
      </c>
    </row>
    <row r="1192" spans="1:5" x14ac:dyDescent="0.25">
      <c r="A1192" t="s">
        <v>33</v>
      </c>
      <c r="B1192">
        <v>2014</v>
      </c>
      <c r="C1192" t="s">
        <v>58</v>
      </c>
      <c r="D1192">
        <v>4.9962834166204804</v>
      </c>
      <c r="E1192" t="s">
        <v>7</v>
      </c>
    </row>
    <row r="1193" spans="1:5" x14ac:dyDescent="0.25">
      <c r="A1193" t="s">
        <v>33</v>
      </c>
      <c r="B1193">
        <v>2015</v>
      </c>
      <c r="C1193" t="s">
        <v>58</v>
      </c>
      <c r="D1193">
        <v>3.6647555258298601</v>
      </c>
      <c r="E1193" t="s">
        <v>7</v>
      </c>
    </row>
    <row r="1194" spans="1:5" x14ac:dyDescent="0.25">
      <c r="A1194" t="s">
        <v>33</v>
      </c>
      <c r="B1194">
        <v>2016</v>
      </c>
      <c r="C1194" t="s">
        <v>58</v>
      </c>
      <c r="D1194">
        <v>3.9240754839217602</v>
      </c>
      <c r="E1194" t="s">
        <v>7</v>
      </c>
    </row>
    <row r="1195" spans="1:5" x14ac:dyDescent="0.25">
      <c r="A1195" t="s">
        <v>33</v>
      </c>
      <c r="B1195">
        <v>2017</v>
      </c>
      <c r="C1195" t="s">
        <v>58</v>
      </c>
      <c r="D1195">
        <v>4.7444429253010396</v>
      </c>
      <c r="E1195" t="s">
        <v>7</v>
      </c>
    </row>
    <row r="1196" spans="1:5" x14ac:dyDescent="0.25">
      <c r="A1196" t="s">
        <v>33</v>
      </c>
      <c r="B1196">
        <v>2018</v>
      </c>
      <c r="C1196" t="s">
        <v>58</v>
      </c>
      <c r="D1196">
        <v>4.7597102346155404</v>
      </c>
      <c r="E1196" t="s">
        <v>7</v>
      </c>
    </row>
    <row r="1197" spans="1:5" x14ac:dyDescent="0.25">
      <c r="A1197" t="s">
        <v>33</v>
      </c>
      <c r="B1197">
        <v>2019</v>
      </c>
      <c r="C1197" t="s">
        <v>58</v>
      </c>
      <c r="D1197">
        <v>4.2082768178875503</v>
      </c>
      <c r="E1197" t="s">
        <v>7</v>
      </c>
    </row>
    <row r="1198" spans="1:5" x14ac:dyDescent="0.25">
      <c r="A1198" t="s">
        <v>33</v>
      </c>
      <c r="B1198">
        <v>2020</v>
      </c>
      <c r="C1198" t="s">
        <v>58</v>
      </c>
      <c r="D1198">
        <v>3.6508559971736099</v>
      </c>
      <c r="E1198" t="s">
        <v>7</v>
      </c>
    </row>
    <row r="1199" spans="1:5" x14ac:dyDescent="0.25">
      <c r="A1199" t="s">
        <v>33</v>
      </c>
      <c r="B1199">
        <v>2021</v>
      </c>
      <c r="C1199" t="s">
        <v>58</v>
      </c>
      <c r="D1199">
        <v>2.0994104725901401</v>
      </c>
      <c r="E1199" t="s">
        <v>7</v>
      </c>
    </row>
    <row r="1200" spans="1:5" x14ac:dyDescent="0.25">
      <c r="A1200" t="s">
        <v>33</v>
      </c>
      <c r="B1200">
        <v>2022</v>
      </c>
      <c r="C1200" t="s">
        <v>58</v>
      </c>
      <c r="D1200">
        <v>1.7336340263051899</v>
      </c>
      <c r="E1200" t="s">
        <v>7</v>
      </c>
    </row>
    <row r="1201" spans="1:5" x14ac:dyDescent="0.25">
      <c r="A1201" t="s">
        <v>33</v>
      </c>
      <c r="B1201">
        <v>2023</v>
      </c>
      <c r="C1201" t="s">
        <v>58</v>
      </c>
      <c r="D1201">
        <v>2.10390211030801</v>
      </c>
      <c r="E1201" t="s">
        <v>7</v>
      </c>
    </row>
    <row r="1202" spans="1:5" x14ac:dyDescent="0.25">
      <c r="A1202" t="s">
        <v>34</v>
      </c>
      <c r="B1202">
        <v>2018</v>
      </c>
      <c r="C1202" t="s">
        <v>58</v>
      </c>
      <c r="D1202">
        <v>4.7949998983500599</v>
      </c>
      <c r="E1202" t="s">
        <v>7</v>
      </c>
    </row>
    <row r="1203" spans="1:5" x14ac:dyDescent="0.25">
      <c r="A1203" t="s">
        <v>35</v>
      </c>
      <c r="B1203">
        <v>2010</v>
      </c>
      <c r="C1203" t="s">
        <v>58</v>
      </c>
      <c r="D1203">
        <v>3.8370245944087902</v>
      </c>
      <c r="E1203" t="s">
        <v>7</v>
      </c>
    </row>
    <row r="1204" spans="1:5" x14ac:dyDescent="0.25">
      <c r="A1204" t="s">
        <v>35</v>
      </c>
      <c r="B1204">
        <v>2011</v>
      </c>
      <c r="C1204" t="s">
        <v>58</v>
      </c>
      <c r="D1204">
        <v>3.9297356339006302</v>
      </c>
      <c r="E1204" t="s">
        <v>7</v>
      </c>
    </row>
    <row r="1205" spans="1:5" x14ac:dyDescent="0.25">
      <c r="A1205" t="s">
        <v>35</v>
      </c>
      <c r="B1205">
        <v>2012</v>
      </c>
      <c r="C1205" t="s">
        <v>58</v>
      </c>
      <c r="D1205">
        <v>5.1450365495152202</v>
      </c>
      <c r="E1205" t="s">
        <v>7</v>
      </c>
    </row>
    <row r="1206" spans="1:5" x14ac:dyDescent="0.25">
      <c r="A1206" t="s">
        <v>35</v>
      </c>
      <c r="B1206">
        <v>2013</v>
      </c>
      <c r="C1206" t="s">
        <v>58</v>
      </c>
      <c r="D1206">
        <v>5.2240131914746799</v>
      </c>
      <c r="E1206" t="s">
        <v>7</v>
      </c>
    </row>
    <row r="1207" spans="1:5" x14ac:dyDescent="0.25">
      <c r="A1207" t="s">
        <v>35</v>
      </c>
      <c r="B1207">
        <v>2014</v>
      </c>
      <c r="C1207" t="s">
        <v>58</v>
      </c>
      <c r="D1207">
        <v>4.5320365040272197</v>
      </c>
      <c r="E1207" t="s">
        <v>7</v>
      </c>
    </row>
    <row r="1208" spans="1:5" x14ac:dyDescent="0.25">
      <c r="A1208" t="s">
        <v>35</v>
      </c>
      <c r="B1208">
        <v>2015</v>
      </c>
      <c r="C1208" t="s">
        <v>58</v>
      </c>
      <c r="D1208">
        <v>4.0199561491777001</v>
      </c>
      <c r="E1208" t="s">
        <v>7</v>
      </c>
    </row>
    <row r="1209" spans="1:5" x14ac:dyDescent="0.25">
      <c r="A1209" t="s">
        <v>35</v>
      </c>
      <c r="B1209">
        <v>2016</v>
      </c>
      <c r="C1209" t="s">
        <v>58</v>
      </c>
      <c r="D1209">
        <v>4.2012380537535803</v>
      </c>
      <c r="E1209" t="s">
        <v>7</v>
      </c>
    </row>
    <row r="1210" spans="1:5" x14ac:dyDescent="0.25">
      <c r="A1210" t="s">
        <v>35</v>
      </c>
      <c r="B1210">
        <v>2017</v>
      </c>
      <c r="C1210" t="s">
        <v>58</v>
      </c>
      <c r="D1210">
        <v>4.7579139412297797</v>
      </c>
      <c r="E1210" t="s">
        <v>7</v>
      </c>
    </row>
    <row r="1211" spans="1:5" x14ac:dyDescent="0.25">
      <c r="A1211" t="s">
        <v>35</v>
      </c>
      <c r="B1211">
        <v>2018</v>
      </c>
      <c r="C1211" t="s">
        <v>58</v>
      </c>
      <c r="D1211">
        <v>4.48974452821263</v>
      </c>
      <c r="E1211" t="s">
        <v>7</v>
      </c>
    </row>
    <row r="1212" spans="1:5" x14ac:dyDescent="0.25">
      <c r="A1212" t="s">
        <v>35</v>
      </c>
      <c r="B1212">
        <v>2019</v>
      </c>
      <c r="C1212" t="s">
        <v>58</v>
      </c>
      <c r="D1212">
        <v>4.1866202771399204</v>
      </c>
      <c r="E1212" t="s">
        <v>7</v>
      </c>
    </row>
    <row r="1213" spans="1:5" x14ac:dyDescent="0.25">
      <c r="A1213" t="s">
        <v>35</v>
      </c>
      <c r="B1213">
        <v>2020</v>
      </c>
      <c r="C1213" t="s">
        <v>58</v>
      </c>
      <c r="D1213">
        <v>4.19874342187991</v>
      </c>
      <c r="E1213" t="s">
        <v>7</v>
      </c>
    </row>
    <row r="1214" spans="1:5" x14ac:dyDescent="0.25">
      <c r="A1214" t="s">
        <v>35</v>
      </c>
      <c r="B1214">
        <v>2021</v>
      </c>
      <c r="C1214" t="s">
        <v>58</v>
      </c>
      <c r="D1214">
        <v>3.9720186224653098</v>
      </c>
      <c r="E1214" t="s">
        <v>7</v>
      </c>
    </row>
    <row r="1215" spans="1:5" x14ac:dyDescent="0.25">
      <c r="A1215" t="s">
        <v>35</v>
      </c>
      <c r="B1215">
        <v>2022</v>
      </c>
      <c r="C1215" t="s">
        <v>58</v>
      </c>
      <c r="D1215">
        <v>4.5808959413072001</v>
      </c>
      <c r="E1215" t="s">
        <v>7</v>
      </c>
    </row>
    <row r="1216" spans="1:5" x14ac:dyDescent="0.25">
      <c r="A1216" t="s">
        <v>35</v>
      </c>
      <c r="B1216">
        <v>2023</v>
      </c>
      <c r="C1216" t="s">
        <v>58</v>
      </c>
      <c r="D1216">
        <v>5.0918100814077798</v>
      </c>
      <c r="E1216" t="s">
        <v>7</v>
      </c>
    </row>
    <row r="1217" spans="1:5" x14ac:dyDescent="0.25">
      <c r="A1217" t="s">
        <v>35</v>
      </c>
      <c r="B1217">
        <v>2024</v>
      </c>
      <c r="C1217" t="s">
        <v>58</v>
      </c>
      <c r="D1217">
        <v>5.4116112835928503</v>
      </c>
      <c r="E1217" t="s">
        <v>7</v>
      </c>
    </row>
    <row r="1218" spans="1:5" x14ac:dyDescent="0.25">
      <c r="A1218" t="s">
        <v>35</v>
      </c>
      <c r="B1218">
        <v>2025</v>
      </c>
      <c r="C1218" t="s">
        <v>58</v>
      </c>
      <c r="D1218">
        <v>7.1573308249226697</v>
      </c>
      <c r="E1218" t="s">
        <v>7</v>
      </c>
    </row>
    <row r="1219" spans="1:5" x14ac:dyDescent="0.25">
      <c r="A1219" t="s">
        <v>36</v>
      </c>
      <c r="B1219">
        <v>2012</v>
      </c>
      <c r="C1219" t="s">
        <v>58</v>
      </c>
      <c r="D1219">
        <v>3.8569885148271998</v>
      </c>
      <c r="E1219" t="s">
        <v>7</v>
      </c>
    </row>
    <row r="1220" spans="1:5" x14ac:dyDescent="0.25">
      <c r="A1220" t="s">
        <v>36</v>
      </c>
      <c r="B1220">
        <v>2013</v>
      </c>
      <c r="C1220" t="s">
        <v>58</v>
      </c>
      <c r="D1220">
        <v>4.5490284189081596</v>
      </c>
      <c r="E1220" t="s">
        <v>7</v>
      </c>
    </row>
    <row r="1221" spans="1:5" x14ac:dyDescent="0.25">
      <c r="A1221" t="s">
        <v>36</v>
      </c>
      <c r="B1221">
        <v>2014</v>
      </c>
      <c r="C1221" t="s">
        <v>58</v>
      </c>
      <c r="D1221">
        <v>4.11830796872718</v>
      </c>
      <c r="E1221" t="s">
        <v>7</v>
      </c>
    </row>
    <row r="1222" spans="1:5" x14ac:dyDescent="0.25">
      <c r="A1222" t="s">
        <v>36</v>
      </c>
      <c r="B1222">
        <v>2016</v>
      </c>
      <c r="C1222" t="s">
        <v>58</v>
      </c>
      <c r="D1222">
        <v>3.43129031663358</v>
      </c>
      <c r="E1222" t="s">
        <v>7</v>
      </c>
    </row>
    <row r="1223" spans="1:5" x14ac:dyDescent="0.25">
      <c r="A1223" t="s">
        <v>36</v>
      </c>
      <c r="B1223">
        <v>2017</v>
      </c>
      <c r="C1223" t="s">
        <v>58</v>
      </c>
      <c r="D1223">
        <v>3.72548593646294</v>
      </c>
      <c r="E1223" t="s">
        <v>7</v>
      </c>
    </row>
    <row r="1224" spans="1:5" x14ac:dyDescent="0.25">
      <c r="A1224" t="s">
        <v>36</v>
      </c>
      <c r="B1224">
        <v>2018</v>
      </c>
      <c r="C1224" t="s">
        <v>58</v>
      </c>
      <c r="D1224">
        <v>3.9306324675762498</v>
      </c>
      <c r="E1224" t="s">
        <v>7</v>
      </c>
    </row>
    <row r="1225" spans="1:5" x14ac:dyDescent="0.25">
      <c r="A1225" t="s">
        <v>36</v>
      </c>
      <c r="B1225">
        <v>2019</v>
      </c>
      <c r="C1225" t="s">
        <v>58</v>
      </c>
      <c r="D1225">
        <v>3.8228620574100298</v>
      </c>
      <c r="E1225" t="s">
        <v>7</v>
      </c>
    </row>
    <row r="1226" spans="1:5" x14ac:dyDescent="0.25">
      <c r="A1226" t="s">
        <v>36</v>
      </c>
      <c r="B1226">
        <v>2020</v>
      </c>
      <c r="C1226" t="s">
        <v>58</v>
      </c>
      <c r="D1226">
        <v>3.2953413226780501</v>
      </c>
      <c r="E1226" t="s">
        <v>7</v>
      </c>
    </row>
    <row r="1227" spans="1:5" x14ac:dyDescent="0.25">
      <c r="A1227" t="s">
        <v>36</v>
      </c>
      <c r="B1227">
        <v>2021</v>
      </c>
      <c r="C1227" t="s">
        <v>58</v>
      </c>
      <c r="D1227">
        <v>3.40576111157413</v>
      </c>
      <c r="E1227" t="s">
        <v>7</v>
      </c>
    </row>
    <row r="1228" spans="1:5" x14ac:dyDescent="0.25">
      <c r="A1228" t="s">
        <v>36</v>
      </c>
      <c r="B1228">
        <v>2022</v>
      </c>
      <c r="C1228" t="s">
        <v>58</v>
      </c>
      <c r="D1228">
        <v>3.9804907747918499</v>
      </c>
      <c r="E1228" t="s">
        <v>7</v>
      </c>
    </row>
    <row r="1229" spans="1:5" x14ac:dyDescent="0.25">
      <c r="A1229" t="s">
        <v>36</v>
      </c>
      <c r="B1229">
        <v>2023</v>
      </c>
      <c r="C1229" t="s">
        <v>58</v>
      </c>
      <c r="D1229">
        <v>4.7591479099722198</v>
      </c>
      <c r="E1229" t="s">
        <v>7</v>
      </c>
    </row>
    <row r="1230" spans="1:5" x14ac:dyDescent="0.25">
      <c r="A1230" t="s">
        <v>36</v>
      </c>
      <c r="B1230">
        <v>2024</v>
      </c>
      <c r="C1230" t="s">
        <v>58</v>
      </c>
      <c r="D1230">
        <v>5.0263187474659903</v>
      </c>
      <c r="E1230" t="s">
        <v>7</v>
      </c>
    </row>
    <row r="1231" spans="1:5" x14ac:dyDescent="0.25">
      <c r="A1231" t="s">
        <v>36</v>
      </c>
      <c r="B1231">
        <v>2025</v>
      </c>
      <c r="C1231" t="s">
        <v>58</v>
      </c>
      <c r="D1231">
        <v>4.9788924513618698</v>
      </c>
      <c r="E1231" t="s">
        <v>7</v>
      </c>
    </row>
    <row r="1232" spans="1:5" x14ac:dyDescent="0.25">
      <c r="A1232" t="s">
        <v>37</v>
      </c>
      <c r="B1232">
        <v>2000</v>
      </c>
      <c r="C1232" t="s">
        <v>58</v>
      </c>
      <c r="D1232">
        <v>2.9045463592696898</v>
      </c>
      <c r="E1232" t="s">
        <v>7</v>
      </c>
    </row>
    <row r="1233" spans="1:5" x14ac:dyDescent="0.25">
      <c r="A1233" t="s">
        <v>37</v>
      </c>
      <c r="B1233">
        <v>2001</v>
      </c>
      <c r="C1233" t="s">
        <v>58</v>
      </c>
      <c r="D1233">
        <v>2.8996375013506901</v>
      </c>
      <c r="E1233" t="s">
        <v>7</v>
      </c>
    </row>
    <row r="1234" spans="1:5" x14ac:dyDescent="0.25">
      <c r="A1234" t="s">
        <v>37</v>
      </c>
      <c r="B1234">
        <v>2002</v>
      </c>
      <c r="C1234" t="s">
        <v>58</v>
      </c>
      <c r="D1234">
        <v>3.9351392141536699</v>
      </c>
      <c r="E1234" t="s">
        <v>7</v>
      </c>
    </row>
    <row r="1235" spans="1:5" x14ac:dyDescent="0.25">
      <c r="A1235" t="s">
        <v>37</v>
      </c>
      <c r="B1235">
        <v>2003</v>
      </c>
      <c r="C1235" t="s">
        <v>58</v>
      </c>
      <c r="D1235">
        <v>3.5952011273197799</v>
      </c>
      <c r="E1235" t="s">
        <v>7</v>
      </c>
    </row>
    <row r="1236" spans="1:5" x14ac:dyDescent="0.25">
      <c r="A1236" t="s">
        <v>37</v>
      </c>
      <c r="B1236">
        <v>2004</v>
      </c>
      <c r="C1236" t="s">
        <v>58</v>
      </c>
      <c r="D1236">
        <v>2.4182632137568301</v>
      </c>
      <c r="E1236" t="s">
        <v>7</v>
      </c>
    </row>
    <row r="1237" spans="1:5" x14ac:dyDescent="0.25">
      <c r="A1237" t="s">
        <v>37</v>
      </c>
      <c r="B1237">
        <v>2005</v>
      </c>
      <c r="C1237" t="s">
        <v>58</v>
      </c>
      <c r="D1237">
        <v>3.7657432445063401</v>
      </c>
      <c r="E1237" t="s">
        <v>7</v>
      </c>
    </row>
    <row r="1238" spans="1:5" x14ac:dyDescent="0.25">
      <c r="A1238" t="s">
        <v>37</v>
      </c>
      <c r="B1238">
        <v>2006</v>
      </c>
      <c r="C1238" t="s">
        <v>58</v>
      </c>
      <c r="D1238">
        <v>4.2306238042176698</v>
      </c>
      <c r="E1238" t="s">
        <v>7</v>
      </c>
    </row>
    <row r="1239" spans="1:5" x14ac:dyDescent="0.25">
      <c r="A1239" t="s">
        <v>37</v>
      </c>
      <c r="B1239">
        <v>2007</v>
      </c>
      <c r="C1239" t="s">
        <v>58</v>
      </c>
      <c r="D1239">
        <v>4.7796554902122104</v>
      </c>
      <c r="E1239" t="s">
        <v>7</v>
      </c>
    </row>
    <row r="1240" spans="1:5" x14ac:dyDescent="0.25">
      <c r="A1240" t="s">
        <v>37</v>
      </c>
      <c r="B1240">
        <v>2008</v>
      </c>
      <c r="C1240" t="s">
        <v>58</v>
      </c>
      <c r="D1240">
        <v>5.5541091093016099</v>
      </c>
      <c r="E1240" t="s">
        <v>7</v>
      </c>
    </row>
    <row r="1241" spans="1:5" x14ac:dyDescent="0.25">
      <c r="A1241" t="s">
        <v>37</v>
      </c>
      <c r="B1241">
        <v>2009</v>
      </c>
      <c r="C1241" t="s">
        <v>58</v>
      </c>
      <c r="D1241">
        <v>5.4689874408687702</v>
      </c>
      <c r="E1241" t="s">
        <v>7</v>
      </c>
    </row>
    <row r="1242" spans="1:5" x14ac:dyDescent="0.25">
      <c r="A1242" t="s">
        <v>37</v>
      </c>
      <c r="B1242">
        <v>2010</v>
      </c>
      <c r="C1242" t="s">
        <v>58</v>
      </c>
      <c r="D1242">
        <v>6.2497442496876099</v>
      </c>
      <c r="E1242" t="s">
        <v>7</v>
      </c>
    </row>
    <row r="1243" spans="1:5" x14ac:dyDescent="0.25">
      <c r="A1243" t="s">
        <v>37</v>
      </c>
      <c r="B1243">
        <v>2011</v>
      </c>
      <c r="C1243" t="s">
        <v>58</v>
      </c>
      <c r="D1243">
        <v>6.46419210575616</v>
      </c>
      <c r="E1243" t="s">
        <v>7</v>
      </c>
    </row>
    <row r="1244" spans="1:5" x14ac:dyDescent="0.25">
      <c r="A1244" t="s">
        <v>37</v>
      </c>
      <c r="B1244">
        <v>2012</v>
      </c>
      <c r="C1244" t="s">
        <v>58</v>
      </c>
      <c r="D1244">
        <v>7.5746140072697203</v>
      </c>
      <c r="E1244" t="s">
        <v>7</v>
      </c>
    </row>
    <row r="1245" spans="1:5" x14ac:dyDescent="0.25">
      <c r="A1245" t="s">
        <v>37</v>
      </c>
      <c r="B1245">
        <v>2013</v>
      </c>
      <c r="C1245" t="s">
        <v>58</v>
      </c>
      <c r="D1245">
        <v>8.7982807298920704</v>
      </c>
      <c r="E1245" t="s">
        <v>7</v>
      </c>
    </row>
    <row r="1246" spans="1:5" x14ac:dyDescent="0.25">
      <c r="A1246" t="s">
        <v>37</v>
      </c>
      <c r="B1246">
        <v>2014</v>
      </c>
      <c r="C1246" t="s">
        <v>58</v>
      </c>
      <c r="D1246">
        <v>7.2703875264461004</v>
      </c>
      <c r="E1246" t="s">
        <v>7</v>
      </c>
    </row>
    <row r="1247" spans="1:5" x14ac:dyDescent="0.25">
      <c r="A1247" t="s">
        <v>37</v>
      </c>
      <c r="B1247">
        <v>2015</v>
      </c>
      <c r="C1247" t="s">
        <v>58</v>
      </c>
      <c r="D1247">
        <v>5.9394764007634198</v>
      </c>
      <c r="E1247" t="s">
        <v>7</v>
      </c>
    </row>
    <row r="1248" spans="1:5" x14ac:dyDescent="0.25">
      <c r="A1248" t="s">
        <v>37</v>
      </c>
      <c r="B1248">
        <v>2016</v>
      </c>
      <c r="C1248" t="s">
        <v>58</v>
      </c>
      <c r="D1248">
        <v>5.6391633537238297</v>
      </c>
      <c r="E1248" t="s">
        <v>7</v>
      </c>
    </row>
    <row r="1249" spans="1:5" x14ac:dyDescent="0.25">
      <c r="A1249" t="s">
        <v>37</v>
      </c>
      <c r="B1249">
        <v>2017</v>
      </c>
      <c r="C1249" t="s">
        <v>58</v>
      </c>
      <c r="D1249">
        <v>5.7833112259556803</v>
      </c>
      <c r="E1249" t="s">
        <v>7</v>
      </c>
    </row>
    <row r="1250" spans="1:5" x14ac:dyDescent="0.25">
      <c r="A1250" t="s">
        <v>37</v>
      </c>
      <c r="B1250">
        <v>2018</v>
      </c>
      <c r="C1250" t="s">
        <v>58</v>
      </c>
      <c r="D1250">
        <v>6.02183831035632</v>
      </c>
      <c r="E1250" t="s">
        <v>7</v>
      </c>
    </row>
    <row r="1251" spans="1:5" x14ac:dyDescent="0.25">
      <c r="A1251" t="s">
        <v>37</v>
      </c>
      <c r="B1251">
        <v>2019</v>
      </c>
      <c r="C1251" t="s">
        <v>58</v>
      </c>
      <c r="D1251">
        <v>6.3692328797819</v>
      </c>
      <c r="E1251" t="s">
        <v>7</v>
      </c>
    </row>
    <row r="1252" spans="1:5" x14ac:dyDescent="0.25">
      <c r="A1252" t="s">
        <v>37</v>
      </c>
      <c r="B1252">
        <v>2020</v>
      </c>
      <c r="C1252" t="s">
        <v>58</v>
      </c>
      <c r="D1252">
        <v>5.6280464276729498</v>
      </c>
      <c r="E1252" t="s">
        <v>7</v>
      </c>
    </row>
    <row r="1253" spans="1:5" x14ac:dyDescent="0.25">
      <c r="A1253" t="s">
        <v>37</v>
      </c>
      <c r="B1253">
        <v>2021</v>
      </c>
      <c r="C1253" t="s">
        <v>58</v>
      </c>
      <c r="D1253">
        <v>5.6920744113829702</v>
      </c>
      <c r="E1253" t="s">
        <v>7</v>
      </c>
    </row>
    <row r="1254" spans="1:5" x14ac:dyDescent="0.25">
      <c r="A1254" t="s">
        <v>37</v>
      </c>
      <c r="B1254">
        <v>2022</v>
      </c>
      <c r="C1254" t="s">
        <v>58</v>
      </c>
      <c r="D1254">
        <v>6.1385233015067397</v>
      </c>
      <c r="E1254" t="s">
        <v>7</v>
      </c>
    </row>
    <row r="1255" spans="1:5" x14ac:dyDescent="0.25">
      <c r="A1255" t="s">
        <v>37</v>
      </c>
      <c r="B1255">
        <v>2023</v>
      </c>
      <c r="C1255" t="s">
        <v>58</v>
      </c>
      <c r="D1255">
        <v>6.1523084100794296</v>
      </c>
      <c r="E1255" t="s">
        <v>7</v>
      </c>
    </row>
    <row r="1256" spans="1:5" x14ac:dyDescent="0.25">
      <c r="A1256" t="s">
        <v>37</v>
      </c>
      <c r="B1256">
        <v>2024</v>
      </c>
      <c r="C1256" t="s">
        <v>58</v>
      </c>
      <c r="D1256">
        <v>6.5854427579768</v>
      </c>
      <c r="E1256" t="s">
        <v>7</v>
      </c>
    </row>
    <row r="1257" spans="1:5" x14ac:dyDescent="0.25">
      <c r="A1257" t="s">
        <v>37</v>
      </c>
      <c r="B1257">
        <v>2025</v>
      </c>
      <c r="C1257" t="s">
        <v>58</v>
      </c>
      <c r="D1257">
        <v>7.5851969194750399</v>
      </c>
      <c r="E1257" t="s">
        <v>7</v>
      </c>
    </row>
    <row r="1258" spans="1:5" x14ac:dyDescent="0.25">
      <c r="A1258" t="s">
        <v>38</v>
      </c>
      <c r="B1258">
        <v>2000</v>
      </c>
      <c r="C1258" t="s">
        <v>58</v>
      </c>
      <c r="D1258">
        <v>2.6009292158957198</v>
      </c>
      <c r="E1258" t="s">
        <v>7</v>
      </c>
    </row>
    <row r="1259" spans="1:5" x14ac:dyDescent="0.25">
      <c r="A1259" t="s">
        <v>38</v>
      </c>
      <c r="B1259">
        <v>2001</v>
      </c>
      <c r="C1259" t="s">
        <v>58</v>
      </c>
      <c r="D1259">
        <v>2.82184009472383</v>
      </c>
      <c r="E1259" t="s">
        <v>7</v>
      </c>
    </row>
    <row r="1260" spans="1:5" x14ac:dyDescent="0.25">
      <c r="A1260" t="s">
        <v>38</v>
      </c>
      <c r="B1260">
        <v>2002</v>
      </c>
      <c r="C1260" t="s">
        <v>58</v>
      </c>
      <c r="D1260">
        <v>2.3517298800205402</v>
      </c>
      <c r="E1260" t="s">
        <v>7</v>
      </c>
    </row>
    <row r="1261" spans="1:5" x14ac:dyDescent="0.25">
      <c r="A1261" t="s">
        <v>38</v>
      </c>
      <c r="B1261">
        <v>2003</v>
      </c>
      <c r="C1261" t="s">
        <v>58</v>
      </c>
      <c r="D1261">
        <v>0.465296938183626</v>
      </c>
      <c r="E1261" t="s">
        <v>7</v>
      </c>
    </row>
    <row r="1262" spans="1:5" x14ac:dyDescent="0.25">
      <c r="A1262" t="s">
        <v>38</v>
      </c>
      <c r="B1262">
        <v>2004</v>
      </c>
      <c r="C1262" t="s">
        <v>58</v>
      </c>
      <c r="D1262" t="s">
        <v>39</v>
      </c>
      <c r="E1262" t="s">
        <v>7</v>
      </c>
    </row>
    <row r="1263" spans="1:5" x14ac:dyDescent="0.25">
      <c r="A1263" t="s">
        <v>38</v>
      </c>
      <c r="B1263">
        <v>2005</v>
      </c>
      <c r="C1263" t="s">
        <v>58</v>
      </c>
      <c r="D1263">
        <v>0.97138036459073296</v>
      </c>
      <c r="E1263" t="s">
        <v>7</v>
      </c>
    </row>
    <row r="1264" spans="1:5" x14ac:dyDescent="0.25">
      <c r="A1264" t="s">
        <v>38</v>
      </c>
      <c r="B1264">
        <v>2006</v>
      </c>
      <c r="C1264" t="s">
        <v>58</v>
      </c>
      <c r="D1264">
        <v>1.68463049952621</v>
      </c>
      <c r="E1264" t="s">
        <v>7</v>
      </c>
    </row>
    <row r="1265" spans="1:5" x14ac:dyDescent="0.25">
      <c r="A1265" t="s">
        <v>38</v>
      </c>
      <c r="B1265">
        <v>2007</v>
      </c>
      <c r="C1265" t="s">
        <v>58</v>
      </c>
      <c r="D1265">
        <v>1.4243516143899499</v>
      </c>
      <c r="E1265" t="s">
        <v>7</v>
      </c>
    </row>
    <row r="1266" spans="1:5" x14ac:dyDescent="0.25">
      <c r="A1266" t="s">
        <v>38</v>
      </c>
      <c r="B1266">
        <v>2008</v>
      </c>
      <c r="C1266" t="s">
        <v>58</v>
      </c>
      <c r="D1266">
        <v>3.6736484681430599</v>
      </c>
      <c r="E1266" t="s">
        <v>7</v>
      </c>
    </row>
    <row r="1267" spans="1:5" x14ac:dyDescent="0.25">
      <c r="A1267" t="s">
        <v>38</v>
      </c>
      <c r="B1267">
        <v>2009</v>
      </c>
      <c r="C1267" t="s">
        <v>58</v>
      </c>
      <c r="D1267">
        <v>4.2798810713475399</v>
      </c>
      <c r="E1267" t="s">
        <v>7</v>
      </c>
    </row>
    <row r="1268" spans="1:5" x14ac:dyDescent="0.25">
      <c r="A1268" t="s">
        <v>38</v>
      </c>
      <c r="B1268">
        <v>2010</v>
      </c>
      <c r="C1268" t="s">
        <v>58</v>
      </c>
      <c r="D1268">
        <v>5.6272521723836801</v>
      </c>
      <c r="E1268" t="s">
        <v>7</v>
      </c>
    </row>
    <row r="1269" spans="1:5" x14ac:dyDescent="0.25">
      <c r="A1269" t="s">
        <v>38</v>
      </c>
      <c r="B1269">
        <v>2011</v>
      </c>
      <c r="C1269" t="s">
        <v>58</v>
      </c>
      <c r="D1269">
        <v>14.924709618070599</v>
      </c>
      <c r="E1269" t="s">
        <v>7</v>
      </c>
    </row>
    <row r="1270" spans="1:5" x14ac:dyDescent="0.25">
      <c r="A1270" t="s">
        <v>38</v>
      </c>
      <c r="B1270">
        <v>2015</v>
      </c>
      <c r="C1270" t="s">
        <v>58</v>
      </c>
      <c r="D1270" t="s">
        <v>39</v>
      </c>
      <c r="E1270" t="s">
        <v>7</v>
      </c>
    </row>
    <row r="1271" spans="1:5" x14ac:dyDescent="0.25">
      <c r="A1271" t="s">
        <v>38</v>
      </c>
      <c r="B1271">
        <v>2016</v>
      </c>
      <c r="C1271" t="s">
        <v>58</v>
      </c>
      <c r="D1271" t="s">
        <v>39</v>
      </c>
      <c r="E1271" t="s">
        <v>7</v>
      </c>
    </row>
    <row r="1272" spans="1:5" x14ac:dyDescent="0.25">
      <c r="A1272" t="s">
        <v>38</v>
      </c>
      <c r="B1272">
        <v>2019</v>
      </c>
      <c r="C1272" t="s">
        <v>58</v>
      </c>
      <c r="D1272" t="s">
        <v>39</v>
      </c>
      <c r="E1272" t="s">
        <v>7</v>
      </c>
    </row>
    <row r="1273" spans="1:5" x14ac:dyDescent="0.25">
      <c r="A1273" t="s">
        <v>38</v>
      </c>
      <c r="B1273">
        <v>2020</v>
      </c>
      <c r="C1273" t="s">
        <v>58</v>
      </c>
      <c r="D1273" t="s">
        <v>39</v>
      </c>
      <c r="E1273" t="s">
        <v>7</v>
      </c>
    </row>
    <row r="1274" spans="1:5" x14ac:dyDescent="0.25">
      <c r="A1274" t="s">
        <v>38</v>
      </c>
      <c r="B1274">
        <v>2021</v>
      </c>
      <c r="C1274" t="s">
        <v>58</v>
      </c>
      <c r="D1274" t="s">
        <v>39</v>
      </c>
      <c r="E1274" t="s">
        <v>7</v>
      </c>
    </row>
    <row r="1275" spans="1:5" x14ac:dyDescent="0.25">
      <c r="A1275" t="s">
        <v>38</v>
      </c>
      <c r="B1275">
        <v>2022</v>
      </c>
      <c r="C1275" t="s">
        <v>58</v>
      </c>
      <c r="D1275">
        <v>7.5862749693072598</v>
      </c>
      <c r="E1275" t="s">
        <v>7</v>
      </c>
    </row>
    <row r="1276" spans="1:5" x14ac:dyDescent="0.25">
      <c r="A1276" t="s">
        <v>38</v>
      </c>
      <c r="B1276">
        <v>2023</v>
      </c>
      <c r="C1276" t="s">
        <v>58</v>
      </c>
      <c r="D1276">
        <v>7.26614751938898</v>
      </c>
      <c r="E1276" t="s">
        <v>7</v>
      </c>
    </row>
    <row r="1277" spans="1:5" x14ac:dyDescent="0.25">
      <c r="A1277" t="s">
        <v>38</v>
      </c>
      <c r="B1277">
        <v>2025</v>
      </c>
      <c r="C1277" t="s">
        <v>58</v>
      </c>
      <c r="D1277">
        <v>5.1636628203094004</v>
      </c>
      <c r="E1277" t="s">
        <v>7</v>
      </c>
    </row>
    <row r="1278" spans="1:5" x14ac:dyDescent="0.25">
      <c r="A1278" t="s">
        <v>40</v>
      </c>
      <c r="B1278">
        <v>2010</v>
      </c>
      <c r="C1278" t="s">
        <v>58</v>
      </c>
      <c r="D1278">
        <v>6.9538509153710804</v>
      </c>
      <c r="E1278" t="s">
        <v>7</v>
      </c>
    </row>
    <row r="1279" spans="1:5" x14ac:dyDescent="0.25">
      <c r="A1279" t="s">
        <v>40</v>
      </c>
      <c r="B1279">
        <v>2011</v>
      </c>
      <c r="C1279" t="s">
        <v>58</v>
      </c>
      <c r="D1279">
        <v>4.8948866501952297</v>
      </c>
      <c r="E1279" t="s">
        <v>7</v>
      </c>
    </row>
    <row r="1280" spans="1:5" x14ac:dyDescent="0.25">
      <c r="A1280" t="s">
        <v>40</v>
      </c>
      <c r="B1280">
        <v>2012</v>
      </c>
      <c r="C1280" t="s">
        <v>58</v>
      </c>
      <c r="D1280">
        <v>5.6039794347681102</v>
      </c>
      <c r="E1280" t="s">
        <v>7</v>
      </c>
    </row>
    <row r="1281" spans="1:5" x14ac:dyDescent="0.25">
      <c r="A1281" t="s">
        <v>40</v>
      </c>
      <c r="B1281">
        <v>2013</v>
      </c>
      <c r="C1281" t="s">
        <v>58</v>
      </c>
      <c r="D1281">
        <v>6.5945724273714603</v>
      </c>
      <c r="E1281" t="s">
        <v>7</v>
      </c>
    </row>
    <row r="1282" spans="1:5" x14ac:dyDescent="0.25">
      <c r="A1282" t="s">
        <v>40</v>
      </c>
      <c r="B1282">
        <v>2014</v>
      </c>
      <c r="C1282" t="s">
        <v>58</v>
      </c>
      <c r="D1282">
        <v>5.8275273221828998</v>
      </c>
      <c r="E1282" t="s">
        <v>7</v>
      </c>
    </row>
    <row r="1283" spans="1:5" x14ac:dyDescent="0.25">
      <c r="A1283" t="s">
        <v>40</v>
      </c>
      <c r="B1283">
        <v>2015</v>
      </c>
      <c r="C1283" t="s">
        <v>58</v>
      </c>
      <c r="D1283">
        <v>4.7788781053765401</v>
      </c>
      <c r="E1283" t="s">
        <v>7</v>
      </c>
    </row>
    <row r="1284" spans="1:5" x14ac:dyDescent="0.25">
      <c r="A1284" t="s">
        <v>40</v>
      </c>
      <c r="B1284">
        <v>2016</v>
      </c>
      <c r="C1284" t="s">
        <v>58</v>
      </c>
      <c r="D1284">
        <v>4.89961852065868</v>
      </c>
      <c r="E1284" t="s">
        <v>7</v>
      </c>
    </row>
    <row r="1285" spans="1:5" x14ac:dyDescent="0.25">
      <c r="A1285" t="s">
        <v>40</v>
      </c>
      <c r="B1285">
        <v>2017</v>
      </c>
      <c r="C1285" t="s">
        <v>58</v>
      </c>
      <c r="D1285">
        <v>5.0451166613783904</v>
      </c>
      <c r="E1285" t="s">
        <v>7</v>
      </c>
    </row>
    <row r="1286" spans="1:5" x14ac:dyDescent="0.25">
      <c r="A1286" t="s">
        <v>40</v>
      </c>
      <c r="B1286">
        <v>2018</v>
      </c>
      <c r="C1286" t="s">
        <v>58</v>
      </c>
      <c r="D1286">
        <v>5.4939450683523496</v>
      </c>
      <c r="E1286" t="s">
        <v>7</v>
      </c>
    </row>
    <row r="1287" spans="1:5" x14ac:dyDescent="0.25">
      <c r="A1287" t="s">
        <v>40</v>
      </c>
      <c r="B1287">
        <v>2019</v>
      </c>
      <c r="C1287" t="s">
        <v>58</v>
      </c>
      <c r="D1287">
        <v>5.4614992783874801</v>
      </c>
      <c r="E1287" t="s">
        <v>7</v>
      </c>
    </row>
    <row r="1288" spans="1:5" x14ac:dyDescent="0.25">
      <c r="A1288" t="s">
        <v>40</v>
      </c>
      <c r="B1288">
        <v>2020</v>
      </c>
      <c r="C1288" t="s">
        <v>58</v>
      </c>
      <c r="D1288">
        <v>5.9152616573689301</v>
      </c>
      <c r="E1288" t="s">
        <v>7</v>
      </c>
    </row>
    <row r="1289" spans="1:5" x14ac:dyDescent="0.25">
      <c r="A1289" t="s">
        <v>40</v>
      </c>
      <c r="B1289">
        <v>2021</v>
      </c>
      <c r="C1289" t="s">
        <v>58</v>
      </c>
      <c r="D1289">
        <v>5.9492182966981302</v>
      </c>
      <c r="E1289" t="s">
        <v>7</v>
      </c>
    </row>
    <row r="1290" spans="1:5" x14ac:dyDescent="0.25">
      <c r="A1290" t="s">
        <v>40</v>
      </c>
      <c r="B1290">
        <v>2022</v>
      </c>
      <c r="C1290" t="s">
        <v>58</v>
      </c>
      <c r="D1290">
        <v>5.4143461773444104</v>
      </c>
      <c r="E1290" t="s">
        <v>7</v>
      </c>
    </row>
    <row r="1291" spans="1:5" x14ac:dyDescent="0.25">
      <c r="A1291" t="s">
        <v>40</v>
      </c>
      <c r="B1291">
        <v>2023</v>
      </c>
      <c r="C1291" t="s">
        <v>58</v>
      </c>
      <c r="D1291">
        <v>5.7965537579519602</v>
      </c>
      <c r="E1291" t="s">
        <v>7</v>
      </c>
    </row>
    <row r="1292" spans="1:5" x14ac:dyDescent="0.25">
      <c r="A1292" t="s">
        <v>40</v>
      </c>
      <c r="B1292">
        <v>2024</v>
      </c>
      <c r="C1292" t="s">
        <v>58</v>
      </c>
      <c r="D1292">
        <v>6.0199730156914697</v>
      </c>
      <c r="E1292" t="s">
        <v>7</v>
      </c>
    </row>
    <row r="1293" spans="1:5" x14ac:dyDescent="0.25">
      <c r="A1293" t="s">
        <v>40</v>
      </c>
      <c r="B1293">
        <v>2025</v>
      </c>
      <c r="C1293" t="s">
        <v>58</v>
      </c>
      <c r="D1293">
        <v>5.9754851167845597</v>
      </c>
      <c r="E1293" t="s">
        <v>7</v>
      </c>
    </row>
    <row r="1294" spans="1:5" x14ac:dyDescent="0.25">
      <c r="A1294" t="s">
        <v>41</v>
      </c>
      <c r="B1294">
        <v>2015</v>
      </c>
      <c r="C1294" t="s">
        <v>58</v>
      </c>
      <c r="D1294">
        <v>2.66239896213358</v>
      </c>
      <c r="E1294" t="s">
        <v>7</v>
      </c>
    </row>
    <row r="1295" spans="1:5" x14ac:dyDescent="0.25">
      <c r="A1295" t="s">
        <v>41</v>
      </c>
      <c r="B1295">
        <v>2016</v>
      </c>
      <c r="C1295" t="s">
        <v>58</v>
      </c>
      <c r="D1295">
        <v>2.6670335831127199</v>
      </c>
      <c r="E1295" t="s">
        <v>7</v>
      </c>
    </row>
    <row r="1296" spans="1:5" x14ac:dyDescent="0.25">
      <c r="A1296" t="s">
        <v>41</v>
      </c>
      <c r="B1296">
        <v>2018</v>
      </c>
      <c r="C1296" t="s">
        <v>58</v>
      </c>
      <c r="D1296">
        <v>6.2549116720838498</v>
      </c>
      <c r="E1296" t="s">
        <v>7</v>
      </c>
    </row>
    <row r="1297" spans="1:5" x14ac:dyDescent="0.25">
      <c r="A1297" t="s">
        <v>41</v>
      </c>
      <c r="B1297">
        <v>2022</v>
      </c>
      <c r="C1297" t="s">
        <v>58</v>
      </c>
      <c r="D1297">
        <v>4.8883470252319903</v>
      </c>
      <c r="E1297" t="s">
        <v>7</v>
      </c>
    </row>
    <row r="1298" spans="1:5" x14ac:dyDescent="0.25">
      <c r="A1298" t="s">
        <v>42</v>
      </c>
      <c r="B1298">
        <v>2010</v>
      </c>
      <c r="C1298" t="s">
        <v>58</v>
      </c>
      <c r="D1298">
        <v>4.0100082003595201</v>
      </c>
      <c r="E1298" t="s">
        <v>7</v>
      </c>
    </row>
    <row r="1299" spans="1:5" x14ac:dyDescent="0.25">
      <c r="A1299" t="s">
        <v>42</v>
      </c>
      <c r="B1299">
        <v>2011</v>
      </c>
      <c r="C1299" t="s">
        <v>58</v>
      </c>
      <c r="D1299">
        <v>4.6968628163534403</v>
      </c>
      <c r="E1299" t="s">
        <v>7</v>
      </c>
    </row>
    <row r="1300" spans="1:5" x14ac:dyDescent="0.25">
      <c r="A1300" t="s">
        <v>42</v>
      </c>
      <c r="B1300">
        <v>2013</v>
      </c>
      <c r="C1300" t="s">
        <v>58</v>
      </c>
      <c r="D1300">
        <v>5.8034385476053796</v>
      </c>
      <c r="E1300" t="s">
        <v>7</v>
      </c>
    </row>
    <row r="1301" spans="1:5" x14ac:dyDescent="0.25">
      <c r="A1301" t="s">
        <v>42</v>
      </c>
      <c r="B1301">
        <v>2014</v>
      </c>
      <c r="C1301" t="s">
        <v>58</v>
      </c>
      <c r="D1301">
        <v>5.0443031436585803</v>
      </c>
      <c r="E1301" t="s">
        <v>7</v>
      </c>
    </row>
    <row r="1302" spans="1:5" x14ac:dyDescent="0.25">
      <c r="A1302" t="s">
        <v>42</v>
      </c>
      <c r="B1302">
        <v>2015</v>
      </c>
      <c r="C1302" t="s">
        <v>58</v>
      </c>
      <c r="D1302">
        <v>4.0590508151859996</v>
      </c>
      <c r="E1302" t="s">
        <v>7</v>
      </c>
    </row>
    <row r="1303" spans="1:5" x14ac:dyDescent="0.25">
      <c r="A1303" t="s">
        <v>42</v>
      </c>
      <c r="B1303">
        <v>2016</v>
      </c>
      <c r="C1303" t="s">
        <v>58</v>
      </c>
      <c r="D1303">
        <v>3.8217235834043399</v>
      </c>
      <c r="E1303" t="s">
        <v>7</v>
      </c>
    </row>
    <row r="1304" spans="1:5" x14ac:dyDescent="0.25">
      <c r="A1304" t="s">
        <v>42</v>
      </c>
      <c r="B1304">
        <v>2017</v>
      </c>
      <c r="C1304" t="s">
        <v>58</v>
      </c>
      <c r="D1304">
        <v>4.7476201430383398</v>
      </c>
      <c r="E1304" t="s">
        <v>7</v>
      </c>
    </row>
    <row r="1305" spans="1:5" x14ac:dyDescent="0.25">
      <c r="A1305" t="s">
        <v>42</v>
      </c>
      <c r="B1305">
        <v>2018</v>
      </c>
      <c r="C1305" t="s">
        <v>58</v>
      </c>
      <c r="D1305">
        <v>5.1185153836790303</v>
      </c>
      <c r="E1305" t="s">
        <v>7</v>
      </c>
    </row>
    <row r="1306" spans="1:5" x14ac:dyDescent="0.25">
      <c r="A1306" t="s">
        <v>42</v>
      </c>
      <c r="B1306">
        <v>2019</v>
      </c>
      <c r="C1306" t="s">
        <v>58</v>
      </c>
      <c r="D1306">
        <v>4.4753792020791598</v>
      </c>
      <c r="E1306" t="s">
        <v>7</v>
      </c>
    </row>
    <row r="1307" spans="1:5" x14ac:dyDescent="0.25">
      <c r="A1307" t="s">
        <v>42</v>
      </c>
      <c r="B1307">
        <v>2020</v>
      </c>
      <c r="C1307" t="s">
        <v>58</v>
      </c>
      <c r="D1307">
        <v>4.4220529976864196</v>
      </c>
      <c r="E1307" t="s">
        <v>7</v>
      </c>
    </row>
    <row r="1308" spans="1:5" x14ac:dyDescent="0.25">
      <c r="A1308" t="s">
        <v>42</v>
      </c>
      <c r="B1308">
        <v>2024</v>
      </c>
      <c r="C1308" t="s">
        <v>58</v>
      </c>
      <c r="D1308">
        <v>4.7832430505586903</v>
      </c>
      <c r="E1308" t="s">
        <v>7</v>
      </c>
    </row>
    <row r="1309" spans="1:5" x14ac:dyDescent="0.25">
      <c r="A1309" t="s">
        <v>42</v>
      </c>
      <c r="B1309">
        <v>2025</v>
      </c>
      <c r="C1309" t="s">
        <v>58</v>
      </c>
      <c r="D1309">
        <v>4.7474242307494601</v>
      </c>
      <c r="E1309" t="s">
        <v>7</v>
      </c>
    </row>
    <row r="1310" spans="1:5" x14ac:dyDescent="0.25">
      <c r="A1310" t="s">
        <v>43</v>
      </c>
      <c r="B1310">
        <v>2010</v>
      </c>
      <c r="C1310" t="s">
        <v>58</v>
      </c>
      <c r="D1310">
        <v>3.0082122006769398</v>
      </c>
      <c r="E1310" t="s">
        <v>7</v>
      </c>
    </row>
    <row r="1311" spans="1:5" x14ac:dyDescent="0.25">
      <c r="A1311" t="s">
        <v>43</v>
      </c>
      <c r="B1311">
        <v>2011</v>
      </c>
      <c r="C1311" t="s">
        <v>58</v>
      </c>
      <c r="D1311">
        <v>4.0417103575131899</v>
      </c>
      <c r="E1311" t="s">
        <v>7</v>
      </c>
    </row>
    <row r="1312" spans="1:5" x14ac:dyDescent="0.25">
      <c r="A1312" t="s">
        <v>43</v>
      </c>
      <c r="B1312">
        <v>2012</v>
      </c>
      <c r="C1312" t="s">
        <v>58</v>
      </c>
      <c r="D1312">
        <v>7.8585868708808801</v>
      </c>
      <c r="E1312" t="s">
        <v>7</v>
      </c>
    </row>
    <row r="1313" spans="1:5" x14ac:dyDescent="0.25">
      <c r="A1313" t="s">
        <v>43</v>
      </c>
      <c r="B1313">
        <v>2013</v>
      </c>
      <c r="C1313" t="s">
        <v>58</v>
      </c>
      <c r="D1313">
        <v>26.571874037458301</v>
      </c>
      <c r="E1313" t="s">
        <v>7</v>
      </c>
    </row>
    <row r="1314" spans="1:5" x14ac:dyDescent="0.25">
      <c r="A1314" t="s">
        <v>43</v>
      </c>
      <c r="B1314">
        <v>2014</v>
      </c>
      <c r="C1314" t="s">
        <v>58</v>
      </c>
      <c r="D1314">
        <v>4.3262709828669204</v>
      </c>
      <c r="E1314" t="s">
        <v>7</v>
      </c>
    </row>
    <row r="1315" spans="1:5" x14ac:dyDescent="0.25">
      <c r="A1315" t="s">
        <v>43</v>
      </c>
      <c r="B1315">
        <v>2015</v>
      </c>
      <c r="C1315" t="s">
        <v>58</v>
      </c>
      <c r="D1315">
        <v>3.0552582850984802</v>
      </c>
      <c r="E1315" t="s">
        <v>7</v>
      </c>
    </row>
    <row r="1316" spans="1:5" x14ac:dyDescent="0.25">
      <c r="A1316" t="s">
        <v>43</v>
      </c>
      <c r="B1316">
        <v>2016</v>
      </c>
      <c r="C1316" t="s">
        <v>58</v>
      </c>
      <c r="D1316">
        <v>2.48922036638205</v>
      </c>
      <c r="E1316" t="s">
        <v>7</v>
      </c>
    </row>
    <row r="1317" spans="1:5" x14ac:dyDescent="0.25">
      <c r="A1317" t="s">
        <v>43</v>
      </c>
      <c r="B1317">
        <v>2017</v>
      </c>
      <c r="C1317" t="s">
        <v>58</v>
      </c>
      <c r="D1317">
        <v>1.6840995822465701</v>
      </c>
      <c r="E1317" t="s">
        <v>7</v>
      </c>
    </row>
    <row r="1318" spans="1:5" x14ac:dyDescent="0.25">
      <c r="A1318" t="s">
        <v>43</v>
      </c>
      <c r="B1318">
        <v>2018</v>
      </c>
      <c r="C1318" t="s">
        <v>58</v>
      </c>
      <c r="D1318">
        <v>2.4954473685771799</v>
      </c>
      <c r="E1318" t="s">
        <v>7</v>
      </c>
    </row>
    <row r="1319" spans="1:5" x14ac:dyDescent="0.25">
      <c r="A1319" t="s">
        <v>43</v>
      </c>
      <c r="B1319">
        <v>2019</v>
      </c>
      <c r="C1319" t="s">
        <v>58</v>
      </c>
      <c r="D1319">
        <v>4.0906502466148398</v>
      </c>
      <c r="E1319" t="s">
        <v>7</v>
      </c>
    </row>
    <row r="1320" spans="1:5" x14ac:dyDescent="0.25">
      <c r="A1320" t="s">
        <v>43</v>
      </c>
      <c r="B1320">
        <v>2020</v>
      </c>
      <c r="C1320" t="s">
        <v>58</v>
      </c>
      <c r="D1320">
        <v>3.8895110806445099</v>
      </c>
      <c r="E1320" t="s">
        <v>7</v>
      </c>
    </row>
    <row r="1321" spans="1:5" x14ac:dyDescent="0.25">
      <c r="A1321" t="s">
        <v>43</v>
      </c>
      <c r="B1321">
        <v>2021</v>
      </c>
      <c r="C1321" t="s">
        <v>58</v>
      </c>
      <c r="D1321">
        <v>4.1576919675346904</v>
      </c>
      <c r="E1321" t="s">
        <v>7</v>
      </c>
    </row>
    <row r="1322" spans="1:5" x14ac:dyDescent="0.25">
      <c r="A1322" t="s">
        <v>43</v>
      </c>
      <c r="B1322">
        <v>2022</v>
      </c>
      <c r="C1322" t="s">
        <v>58</v>
      </c>
      <c r="D1322">
        <v>4.3886633040681797</v>
      </c>
      <c r="E1322" t="s">
        <v>7</v>
      </c>
    </row>
    <row r="1323" spans="1:5" x14ac:dyDescent="0.25">
      <c r="A1323" t="s">
        <v>43</v>
      </c>
      <c r="B1323">
        <v>2023</v>
      </c>
      <c r="C1323" t="s">
        <v>58</v>
      </c>
      <c r="D1323">
        <v>4.6374396218744298</v>
      </c>
      <c r="E1323" t="s">
        <v>7</v>
      </c>
    </row>
    <row r="1324" spans="1:5" x14ac:dyDescent="0.25">
      <c r="A1324" t="s">
        <v>43</v>
      </c>
      <c r="B1324">
        <v>2024</v>
      </c>
      <c r="C1324" t="s">
        <v>58</v>
      </c>
      <c r="D1324">
        <v>3.7644899351594798</v>
      </c>
      <c r="E1324" t="s">
        <v>7</v>
      </c>
    </row>
    <row r="1325" spans="1:5" x14ac:dyDescent="0.25">
      <c r="A1325" t="s">
        <v>43</v>
      </c>
      <c r="B1325">
        <v>2025</v>
      </c>
      <c r="C1325" t="s">
        <v>58</v>
      </c>
      <c r="D1325">
        <v>3.6566711624594701</v>
      </c>
      <c r="E1325" t="s">
        <v>7</v>
      </c>
    </row>
    <row r="1326" spans="1:5" x14ac:dyDescent="0.25">
      <c r="A1326" t="s">
        <v>44</v>
      </c>
      <c r="B1326">
        <v>2010</v>
      </c>
      <c r="C1326" t="s">
        <v>58</v>
      </c>
      <c r="D1326">
        <v>6.3088945108763097</v>
      </c>
      <c r="E1326" t="s">
        <v>7</v>
      </c>
    </row>
    <row r="1327" spans="1:5" x14ac:dyDescent="0.25">
      <c r="A1327" t="s">
        <v>44</v>
      </c>
      <c r="B1327">
        <v>2011</v>
      </c>
      <c r="C1327" t="s">
        <v>58</v>
      </c>
      <c r="D1327">
        <v>5.9833942230921098</v>
      </c>
      <c r="E1327" t="s">
        <v>7</v>
      </c>
    </row>
    <row r="1328" spans="1:5" x14ac:dyDescent="0.25">
      <c r="A1328" t="s">
        <v>44</v>
      </c>
      <c r="B1328">
        <v>2012</v>
      </c>
      <c r="C1328" t="s">
        <v>58</v>
      </c>
      <c r="D1328">
        <v>6.8704008396954102</v>
      </c>
      <c r="E1328" t="s">
        <v>7</v>
      </c>
    </row>
    <row r="1329" spans="1:5" x14ac:dyDescent="0.25">
      <c r="A1329" t="s">
        <v>44</v>
      </c>
      <c r="B1329">
        <v>2013</v>
      </c>
      <c r="C1329" t="s">
        <v>58</v>
      </c>
      <c r="D1329">
        <v>7.4941536662584198</v>
      </c>
      <c r="E1329" t="s">
        <v>7</v>
      </c>
    </row>
    <row r="1330" spans="1:5" x14ac:dyDescent="0.25">
      <c r="A1330" t="s">
        <v>44</v>
      </c>
      <c r="B1330">
        <v>2014</v>
      </c>
      <c r="C1330" t="s">
        <v>58</v>
      </c>
      <c r="D1330">
        <v>5.9825355083623801</v>
      </c>
      <c r="E1330" t="s">
        <v>7</v>
      </c>
    </row>
    <row r="1331" spans="1:5" x14ac:dyDescent="0.25">
      <c r="A1331" t="s">
        <v>44</v>
      </c>
      <c r="B1331">
        <v>2015</v>
      </c>
      <c r="C1331" t="s">
        <v>58</v>
      </c>
      <c r="D1331">
        <v>5.6473238733887596</v>
      </c>
      <c r="E1331" t="s">
        <v>7</v>
      </c>
    </row>
    <row r="1332" spans="1:5" x14ac:dyDescent="0.25">
      <c r="A1332" t="s">
        <v>44</v>
      </c>
      <c r="B1332">
        <v>2016</v>
      </c>
      <c r="C1332" t="s">
        <v>58</v>
      </c>
      <c r="D1332">
        <v>5.3140461216527104</v>
      </c>
      <c r="E1332" t="s">
        <v>7</v>
      </c>
    </row>
    <row r="1333" spans="1:5" x14ac:dyDescent="0.25">
      <c r="A1333" t="s">
        <v>44</v>
      </c>
      <c r="B1333">
        <v>2017</v>
      </c>
      <c r="C1333" t="s">
        <v>58</v>
      </c>
      <c r="D1333">
        <v>6.1765811665560104</v>
      </c>
      <c r="E1333" t="s">
        <v>7</v>
      </c>
    </row>
    <row r="1334" spans="1:5" x14ac:dyDescent="0.25">
      <c r="A1334" t="s">
        <v>44</v>
      </c>
      <c r="B1334">
        <v>2018</v>
      </c>
      <c r="C1334" t="s">
        <v>58</v>
      </c>
      <c r="D1334">
        <v>7.6563819508387203</v>
      </c>
      <c r="E1334" t="s">
        <v>7</v>
      </c>
    </row>
    <row r="1335" spans="1:5" x14ac:dyDescent="0.25">
      <c r="A1335" t="s">
        <v>44</v>
      </c>
      <c r="B1335">
        <v>2019</v>
      </c>
      <c r="C1335" t="s">
        <v>58</v>
      </c>
      <c r="D1335">
        <v>6.6846734318422003</v>
      </c>
      <c r="E1335" t="s">
        <v>7</v>
      </c>
    </row>
    <row r="1336" spans="1:5" x14ac:dyDescent="0.25">
      <c r="A1336" t="s">
        <v>44</v>
      </c>
      <c r="B1336">
        <v>2020</v>
      </c>
      <c r="C1336" t="s">
        <v>58</v>
      </c>
      <c r="D1336">
        <v>5.9400633518876198</v>
      </c>
      <c r="E1336" t="s">
        <v>7</v>
      </c>
    </row>
    <row r="1337" spans="1:5" x14ac:dyDescent="0.25">
      <c r="A1337" t="s">
        <v>44</v>
      </c>
      <c r="B1337">
        <v>2021</v>
      </c>
      <c r="C1337" t="s">
        <v>58</v>
      </c>
      <c r="D1337">
        <v>5.5007625303207197</v>
      </c>
      <c r="E1337" t="s">
        <v>7</v>
      </c>
    </row>
    <row r="1338" spans="1:5" x14ac:dyDescent="0.25">
      <c r="A1338" t="s">
        <v>44</v>
      </c>
      <c r="B1338">
        <v>2022</v>
      </c>
      <c r="C1338" t="s">
        <v>58</v>
      </c>
      <c r="D1338">
        <v>5.6051106421247203</v>
      </c>
      <c r="E1338" t="s">
        <v>7</v>
      </c>
    </row>
    <row r="1339" spans="1:5" x14ac:dyDescent="0.25">
      <c r="A1339" t="s">
        <v>44</v>
      </c>
      <c r="B1339">
        <v>2023</v>
      </c>
      <c r="C1339" t="s">
        <v>58</v>
      </c>
      <c r="D1339">
        <v>6.0392319043052103</v>
      </c>
      <c r="E1339" t="s">
        <v>7</v>
      </c>
    </row>
    <row r="1340" spans="1:5" x14ac:dyDescent="0.25">
      <c r="A1340" t="s">
        <v>44</v>
      </c>
      <c r="B1340">
        <v>2024</v>
      </c>
      <c r="C1340" t="s">
        <v>58</v>
      </c>
      <c r="D1340">
        <v>5.6380590550107703</v>
      </c>
      <c r="E1340" t="s">
        <v>7</v>
      </c>
    </row>
    <row r="1341" spans="1:5" x14ac:dyDescent="0.25">
      <c r="A1341" t="s">
        <v>44</v>
      </c>
      <c r="B1341">
        <v>2025</v>
      </c>
      <c r="C1341" t="s">
        <v>58</v>
      </c>
      <c r="D1341">
        <v>6.2654638390560402</v>
      </c>
      <c r="E1341" t="s">
        <v>7</v>
      </c>
    </row>
    <row r="1342" spans="1:5" x14ac:dyDescent="0.25">
      <c r="A1342" t="s">
        <v>45</v>
      </c>
      <c r="B1342">
        <v>2015</v>
      </c>
      <c r="C1342" t="s">
        <v>58</v>
      </c>
      <c r="D1342">
        <v>6.9343918886655498</v>
      </c>
      <c r="E1342" t="s">
        <v>7</v>
      </c>
    </row>
    <row r="1343" spans="1:5" x14ac:dyDescent="0.25">
      <c r="A1343" t="s">
        <v>45</v>
      </c>
      <c r="B1343">
        <v>2016</v>
      </c>
      <c r="C1343" t="s">
        <v>58</v>
      </c>
      <c r="D1343">
        <v>5.94479518387827</v>
      </c>
      <c r="E1343" t="s">
        <v>7</v>
      </c>
    </row>
    <row r="1344" spans="1:5" x14ac:dyDescent="0.25">
      <c r="A1344" t="s">
        <v>45</v>
      </c>
      <c r="B1344">
        <v>2017</v>
      </c>
      <c r="C1344" t="s">
        <v>58</v>
      </c>
      <c r="D1344">
        <v>6.05625414120553</v>
      </c>
      <c r="E1344" t="s">
        <v>7</v>
      </c>
    </row>
    <row r="1345" spans="1:5" x14ac:dyDescent="0.25">
      <c r="A1345" t="s">
        <v>45</v>
      </c>
      <c r="B1345">
        <v>2018</v>
      </c>
      <c r="C1345" t="s">
        <v>58</v>
      </c>
      <c r="D1345">
        <v>5.9646277396670202</v>
      </c>
      <c r="E1345" t="s">
        <v>7</v>
      </c>
    </row>
    <row r="1346" spans="1:5" x14ac:dyDescent="0.25">
      <c r="A1346" t="s">
        <v>45</v>
      </c>
      <c r="B1346">
        <v>2019</v>
      </c>
      <c r="C1346" t="s">
        <v>58</v>
      </c>
      <c r="D1346">
        <v>5.8864594240404902</v>
      </c>
      <c r="E1346" t="s">
        <v>7</v>
      </c>
    </row>
    <row r="1347" spans="1:5" x14ac:dyDescent="0.25">
      <c r="A1347" t="s">
        <v>45</v>
      </c>
      <c r="B1347">
        <v>2020</v>
      </c>
      <c r="C1347" t="s">
        <v>58</v>
      </c>
      <c r="D1347">
        <v>5.8752749701297304</v>
      </c>
      <c r="E1347" t="s">
        <v>7</v>
      </c>
    </row>
    <row r="1348" spans="1:5" x14ac:dyDescent="0.25">
      <c r="A1348" t="s">
        <v>45</v>
      </c>
      <c r="B1348">
        <v>2021</v>
      </c>
      <c r="C1348" t="s">
        <v>58</v>
      </c>
      <c r="D1348">
        <v>5.9023899552536401</v>
      </c>
      <c r="E1348" t="s">
        <v>7</v>
      </c>
    </row>
    <row r="1349" spans="1:5" x14ac:dyDescent="0.25">
      <c r="A1349" t="s">
        <v>45</v>
      </c>
      <c r="B1349">
        <v>2022</v>
      </c>
      <c r="C1349" t="s">
        <v>58</v>
      </c>
      <c r="D1349">
        <v>6.5562566495309804</v>
      </c>
      <c r="E1349" t="s">
        <v>7</v>
      </c>
    </row>
    <row r="1350" spans="1:5" x14ac:dyDescent="0.25">
      <c r="A1350" t="s">
        <v>45</v>
      </c>
      <c r="B1350">
        <v>2023</v>
      </c>
      <c r="C1350" t="s">
        <v>58</v>
      </c>
      <c r="D1350">
        <v>7.0904172356759103</v>
      </c>
      <c r="E1350" t="s">
        <v>7</v>
      </c>
    </row>
    <row r="1351" spans="1:5" x14ac:dyDescent="0.25">
      <c r="A1351" t="s">
        <v>45</v>
      </c>
      <c r="B1351">
        <v>2024</v>
      </c>
      <c r="C1351" t="s">
        <v>58</v>
      </c>
      <c r="D1351">
        <v>6.9699101940380599</v>
      </c>
      <c r="E1351" t="s">
        <v>7</v>
      </c>
    </row>
    <row r="1352" spans="1:5" x14ac:dyDescent="0.25">
      <c r="A1352" t="s">
        <v>46</v>
      </c>
      <c r="B1352">
        <v>2013</v>
      </c>
      <c r="C1352" t="s">
        <v>58</v>
      </c>
      <c r="D1352">
        <v>4.3757527834450602</v>
      </c>
      <c r="E1352" t="s">
        <v>7</v>
      </c>
    </row>
    <row r="1353" spans="1:5" x14ac:dyDescent="0.25">
      <c r="A1353" t="s">
        <v>46</v>
      </c>
      <c r="B1353">
        <v>2014</v>
      </c>
      <c r="C1353" t="s">
        <v>58</v>
      </c>
      <c r="D1353">
        <v>4.5035814868018296</v>
      </c>
      <c r="E1353" t="s">
        <v>7</v>
      </c>
    </row>
    <row r="1354" spans="1:5" x14ac:dyDescent="0.25">
      <c r="A1354" t="s">
        <v>46</v>
      </c>
      <c r="B1354">
        <v>2015</v>
      </c>
      <c r="C1354" t="s">
        <v>58</v>
      </c>
      <c r="D1354">
        <v>3.30414622040061</v>
      </c>
      <c r="E1354" t="s">
        <v>7</v>
      </c>
    </row>
    <row r="1355" spans="1:5" x14ac:dyDescent="0.25">
      <c r="A1355" t="s">
        <v>46</v>
      </c>
      <c r="B1355">
        <v>2017</v>
      </c>
      <c r="C1355" t="s">
        <v>58</v>
      </c>
      <c r="D1355">
        <v>5.8160865802559902</v>
      </c>
      <c r="E1355" t="s">
        <v>7</v>
      </c>
    </row>
    <row r="1356" spans="1:5" x14ac:dyDescent="0.25">
      <c r="A1356" t="s">
        <v>46</v>
      </c>
      <c r="B1356">
        <v>2018</v>
      </c>
      <c r="C1356" t="s">
        <v>58</v>
      </c>
      <c r="D1356">
        <v>6.3758234475433397</v>
      </c>
      <c r="E1356" t="s">
        <v>7</v>
      </c>
    </row>
    <row r="1357" spans="1:5" x14ac:dyDescent="0.25">
      <c r="A1357" t="s">
        <v>46</v>
      </c>
      <c r="B1357">
        <v>2019</v>
      </c>
      <c r="C1357" t="s">
        <v>58</v>
      </c>
      <c r="D1357">
        <v>5.9321870580897702</v>
      </c>
      <c r="E1357" t="s">
        <v>7</v>
      </c>
    </row>
    <row r="1358" spans="1:5" x14ac:dyDescent="0.25">
      <c r="A1358" t="s">
        <v>46</v>
      </c>
      <c r="B1358">
        <v>2020</v>
      </c>
      <c r="C1358" t="s">
        <v>58</v>
      </c>
      <c r="D1358">
        <v>5.0357046692906096</v>
      </c>
      <c r="E1358" t="s">
        <v>7</v>
      </c>
    </row>
    <row r="1359" spans="1:5" x14ac:dyDescent="0.25">
      <c r="A1359" t="s">
        <v>46</v>
      </c>
      <c r="B1359">
        <v>2022</v>
      </c>
      <c r="C1359" t="s">
        <v>58</v>
      </c>
      <c r="D1359">
        <v>5.4438491970852798</v>
      </c>
      <c r="E1359" t="s">
        <v>7</v>
      </c>
    </row>
    <row r="1360" spans="1:5" x14ac:dyDescent="0.25">
      <c r="A1360" t="s">
        <v>47</v>
      </c>
      <c r="B1360">
        <v>2003</v>
      </c>
      <c r="C1360" t="s">
        <v>58</v>
      </c>
      <c r="D1360">
        <v>15.894818489074</v>
      </c>
      <c r="E1360" t="s">
        <v>7</v>
      </c>
    </row>
    <row r="1361" spans="1:5" x14ac:dyDescent="0.25">
      <c r="A1361" t="s">
        <v>47</v>
      </c>
      <c r="B1361">
        <v>2004</v>
      </c>
      <c r="C1361" t="s">
        <v>58</v>
      </c>
      <c r="D1361">
        <v>13.704293233949</v>
      </c>
      <c r="E1361" t="s">
        <v>7</v>
      </c>
    </row>
    <row r="1362" spans="1:5" x14ac:dyDescent="0.25">
      <c r="A1362" t="s">
        <v>47</v>
      </c>
      <c r="B1362">
        <v>2005</v>
      </c>
      <c r="C1362" t="s">
        <v>58</v>
      </c>
      <c r="D1362">
        <v>14.852119008904801</v>
      </c>
      <c r="E1362" t="s">
        <v>7</v>
      </c>
    </row>
    <row r="1363" spans="1:5" x14ac:dyDescent="0.25">
      <c r="A1363" t="s">
        <v>47</v>
      </c>
      <c r="B1363">
        <v>2006</v>
      </c>
      <c r="C1363" t="s">
        <v>58</v>
      </c>
      <c r="D1363">
        <v>22.696285800438901</v>
      </c>
      <c r="E1363" t="s">
        <v>7</v>
      </c>
    </row>
    <row r="1364" spans="1:5" x14ac:dyDescent="0.25">
      <c r="A1364" t="s">
        <v>47</v>
      </c>
      <c r="B1364">
        <v>2007</v>
      </c>
      <c r="C1364" t="s">
        <v>58</v>
      </c>
      <c r="D1364">
        <v>16.4968133450501</v>
      </c>
      <c r="E1364" t="s">
        <v>7</v>
      </c>
    </row>
    <row r="1365" spans="1:5" x14ac:dyDescent="0.25">
      <c r="A1365" t="s">
        <v>47</v>
      </c>
      <c r="B1365">
        <v>2008</v>
      </c>
      <c r="C1365" t="s">
        <v>58</v>
      </c>
      <c r="D1365">
        <v>22.5340083489133</v>
      </c>
      <c r="E1365" t="s">
        <v>7</v>
      </c>
    </row>
    <row r="1366" spans="1:5" x14ac:dyDescent="0.25">
      <c r="A1366" t="s">
        <v>47</v>
      </c>
      <c r="B1366">
        <v>2009</v>
      </c>
      <c r="C1366" t="s">
        <v>58</v>
      </c>
      <c r="D1366">
        <v>2.8817787196364</v>
      </c>
      <c r="E1366" t="s">
        <v>7</v>
      </c>
    </row>
    <row r="1367" spans="1:5" x14ac:dyDescent="0.25">
      <c r="A1367" t="s">
        <v>47</v>
      </c>
      <c r="B1367">
        <v>2010</v>
      </c>
      <c r="C1367" t="s">
        <v>58</v>
      </c>
      <c r="D1367">
        <v>20.521890167302701</v>
      </c>
      <c r="E1367" t="s">
        <v>7</v>
      </c>
    </row>
    <row r="1368" spans="1:5" x14ac:dyDescent="0.25">
      <c r="A1368" t="s">
        <v>47</v>
      </c>
      <c r="B1368">
        <v>2011</v>
      </c>
      <c r="C1368" t="s">
        <v>58</v>
      </c>
      <c r="D1368">
        <v>14.3977357212319</v>
      </c>
      <c r="E1368" t="s">
        <v>7</v>
      </c>
    </row>
    <row r="1369" spans="1:5" x14ac:dyDescent="0.25">
      <c r="A1369" t="s">
        <v>47</v>
      </c>
      <c r="B1369">
        <v>2012</v>
      </c>
      <c r="C1369" t="s">
        <v>58</v>
      </c>
      <c r="D1369">
        <v>7.6596860147822898</v>
      </c>
      <c r="E1369" t="s">
        <v>7</v>
      </c>
    </row>
    <row r="1370" spans="1:5" x14ac:dyDescent="0.25">
      <c r="A1370" t="s">
        <v>47</v>
      </c>
      <c r="B1370">
        <v>2013</v>
      </c>
      <c r="C1370" t="s">
        <v>58</v>
      </c>
      <c r="D1370">
        <v>22.546750127151999</v>
      </c>
      <c r="E1370" t="s">
        <v>7</v>
      </c>
    </row>
    <row r="1371" spans="1:5" x14ac:dyDescent="0.25">
      <c r="A1371" t="s">
        <v>47</v>
      </c>
      <c r="B1371">
        <v>2014</v>
      </c>
      <c r="C1371" t="s">
        <v>58</v>
      </c>
      <c r="D1371">
        <v>29.4545802033572</v>
      </c>
      <c r="E1371" t="s">
        <v>7</v>
      </c>
    </row>
    <row r="1372" spans="1:5" x14ac:dyDescent="0.25">
      <c r="A1372" t="s">
        <v>47</v>
      </c>
      <c r="B1372">
        <v>2015</v>
      </c>
      <c r="C1372" t="s">
        <v>58</v>
      </c>
      <c r="D1372">
        <v>5.2892515717290003</v>
      </c>
      <c r="E1372" t="s">
        <v>7</v>
      </c>
    </row>
    <row r="1373" spans="1:5" x14ac:dyDescent="0.25">
      <c r="A1373" t="s">
        <v>47</v>
      </c>
      <c r="B1373">
        <v>2016</v>
      </c>
      <c r="C1373" t="s">
        <v>58</v>
      </c>
      <c r="D1373">
        <v>6.7864029597621798</v>
      </c>
      <c r="E1373" t="s">
        <v>7</v>
      </c>
    </row>
    <row r="1374" spans="1:5" x14ac:dyDescent="0.25">
      <c r="A1374" t="s">
        <v>47</v>
      </c>
      <c r="B1374">
        <v>2017</v>
      </c>
      <c r="C1374" t="s">
        <v>58</v>
      </c>
      <c r="D1374">
        <v>7.3735015038524798</v>
      </c>
      <c r="E1374" t="s">
        <v>7</v>
      </c>
    </row>
    <row r="1375" spans="1:5" x14ac:dyDescent="0.25">
      <c r="A1375" t="s">
        <v>47</v>
      </c>
      <c r="B1375">
        <v>2018</v>
      </c>
      <c r="C1375" t="s">
        <v>58</v>
      </c>
      <c r="D1375">
        <v>7.7332088301816801</v>
      </c>
      <c r="E1375" t="s">
        <v>7</v>
      </c>
    </row>
    <row r="1376" spans="1:5" x14ac:dyDescent="0.25">
      <c r="A1376" t="s">
        <v>47</v>
      </c>
      <c r="B1376">
        <v>2019</v>
      </c>
      <c r="C1376" t="s">
        <v>58</v>
      </c>
      <c r="D1376">
        <v>6.4765629999675403</v>
      </c>
      <c r="E1376" t="s">
        <v>7</v>
      </c>
    </row>
    <row r="1377" spans="1:5" x14ac:dyDescent="0.25">
      <c r="A1377" t="s">
        <v>47</v>
      </c>
      <c r="B1377">
        <v>2020</v>
      </c>
      <c r="C1377" t="s">
        <v>58</v>
      </c>
      <c r="D1377">
        <v>5.0391907452450297</v>
      </c>
      <c r="E1377" t="s">
        <v>7</v>
      </c>
    </row>
    <row r="1378" spans="1:5" x14ac:dyDescent="0.25">
      <c r="A1378" t="s">
        <v>47</v>
      </c>
      <c r="B1378">
        <v>2021</v>
      </c>
      <c r="C1378" t="s">
        <v>58</v>
      </c>
      <c r="D1378">
        <v>5.63775024970397</v>
      </c>
      <c r="E1378" t="s">
        <v>7</v>
      </c>
    </row>
    <row r="1379" spans="1:5" x14ac:dyDescent="0.25">
      <c r="A1379" t="s">
        <v>47</v>
      </c>
      <c r="B1379">
        <v>2022</v>
      </c>
      <c r="C1379" t="s">
        <v>58</v>
      </c>
      <c r="D1379">
        <v>5.6728276398003201</v>
      </c>
      <c r="E1379" t="s">
        <v>7</v>
      </c>
    </row>
    <row r="1380" spans="1:5" x14ac:dyDescent="0.25">
      <c r="A1380" t="s">
        <v>48</v>
      </c>
      <c r="B1380">
        <v>2025</v>
      </c>
      <c r="C1380" t="s">
        <v>58</v>
      </c>
      <c r="D1380">
        <v>2.06561749468043</v>
      </c>
      <c r="E1380" t="s">
        <v>7</v>
      </c>
    </row>
    <row r="1381" spans="1:5" x14ac:dyDescent="0.25">
      <c r="A1381" t="s">
        <v>49</v>
      </c>
      <c r="B1381">
        <v>2002</v>
      </c>
      <c r="C1381" t="s">
        <v>58</v>
      </c>
      <c r="D1381">
        <v>3.5284416987557901</v>
      </c>
      <c r="E1381" t="s">
        <v>7</v>
      </c>
    </row>
    <row r="1382" spans="1:5" x14ac:dyDescent="0.25">
      <c r="A1382" t="s">
        <v>49</v>
      </c>
      <c r="B1382">
        <v>2003</v>
      </c>
      <c r="C1382" t="s">
        <v>58</v>
      </c>
      <c r="D1382">
        <v>3.8811265777603801</v>
      </c>
      <c r="E1382" t="s">
        <v>7</v>
      </c>
    </row>
    <row r="1383" spans="1:5" x14ac:dyDescent="0.25">
      <c r="A1383" t="s">
        <v>49</v>
      </c>
      <c r="B1383">
        <v>2004</v>
      </c>
      <c r="C1383" t="s">
        <v>58</v>
      </c>
      <c r="D1383">
        <v>4.2545550095068299</v>
      </c>
      <c r="E1383" t="s">
        <v>7</v>
      </c>
    </row>
    <row r="1384" spans="1:5" x14ac:dyDescent="0.25">
      <c r="A1384" t="s">
        <v>49</v>
      </c>
      <c r="B1384">
        <v>2005</v>
      </c>
      <c r="C1384" t="s">
        <v>58</v>
      </c>
      <c r="D1384">
        <v>4.2604347988736704</v>
      </c>
      <c r="E1384" t="s">
        <v>7</v>
      </c>
    </row>
    <row r="1385" spans="1:5" x14ac:dyDescent="0.25">
      <c r="A1385" t="s">
        <v>49</v>
      </c>
      <c r="B1385">
        <v>2006</v>
      </c>
      <c r="C1385" t="s">
        <v>58</v>
      </c>
      <c r="D1385">
        <v>4.6156652189329899</v>
      </c>
      <c r="E1385" t="s">
        <v>7</v>
      </c>
    </row>
    <row r="1386" spans="1:5" x14ac:dyDescent="0.25">
      <c r="A1386" t="s">
        <v>49</v>
      </c>
      <c r="B1386">
        <v>2007</v>
      </c>
      <c r="C1386" t="s">
        <v>58</v>
      </c>
      <c r="D1386">
        <v>5.1228236932227196</v>
      </c>
      <c r="E1386" t="s">
        <v>7</v>
      </c>
    </row>
    <row r="1387" spans="1:5" x14ac:dyDescent="0.25">
      <c r="A1387" t="s">
        <v>49</v>
      </c>
      <c r="B1387">
        <v>2008</v>
      </c>
      <c r="C1387" t="s">
        <v>58</v>
      </c>
      <c r="D1387">
        <v>6.2495631866716099</v>
      </c>
      <c r="E1387" t="s">
        <v>7</v>
      </c>
    </row>
    <row r="1388" spans="1:5" x14ac:dyDescent="0.25">
      <c r="A1388" t="s">
        <v>49</v>
      </c>
      <c r="B1388">
        <v>2009</v>
      </c>
      <c r="C1388" t="s">
        <v>58</v>
      </c>
      <c r="D1388">
        <v>5.6921683161021903</v>
      </c>
      <c r="E1388" t="s">
        <v>7</v>
      </c>
    </row>
    <row r="1389" spans="1:5" x14ac:dyDescent="0.25">
      <c r="A1389" t="s">
        <v>49</v>
      </c>
      <c r="B1389">
        <v>2010</v>
      </c>
      <c r="C1389" t="s">
        <v>58</v>
      </c>
      <c r="D1389">
        <v>5.3705079079329403</v>
      </c>
      <c r="E1389" t="s">
        <v>7</v>
      </c>
    </row>
    <row r="1390" spans="1:5" x14ac:dyDescent="0.25">
      <c r="A1390" t="s">
        <v>49</v>
      </c>
      <c r="B1390">
        <v>2011</v>
      </c>
      <c r="C1390" t="s">
        <v>58</v>
      </c>
      <c r="D1390">
        <v>6.3034697469316701</v>
      </c>
      <c r="E1390" t="s">
        <v>7</v>
      </c>
    </row>
    <row r="1391" spans="1:5" x14ac:dyDescent="0.25">
      <c r="A1391" t="s">
        <v>49</v>
      </c>
      <c r="B1391">
        <v>2012</v>
      </c>
      <c r="C1391" t="s">
        <v>58</v>
      </c>
      <c r="D1391">
        <v>6.7062236092065799</v>
      </c>
      <c r="E1391" t="s">
        <v>7</v>
      </c>
    </row>
    <row r="1392" spans="1:5" x14ac:dyDescent="0.25">
      <c r="A1392" t="s">
        <v>49</v>
      </c>
      <c r="B1392">
        <v>2013</v>
      </c>
      <c r="C1392" t="s">
        <v>58</v>
      </c>
      <c r="D1392">
        <v>7.2462455147875202</v>
      </c>
      <c r="E1392" t="s">
        <v>7</v>
      </c>
    </row>
    <row r="1393" spans="1:5" x14ac:dyDescent="0.25">
      <c r="A1393" t="s">
        <v>49</v>
      </c>
      <c r="B1393">
        <v>2014</v>
      </c>
      <c r="C1393" t="s">
        <v>58</v>
      </c>
      <c r="D1393">
        <v>7.0253955831044603</v>
      </c>
      <c r="E1393" t="s">
        <v>7</v>
      </c>
    </row>
    <row r="1394" spans="1:5" x14ac:dyDescent="0.25">
      <c r="A1394" t="s">
        <v>49</v>
      </c>
      <c r="B1394">
        <v>2015</v>
      </c>
      <c r="C1394" t="s">
        <v>58</v>
      </c>
      <c r="D1394">
        <v>5.3869021052597903</v>
      </c>
      <c r="E1394" t="s">
        <v>7</v>
      </c>
    </row>
    <row r="1395" spans="1:5" x14ac:dyDescent="0.25">
      <c r="A1395" t="s">
        <v>49</v>
      </c>
      <c r="B1395">
        <v>2016</v>
      </c>
      <c r="C1395" t="s">
        <v>58</v>
      </c>
      <c r="D1395">
        <v>5.3709723955402504</v>
      </c>
      <c r="E1395" t="s">
        <v>7</v>
      </c>
    </row>
    <row r="1396" spans="1:5" x14ac:dyDescent="0.25">
      <c r="A1396" t="s">
        <v>49</v>
      </c>
      <c r="B1396">
        <v>2017</v>
      </c>
      <c r="C1396" t="s">
        <v>58</v>
      </c>
      <c r="D1396">
        <v>6.0752109703907102</v>
      </c>
      <c r="E1396" t="s">
        <v>7</v>
      </c>
    </row>
    <row r="1397" spans="1:5" x14ac:dyDescent="0.25">
      <c r="A1397" t="s">
        <v>49</v>
      </c>
      <c r="B1397">
        <v>2018</v>
      </c>
      <c r="C1397" t="s">
        <v>58</v>
      </c>
      <c r="D1397">
        <v>6.4039307101447598</v>
      </c>
      <c r="E1397" t="s">
        <v>7</v>
      </c>
    </row>
    <row r="1398" spans="1:5" x14ac:dyDescent="0.25">
      <c r="A1398" t="s">
        <v>49</v>
      </c>
      <c r="B1398">
        <v>2019</v>
      </c>
      <c r="C1398" t="s">
        <v>58</v>
      </c>
      <c r="D1398">
        <v>6.12760283360966</v>
      </c>
      <c r="E1398" t="s">
        <v>7</v>
      </c>
    </row>
    <row r="1399" spans="1:5" x14ac:dyDescent="0.25">
      <c r="A1399" t="s">
        <v>49</v>
      </c>
      <c r="B1399">
        <v>2020</v>
      </c>
      <c r="C1399" t="s">
        <v>58</v>
      </c>
      <c r="D1399">
        <v>6.2540522932623501</v>
      </c>
      <c r="E1399" t="s">
        <v>7</v>
      </c>
    </row>
    <row r="1400" spans="1:5" x14ac:dyDescent="0.25">
      <c r="A1400" t="s">
        <v>49</v>
      </c>
      <c r="B1400">
        <v>2021</v>
      </c>
      <c r="C1400" t="s">
        <v>58</v>
      </c>
      <c r="D1400">
        <v>6.5614519432479597</v>
      </c>
      <c r="E1400" t="s">
        <v>7</v>
      </c>
    </row>
    <row r="1401" spans="1:5" x14ac:dyDescent="0.25">
      <c r="A1401" t="s">
        <v>49</v>
      </c>
      <c r="B1401">
        <v>2022</v>
      </c>
      <c r="C1401" t="s">
        <v>58</v>
      </c>
      <c r="D1401">
        <v>6.6978991593028496</v>
      </c>
      <c r="E1401" t="s">
        <v>7</v>
      </c>
    </row>
    <row r="1402" spans="1:5" x14ac:dyDescent="0.25">
      <c r="A1402" t="s">
        <v>49</v>
      </c>
      <c r="B1402">
        <v>2023</v>
      </c>
      <c r="C1402" t="s">
        <v>58</v>
      </c>
      <c r="D1402">
        <v>7.6077783199219304</v>
      </c>
      <c r="E1402" t="s">
        <v>7</v>
      </c>
    </row>
    <row r="1403" spans="1:5" x14ac:dyDescent="0.25">
      <c r="A1403" t="s">
        <v>49</v>
      </c>
      <c r="B1403">
        <v>2024</v>
      </c>
      <c r="C1403" t="s">
        <v>58</v>
      </c>
      <c r="D1403">
        <v>7.7286551625658504</v>
      </c>
      <c r="E1403" t="s">
        <v>7</v>
      </c>
    </row>
    <row r="1404" spans="1:5" x14ac:dyDescent="0.25">
      <c r="A1404" t="s">
        <v>49</v>
      </c>
      <c r="B1404">
        <v>2025</v>
      </c>
      <c r="C1404" t="s">
        <v>58</v>
      </c>
      <c r="D1404">
        <v>7.8281115279597202</v>
      </c>
      <c r="E1404" t="s">
        <v>7</v>
      </c>
    </row>
    <row r="1405" spans="1:5" x14ac:dyDescent="0.25">
      <c r="A1405" t="s">
        <v>50</v>
      </c>
      <c r="B1405">
        <v>2010</v>
      </c>
      <c r="C1405" t="s">
        <v>58</v>
      </c>
      <c r="D1405">
        <v>3.19216827820311</v>
      </c>
      <c r="E1405" t="s">
        <v>7</v>
      </c>
    </row>
    <row r="1406" spans="1:5" x14ac:dyDescent="0.25">
      <c r="A1406" t="s">
        <v>50</v>
      </c>
      <c r="B1406">
        <v>2011</v>
      </c>
      <c r="C1406" t="s">
        <v>58</v>
      </c>
      <c r="D1406">
        <v>3.9873877151937802</v>
      </c>
      <c r="E1406" t="s">
        <v>7</v>
      </c>
    </row>
    <row r="1407" spans="1:5" x14ac:dyDescent="0.25">
      <c r="A1407" t="s">
        <v>50</v>
      </c>
      <c r="B1407">
        <v>2012</v>
      </c>
      <c r="C1407" t="s">
        <v>58</v>
      </c>
      <c r="D1407">
        <v>4.7783966685166899</v>
      </c>
      <c r="E1407" t="s">
        <v>7</v>
      </c>
    </row>
    <row r="1408" spans="1:5" x14ac:dyDescent="0.25">
      <c r="A1408" t="s">
        <v>50</v>
      </c>
      <c r="B1408">
        <v>2013</v>
      </c>
      <c r="C1408" t="s">
        <v>58</v>
      </c>
      <c r="D1408">
        <v>4.81150770656361</v>
      </c>
      <c r="E1408" t="s">
        <v>7</v>
      </c>
    </row>
    <row r="1409" spans="1:5" x14ac:dyDescent="0.25">
      <c r="A1409" t="s">
        <v>50</v>
      </c>
      <c r="B1409">
        <v>2014</v>
      </c>
      <c r="C1409" t="s">
        <v>58</v>
      </c>
      <c r="D1409">
        <v>3.9937549307462201</v>
      </c>
      <c r="E1409" t="s">
        <v>7</v>
      </c>
    </row>
    <row r="1410" spans="1:5" x14ac:dyDescent="0.25">
      <c r="A1410" t="s">
        <v>50</v>
      </c>
      <c r="B1410">
        <v>2015</v>
      </c>
      <c r="C1410" t="s">
        <v>58</v>
      </c>
      <c r="D1410">
        <v>3.5559148240524499</v>
      </c>
      <c r="E1410" t="s">
        <v>7</v>
      </c>
    </row>
    <row r="1411" spans="1:5" x14ac:dyDescent="0.25">
      <c r="A1411" t="s">
        <v>50</v>
      </c>
      <c r="B1411">
        <v>2016</v>
      </c>
      <c r="C1411" t="s">
        <v>58</v>
      </c>
      <c r="D1411">
        <v>3.5557295292690498</v>
      </c>
      <c r="E1411" t="s">
        <v>7</v>
      </c>
    </row>
    <row r="1412" spans="1:5" x14ac:dyDescent="0.25">
      <c r="A1412" t="s">
        <v>50</v>
      </c>
      <c r="B1412">
        <v>2017</v>
      </c>
      <c r="C1412" t="s">
        <v>58</v>
      </c>
      <c r="D1412">
        <v>4.2480675876613399</v>
      </c>
      <c r="E1412" t="s">
        <v>7</v>
      </c>
    </row>
    <row r="1413" spans="1:5" x14ac:dyDescent="0.25">
      <c r="A1413" t="s">
        <v>50</v>
      </c>
      <c r="B1413">
        <v>2018</v>
      </c>
      <c r="C1413" t="s">
        <v>58</v>
      </c>
      <c r="D1413">
        <v>4.4216454386133996</v>
      </c>
      <c r="E1413" t="s">
        <v>7</v>
      </c>
    </row>
    <row r="1414" spans="1:5" x14ac:dyDescent="0.25">
      <c r="A1414" t="s">
        <v>50</v>
      </c>
      <c r="B1414">
        <v>2019</v>
      </c>
      <c r="C1414" t="s">
        <v>58</v>
      </c>
      <c r="D1414">
        <v>4.4661897181975503</v>
      </c>
      <c r="E1414" t="s">
        <v>7</v>
      </c>
    </row>
    <row r="1415" spans="1:5" x14ac:dyDescent="0.25">
      <c r="A1415" t="s">
        <v>50</v>
      </c>
      <c r="B1415">
        <v>2020</v>
      </c>
      <c r="C1415" t="s">
        <v>58</v>
      </c>
      <c r="D1415">
        <v>4.0734231118288298</v>
      </c>
      <c r="E1415" t="s">
        <v>7</v>
      </c>
    </row>
    <row r="1416" spans="1:5" x14ac:dyDescent="0.25">
      <c r="A1416" t="s">
        <v>50</v>
      </c>
      <c r="B1416">
        <v>2021</v>
      </c>
      <c r="C1416" t="s">
        <v>58</v>
      </c>
      <c r="D1416">
        <v>4.07156151163373</v>
      </c>
      <c r="E1416" t="s">
        <v>7</v>
      </c>
    </row>
    <row r="1417" spans="1:5" x14ac:dyDescent="0.25">
      <c r="A1417" t="s">
        <v>50</v>
      </c>
      <c r="B1417">
        <v>2022</v>
      </c>
      <c r="C1417" t="s">
        <v>58</v>
      </c>
      <c r="D1417">
        <v>4.4459253182997802</v>
      </c>
      <c r="E1417" t="s">
        <v>7</v>
      </c>
    </row>
    <row r="1418" spans="1:5" x14ac:dyDescent="0.25">
      <c r="A1418" t="s">
        <v>50</v>
      </c>
      <c r="B1418">
        <v>2023</v>
      </c>
      <c r="C1418" t="s">
        <v>58</v>
      </c>
      <c r="D1418">
        <v>4.6969633713439602</v>
      </c>
      <c r="E1418" t="s">
        <v>7</v>
      </c>
    </row>
    <row r="1419" spans="1:5" x14ac:dyDescent="0.25">
      <c r="A1419" t="s">
        <v>50</v>
      </c>
      <c r="B1419">
        <v>2024</v>
      </c>
      <c r="C1419" t="s">
        <v>58</v>
      </c>
      <c r="D1419">
        <v>4.3119269788492796</v>
      </c>
      <c r="E1419" t="s">
        <v>7</v>
      </c>
    </row>
    <row r="1420" spans="1:5" x14ac:dyDescent="0.25">
      <c r="A1420" t="s">
        <v>50</v>
      </c>
      <c r="B1420">
        <v>2025</v>
      </c>
      <c r="C1420" t="s">
        <v>58</v>
      </c>
      <c r="D1420">
        <v>4.2251722422770603</v>
      </c>
      <c r="E1420" t="s">
        <v>7</v>
      </c>
    </row>
    <row r="1421" spans="1:5" x14ac:dyDescent="0.25">
      <c r="A1421" t="s">
        <v>51</v>
      </c>
      <c r="B1421">
        <v>2021</v>
      </c>
      <c r="C1421" t="s">
        <v>58</v>
      </c>
      <c r="D1421">
        <v>5.51210671583571</v>
      </c>
      <c r="E1421" t="s">
        <v>7</v>
      </c>
    </row>
    <row r="1422" spans="1:5" x14ac:dyDescent="0.25">
      <c r="A1422" t="s">
        <v>51</v>
      </c>
      <c r="B1422">
        <v>2022</v>
      </c>
      <c r="C1422" t="s">
        <v>58</v>
      </c>
      <c r="D1422">
        <v>5.3580221029267401</v>
      </c>
      <c r="E1422" t="s">
        <v>7</v>
      </c>
    </row>
    <row r="1423" spans="1:5" x14ac:dyDescent="0.25">
      <c r="A1423" t="s">
        <v>52</v>
      </c>
      <c r="B1423">
        <v>2025</v>
      </c>
      <c r="C1423" t="s">
        <v>58</v>
      </c>
      <c r="D1423">
        <v>4.8973822826340898</v>
      </c>
      <c r="E1423" t="s">
        <v>7</v>
      </c>
    </row>
    <row r="1424" spans="1:5" x14ac:dyDescent="0.25">
      <c r="A1424" t="s">
        <v>53</v>
      </c>
      <c r="B1424">
        <v>2022</v>
      </c>
      <c r="C1424" t="s">
        <v>58</v>
      </c>
      <c r="D1424">
        <v>5.5045039277941097</v>
      </c>
      <c r="E1424" t="s">
        <v>7</v>
      </c>
    </row>
    <row r="1425" spans="1:5" x14ac:dyDescent="0.25">
      <c r="A1425" t="s">
        <v>53</v>
      </c>
      <c r="B1425">
        <v>2023</v>
      </c>
      <c r="C1425" t="s">
        <v>58</v>
      </c>
      <c r="D1425">
        <v>5.6786249179406196</v>
      </c>
      <c r="E1425" t="s">
        <v>7</v>
      </c>
    </row>
    <row r="1426" spans="1:5" x14ac:dyDescent="0.25">
      <c r="A1426" t="s">
        <v>53</v>
      </c>
      <c r="B1426">
        <v>2024</v>
      </c>
      <c r="C1426" t="s">
        <v>58</v>
      </c>
      <c r="D1426">
        <v>6.2386372060077999</v>
      </c>
      <c r="E1426" t="s">
        <v>7</v>
      </c>
    </row>
    <row r="1427" spans="1:5" x14ac:dyDescent="0.25">
      <c r="A1427" t="s">
        <v>53</v>
      </c>
      <c r="B1427">
        <v>2025</v>
      </c>
      <c r="C1427" t="s">
        <v>58</v>
      </c>
      <c r="D1427">
        <v>6.3527496388650002</v>
      </c>
      <c r="E1427" t="s">
        <v>7</v>
      </c>
    </row>
    <row r="1428" spans="1:5" x14ac:dyDescent="0.25">
      <c r="A1428" t="s">
        <v>54</v>
      </c>
      <c r="B1428">
        <v>2017</v>
      </c>
      <c r="C1428" t="s">
        <v>58</v>
      </c>
      <c r="D1428">
        <v>3.16610490181084</v>
      </c>
      <c r="E1428" t="s">
        <v>7</v>
      </c>
    </row>
    <row r="1429" spans="1:5" x14ac:dyDescent="0.25">
      <c r="A1429" t="s">
        <v>54</v>
      </c>
      <c r="B1429">
        <v>2018</v>
      </c>
      <c r="C1429" t="s">
        <v>58</v>
      </c>
      <c r="D1429">
        <v>3.95340541076293</v>
      </c>
      <c r="E1429" t="s">
        <v>7</v>
      </c>
    </row>
    <row r="1430" spans="1:5" x14ac:dyDescent="0.25">
      <c r="A1430" t="s">
        <v>54</v>
      </c>
      <c r="B1430">
        <v>2019</v>
      </c>
      <c r="C1430" t="s">
        <v>58</v>
      </c>
      <c r="D1430">
        <v>3.7130651830866501</v>
      </c>
      <c r="E1430" t="s">
        <v>7</v>
      </c>
    </row>
    <row r="1431" spans="1:5" x14ac:dyDescent="0.25">
      <c r="A1431" t="s">
        <v>55</v>
      </c>
      <c r="B1431">
        <v>2010</v>
      </c>
      <c r="C1431" t="s">
        <v>58</v>
      </c>
      <c r="D1431">
        <v>3.9466078473378001</v>
      </c>
      <c r="E1431" t="s">
        <v>7</v>
      </c>
    </row>
    <row r="1432" spans="1:5" x14ac:dyDescent="0.25">
      <c r="A1432" t="s">
        <v>55</v>
      </c>
      <c r="B1432">
        <v>2011</v>
      </c>
      <c r="C1432" t="s">
        <v>58</v>
      </c>
      <c r="D1432">
        <v>6.3269412917822399</v>
      </c>
      <c r="E1432" t="s">
        <v>7</v>
      </c>
    </row>
    <row r="1433" spans="1:5" x14ac:dyDescent="0.25">
      <c r="A1433" t="s">
        <v>55</v>
      </c>
      <c r="B1433">
        <v>2012</v>
      </c>
      <c r="C1433" t="s">
        <v>58</v>
      </c>
      <c r="D1433">
        <v>5.7587190251665401</v>
      </c>
      <c r="E1433" t="s">
        <v>7</v>
      </c>
    </row>
    <row r="1434" spans="1:5" x14ac:dyDescent="0.25">
      <c r="A1434" t="s">
        <v>55</v>
      </c>
      <c r="B1434">
        <v>2013</v>
      </c>
      <c r="C1434" t="s">
        <v>58</v>
      </c>
      <c r="D1434">
        <v>6.4248093271328299</v>
      </c>
      <c r="E1434" t="s">
        <v>7</v>
      </c>
    </row>
    <row r="1435" spans="1:5" x14ac:dyDescent="0.25">
      <c r="A1435" t="s">
        <v>55</v>
      </c>
      <c r="B1435">
        <v>2014</v>
      </c>
      <c r="C1435" t="s">
        <v>58</v>
      </c>
      <c r="D1435">
        <v>6.7115564135149102</v>
      </c>
      <c r="E1435" t="s">
        <v>7</v>
      </c>
    </row>
    <row r="1436" spans="1:5" x14ac:dyDescent="0.25">
      <c r="A1436" t="s">
        <v>55</v>
      </c>
      <c r="B1436">
        <v>2015</v>
      </c>
      <c r="C1436" t="s">
        <v>58</v>
      </c>
      <c r="D1436">
        <v>5.7820673408082399</v>
      </c>
      <c r="E1436" t="s">
        <v>7</v>
      </c>
    </row>
    <row r="1437" spans="1:5" x14ac:dyDescent="0.25">
      <c r="A1437" t="s">
        <v>55</v>
      </c>
      <c r="B1437">
        <v>2016</v>
      </c>
      <c r="C1437" t="s">
        <v>58</v>
      </c>
      <c r="D1437">
        <v>5.6012923312390299</v>
      </c>
      <c r="E1437" t="s">
        <v>7</v>
      </c>
    </row>
    <row r="1438" spans="1:5" x14ac:dyDescent="0.25">
      <c r="A1438" t="s">
        <v>55</v>
      </c>
      <c r="B1438">
        <v>2017</v>
      </c>
      <c r="C1438" t="s">
        <v>58</v>
      </c>
      <c r="D1438">
        <v>5.8248255508649303</v>
      </c>
      <c r="E1438" t="s">
        <v>7</v>
      </c>
    </row>
    <row r="1439" spans="1:5" x14ac:dyDescent="0.25">
      <c r="A1439" t="s">
        <v>55</v>
      </c>
      <c r="B1439">
        <v>2018</v>
      </c>
      <c r="C1439" t="s">
        <v>58</v>
      </c>
      <c r="D1439">
        <v>4.0199490926374901</v>
      </c>
      <c r="E1439" t="s">
        <v>7</v>
      </c>
    </row>
    <row r="1440" spans="1:5" x14ac:dyDescent="0.25">
      <c r="A1440" t="s">
        <v>55</v>
      </c>
      <c r="B1440">
        <v>2019</v>
      </c>
      <c r="C1440" t="s">
        <v>58</v>
      </c>
      <c r="D1440">
        <v>6.5948010314357299</v>
      </c>
      <c r="E1440" t="s">
        <v>7</v>
      </c>
    </row>
    <row r="1441" spans="1:5" x14ac:dyDescent="0.25">
      <c r="A1441" t="s">
        <v>55</v>
      </c>
      <c r="B1441">
        <v>2020</v>
      </c>
      <c r="C1441" t="s">
        <v>58</v>
      </c>
      <c r="D1441">
        <v>5.8954634451523198</v>
      </c>
      <c r="E1441" t="s">
        <v>7</v>
      </c>
    </row>
    <row r="1442" spans="1:5" x14ac:dyDescent="0.25">
      <c r="A1442" t="s">
        <v>56</v>
      </c>
      <c r="B1442">
        <v>2015</v>
      </c>
      <c r="C1442" t="s">
        <v>58</v>
      </c>
      <c r="D1442">
        <v>4.5097474629306102</v>
      </c>
      <c r="E1442" t="s">
        <v>7</v>
      </c>
    </row>
    <row r="1443" spans="1:5" x14ac:dyDescent="0.25">
      <c r="A1443" t="s">
        <v>56</v>
      </c>
      <c r="B1443">
        <v>2016</v>
      </c>
      <c r="C1443" t="s">
        <v>58</v>
      </c>
      <c r="D1443">
        <v>4.63494681319637</v>
      </c>
      <c r="E1443" t="s">
        <v>7</v>
      </c>
    </row>
    <row r="1444" spans="1:5" x14ac:dyDescent="0.25">
      <c r="A1444" t="s">
        <v>56</v>
      </c>
      <c r="B1444">
        <v>2017</v>
      </c>
      <c r="C1444" t="s">
        <v>58</v>
      </c>
      <c r="D1444">
        <v>5.5001841504690798</v>
      </c>
      <c r="E1444" t="s">
        <v>7</v>
      </c>
    </row>
    <row r="1445" spans="1:5" x14ac:dyDescent="0.25">
      <c r="A1445" t="s">
        <v>56</v>
      </c>
      <c r="B1445">
        <v>2018</v>
      </c>
      <c r="C1445" t="s">
        <v>58</v>
      </c>
      <c r="D1445">
        <v>5.70959750122696</v>
      </c>
      <c r="E1445" t="s">
        <v>7</v>
      </c>
    </row>
    <row r="1446" spans="1:5" x14ac:dyDescent="0.25">
      <c r="A1446" t="s">
        <v>56</v>
      </c>
      <c r="B1446">
        <v>2019</v>
      </c>
      <c r="C1446" t="s">
        <v>58</v>
      </c>
      <c r="D1446">
        <v>4.9187537854310301</v>
      </c>
      <c r="E1446" t="s">
        <v>7</v>
      </c>
    </row>
    <row r="1447" spans="1:5" x14ac:dyDescent="0.25">
      <c r="A1447" t="s">
        <v>56</v>
      </c>
      <c r="B1447">
        <v>2020</v>
      </c>
      <c r="C1447" t="s">
        <v>58</v>
      </c>
      <c r="D1447">
        <v>4.4863940731988796</v>
      </c>
      <c r="E1447" t="s">
        <v>7</v>
      </c>
    </row>
    <row r="1448" spans="1:5" x14ac:dyDescent="0.25">
      <c r="A1448" t="s">
        <v>56</v>
      </c>
      <c r="B1448">
        <v>2021</v>
      </c>
      <c r="C1448" t="s">
        <v>58</v>
      </c>
      <c r="D1448">
        <v>5.0318516819973</v>
      </c>
      <c r="E1448" t="s">
        <v>7</v>
      </c>
    </row>
    <row r="1449" spans="1:5" x14ac:dyDescent="0.25">
      <c r="A1449" t="s">
        <v>56</v>
      </c>
      <c r="B1449">
        <v>2022</v>
      </c>
      <c r="C1449" t="s">
        <v>58</v>
      </c>
      <c r="D1449">
        <v>4.8883470232905699</v>
      </c>
      <c r="E1449" t="s">
        <v>7</v>
      </c>
    </row>
    <row r="1450" spans="1:5" x14ac:dyDescent="0.25">
      <c r="A1450" t="s">
        <v>56</v>
      </c>
      <c r="B1450">
        <v>2023</v>
      </c>
      <c r="C1450" t="s">
        <v>58</v>
      </c>
      <c r="D1450">
        <v>6.0175838056278703</v>
      </c>
      <c r="E1450" t="s">
        <v>7</v>
      </c>
    </row>
    <row r="1451" spans="1:5" x14ac:dyDescent="0.25">
      <c r="A1451" t="s">
        <v>5</v>
      </c>
      <c r="B1451">
        <v>2011</v>
      </c>
      <c r="C1451" t="s">
        <v>6</v>
      </c>
      <c r="D1451">
        <v>9368798.8000000007</v>
      </c>
      <c r="E1451" t="s">
        <v>59</v>
      </c>
    </row>
    <row r="1452" spans="1:5" x14ac:dyDescent="0.25">
      <c r="A1452" t="s">
        <v>5</v>
      </c>
      <c r="B1452">
        <v>2012</v>
      </c>
      <c r="C1452" t="s">
        <v>6</v>
      </c>
      <c r="D1452">
        <v>8510289.8800000008</v>
      </c>
      <c r="E1452" t="s">
        <v>59</v>
      </c>
    </row>
    <row r="1453" spans="1:5" x14ac:dyDescent="0.25">
      <c r="A1453" t="s">
        <v>5</v>
      </c>
      <c r="B1453">
        <v>2013</v>
      </c>
      <c r="C1453" t="s">
        <v>6</v>
      </c>
      <c r="D1453">
        <v>9061239.6799999997</v>
      </c>
      <c r="E1453" t="s">
        <v>59</v>
      </c>
    </row>
    <row r="1454" spans="1:5" x14ac:dyDescent="0.25">
      <c r="A1454" t="s">
        <v>5</v>
      </c>
      <c r="B1454">
        <v>2014</v>
      </c>
      <c r="C1454" t="s">
        <v>6</v>
      </c>
      <c r="D1454">
        <v>10521748.619999999</v>
      </c>
      <c r="E1454" t="s">
        <v>59</v>
      </c>
    </row>
    <row r="1455" spans="1:5" x14ac:dyDescent="0.25">
      <c r="A1455" t="s">
        <v>5</v>
      </c>
      <c r="B1455">
        <v>2015</v>
      </c>
      <c r="C1455" t="s">
        <v>6</v>
      </c>
      <c r="D1455">
        <v>10934851.880000001</v>
      </c>
      <c r="E1455" t="s">
        <v>59</v>
      </c>
    </row>
    <row r="1456" spans="1:5" x14ac:dyDescent="0.25">
      <c r="A1456" t="s">
        <v>5</v>
      </c>
      <c r="B1456">
        <v>2016</v>
      </c>
      <c r="C1456" t="s">
        <v>6</v>
      </c>
      <c r="D1456">
        <v>10389454.689999999</v>
      </c>
      <c r="E1456" t="s">
        <v>59</v>
      </c>
    </row>
    <row r="1457" spans="1:5" x14ac:dyDescent="0.25">
      <c r="A1457" t="s">
        <v>5</v>
      </c>
      <c r="B1457">
        <v>2017</v>
      </c>
      <c r="C1457" t="s">
        <v>6</v>
      </c>
      <c r="D1457">
        <v>10339961.210000001</v>
      </c>
      <c r="E1457" t="s">
        <v>59</v>
      </c>
    </row>
    <row r="1458" spans="1:5" x14ac:dyDescent="0.25">
      <c r="A1458" t="s">
        <v>5</v>
      </c>
      <c r="B1458">
        <v>2018</v>
      </c>
      <c r="C1458" t="s">
        <v>6</v>
      </c>
      <c r="D1458">
        <v>10505594.001</v>
      </c>
      <c r="E1458" t="s">
        <v>59</v>
      </c>
    </row>
    <row r="1459" spans="1:5" x14ac:dyDescent="0.25">
      <c r="A1459" t="s">
        <v>5</v>
      </c>
      <c r="B1459">
        <v>2019</v>
      </c>
      <c r="C1459" t="s">
        <v>6</v>
      </c>
      <c r="D1459">
        <v>10892036.35</v>
      </c>
      <c r="E1459" t="s">
        <v>59</v>
      </c>
    </row>
    <row r="1460" spans="1:5" x14ac:dyDescent="0.25">
      <c r="A1460" t="s">
        <v>5</v>
      </c>
      <c r="B1460">
        <v>2020</v>
      </c>
      <c r="C1460" t="s">
        <v>6</v>
      </c>
      <c r="D1460">
        <v>10622410.220000001</v>
      </c>
      <c r="E1460" t="s">
        <v>59</v>
      </c>
    </row>
    <row r="1461" spans="1:5" x14ac:dyDescent="0.25">
      <c r="A1461" t="s">
        <v>5</v>
      </c>
      <c r="B1461">
        <v>2021</v>
      </c>
      <c r="C1461" t="s">
        <v>6</v>
      </c>
      <c r="D1461">
        <v>9178834.1899999995</v>
      </c>
      <c r="E1461" t="s">
        <v>59</v>
      </c>
    </row>
    <row r="1462" spans="1:5" x14ac:dyDescent="0.25">
      <c r="A1462" t="s">
        <v>5</v>
      </c>
      <c r="B1462">
        <v>2022</v>
      </c>
      <c r="C1462" t="s">
        <v>6</v>
      </c>
      <c r="D1462">
        <v>9514175.5700000003</v>
      </c>
      <c r="E1462" t="s">
        <v>59</v>
      </c>
    </row>
    <row r="1463" spans="1:5" x14ac:dyDescent="0.25">
      <c r="A1463" t="s">
        <v>5</v>
      </c>
      <c r="B1463">
        <v>2023</v>
      </c>
      <c r="C1463" t="s">
        <v>6</v>
      </c>
      <c r="D1463">
        <v>9866536.4399999995</v>
      </c>
      <c r="E1463" t="s">
        <v>59</v>
      </c>
    </row>
    <row r="1464" spans="1:5" x14ac:dyDescent="0.25">
      <c r="A1464" t="s">
        <v>5</v>
      </c>
      <c r="B1464">
        <v>2024</v>
      </c>
      <c r="C1464" t="s">
        <v>6</v>
      </c>
      <c r="D1464">
        <v>9849311.1699999999</v>
      </c>
      <c r="E1464" t="s">
        <v>59</v>
      </c>
    </row>
    <row r="1465" spans="1:5" x14ac:dyDescent="0.25">
      <c r="A1465" t="s">
        <v>5</v>
      </c>
      <c r="B1465">
        <v>2025</v>
      </c>
      <c r="C1465" t="s">
        <v>6</v>
      </c>
      <c r="D1465">
        <v>11415073.25</v>
      </c>
      <c r="E1465" t="s">
        <v>59</v>
      </c>
    </row>
    <row r="1466" spans="1:5" x14ac:dyDescent="0.25">
      <c r="A1466" t="s">
        <v>10</v>
      </c>
      <c r="B1466">
        <v>2000</v>
      </c>
      <c r="C1466" t="s">
        <v>6</v>
      </c>
      <c r="D1466">
        <v>12513084</v>
      </c>
      <c r="E1466" t="s">
        <v>59</v>
      </c>
    </row>
    <row r="1467" spans="1:5" x14ac:dyDescent="0.25">
      <c r="A1467" t="s">
        <v>10</v>
      </c>
      <c r="B1467">
        <v>2001</v>
      </c>
      <c r="C1467" t="s">
        <v>6</v>
      </c>
      <c r="D1467">
        <v>14025643</v>
      </c>
      <c r="E1467" t="s">
        <v>59</v>
      </c>
    </row>
    <row r="1468" spans="1:5" x14ac:dyDescent="0.25">
      <c r="A1468" t="s">
        <v>10</v>
      </c>
      <c r="B1468">
        <v>2002</v>
      </c>
      <c r="C1468" t="s">
        <v>6</v>
      </c>
      <c r="D1468">
        <v>10894855</v>
      </c>
      <c r="E1468" t="s">
        <v>59</v>
      </c>
    </row>
    <row r="1469" spans="1:5" x14ac:dyDescent="0.25">
      <c r="A1469" t="s">
        <v>10</v>
      </c>
      <c r="B1469">
        <v>2003</v>
      </c>
      <c r="C1469" t="s">
        <v>6</v>
      </c>
      <c r="D1469">
        <v>6697706</v>
      </c>
      <c r="E1469" t="s">
        <v>59</v>
      </c>
    </row>
    <row r="1470" spans="1:5" x14ac:dyDescent="0.25">
      <c r="A1470" t="s">
        <v>10</v>
      </c>
      <c r="B1470">
        <v>2004</v>
      </c>
      <c r="C1470" t="s">
        <v>6</v>
      </c>
      <c r="D1470">
        <v>7951190</v>
      </c>
      <c r="E1470" t="s">
        <v>59</v>
      </c>
    </row>
    <row r="1471" spans="1:5" x14ac:dyDescent="0.25">
      <c r="A1471" t="s">
        <v>10</v>
      </c>
      <c r="B1471">
        <v>2005</v>
      </c>
      <c r="C1471" t="s">
        <v>6</v>
      </c>
      <c r="D1471">
        <v>8069344</v>
      </c>
      <c r="E1471" t="s">
        <v>59</v>
      </c>
    </row>
    <row r="1472" spans="1:5" x14ac:dyDescent="0.25">
      <c r="A1472" t="s">
        <v>10</v>
      </c>
      <c r="B1472">
        <v>2006</v>
      </c>
      <c r="C1472" t="s">
        <v>6</v>
      </c>
      <c r="D1472">
        <v>5632054</v>
      </c>
      <c r="E1472" t="s">
        <v>59</v>
      </c>
    </row>
    <row r="1473" spans="1:5" x14ac:dyDescent="0.25">
      <c r="A1473" t="s">
        <v>10</v>
      </c>
      <c r="B1473">
        <v>2007</v>
      </c>
      <c r="C1473" t="s">
        <v>6</v>
      </c>
      <c r="D1473">
        <v>4746545</v>
      </c>
      <c r="E1473" t="s">
        <v>59</v>
      </c>
    </row>
    <row r="1474" spans="1:5" x14ac:dyDescent="0.25">
      <c r="A1474" t="s">
        <v>10</v>
      </c>
      <c r="B1474">
        <v>2009</v>
      </c>
      <c r="C1474" t="s">
        <v>6</v>
      </c>
      <c r="D1474">
        <v>2760193</v>
      </c>
      <c r="E1474" t="s">
        <v>59</v>
      </c>
    </row>
    <row r="1475" spans="1:5" x14ac:dyDescent="0.25">
      <c r="A1475" t="s">
        <v>10</v>
      </c>
      <c r="B1475">
        <v>2010</v>
      </c>
      <c r="C1475" t="s">
        <v>6</v>
      </c>
      <c r="D1475">
        <v>4360260</v>
      </c>
      <c r="E1475" t="s">
        <v>59</v>
      </c>
    </row>
    <row r="1476" spans="1:5" x14ac:dyDescent="0.25">
      <c r="A1476" t="s">
        <v>10</v>
      </c>
      <c r="B1476">
        <v>2011</v>
      </c>
      <c r="C1476" t="s">
        <v>6</v>
      </c>
      <c r="D1476">
        <v>10992333</v>
      </c>
      <c r="E1476" t="s">
        <v>59</v>
      </c>
    </row>
    <row r="1477" spans="1:5" x14ac:dyDescent="0.25">
      <c r="A1477" t="s">
        <v>10</v>
      </c>
      <c r="B1477">
        <v>2012</v>
      </c>
      <c r="C1477" t="s">
        <v>6</v>
      </c>
      <c r="D1477">
        <v>16486960</v>
      </c>
      <c r="E1477" t="s">
        <v>59</v>
      </c>
    </row>
    <row r="1478" spans="1:5" x14ac:dyDescent="0.25">
      <c r="A1478" t="s">
        <v>10</v>
      </c>
      <c r="B1478">
        <v>2013</v>
      </c>
      <c r="C1478" t="s">
        <v>6</v>
      </c>
      <c r="D1478">
        <v>10031338</v>
      </c>
      <c r="E1478" t="s">
        <v>59</v>
      </c>
    </row>
    <row r="1479" spans="1:5" x14ac:dyDescent="0.25">
      <c r="A1479" t="s">
        <v>10</v>
      </c>
      <c r="B1479">
        <v>2014</v>
      </c>
      <c r="C1479" t="s">
        <v>6</v>
      </c>
      <c r="D1479">
        <v>6367342</v>
      </c>
      <c r="E1479" t="s">
        <v>59</v>
      </c>
    </row>
    <row r="1480" spans="1:5" x14ac:dyDescent="0.25">
      <c r="A1480" t="s">
        <v>10</v>
      </c>
      <c r="B1480">
        <v>2015</v>
      </c>
      <c r="C1480" t="s">
        <v>6</v>
      </c>
      <c r="D1480">
        <v>8725531</v>
      </c>
      <c r="E1480" t="s">
        <v>59</v>
      </c>
    </row>
    <row r="1481" spans="1:5" x14ac:dyDescent="0.25">
      <c r="A1481" t="s">
        <v>10</v>
      </c>
      <c r="B1481">
        <v>2016</v>
      </c>
      <c r="C1481" t="s">
        <v>6</v>
      </c>
      <c r="D1481">
        <v>8408983</v>
      </c>
      <c r="E1481" t="s">
        <v>59</v>
      </c>
    </row>
    <row r="1482" spans="1:5" x14ac:dyDescent="0.25">
      <c r="A1482" t="s">
        <v>10</v>
      </c>
      <c r="B1482">
        <v>2017</v>
      </c>
      <c r="C1482" t="s">
        <v>6</v>
      </c>
      <c r="D1482">
        <v>8904929</v>
      </c>
      <c r="E1482" t="s">
        <v>59</v>
      </c>
    </row>
    <row r="1483" spans="1:5" x14ac:dyDescent="0.25">
      <c r="A1483" t="s">
        <v>10</v>
      </c>
      <c r="B1483">
        <v>2018</v>
      </c>
      <c r="C1483" t="s">
        <v>6</v>
      </c>
      <c r="D1483">
        <v>7292887</v>
      </c>
      <c r="E1483" t="s">
        <v>59</v>
      </c>
    </row>
    <row r="1484" spans="1:5" x14ac:dyDescent="0.25">
      <c r="A1484" t="s">
        <v>10</v>
      </c>
      <c r="B1484">
        <v>2019</v>
      </c>
      <c r="C1484" t="s">
        <v>6</v>
      </c>
      <c r="D1484">
        <v>7878819</v>
      </c>
      <c r="E1484" t="s">
        <v>59</v>
      </c>
    </row>
    <row r="1485" spans="1:5" x14ac:dyDescent="0.25">
      <c r="A1485" t="s">
        <v>10</v>
      </c>
      <c r="B1485">
        <v>2020</v>
      </c>
      <c r="C1485" t="s">
        <v>6</v>
      </c>
      <c r="D1485">
        <v>7555341</v>
      </c>
      <c r="E1485" t="s">
        <v>59</v>
      </c>
    </row>
    <row r="1486" spans="1:5" x14ac:dyDescent="0.25">
      <c r="A1486" t="s">
        <v>10</v>
      </c>
      <c r="B1486">
        <v>2021</v>
      </c>
      <c r="C1486" t="s">
        <v>6</v>
      </c>
      <c r="D1486">
        <v>4177609</v>
      </c>
      <c r="E1486" t="s">
        <v>59</v>
      </c>
    </row>
    <row r="1487" spans="1:5" x14ac:dyDescent="0.25">
      <c r="A1487" t="s">
        <v>10</v>
      </c>
      <c r="B1487">
        <v>2022</v>
      </c>
      <c r="C1487" t="s">
        <v>6</v>
      </c>
      <c r="D1487">
        <v>3735826</v>
      </c>
      <c r="E1487" t="s">
        <v>59</v>
      </c>
    </row>
    <row r="1488" spans="1:5" x14ac:dyDescent="0.25">
      <c r="A1488" t="s">
        <v>10</v>
      </c>
      <c r="B1488">
        <v>2023</v>
      </c>
      <c r="C1488" t="s">
        <v>6</v>
      </c>
      <c r="D1488">
        <v>4198721</v>
      </c>
      <c r="E1488" t="s">
        <v>59</v>
      </c>
    </row>
    <row r="1489" spans="1:5" x14ac:dyDescent="0.25">
      <c r="A1489" t="s">
        <v>10</v>
      </c>
      <c r="B1489">
        <v>2025</v>
      </c>
      <c r="C1489" t="s">
        <v>6</v>
      </c>
      <c r="D1489">
        <v>2173499</v>
      </c>
      <c r="E1489" t="s">
        <v>59</v>
      </c>
    </row>
    <row r="1490" spans="1:5" x14ac:dyDescent="0.25">
      <c r="A1490" t="s">
        <v>80</v>
      </c>
      <c r="B1490">
        <v>2019</v>
      </c>
      <c r="C1490" t="s">
        <v>6</v>
      </c>
      <c r="D1490">
        <v>1747180.27</v>
      </c>
      <c r="E1490" t="s">
        <v>59</v>
      </c>
    </row>
    <row r="1491" spans="1:5" x14ac:dyDescent="0.25">
      <c r="A1491" t="s">
        <v>79</v>
      </c>
      <c r="B1491">
        <v>2010</v>
      </c>
      <c r="C1491" t="s">
        <v>6</v>
      </c>
      <c r="D1491">
        <v>9640352</v>
      </c>
      <c r="E1491" t="s">
        <v>59</v>
      </c>
    </row>
    <row r="1492" spans="1:5" x14ac:dyDescent="0.25">
      <c r="A1492" t="s">
        <v>79</v>
      </c>
      <c r="B1492">
        <v>2011</v>
      </c>
      <c r="C1492" t="s">
        <v>6</v>
      </c>
      <c r="D1492">
        <v>13636965</v>
      </c>
      <c r="E1492" t="s">
        <v>59</v>
      </c>
    </row>
    <row r="1493" spans="1:5" x14ac:dyDescent="0.25">
      <c r="A1493" t="s">
        <v>79</v>
      </c>
      <c r="B1493">
        <v>2012</v>
      </c>
      <c r="C1493" t="s">
        <v>6</v>
      </c>
      <c r="D1493">
        <v>8443147</v>
      </c>
      <c r="E1493" t="s">
        <v>59</v>
      </c>
    </row>
    <row r="1494" spans="1:5" x14ac:dyDescent="0.25">
      <c r="A1494" t="s">
        <v>79</v>
      </c>
      <c r="B1494">
        <v>2013</v>
      </c>
      <c r="C1494" t="s">
        <v>6</v>
      </c>
      <c r="D1494">
        <v>12280964</v>
      </c>
      <c r="E1494" t="s">
        <v>59</v>
      </c>
    </row>
    <row r="1495" spans="1:5" x14ac:dyDescent="0.25">
      <c r="A1495" t="s">
        <v>79</v>
      </c>
      <c r="B1495">
        <v>2014</v>
      </c>
      <c r="C1495" t="s">
        <v>6</v>
      </c>
      <c r="D1495">
        <v>13794712</v>
      </c>
      <c r="E1495" t="s">
        <v>59</v>
      </c>
    </row>
    <row r="1496" spans="1:5" x14ac:dyDescent="0.25">
      <c r="A1496" t="s">
        <v>79</v>
      </c>
      <c r="B1496">
        <v>2015</v>
      </c>
      <c r="C1496" t="s">
        <v>6</v>
      </c>
      <c r="D1496">
        <v>15215071</v>
      </c>
      <c r="E1496" t="s">
        <v>59</v>
      </c>
    </row>
    <row r="1497" spans="1:5" x14ac:dyDescent="0.25">
      <c r="A1497" t="s">
        <v>79</v>
      </c>
      <c r="B1497">
        <v>2019</v>
      </c>
      <c r="C1497" t="s">
        <v>6</v>
      </c>
      <c r="D1497">
        <v>2216000</v>
      </c>
      <c r="E1497" t="s">
        <v>59</v>
      </c>
    </row>
    <row r="1498" spans="1:5" x14ac:dyDescent="0.25">
      <c r="A1498" t="s">
        <v>78</v>
      </c>
      <c r="B1498">
        <v>2012</v>
      </c>
      <c r="C1498" t="s">
        <v>6</v>
      </c>
      <c r="D1498">
        <v>1966220</v>
      </c>
      <c r="E1498" t="s">
        <v>59</v>
      </c>
    </row>
    <row r="1499" spans="1:5" x14ac:dyDescent="0.25">
      <c r="A1499" t="s">
        <v>11</v>
      </c>
      <c r="B1499">
        <v>2010</v>
      </c>
      <c r="C1499" t="s">
        <v>6</v>
      </c>
      <c r="D1499">
        <v>6137599</v>
      </c>
      <c r="E1499" t="s">
        <v>59</v>
      </c>
    </row>
    <row r="1500" spans="1:5" x14ac:dyDescent="0.25">
      <c r="A1500" t="s">
        <v>11</v>
      </c>
      <c r="B1500">
        <v>2011</v>
      </c>
      <c r="C1500" t="s">
        <v>6</v>
      </c>
      <c r="D1500">
        <v>5712055</v>
      </c>
      <c r="E1500" t="s">
        <v>59</v>
      </c>
    </row>
    <row r="1501" spans="1:5" x14ac:dyDescent="0.25">
      <c r="A1501" t="s">
        <v>11</v>
      </c>
      <c r="B1501">
        <v>2012</v>
      </c>
      <c r="C1501" t="s">
        <v>6</v>
      </c>
      <c r="D1501">
        <v>3113945</v>
      </c>
      <c r="E1501" t="s">
        <v>59</v>
      </c>
    </row>
    <row r="1502" spans="1:5" x14ac:dyDescent="0.25">
      <c r="A1502" t="s">
        <v>11</v>
      </c>
      <c r="B1502">
        <v>2013</v>
      </c>
      <c r="C1502" t="s">
        <v>6</v>
      </c>
      <c r="D1502">
        <v>4627756</v>
      </c>
      <c r="E1502" t="s">
        <v>59</v>
      </c>
    </row>
    <row r="1503" spans="1:5" x14ac:dyDescent="0.25">
      <c r="A1503" t="s">
        <v>11</v>
      </c>
      <c r="B1503">
        <v>2014</v>
      </c>
      <c r="C1503" t="s">
        <v>6</v>
      </c>
      <c r="D1503">
        <v>3708907</v>
      </c>
      <c r="E1503" t="s">
        <v>59</v>
      </c>
    </row>
    <row r="1504" spans="1:5" x14ac:dyDescent="0.25">
      <c r="A1504" t="s">
        <v>11</v>
      </c>
      <c r="B1504">
        <v>2015</v>
      </c>
      <c r="C1504" t="s">
        <v>6</v>
      </c>
      <c r="D1504">
        <v>4839314</v>
      </c>
      <c r="E1504" t="s">
        <v>59</v>
      </c>
    </row>
    <row r="1505" spans="1:5" x14ac:dyDescent="0.25">
      <c r="A1505" t="s">
        <v>11</v>
      </c>
      <c r="B1505">
        <v>2016</v>
      </c>
      <c r="C1505" t="s">
        <v>6</v>
      </c>
      <c r="D1505">
        <v>2879629</v>
      </c>
      <c r="E1505" t="s">
        <v>59</v>
      </c>
    </row>
    <row r="1506" spans="1:5" x14ac:dyDescent="0.25">
      <c r="A1506" t="s">
        <v>11</v>
      </c>
      <c r="B1506">
        <v>2017</v>
      </c>
      <c r="C1506" t="s">
        <v>6</v>
      </c>
      <c r="D1506">
        <v>2898110</v>
      </c>
      <c r="E1506" t="s">
        <v>59</v>
      </c>
    </row>
    <row r="1507" spans="1:5" x14ac:dyDescent="0.25">
      <c r="A1507" t="s">
        <v>11</v>
      </c>
      <c r="B1507">
        <v>2018</v>
      </c>
      <c r="C1507" t="s">
        <v>6</v>
      </c>
      <c r="D1507">
        <v>2182340</v>
      </c>
      <c r="E1507" t="s">
        <v>59</v>
      </c>
    </row>
    <row r="1508" spans="1:5" x14ac:dyDescent="0.25">
      <c r="A1508" t="s">
        <v>11</v>
      </c>
      <c r="B1508">
        <v>2019</v>
      </c>
      <c r="C1508" t="s">
        <v>6</v>
      </c>
      <c r="D1508">
        <v>2286820</v>
      </c>
      <c r="E1508" t="s">
        <v>59</v>
      </c>
    </row>
    <row r="1509" spans="1:5" x14ac:dyDescent="0.25">
      <c r="A1509" t="s">
        <v>11</v>
      </c>
      <c r="B1509">
        <v>2020</v>
      </c>
      <c r="C1509" t="s">
        <v>6</v>
      </c>
      <c r="D1509">
        <v>2172680</v>
      </c>
      <c r="E1509" t="s">
        <v>59</v>
      </c>
    </row>
    <row r="1510" spans="1:5" x14ac:dyDescent="0.25">
      <c r="A1510" t="s">
        <v>11</v>
      </c>
      <c r="B1510">
        <v>2021</v>
      </c>
      <c r="C1510" t="s">
        <v>6</v>
      </c>
      <c r="D1510">
        <v>2090458</v>
      </c>
      <c r="E1510" t="s">
        <v>59</v>
      </c>
    </row>
    <row r="1511" spans="1:5" x14ac:dyDescent="0.25">
      <c r="A1511" t="s">
        <v>11</v>
      </c>
      <c r="B1511">
        <v>2022</v>
      </c>
      <c r="C1511" t="s">
        <v>6</v>
      </c>
      <c r="D1511">
        <v>2724667</v>
      </c>
      <c r="E1511" t="s">
        <v>59</v>
      </c>
    </row>
    <row r="1512" spans="1:5" x14ac:dyDescent="0.25">
      <c r="A1512" t="s">
        <v>11</v>
      </c>
      <c r="B1512">
        <v>2023</v>
      </c>
      <c r="C1512" t="s">
        <v>6</v>
      </c>
      <c r="D1512">
        <v>2680900</v>
      </c>
      <c r="E1512" t="s">
        <v>59</v>
      </c>
    </row>
    <row r="1513" spans="1:5" x14ac:dyDescent="0.25">
      <c r="A1513" t="s">
        <v>11</v>
      </c>
      <c r="B1513">
        <v>2024</v>
      </c>
      <c r="C1513" t="s">
        <v>6</v>
      </c>
      <c r="D1513">
        <v>2017726.439</v>
      </c>
      <c r="E1513" t="s">
        <v>59</v>
      </c>
    </row>
    <row r="1514" spans="1:5" x14ac:dyDescent="0.25">
      <c r="A1514" t="s">
        <v>11</v>
      </c>
      <c r="B1514">
        <v>2025</v>
      </c>
      <c r="C1514" t="s">
        <v>6</v>
      </c>
      <c r="D1514">
        <v>1480136</v>
      </c>
      <c r="E1514" t="s">
        <v>59</v>
      </c>
    </row>
    <row r="1515" spans="1:5" x14ac:dyDescent="0.25">
      <c r="A1515" t="s">
        <v>12</v>
      </c>
      <c r="B1515">
        <v>2010</v>
      </c>
      <c r="C1515" t="s">
        <v>6</v>
      </c>
      <c r="D1515">
        <v>37783554</v>
      </c>
      <c r="E1515" t="s">
        <v>59</v>
      </c>
    </row>
    <row r="1516" spans="1:5" x14ac:dyDescent="0.25">
      <c r="A1516" t="s">
        <v>12</v>
      </c>
      <c r="B1516">
        <v>2011</v>
      </c>
      <c r="C1516" t="s">
        <v>6</v>
      </c>
      <c r="D1516">
        <v>57753341</v>
      </c>
      <c r="E1516" t="s">
        <v>59</v>
      </c>
    </row>
    <row r="1517" spans="1:5" x14ac:dyDescent="0.25">
      <c r="A1517" t="s">
        <v>12</v>
      </c>
      <c r="B1517">
        <v>2012</v>
      </c>
      <c r="C1517" t="s">
        <v>6</v>
      </c>
      <c r="D1517">
        <v>29683040</v>
      </c>
      <c r="E1517" t="s">
        <v>59</v>
      </c>
    </row>
    <row r="1518" spans="1:5" x14ac:dyDescent="0.25">
      <c r="A1518" t="s">
        <v>12</v>
      </c>
      <c r="B1518">
        <v>2014</v>
      </c>
      <c r="C1518" t="s">
        <v>6</v>
      </c>
      <c r="D1518">
        <v>1980792</v>
      </c>
      <c r="E1518" t="s">
        <v>59</v>
      </c>
    </row>
    <row r="1519" spans="1:5" x14ac:dyDescent="0.25">
      <c r="A1519" t="s">
        <v>12</v>
      </c>
      <c r="B1519">
        <v>2015</v>
      </c>
      <c r="C1519" t="s">
        <v>6</v>
      </c>
      <c r="D1519">
        <v>1548314</v>
      </c>
      <c r="E1519" t="s">
        <v>59</v>
      </c>
    </row>
    <row r="1520" spans="1:5" x14ac:dyDescent="0.25">
      <c r="A1520" t="s">
        <v>12</v>
      </c>
      <c r="B1520">
        <v>2016</v>
      </c>
      <c r="C1520" t="s">
        <v>6</v>
      </c>
      <c r="D1520">
        <v>297803306.28399998</v>
      </c>
      <c r="E1520" t="s">
        <v>59</v>
      </c>
    </row>
    <row r="1521" spans="1:5" x14ac:dyDescent="0.25">
      <c r="A1521" t="s">
        <v>12</v>
      </c>
      <c r="B1521">
        <v>2017</v>
      </c>
      <c r="C1521" t="s">
        <v>6</v>
      </c>
      <c r="D1521">
        <v>212573381.11000001</v>
      </c>
      <c r="E1521" t="s">
        <v>59</v>
      </c>
    </row>
    <row r="1522" spans="1:5" x14ac:dyDescent="0.25">
      <c r="A1522" t="s">
        <v>12</v>
      </c>
      <c r="B1522">
        <v>2018</v>
      </c>
      <c r="C1522" t="s">
        <v>6</v>
      </c>
      <c r="D1522">
        <v>114145623</v>
      </c>
      <c r="E1522" t="s">
        <v>59</v>
      </c>
    </row>
    <row r="1523" spans="1:5" x14ac:dyDescent="0.25">
      <c r="A1523" t="s">
        <v>12</v>
      </c>
      <c r="B1523">
        <v>2019</v>
      </c>
      <c r="C1523" t="s">
        <v>6</v>
      </c>
      <c r="D1523">
        <v>111103625</v>
      </c>
      <c r="E1523" t="s">
        <v>59</v>
      </c>
    </row>
    <row r="1524" spans="1:5" x14ac:dyDescent="0.25">
      <c r="A1524" t="s">
        <v>12</v>
      </c>
      <c r="B1524">
        <v>2020</v>
      </c>
      <c r="C1524" t="s">
        <v>6</v>
      </c>
      <c r="D1524">
        <v>133956483</v>
      </c>
      <c r="E1524" t="s">
        <v>59</v>
      </c>
    </row>
    <row r="1525" spans="1:5" x14ac:dyDescent="0.25">
      <c r="A1525" t="s">
        <v>12</v>
      </c>
      <c r="B1525">
        <v>2021</v>
      </c>
      <c r="C1525" t="s">
        <v>6</v>
      </c>
      <c r="D1525">
        <v>81834253</v>
      </c>
      <c r="E1525" t="s">
        <v>59</v>
      </c>
    </row>
    <row r="1526" spans="1:5" x14ac:dyDescent="0.25">
      <c r="A1526" t="s">
        <v>12</v>
      </c>
      <c r="B1526">
        <v>2022</v>
      </c>
      <c r="C1526" t="s">
        <v>6</v>
      </c>
      <c r="D1526">
        <v>60505508</v>
      </c>
      <c r="E1526" t="s">
        <v>59</v>
      </c>
    </row>
    <row r="1527" spans="1:5" x14ac:dyDescent="0.25">
      <c r="A1527" t="s">
        <v>12</v>
      </c>
      <c r="B1527">
        <v>2023</v>
      </c>
      <c r="C1527" t="s">
        <v>6</v>
      </c>
      <c r="D1527">
        <v>51410950</v>
      </c>
      <c r="E1527" t="s">
        <v>59</v>
      </c>
    </row>
    <row r="1528" spans="1:5" x14ac:dyDescent="0.25">
      <c r="A1528" t="s">
        <v>12</v>
      </c>
      <c r="B1528">
        <v>2024</v>
      </c>
      <c r="C1528" t="s">
        <v>6</v>
      </c>
      <c r="D1528">
        <v>85930325</v>
      </c>
      <c r="E1528" t="s">
        <v>59</v>
      </c>
    </row>
    <row r="1529" spans="1:5" x14ac:dyDescent="0.25">
      <c r="A1529" t="s">
        <v>13</v>
      </c>
      <c r="B1529">
        <v>2010</v>
      </c>
      <c r="C1529" t="s">
        <v>6</v>
      </c>
      <c r="D1529">
        <v>11407690</v>
      </c>
      <c r="E1529" t="s">
        <v>59</v>
      </c>
    </row>
    <row r="1530" spans="1:5" x14ac:dyDescent="0.25">
      <c r="A1530" t="s">
        <v>13</v>
      </c>
      <c r="B1530">
        <v>2014</v>
      </c>
      <c r="C1530" t="s">
        <v>6</v>
      </c>
      <c r="D1530">
        <v>50649024</v>
      </c>
      <c r="E1530" t="s">
        <v>59</v>
      </c>
    </row>
    <row r="1531" spans="1:5" x14ac:dyDescent="0.25">
      <c r="A1531" t="s">
        <v>13</v>
      </c>
      <c r="B1531">
        <v>2015</v>
      </c>
      <c r="C1531" t="s">
        <v>6</v>
      </c>
      <c r="D1531">
        <v>3897077</v>
      </c>
      <c r="E1531" t="s">
        <v>59</v>
      </c>
    </row>
    <row r="1532" spans="1:5" x14ac:dyDescent="0.25">
      <c r="A1532" t="s">
        <v>13</v>
      </c>
      <c r="B1532">
        <v>2016</v>
      </c>
      <c r="C1532" t="s">
        <v>6</v>
      </c>
      <c r="D1532">
        <v>33900253</v>
      </c>
      <c r="E1532" t="s">
        <v>59</v>
      </c>
    </row>
    <row r="1533" spans="1:5" x14ac:dyDescent="0.25">
      <c r="A1533" t="s">
        <v>13</v>
      </c>
      <c r="B1533">
        <v>2017</v>
      </c>
      <c r="C1533" t="s">
        <v>6</v>
      </c>
      <c r="D1533">
        <v>9464102</v>
      </c>
      <c r="E1533" t="s">
        <v>59</v>
      </c>
    </row>
    <row r="1534" spans="1:5" x14ac:dyDescent="0.25">
      <c r="A1534" t="s">
        <v>13</v>
      </c>
      <c r="B1534">
        <v>2018</v>
      </c>
      <c r="C1534" t="s">
        <v>6</v>
      </c>
      <c r="D1534">
        <v>11949075</v>
      </c>
      <c r="E1534" t="s">
        <v>59</v>
      </c>
    </row>
    <row r="1535" spans="1:5" x14ac:dyDescent="0.25">
      <c r="A1535" t="s">
        <v>13</v>
      </c>
      <c r="B1535">
        <v>2019</v>
      </c>
      <c r="C1535" t="s">
        <v>6</v>
      </c>
      <c r="D1535">
        <v>23585055</v>
      </c>
      <c r="E1535" t="s">
        <v>59</v>
      </c>
    </row>
    <row r="1536" spans="1:5" x14ac:dyDescent="0.25">
      <c r="A1536" t="s">
        <v>13</v>
      </c>
      <c r="B1536">
        <v>2020</v>
      </c>
      <c r="C1536" t="s">
        <v>6</v>
      </c>
      <c r="D1536">
        <v>15263551</v>
      </c>
      <c r="E1536" t="s">
        <v>59</v>
      </c>
    </row>
    <row r="1537" spans="1:5" x14ac:dyDescent="0.25">
      <c r="A1537" t="s">
        <v>13</v>
      </c>
      <c r="B1537">
        <v>2021</v>
      </c>
      <c r="C1537" t="s">
        <v>6</v>
      </c>
      <c r="D1537">
        <v>16695509.300000001</v>
      </c>
      <c r="E1537" t="s">
        <v>59</v>
      </c>
    </row>
    <row r="1538" spans="1:5" x14ac:dyDescent="0.25">
      <c r="A1538" t="s">
        <v>13</v>
      </c>
      <c r="B1538">
        <v>2022</v>
      </c>
      <c r="C1538" t="s">
        <v>6</v>
      </c>
      <c r="D1538">
        <v>13441948.32</v>
      </c>
      <c r="E1538" t="s">
        <v>59</v>
      </c>
    </row>
    <row r="1539" spans="1:5" x14ac:dyDescent="0.25">
      <c r="A1539" t="s">
        <v>13</v>
      </c>
      <c r="B1539">
        <v>2023</v>
      </c>
      <c r="C1539" t="s">
        <v>6</v>
      </c>
      <c r="D1539">
        <v>11770373.689999999</v>
      </c>
      <c r="E1539" t="s">
        <v>59</v>
      </c>
    </row>
    <row r="1540" spans="1:5" x14ac:dyDescent="0.25">
      <c r="A1540" t="s">
        <v>13</v>
      </c>
      <c r="B1540">
        <v>2025</v>
      </c>
      <c r="C1540" t="s">
        <v>6</v>
      </c>
      <c r="D1540">
        <v>5608251</v>
      </c>
      <c r="E1540" t="s">
        <v>59</v>
      </c>
    </row>
    <row r="1541" spans="1:5" x14ac:dyDescent="0.25">
      <c r="A1541" t="s">
        <v>14</v>
      </c>
      <c r="B1541">
        <v>2010</v>
      </c>
      <c r="C1541" t="s">
        <v>6</v>
      </c>
      <c r="D1541">
        <v>2752037</v>
      </c>
      <c r="E1541" t="s">
        <v>59</v>
      </c>
    </row>
    <row r="1542" spans="1:5" x14ac:dyDescent="0.25">
      <c r="A1542" t="s">
        <v>14</v>
      </c>
      <c r="B1542">
        <v>2011</v>
      </c>
      <c r="C1542" t="s">
        <v>6</v>
      </c>
      <c r="D1542">
        <v>3208166</v>
      </c>
      <c r="E1542" t="s">
        <v>59</v>
      </c>
    </row>
    <row r="1543" spans="1:5" x14ac:dyDescent="0.25">
      <c r="A1543" t="s">
        <v>14</v>
      </c>
      <c r="B1543">
        <v>2012</v>
      </c>
      <c r="C1543" t="s">
        <v>6</v>
      </c>
      <c r="D1543">
        <v>2139270</v>
      </c>
      <c r="E1543" t="s">
        <v>59</v>
      </c>
    </row>
    <row r="1544" spans="1:5" x14ac:dyDescent="0.25">
      <c r="A1544" t="s">
        <v>14</v>
      </c>
      <c r="B1544">
        <v>2013</v>
      </c>
      <c r="C1544" t="s">
        <v>6</v>
      </c>
      <c r="D1544">
        <v>2442491</v>
      </c>
      <c r="E1544" t="s">
        <v>59</v>
      </c>
    </row>
    <row r="1545" spans="1:5" x14ac:dyDescent="0.25">
      <c r="A1545" t="s">
        <v>14</v>
      </c>
      <c r="B1545">
        <v>2014</v>
      </c>
      <c r="C1545" t="s">
        <v>6</v>
      </c>
      <c r="D1545">
        <v>2207347</v>
      </c>
      <c r="E1545" t="s">
        <v>59</v>
      </c>
    </row>
    <row r="1546" spans="1:5" x14ac:dyDescent="0.25">
      <c r="A1546" t="s">
        <v>14</v>
      </c>
      <c r="B1546">
        <v>2015</v>
      </c>
      <c r="C1546" t="s">
        <v>6</v>
      </c>
      <c r="D1546">
        <v>4817341</v>
      </c>
      <c r="E1546" t="s">
        <v>59</v>
      </c>
    </row>
    <row r="1547" spans="1:5" x14ac:dyDescent="0.25">
      <c r="A1547" t="s">
        <v>14</v>
      </c>
      <c r="B1547">
        <v>2016</v>
      </c>
      <c r="C1547" t="s">
        <v>6</v>
      </c>
      <c r="D1547">
        <v>2340833.7400000002</v>
      </c>
      <c r="E1547" t="s">
        <v>59</v>
      </c>
    </row>
    <row r="1548" spans="1:5" x14ac:dyDescent="0.25">
      <c r="A1548" t="s">
        <v>14</v>
      </c>
      <c r="B1548">
        <v>2017</v>
      </c>
      <c r="C1548" t="s">
        <v>6</v>
      </c>
      <c r="D1548">
        <v>2976055.15</v>
      </c>
      <c r="E1548" t="s">
        <v>59</v>
      </c>
    </row>
    <row r="1549" spans="1:5" x14ac:dyDescent="0.25">
      <c r="A1549" t="s">
        <v>14</v>
      </c>
      <c r="B1549">
        <v>2018</v>
      </c>
      <c r="C1549" t="s">
        <v>6</v>
      </c>
      <c r="D1549">
        <v>3067383.2570000002</v>
      </c>
      <c r="E1549" t="s">
        <v>59</v>
      </c>
    </row>
    <row r="1550" spans="1:5" x14ac:dyDescent="0.25">
      <c r="A1550" t="s">
        <v>14</v>
      </c>
      <c r="B1550">
        <v>2019</v>
      </c>
      <c r="C1550" t="s">
        <v>6</v>
      </c>
      <c r="D1550">
        <v>2894788.5109999999</v>
      </c>
      <c r="E1550" t="s">
        <v>59</v>
      </c>
    </row>
    <row r="1551" spans="1:5" x14ac:dyDescent="0.25">
      <c r="A1551" t="s">
        <v>14</v>
      </c>
      <c r="B1551">
        <v>2020</v>
      </c>
      <c r="C1551" t="s">
        <v>6</v>
      </c>
      <c r="D1551">
        <v>3328195.5589999999</v>
      </c>
      <c r="E1551" t="s">
        <v>59</v>
      </c>
    </row>
    <row r="1552" spans="1:5" x14ac:dyDescent="0.25">
      <c r="A1552" t="s">
        <v>14</v>
      </c>
      <c r="B1552">
        <v>2021</v>
      </c>
      <c r="C1552" t="s">
        <v>6</v>
      </c>
      <c r="D1552">
        <v>4824927.0329999998</v>
      </c>
      <c r="E1552" t="s">
        <v>59</v>
      </c>
    </row>
    <row r="1553" spans="1:5" x14ac:dyDescent="0.25">
      <c r="A1553" t="s">
        <v>14</v>
      </c>
      <c r="B1553">
        <v>2022</v>
      </c>
      <c r="C1553" t="s">
        <v>6</v>
      </c>
      <c r="D1553">
        <v>3725115.7349999999</v>
      </c>
      <c r="E1553" t="s">
        <v>59</v>
      </c>
    </row>
    <row r="1554" spans="1:5" x14ac:dyDescent="0.25">
      <c r="A1554" t="s">
        <v>14</v>
      </c>
      <c r="B1554">
        <v>2023</v>
      </c>
      <c r="C1554" t="s">
        <v>6</v>
      </c>
      <c r="D1554">
        <v>3350997.7510000002</v>
      </c>
      <c r="E1554" t="s">
        <v>59</v>
      </c>
    </row>
    <row r="1555" spans="1:5" x14ac:dyDescent="0.25">
      <c r="A1555" t="s">
        <v>14</v>
      </c>
      <c r="B1555">
        <v>2024</v>
      </c>
      <c r="C1555" t="s">
        <v>6</v>
      </c>
      <c r="D1555">
        <v>3290989.0019999999</v>
      </c>
      <c r="E1555" t="s">
        <v>59</v>
      </c>
    </row>
    <row r="1556" spans="1:5" x14ac:dyDescent="0.25">
      <c r="A1556" t="s">
        <v>14</v>
      </c>
      <c r="B1556">
        <v>2025</v>
      </c>
      <c r="C1556" t="s">
        <v>6</v>
      </c>
      <c r="D1556">
        <v>3475904.0269999998</v>
      </c>
      <c r="E1556" t="s">
        <v>59</v>
      </c>
    </row>
    <row r="1557" spans="1:5" x14ac:dyDescent="0.25">
      <c r="A1557" t="s">
        <v>16</v>
      </c>
      <c r="B1557">
        <v>2008</v>
      </c>
      <c r="C1557" t="s">
        <v>6</v>
      </c>
      <c r="D1557">
        <v>8045363</v>
      </c>
      <c r="E1557" t="s">
        <v>59</v>
      </c>
    </row>
    <row r="1558" spans="1:5" x14ac:dyDescent="0.25">
      <c r="A1558" t="s">
        <v>16</v>
      </c>
      <c r="B1558">
        <v>2009</v>
      </c>
      <c r="C1558" t="s">
        <v>6</v>
      </c>
      <c r="D1558">
        <v>20998744</v>
      </c>
      <c r="E1558" t="s">
        <v>59</v>
      </c>
    </row>
    <row r="1559" spans="1:5" x14ac:dyDescent="0.25">
      <c r="A1559" t="s">
        <v>16</v>
      </c>
      <c r="B1559">
        <v>2010</v>
      </c>
      <c r="C1559" t="s">
        <v>6</v>
      </c>
      <c r="D1559">
        <v>4109861</v>
      </c>
      <c r="E1559" t="s">
        <v>59</v>
      </c>
    </row>
    <row r="1560" spans="1:5" x14ac:dyDescent="0.25">
      <c r="A1560" t="s">
        <v>16</v>
      </c>
      <c r="B1560">
        <v>2018</v>
      </c>
      <c r="C1560" t="s">
        <v>6</v>
      </c>
      <c r="D1560">
        <v>1909814</v>
      </c>
      <c r="E1560" t="s">
        <v>59</v>
      </c>
    </row>
    <row r="1561" spans="1:5" x14ac:dyDescent="0.25">
      <c r="A1561" t="s">
        <v>16</v>
      </c>
      <c r="B1561">
        <v>2019</v>
      </c>
      <c r="C1561" t="s">
        <v>6</v>
      </c>
      <c r="D1561">
        <v>1821650</v>
      </c>
      <c r="E1561" t="s">
        <v>59</v>
      </c>
    </row>
    <row r="1562" spans="1:5" x14ac:dyDescent="0.25">
      <c r="A1562" t="s">
        <v>77</v>
      </c>
      <c r="B1562">
        <v>2025</v>
      </c>
      <c r="C1562" t="s">
        <v>6</v>
      </c>
      <c r="D1562">
        <v>1279561</v>
      </c>
      <c r="E1562" t="s">
        <v>59</v>
      </c>
    </row>
    <row r="1563" spans="1:5" x14ac:dyDescent="0.25">
      <c r="A1563" t="s">
        <v>17</v>
      </c>
      <c r="B1563">
        <v>2010</v>
      </c>
      <c r="C1563" t="s">
        <v>6</v>
      </c>
      <c r="D1563">
        <v>40787248.539999999</v>
      </c>
      <c r="E1563" t="s">
        <v>59</v>
      </c>
    </row>
    <row r="1564" spans="1:5" x14ac:dyDescent="0.25">
      <c r="A1564" t="s">
        <v>17</v>
      </c>
      <c r="B1564">
        <v>2011</v>
      </c>
      <c r="C1564" t="s">
        <v>6</v>
      </c>
      <c r="D1564">
        <v>6719066.1100000003</v>
      </c>
      <c r="E1564" t="s">
        <v>59</v>
      </c>
    </row>
    <row r="1565" spans="1:5" x14ac:dyDescent="0.25">
      <c r="A1565" t="s">
        <v>17</v>
      </c>
      <c r="B1565">
        <v>2012</v>
      </c>
      <c r="C1565" t="s">
        <v>6</v>
      </c>
      <c r="D1565">
        <v>8053342.5970000001</v>
      </c>
      <c r="E1565" t="s">
        <v>59</v>
      </c>
    </row>
    <row r="1566" spans="1:5" x14ac:dyDescent="0.25">
      <c r="A1566" t="s">
        <v>17</v>
      </c>
      <c r="B1566">
        <v>2013</v>
      </c>
      <c r="C1566" t="s">
        <v>6</v>
      </c>
      <c r="D1566">
        <v>12273749.68</v>
      </c>
      <c r="E1566" t="s">
        <v>59</v>
      </c>
    </row>
    <row r="1567" spans="1:5" x14ac:dyDescent="0.25">
      <c r="A1567" t="s">
        <v>17</v>
      </c>
      <c r="B1567">
        <v>2014</v>
      </c>
      <c r="C1567" t="s">
        <v>6</v>
      </c>
      <c r="D1567">
        <v>18239868.09</v>
      </c>
      <c r="E1567" t="s">
        <v>59</v>
      </c>
    </row>
    <row r="1568" spans="1:5" x14ac:dyDescent="0.25">
      <c r="A1568" t="s">
        <v>17</v>
      </c>
      <c r="B1568">
        <v>2016</v>
      </c>
      <c r="C1568" t="s">
        <v>6</v>
      </c>
      <c r="D1568">
        <v>12387101.572000001</v>
      </c>
      <c r="E1568" t="s">
        <v>59</v>
      </c>
    </row>
    <row r="1569" spans="1:5" x14ac:dyDescent="0.25">
      <c r="A1569" t="s">
        <v>17</v>
      </c>
      <c r="B1569">
        <v>2017</v>
      </c>
      <c r="C1569" t="s">
        <v>6</v>
      </c>
      <c r="D1569">
        <v>24456636.809999999</v>
      </c>
      <c r="E1569" t="s">
        <v>59</v>
      </c>
    </row>
    <row r="1570" spans="1:5" x14ac:dyDescent="0.25">
      <c r="A1570" t="s">
        <v>17</v>
      </c>
      <c r="B1570">
        <v>2018</v>
      </c>
      <c r="C1570" t="s">
        <v>6</v>
      </c>
      <c r="D1570">
        <v>31138788.629999999</v>
      </c>
      <c r="E1570" t="s">
        <v>59</v>
      </c>
    </row>
    <row r="1571" spans="1:5" x14ac:dyDescent="0.25">
      <c r="A1571" t="s">
        <v>17</v>
      </c>
      <c r="B1571">
        <v>2019</v>
      </c>
      <c r="C1571" t="s">
        <v>6</v>
      </c>
      <c r="D1571">
        <v>12944829.539999999</v>
      </c>
      <c r="E1571" t="s">
        <v>59</v>
      </c>
    </row>
    <row r="1572" spans="1:5" x14ac:dyDescent="0.25">
      <c r="A1572" t="s">
        <v>17</v>
      </c>
      <c r="B1572">
        <v>2020</v>
      </c>
      <c r="C1572" t="s">
        <v>6</v>
      </c>
      <c r="D1572">
        <v>9867217.9199999999</v>
      </c>
      <c r="E1572" t="s">
        <v>59</v>
      </c>
    </row>
    <row r="1573" spans="1:5" x14ac:dyDescent="0.25">
      <c r="A1573" t="s">
        <v>17</v>
      </c>
      <c r="B1573">
        <v>2021</v>
      </c>
      <c r="C1573" t="s">
        <v>6</v>
      </c>
      <c r="D1573">
        <v>8643439.1899999995</v>
      </c>
      <c r="E1573" t="s">
        <v>59</v>
      </c>
    </row>
    <row r="1574" spans="1:5" x14ac:dyDescent="0.25">
      <c r="A1574" t="s">
        <v>17</v>
      </c>
      <c r="B1574">
        <v>2024</v>
      </c>
      <c r="C1574" t="s">
        <v>6</v>
      </c>
      <c r="D1574">
        <v>21423653</v>
      </c>
      <c r="E1574" t="s">
        <v>59</v>
      </c>
    </row>
    <row r="1575" spans="1:5" x14ac:dyDescent="0.25">
      <c r="A1575" t="s">
        <v>18</v>
      </c>
      <c r="B1575">
        <v>2002</v>
      </c>
      <c r="C1575" t="s">
        <v>6</v>
      </c>
      <c r="D1575">
        <v>5958606.7599999998</v>
      </c>
      <c r="E1575" t="s">
        <v>59</v>
      </c>
    </row>
    <row r="1576" spans="1:5" x14ac:dyDescent="0.25">
      <c r="A1576" t="s">
        <v>18</v>
      </c>
      <c r="B1576">
        <v>2003</v>
      </c>
      <c r="C1576" t="s">
        <v>6</v>
      </c>
      <c r="D1576">
        <v>7581431.8099999996</v>
      </c>
      <c r="E1576" t="s">
        <v>59</v>
      </c>
    </row>
    <row r="1577" spans="1:5" x14ac:dyDescent="0.25">
      <c r="A1577" t="s">
        <v>18</v>
      </c>
      <c r="B1577">
        <v>2016</v>
      </c>
      <c r="C1577" t="s">
        <v>6</v>
      </c>
      <c r="D1577">
        <v>4425280</v>
      </c>
      <c r="E1577" t="s">
        <v>59</v>
      </c>
    </row>
    <row r="1578" spans="1:5" x14ac:dyDescent="0.25">
      <c r="A1578" t="s">
        <v>18</v>
      </c>
      <c r="B1578">
        <v>2017</v>
      </c>
      <c r="C1578" t="s">
        <v>6</v>
      </c>
      <c r="D1578">
        <v>4368037</v>
      </c>
      <c r="E1578" t="s">
        <v>59</v>
      </c>
    </row>
    <row r="1579" spans="1:5" x14ac:dyDescent="0.25">
      <c r="A1579" t="s">
        <v>18</v>
      </c>
      <c r="B1579">
        <v>2018</v>
      </c>
      <c r="C1579" t="s">
        <v>6</v>
      </c>
      <c r="D1579">
        <v>2054537</v>
      </c>
      <c r="E1579" t="s">
        <v>59</v>
      </c>
    </row>
    <row r="1580" spans="1:5" x14ac:dyDescent="0.25">
      <c r="A1580" t="s">
        <v>18</v>
      </c>
      <c r="B1580">
        <v>2019</v>
      </c>
      <c r="C1580" t="s">
        <v>6</v>
      </c>
      <c r="D1580">
        <v>2334353.42</v>
      </c>
      <c r="E1580" t="s">
        <v>59</v>
      </c>
    </row>
    <row r="1581" spans="1:5" x14ac:dyDescent="0.25">
      <c r="A1581" t="s">
        <v>18</v>
      </c>
      <c r="B1581">
        <v>2020</v>
      </c>
      <c r="C1581" t="s">
        <v>6</v>
      </c>
      <c r="D1581">
        <v>3844639</v>
      </c>
      <c r="E1581" t="s">
        <v>59</v>
      </c>
    </row>
    <row r="1582" spans="1:5" x14ac:dyDescent="0.25">
      <c r="A1582" t="s">
        <v>18</v>
      </c>
      <c r="B1582">
        <v>2021</v>
      </c>
      <c r="C1582" t="s">
        <v>6</v>
      </c>
      <c r="D1582">
        <v>3292328</v>
      </c>
      <c r="E1582" t="s">
        <v>59</v>
      </c>
    </row>
    <row r="1583" spans="1:5" x14ac:dyDescent="0.25">
      <c r="A1583" t="s">
        <v>18</v>
      </c>
      <c r="B1583">
        <v>2022</v>
      </c>
      <c r="C1583" t="s">
        <v>6</v>
      </c>
      <c r="D1583">
        <v>2596498</v>
      </c>
      <c r="E1583" t="s">
        <v>59</v>
      </c>
    </row>
    <row r="1584" spans="1:5" x14ac:dyDescent="0.25">
      <c r="A1584" t="s">
        <v>18</v>
      </c>
      <c r="B1584">
        <v>2023</v>
      </c>
      <c r="C1584" t="s">
        <v>6</v>
      </c>
      <c r="D1584">
        <v>1576719</v>
      </c>
      <c r="E1584" t="s">
        <v>59</v>
      </c>
    </row>
    <row r="1585" spans="1:5" x14ac:dyDescent="0.25">
      <c r="A1585" t="s">
        <v>19</v>
      </c>
      <c r="B1585">
        <v>2014</v>
      </c>
      <c r="C1585" t="s">
        <v>6</v>
      </c>
      <c r="D1585">
        <v>4257179.9000000004</v>
      </c>
      <c r="E1585" t="s">
        <v>59</v>
      </c>
    </row>
    <row r="1586" spans="1:5" x14ac:dyDescent="0.25">
      <c r="A1586" t="s">
        <v>20</v>
      </c>
      <c r="B1586">
        <v>2014</v>
      </c>
      <c r="C1586" t="s">
        <v>6</v>
      </c>
      <c r="D1586">
        <v>4711579.49</v>
      </c>
      <c r="E1586" t="s">
        <v>59</v>
      </c>
    </row>
    <row r="1587" spans="1:5" x14ac:dyDescent="0.25">
      <c r="A1587" t="s">
        <v>20</v>
      </c>
      <c r="B1587">
        <v>2015</v>
      </c>
      <c r="C1587" t="s">
        <v>6</v>
      </c>
      <c r="D1587">
        <v>66704993.479999997</v>
      </c>
      <c r="E1587" t="s">
        <v>59</v>
      </c>
    </row>
    <row r="1588" spans="1:5" x14ac:dyDescent="0.25">
      <c r="A1588" t="s">
        <v>20</v>
      </c>
      <c r="B1588">
        <v>2016</v>
      </c>
      <c r="C1588" t="s">
        <v>6</v>
      </c>
      <c r="D1588">
        <v>56535074.140000001</v>
      </c>
      <c r="E1588" t="s">
        <v>59</v>
      </c>
    </row>
    <row r="1589" spans="1:5" x14ac:dyDescent="0.25">
      <c r="A1589" t="s">
        <v>20</v>
      </c>
      <c r="B1589">
        <v>2017</v>
      </c>
      <c r="C1589" t="s">
        <v>6</v>
      </c>
      <c r="D1589">
        <v>66895567.990000002</v>
      </c>
      <c r="E1589" t="s">
        <v>59</v>
      </c>
    </row>
    <row r="1590" spans="1:5" x14ac:dyDescent="0.25">
      <c r="A1590" t="s">
        <v>20</v>
      </c>
      <c r="B1590">
        <v>2018</v>
      </c>
      <c r="C1590" t="s">
        <v>6</v>
      </c>
      <c r="D1590">
        <v>47452252.909999996</v>
      </c>
      <c r="E1590" t="s">
        <v>59</v>
      </c>
    </row>
    <row r="1591" spans="1:5" x14ac:dyDescent="0.25">
      <c r="A1591" t="s">
        <v>20</v>
      </c>
      <c r="B1591">
        <v>2019</v>
      </c>
      <c r="C1591" t="s">
        <v>6</v>
      </c>
      <c r="D1591">
        <v>39985468.649999999</v>
      </c>
      <c r="E1591" t="s">
        <v>59</v>
      </c>
    </row>
    <row r="1592" spans="1:5" x14ac:dyDescent="0.25">
      <c r="A1592" t="s">
        <v>20</v>
      </c>
      <c r="B1592">
        <v>2020</v>
      </c>
      <c r="C1592" t="s">
        <v>6</v>
      </c>
      <c r="D1592">
        <v>33547663.359999999</v>
      </c>
      <c r="E1592" t="s">
        <v>59</v>
      </c>
    </row>
    <row r="1593" spans="1:5" x14ac:dyDescent="0.25">
      <c r="A1593" t="s">
        <v>20</v>
      </c>
      <c r="B1593">
        <v>2021</v>
      </c>
      <c r="C1593" t="s">
        <v>6</v>
      </c>
      <c r="D1593">
        <v>21061822.715</v>
      </c>
      <c r="E1593" t="s">
        <v>59</v>
      </c>
    </row>
    <row r="1594" spans="1:5" x14ac:dyDescent="0.25">
      <c r="A1594" t="s">
        <v>20</v>
      </c>
      <c r="B1594">
        <v>2022</v>
      </c>
      <c r="C1594" t="s">
        <v>6</v>
      </c>
      <c r="D1594">
        <v>33956803.700000003</v>
      </c>
      <c r="E1594" t="s">
        <v>59</v>
      </c>
    </row>
    <row r="1595" spans="1:5" x14ac:dyDescent="0.25">
      <c r="A1595" t="s">
        <v>20</v>
      </c>
      <c r="B1595">
        <v>2023</v>
      </c>
      <c r="C1595" t="s">
        <v>6</v>
      </c>
      <c r="D1595">
        <v>25398972.920000002</v>
      </c>
      <c r="E1595" t="s">
        <v>59</v>
      </c>
    </row>
    <row r="1596" spans="1:5" x14ac:dyDescent="0.25">
      <c r="A1596" t="s">
        <v>20</v>
      </c>
      <c r="B1596">
        <v>2024</v>
      </c>
      <c r="C1596" t="s">
        <v>6</v>
      </c>
      <c r="D1596">
        <v>49153353.270000003</v>
      </c>
      <c r="E1596" t="s">
        <v>59</v>
      </c>
    </row>
    <row r="1597" spans="1:5" x14ac:dyDescent="0.25">
      <c r="A1597" t="s">
        <v>20</v>
      </c>
      <c r="B1597">
        <v>2025</v>
      </c>
      <c r="C1597" t="s">
        <v>6</v>
      </c>
      <c r="D1597">
        <v>33734899.501000002</v>
      </c>
      <c r="E1597" t="s">
        <v>59</v>
      </c>
    </row>
    <row r="1598" spans="1:5" x14ac:dyDescent="0.25">
      <c r="A1598" t="s">
        <v>21</v>
      </c>
      <c r="B1598">
        <v>2000</v>
      </c>
      <c r="C1598" t="s">
        <v>6</v>
      </c>
      <c r="D1598">
        <v>143118854.417</v>
      </c>
      <c r="E1598" t="s">
        <v>59</v>
      </c>
    </row>
    <row r="1599" spans="1:5" x14ac:dyDescent="0.25">
      <c r="A1599" t="s">
        <v>21</v>
      </c>
      <c r="B1599">
        <v>2001</v>
      </c>
      <c r="C1599" t="s">
        <v>6</v>
      </c>
      <c r="D1599">
        <v>158325161.62200001</v>
      </c>
      <c r="E1599" t="s">
        <v>59</v>
      </c>
    </row>
    <row r="1600" spans="1:5" x14ac:dyDescent="0.25">
      <c r="A1600" t="s">
        <v>21</v>
      </c>
      <c r="B1600">
        <v>2002</v>
      </c>
      <c r="C1600" t="s">
        <v>6</v>
      </c>
      <c r="D1600">
        <v>126953280.785</v>
      </c>
      <c r="E1600" t="s">
        <v>59</v>
      </c>
    </row>
    <row r="1601" spans="1:5" x14ac:dyDescent="0.25">
      <c r="A1601" t="s">
        <v>21</v>
      </c>
      <c r="B1601">
        <v>2003</v>
      </c>
      <c r="C1601" t="s">
        <v>6</v>
      </c>
      <c r="D1601">
        <v>188584833.861</v>
      </c>
      <c r="E1601" t="s">
        <v>59</v>
      </c>
    </row>
    <row r="1602" spans="1:5" x14ac:dyDescent="0.25">
      <c r="A1602" t="s">
        <v>21</v>
      </c>
      <c r="B1602">
        <v>2004</v>
      </c>
      <c r="C1602" t="s">
        <v>6</v>
      </c>
      <c r="D1602">
        <v>174257577.80199999</v>
      </c>
      <c r="E1602" t="s">
        <v>59</v>
      </c>
    </row>
    <row r="1603" spans="1:5" x14ac:dyDescent="0.25">
      <c r="A1603" t="s">
        <v>21</v>
      </c>
      <c r="B1603">
        <v>2005</v>
      </c>
      <c r="C1603" t="s">
        <v>6</v>
      </c>
      <c r="D1603">
        <v>133888868.505</v>
      </c>
      <c r="E1603" t="s">
        <v>59</v>
      </c>
    </row>
    <row r="1604" spans="1:5" x14ac:dyDescent="0.25">
      <c r="A1604" t="s">
        <v>21</v>
      </c>
      <c r="B1604">
        <v>2006</v>
      </c>
      <c r="C1604" t="s">
        <v>6</v>
      </c>
      <c r="D1604">
        <v>124792501.502</v>
      </c>
      <c r="E1604" t="s">
        <v>59</v>
      </c>
    </row>
    <row r="1605" spans="1:5" x14ac:dyDescent="0.25">
      <c r="A1605" t="s">
        <v>21</v>
      </c>
      <c r="B1605">
        <v>2007</v>
      </c>
      <c r="C1605" t="s">
        <v>6</v>
      </c>
      <c r="D1605">
        <v>83378487.924999997</v>
      </c>
      <c r="E1605" t="s">
        <v>59</v>
      </c>
    </row>
    <row r="1606" spans="1:5" x14ac:dyDescent="0.25">
      <c r="A1606" t="s">
        <v>21</v>
      </c>
      <c r="B1606">
        <v>2008</v>
      </c>
      <c r="C1606" t="s">
        <v>6</v>
      </c>
      <c r="D1606">
        <v>143307735.38800001</v>
      </c>
      <c r="E1606" t="s">
        <v>59</v>
      </c>
    </row>
    <row r="1607" spans="1:5" x14ac:dyDescent="0.25">
      <c r="A1607" t="s">
        <v>21</v>
      </c>
      <c r="B1607">
        <v>2009</v>
      </c>
      <c r="C1607" t="s">
        <v>6</v>
      </c>
      <c r="D1607">
        <v>95172280.415000007</v>
      </c>
      <c r="E1607" t="s">
        <v>59</v>
      </c>
    </row>
    <row r="1608" spans="1:5" x14ac:dyDescent="0.25">
      <c r="A1608" t="s">
        <v>21</v>
      </c>
      <c r="B1608">
        <v>2010</v>
      </c>
      <c r="C1608" t="s">
        <v>6</v>
      </c>
      <c r="D1608">
        <v>80009500</v>
      </c>
      <c r="E1608" t="s">
        <v>59</v>
      </c>
    </row>
    <row r="1609" spans="1:5" x14ac:dyDescent="0.25">
      <c r="A1609" t="s">
        <v>21</v>
      </c>
      <c r="B1609">
        <v>2011</v>
      </c>
      <c r="C1609" t="s">
        <v>6</v>
      </c>
      <c r="D1609">
        <v>72799400</v>
      </c>
      <c r="E1609" t="s">
        <v>59</v>
      </c>
    </row>
    <row r="1610" spans="1:5" x14ac:dyDescent="0.25">
      <c r="A1610" t="s">
        <v>21</v>
      </c>
      <c r="B1610">
        <v>2012</v>
      </c>
      <c r="C1610" t="s">
        <v>6</v>
      </c>
      <c r="D1610">
        <v>97053100</v>
      </c>
      <c r="E1610" t="s">
        <v>59</v>
      </c>
    </row>
    <row r="1611" spans="1:5" x14ac:dyDescent="0.25">
      <c r="A1611" t="s">
        <v>21</v>
      </c>
      <c r="B1611">
        <v>2013</v>
      </c>
      <c r="C1611" t="s">
        <v>6</v>
      </c>
      <c r="D1611">
        <v>81890900</v>
      </c>
      <c r="E1611" t="s">
        <v>59</v>
      </c>
    </row>
    <row r="1612" spans="1:5" x14ac:dyDescent="0.25">
      <c r="A1612" t="s">
        <v>21</v>
      </c>
      <c r="B1612">
        <v>2014</v>
      </c>
      <c r="C1612" t="s">
        <v>6</v>
      </c>
      <c r="D1612">
        <v>58773970</v>
      </c>
      <c r="E1612" t="s">
        <v>59</v>
      </c>
    </row>
    <row r="1613" spans="1:5" x14ac:dyDescent="0.25">
      <c r="A1613" t="s">
        <v>21</v>
      </c>
      <c r="B1613">
        <v>2015</v>
      </c>
      <c r="C1613" t="s">
        <v>6</v>
      </c>
      <c r="D1613">
        <v>81175474</v>
      </c>
      <c r="E1613" t="s">
        <v>59</v>
      </c>
    </row>
    <row r="1614" spans="1:5" x14ac:dyDescent="0.25">
      <c r="A1614" t="s">
        <v>21</v>
      </c>
      <c r="B1614">
        <v>2016</v>
      </c>
      <c r="C1614" t="s">
        <v>6</v>
      </c>
      <c r="D1614">
        <v>90713541</v>
      </c>
      <c r="E1614" t="s">
        <v>59</v>
      </c>
    </row>
    <row r="1615" spans="1:5" x14ac:dyDescent="0.25">
      <c r="A1615" t="s">
        <v>21</v>
      </c>
      <c r="B1615">
        <v>2017</v>
      </c>
      <c r="C1615" t="s">
        <v>6</v>
      </c>
      <c r="D1615">
        <v>83565949</v>
      </c>
      <c r="E1615" t="s">
        <v>59</v>
      </c>
    </row>
    <row r="1616" spans="1:5" x14ac:dyDescent="0.25">
      <c r="A1616" t="s">
        <v>21</v>
      </c>
      <c r="B1616">
        <v>2018</v>
      </c>
      <c r="C1616" t="s">
        <v>6</v>
      </c>
      <c r="D1616">
        <v>92652965.180999994</v>
      </c>
      <c r="E1616" t="s">
        <v>59</v>
      </c>
    </row>
    <row r="1617" spans="1:5" x14ac:dyDescent="0.25">
      <c r="A1617" t="s">
        <v>21</v>
      </c>
      <c r="B1617">
        <v>2019</v>
      </c>
      <c r="C1617" t="s">
        <v>6</v>
      </c>
      <c r="D1617">
        <v>83481121</v>
      </c>
      <c r="E1617" t="s">
        <v>59</v>
      </c>
    </row>
    <row r="1618" spans="1:5" x14ac:dyDescent="0.25">
      <c r="A1618" t="s">
        <v>21</v>
      </c>
      <c r="B1618">
        <v>2020</v>
      </c>
      <c r="C1618" t="s">
        <v>6</v>
      </c>
      <c r="D1618">
        <v>75138779</v>
      </c>
      <c r="E1618" t="s">
        <v>59</v>
      </c>
    </row>
    <row r="1619" spans="1:5" x14ac:dyDescent="0.25">
      <c r="A1619" t="s">
        <v>21</v>
      </c>
      <c r="B1619">
        <v>2021</v>
      </c>
      <c r="C1619" t="s">
        <v>6</v>
      </c>
      <c r="D1619">
        <v>41511181.935999997</v>
      </c>
      <c r="E1619" t="s">
        <v>59</v>
      </c>
    </row>
    <row r="1620" spans="1:5" x14ac:dyDescent="0.25">
      <c r="A1620" t="s">
        <v>21</v>
      </c>
      <c r="B1620">
        <v>2022</v>
      </c>
      <c r="C1620" t="s">
        <v>6</v>
      </c>
      <c r="D1620">
        <v>24560074.559999999</v>
      </c>
      <c r="E1620" t="s">
        <v>59</v>
      </c>
    </row>
    <row r="1621" spans="1:5" x14ac:dyDescent="0.25">
      <c r="A1621" t="s">
        <v>21</v>
      </c>
      <c r="B1621">
        <v>2023</v>
      </c>
      <c r="C1621" t="s">
        <v>6</v>
      </c>
      <c r="D1621">
        <v>24216382</v>
      </c>
      <c r="E1621" t="s">
        <v>59</v>
      </c>
    </row>
    <row r="1622" spans="1:5" x14ac:dyDescent="0.25">
      <c r="A1622" t="s">
        <v>21</v>
      </c>
      <c r="B1622">
        <v>2024</v>
      </c>
      <c r="C1622" t="s">
        <v>6</v>
      </c>
      <c r="D1622">
        <v>22595508</v>
      </c>
      <c r="E1622" t="s">
        <v>59</v>
      </c>
    </row>
    <row r="1623" spans="1:5" x14ac:dyDescent="0.25">
      <c r="A1623" t="s">
        <v>76</v>
      </c>
      <c r="B1623">
        <v>2015</v>
      </c>
      <c r="C1623" t="s">
        <v>6</v>
      </c>
      <c r="D1623">
        <v>1464023</v>
      </c>
      <c r="E1623" t="s">
        <v>59</v>
      </c>
    </row>
    <row r="1624" spans="1:5" x14ac:dyDescent="0.25">
      <c r="A1624" t="s">
        <v>76</v>
      </c>
      <c r="B1624">
        <v>2021</v>
      </c>
      <c r="C1624" t="s">
        <v>6</v>
      </c>
      <c r="D1624">
        <v>1685335.25</v>
      </c>
      <c r="E1624" t="s">
        <v>59</v>
      </c>
    </row>
    <row r="1625" spans="1:5" x14ac:dyDescent="0.25">
      <c r="A1625" t="s">
        <v>76</v>
      </c>
      <c r="B1625">
        <v>2022</v>
      </c>
      <c r="C1625" t="s">
        <v>6</v>
      </c>
      <c r="D1625">
        <v>1493275.13</v>
      </c>
      <c r="E1625" t="s">
        <v>59</v>
      </c>
    </row>
    <row r="1626" spans="1:5" x14ac:dyDescent="0.25">
      <c r="A1626" t="s">
        <v>22</v>
      </c>
      <c r="B1626">
        <v>2017</v>
      </c>
      <c r="C1626" t="s">
        <v>6</v>
      </c>
      <c r="D1626">
        <v>2208146.341</v>
      </c>
      <c r="E1626" t="s">
        <v>59</v>
      </c>
    </row>
    <row r="1627" spans="1:5" x14ac:dyDescent="0.25">
      <c r="A1627" t="s">
        <v>22</v>
      </c>
      <c r="B1627">
        <v>2019</v>
      </c>
      <c r="C1627" t="s">
        <v>6</v>
      </c>
      <c r="D1627">
        <v>1329216.9450000001</v>
      </c>
      <c r="E1627" t="s">
        <v>59</v>
      </c>
    </row>
    <row r="1628" spans="1:5" x14ac:dyDescent="0.25">
      <c r="A1628" t="s">
        <v>22</v>
      </c>
      <c r="B1628">
        <v>2020</v>
      </c>
      <c r="C1628" t="s">
        <v>6</v>
      </c>
      <c r="D1628">
        <v>1296272.311</v>
      </c>
      <c r="E1628" t="s">
        <v>59</v>
      </c>
    </row>
    <row r="1629" spans="1:5" x14ac:dyDescent="0.25">
      <c r="A1629" t="s">
        <v>22</v>
      </c>
      <c r="B1629">
        <v>2025</v>
      </c>
      <c r="C1629" t="s">
        <v>6</v>
      </c>
      <c r="D1629">
        <v>804923.53899999999</v>
      </c>
      <c r="E1629" t="s">
        <v>59</v>
      </c>
    </row>
    <row r="1630" spans="1:5" x14ac:dyDescent="0.25">
      <c r="A1630" t="s">
        <v>23</v>
      </c>
      <c r="B1630">
        <v>2010</v>
      </c>
      <c r="C1630" t="s">
        <v>6</v>
      </c>
      <c r="D1630">
        <v>8769836.0999999996</v>
      </c>
      <c r="E1630" t="s">
        <v>59</v>
      </c>
    </row>
    <row r="1631" spans="1:5" x14ac:dyDescent="0.25">
      <c r="A1631" t="s">
        <v>23</v>
      </c>
      <c r="B1631">
        <v>2011</v>
      </c>
      <c r="C1631" t="s">
        <v>6</v>
      </c>
      <c r="D1631">
        <v>4484124.6500000004</v>
      </c>
      <c r="E1631" t="s">
        <v>59</v>
      </c>
    </row>
    <row r="1632" spans="1:5" x14ac:dyDescent="0.25">
      <c r="A1632" t="s">
        <v>23</v>
      </c>
      <c r="B1632">
        <v>2012</v>
      </c>
      <c r="C1632" t="s">
        <v>6</v>
      </c>
      <c r="D1632">
        <v>15703058.800000001</v>
      </c>
      <c r="E1632" t="s">
        <v>59</v>
      </c>
    </row>
    <row r="1633" spans="1:5" x14ac:dyDescent="0.25">
      <c r="A1633" t="s">
        <v>23</v>
      </c>
      <c r="B1633">
        <v>2013</v>
      </c>
      <c r="C1633" t="s">
        <v>6</v>
      </c>
      <c r="D1633">
        <v>6111049.79</v>
      </c>
      <c r="E1633" t="s">
        <v>59</v>
      </c>
    </row>
    <row r="1634" spans="1:5" x14ac:dyDescent="0.25">
      <c r="A1634" t="s">
        <v>23</v>
      </c>
      <c r="B1634">
        <v>2014</v>
      </c>
      <c r="C1634" t="s">
        <v>6</v>
      </c>
      <c r="D1634">
        <v>2073026.89</v>
      </c>
      <c r="E1634" t="s">
        <v>59</v>
      </c>
    </row>
    <row r="1635" spans="1:5" x14ac:dyDescent="0.25">
      <c r="A1635" t="s">
        <v>23</v>
      </c>
      <c r="B1635">
        <v>2015</v>
      </c>
      <c r="C1635" t="s">
        <v>6</v>
      </c>
      <c r="D1635">
        <v>11624653.74</v>
      </c>
      <c r="E1635" t="s">
        <v>59</v>
      </c>
    </row>
    <row r="1636" spans="1:5" x14ac:dyDescent="0.25">
      <c r="A1636" t="s">
        <v>23</v>
      </c>
      <c r="B1636">
        <v>2016</v>
      </c>
      <c r="C1636" t="s">
        <v>6</v>
      </c>
      <c r="D1636">
        <v>12252428.609999999</v>
      </c>
      <c r="E1636" t="s">
        <v>59</v>
      </c>
    </row>
    <row r="1637" spans="1:5" x14ac:dyDescent="0.25">
      <c r="A1637" t="s">
        <v>23</v>
      </c>
      <c r="B1637">
        <v>2017</v>
      </c>
      <c r="C1637" t="s">
        <v>6</v>
      </c>
      <c r="D1637">
        <v>28553618.449999999</v>
      </c>
      <c r="E1637" t="s">
        <v>59</v>
      </c>
    </row>
    <row r="1638" spans="1:5" x14ac:dyDescent="0.25">
      <c r="A1638" t="s">
        <v>23</v>
      </c>
      <c r="B1638">
        <v>2018</v>
      </c>
      <c r="C1638" t="s">
        <v>6</v>
      </c>
      <c r="D1638">
        <v>36845620.899999999</v>
      </c>
      <c r="E1638" t="s">
        <v>59</v>
      </c>
    </row>
    <row r="1639" spans="1:5" x14ac:dyDescent="0.25">
      <c r="A1639" t="s">
        <v>23</v>
      </c>
      <c r="B1639">
        <v>2019</v>
      </c>
      <c r="C1639" t="s">
        <v>6</v>
      </c>
      <c r="D1639">
        <v>29312893.359999999</v>
      </c>
      <c r="E1639" t="s">
        <v>59</v>
      </c>
    </row>
    <row r="1640" spans="1:5" x14ac:dyDescent="0.25">
      <c r="A1640" t="s">
        <v>23</v>
      </c>
      <c r="B1640">
        <v>2020</v>
      </c>
      <c r="C1640" t="s">
        <v>6</v>
      </c>
      <c r="D1640">
        <v>21409955.719999999</v>
      </c>
      <c r="E1640" t="s">
        <v>59</v>
      </c>
    </row>
    <row r="1641" spans="1:5" x14ac:dyDescent="0.25">
      <c r="A1641" t="s">
        <v>23</v>
      </c>
      <c r="B1641">
        <v>2021</v>
      </c>
      <c r="C1641" t="s">
        <v>6</v>
      </c>
      <c r="D1641">
        <v>14920135.66</v>
      </c>
      <c r="E1641" t="s">
        <v>59</v>
      </c>
    </row>
    <row r="1642" spans="1:5" x14ac:dyDescent="0.25">
      <c r="A1642" t="s">
        <v>23</v>
      </c>
      <c r="B1642">
        <v>2022</v>
      </c>
      <c r="C1642" t="s">
        <v>6</v>
      </c>
      <c r="D1642">
        <v>46809368.986000001</v>
      </c>
      <c r="E1642" t="s">
        <v>59</v>
      </c>
    </row>
    <row r="1643" spans="1:5" x14ac:dyDescent="0.25">
      <c r="A1643" t="s">
        <v>23</v>
      </c>
      <c r="B1643">
        <v>2023</v>
      </c>
      <c r="C1643" t="s">
        <v>6</v>
      </c>
      <c r="D1643">
        <v>37928951</v>
      </c>
      <c r="E1643" t="s">
        <v>59</v>
      </c>
    </row>
    <row r="1644" spans="1:5" x14ac:dyDescent="0.25">
      <c r="A1644" t="s">
        <v>25</v>
      </c>
      <c r="B1644">
        <v>2020</v>
      </c>
      <c r="C1644" t="s">
        <v>6</v>
      </c>
      <c r="D1644">
        <v>1113852</v>
      </c>
      <c r="E1644" t="s">
        <v>59</v>
      </c>
    </row>
    <row r="1645" spans="1:5" x14ac:dyDescent="0.25">
      <c r="A1645" t="s">
        <v>25</v>
      </c>
      <c r="B1645">
        <v>2021</v>
      </c>
      <c r="C1645" t="s">
        <v>6</v>
      </c>
      <c r="D1645">
        <v>1674059</v>
      </c>
      <c r="E1645" t="s">
        <v>59</v>
      </c>
    </row>
    <row r="1646" spans="1:5" x14ac:dyDescent="0.25">
      <c r="A1646" t="s">
        <v>25</v>
      </c>
      <c r="B1646">
        <v>2022</v>
      </c>
      <c r="C1646" t="s">
        <v>6</v>
      </c>
      <c r="D1646">
        <v>4376311</v>
      </c>
      <c r="E1646" t="s">
        <v>59</v>
      </c>
    </row>
    <row r="1647" spans="1:5" x14ac:dyDescent="0.25">
      <c r="A1647" t="s">
        <v>25</v>
      </c>
      <c r="B1647">
        <v>2023</v>
      </c>
      <c r="C1647" t="s">
        <v>6</v>
      </c>
      <c r="D1647">
        <v>2727104</v>
      </c>
      <c r="E1647" t="s">
        <v>59</v>
      </c>
    </row>
    <row r="1648" spans="1:5" x14ac:dyDescent="0.25">
      <c r="A1648" t="s">
        <v>25</v>
      </c>
      <c r="B1648">
        <v>2024</v>
      </c>
      <c r="C1648" t="s">
        <v>6</v>
      </c>
      <c r="D1648">
        <v>4297076</v>
      </c>
      <c r="E1648" t="s">
        <v>59</v>
      </c>
    </row>
    <row r="1649" spans="1:5" x14ac:dyDescent="0.25">
      <c r="A1649" t="s">
        <v>27</v>
      </c>
      <c r="B1649">
        <v>2011</v>
      </c>
      <c r="C1649" t="s">
        <v>6</v>
      </c>
      <c r="D1649">
        <v>17171362</v>
      </c>
      <c r="E1649" t="s">
        <v>59</v>
      </c>
    </row>
    <row r="1650" spans="1:5" x14ac:dyDescent="0.25">
      <c r="A1650" t="s">
        <v>27</v>
      </c>
      <c r="B1650">
        <v>2012</v>
      </c>
      <c r="C1650" t="s">
        <v>6</v>
      </c>
      <c r="D1650">
        <v>19698811</v>
      </c>
      <c r="E1650" t="s">
        <v>59</v>
      </c>
    </row>
    <row r="1651" spans="1:5" x14ac:dyDescent="0.25">
      <c r="A1651" t="s">
        <v>27</v>
      </c>
      <c r="B1651">
        <v>2013</v>
      </c>
      <c r="C1651" t="s">
        <v>6</v>
      </c>
      <c r="D1651">
        <v>36605583</v>
      </c>
      <c r="E1651" t="s">
        <v>59</v>
      </c>
    </row>
    <row r="1652" spans="1:5" x14ac:dyDescent="0.25">
      <c r="A1652" t="s">
        <v>27</v>
      </c>
      <c r="B1652">
        <v>2014</v>
      </c>
      <c r="C1652" t="s">
        <v>6</v>
      </c>
      <c r="D1652">
        <v>36260403</v>
      </c>
      <c r="E1652" t="s">
        <v>59</v>
      </c>
    </row>
    <row r="1653" spans="1:5" x14ac:dyDescent="0.25">
      <c r="A1653" t="s">
        <v>27</v>
      </c>
      <c r="B1653">
        <v>2015</v>
      </c>
      <c r="C1653" t="s">
        <v>6</v>
      </c>
      <c r="D1653">
        <v>29350863</v>
      </c>
      <c r="E1653" t="s">
        <v>59</v>
      </c>
    </row>
    <row r="1654" spans="1:5" x14ac:dyDescent="0.25">
      <c r="A1654" t="s">
        <v>27</v>
      </c>
      <c r="B1654">
        <v>2016</v>
      </c>
      <c r="C1654" t="s">
        <v>6</v>
      </c>
      <c r="D1654">
        <v>21468478</v>
      </c>
      <c r="E1654" t="s">
        <v>59</v>
      </c>
    </row>
    <row r="1655" spans="1:5" x14ac:dyDescent="0.25">
      <c r="A1655" t="s">
        <v>27</v>
      </c>
      <c r="B1655">
        <v>2017</v>
      </c>
      <c r="C1655" t="s">
        <v>6</v>
      </c>
      <c r="D1655">
        <v>28025538</v>
      </c>
      <c r="E1655" t="s">
        <v>59</v>
      </c>
    </row>
    <row r="1656" spans="1:5" x14ac:dyDescent="0.25">
      <c r="A1656" t="s">
        <v>27</v>
      </c>
      <c r="B1656">
        <v>2018</v>
      </c>
      <c r="C1656" t="s">
        <v>6</v>
      </c>
      <c r="D1656">
        <v>54841228</v>
      </c>
      <c r="E1656" t="s">
        <v>59</v>
      </c>
    </row>
    <row r="1657" spans="1:5" x14ac:dyDescent="0.25">
      <c r="A1657" t="s">
        <v>27</v>
      </c>
      <c r="B1657">
        <v>2019</v>
      </c>
      <c r="C1657" t="s">
        <v>6</v>
      </c>
      <c r="D1657">
        <v>45672653</v>
      </c>
      <c r="E1657" t="s">
        <v>59</v>
      </c>
    </row>
    <row r="1658" spans="1:5" x14ac:dyDescent="0.25">
      <c r="A1658" t="s">
        <v>27</v>
      </c>
      <c r="B1658">
        <v>2020</v>
      </c>
      <c r="C1658" t="s">
        <v>6</v>
      </c>
      <c r="D1658">
        <v>40352149</v>
      </c>
      <c r="E1658" t="s">
        <v>59</v>
      </c>
    </row>
    <row r="1659" spans="1:5" x14ac:dyDescent="0.25">
      <c r="A1659" t="s">
        <v>27</v>
      </c>
      <c r="B1659">
        <v>2021</v>
      </c>
      <c r="C1659" t="s">
        <v>6</v>
      </c>
      <c r="D1659">
        <v>38689581.626000002</v>
      </c>
      <c r="E1659" t="s">
        <v>59</v>
      </c>
    </row>
    <row r="1660" spans="1:5" x14ac:dyDescent="0.25">
      <c r="A1660" t="s">
        <v>27</v>
      </c>
      <c r="B1660">
        <v>2022</v>
      </c>
      <c r="C1660" t="s">
        <v>6</v>
      </c>
      <c r="D1660">
        <v>36034176.803000003</v>
      </c>
      <c r="E1660" t="s">
        <v>59</v>
      </c>
    </row>
    <row r="1661" spans="1:5" x14ac:dyDescent="0.25">
      <c r="A1661" t="s">
        <v>27</v>
      </c>
      <c r="B1661">
        <v>2023</v>
      </c>
      <c r="C1661" t="s">
        <v>6</v>
      </c>
      <c r="D1661">
        <v>51348178.667000003</v>
      </c>
      <c r="E1661" t="s">
        <v>59</v>
      </c>
    </row>
    <row r="1662" spans="1:5" x14ac:dyDescent="0.25">
      <c r="A1662" t="s">
        <v>27</v>
      </c>
      <c r="B1662">
        <v>2024</v>
      </c>
      <c r="C1662" t="s">
        <v>6</v>
      </c>
      <c r="D1662">
        <v>46183719.158</v>
      </c>
      <c r="E1662" t="s">
        <v>59</v>
      </c>
    </row>
    <row r="1663" spans="1:5" x14ac:dyDescent="0.25">
      <c r="A1663" t="s">
        <v>27</v>
      </c>
      <c r="B1663">
        <v>2025</v>
      </c>
      <c r="C1663" t="s">
        <v>6</v>
      </c>
      <c r="D1663">
        <v>29464538.098999999</v>
      </c>
      <c r="E1663" t="s">
        <v>59</v>
      </c>
    </row>
    <row r="1664" spans="1:5" x14ac:dyDescent="0.25">
      <c r="A1664" t="s">
        <v>28</v>
      </c>
      <c r="B1664">
        <v>2012</v>
      </c>
      <c r="C1664" t="s">
        <v>6</v>
      </c>
      <c r="D1664">
        <v>11114023</v>
      </c>
      <c r="E1664" t="s">
        <v>59</v>
      </c>
    </row>
    <row r="1665" spans="1:5" x14ac:dyDescent="0.25">
      <c r="A1665" t="s">
        <v>28</v>
      </c>
      <c r="B1665">
        <v>2013</v>
      </c>
      <c r="C1665" t="s">
        <v>6</v>
      </c>
      <c r="D1665">
        <v>366040872</v>
      </c>
      <c r="E1665" t="s">
        <v>59</v>
      </c>
    </row>
    <row r="1666" spans="1:5" x14ac:dyDescent="0.25">
      <c r="A1666" t="s">
        <v>28</v>
      </c>
      <c r="B1666">
        <v>2014</v>
      </c>
      <c r="C1666" t="s">
        <v>6</v>
      </c>
      <c r="D1666">
        <v>104121894</v>
      </c>
      <c r="E1666" t="s">
        <v>59</v>
      </c>
    </row>
    <row r="1667" spans="1:5" x14ac:dyDescent="0.25">
      <c r="A1667" t="s">
        <v>28</v>
      </c>
      <c r="B1667">
        <v>2015</v>
      </c>
      <c r="C1667" t="s">
        <v>6</v>
      </c>
      <c r="D1667">
        <v>90002096.332000002</v>
      </c>
      <c r="E1667" t="s">
        <v>59</v>
      </c>
    </row>
    <row r="1668" spans="1:5" x14ac:dyDescent="0.25">
      <c r="A1668" t="s">
        <v>28</v>
      </c>
      <c r="B1668">
        <v>2016</v>
      </c>
      <c r="C1668" t="s">
        <v>6</v>
      </c>
      <c r="D1668">
        <v>73733691.190000102</v>
      </c>
      <c r="E1668" t="s">
        <v>59</v>
      </c>
    </row>
    <row r="1669" spans="1:5" x14ac:dyDescent="0.25">
      <c r="A1669" t="s">
        <v>28</v>
      </c>
      <c r="B1669">
        <v>2017</v>
      </c>
      <c r="C1669" t="s">
        <v>6</v>
      </c>
      <c r="D1669">
        <v>121307044.62</v>
      </c>
      <c r="E1669" t="s">
        <v>59</v>
      </c>
    </row>
    <row r="1670" spans="1:5" x14ac:dyDescent="0.25">
      <c r="A1670" t="s">
        <v>28</v>
      </c>
      <c r="B1670">
        <v>2018</v>
      </c>
      <c r="C1670" t="s">
        <v>6</v>
      </c>
      <c r="D1670">
        <v>86200137.920000002</v>
      </c>
      <c r="E1670" t="s">
        <v>59</v>
      </c>
    </row>
    <row r="1671" spans="1:5" x14ac:dyDescent="0.25">
      <c r="A1671" t="s">
        <v>28</v>
      </c>
      <c r="B1671">
        <v>2019</v>
      </c>
      <c r="C1671" t="s">
        <v>6</v>
      </c>
      <c r="D1671">
        <v>88526387.010000005</v>
      </c>
      <c r="E1671" t="s">
        <v>59</v>
      </c>
    </row>
    <row r="1672" spans="1:5" x14ac:dyDescent="0.25">
      <c r="A1672" t="s">
        <v>28</v>
      </c>
      <c r="B1672">
        <v>2020</v>
      </c>
      <c r="C1672" t="s">
        <v>6</v>
      </c>
      <c r="D1672">
        <v>113680675.86</v>
      </c>
      <c r="E1672" t="s">
        <v>59</v>
      </c>
    </row>
    <row r="1673" spans="1:5" x14ac:dyDescent="0.25">
      <c r="A1673" t="s">
        <v>28</v>
      </c>
      <c r="B1673">
        <v>2021</v>
      </c>
      <c r="C1673" t="s">
        <v>6</v>
      </c>
      <c r="D1673">
        <v>109557679.19</v>
      </c>
      <c r="E1673" t="s">
        <v>59</v>
      </c>
    </row>
    <row r="1674" spans="1:5" x14ac:dyDescent="0.25">
      <c r="A1674" t="s">
        <v>28</v>
      </c>
      <c r="B1674">
        <v>2022</v>
      </c>
      <c r="C1674" t="s">
        <v>6</v>
      </c>
      <c r="D1674">
        <v>120918814.06999999</v>
      </c>
      <c r="E1674" t="s">
        <v>59</v>
      </c>
    </row>
    <row r="1675" spans="1:5" x14ac:dyDescent="0.25">
      <c r="A1675" t="s">
        <v>28</v>
      </c>
      <c r="B1675">
        <v>2023</v>
      </c>
      <c r="C1675" t="s">
        <v>6</v>
      </c>
      <c r="D1675">
        <v>130600231.56</v>
      </c>
      <c r="E1675" t="s">
        <v>59</v>
      </c>
    </row>
    <row r="1676" spans="1:5" x14ac:dyDescent="0.25">
      <c r="A1676" t="s">
        <v>28</v>
      </c>
      <c r="B1676">
        <v>2024</v>
      </c>
      <c r="C1676" t="s">
        <v>6</v>
      </c>
      <c r="D1676">
        <v>197643600.91999999</v>
      </c>
      <c r="E1676" t="s">
        <v>59</v>
      </c>
    </row>
    <row r="1677" spans="1:5" x14ac:dyDescent="0.25">
      <c r="A1677" t="s">
        <v>75</v>
      </c>
      <c r="B1677">
        <v>2001</v>
      </c>
      <c r="C1677" t="s">
        <v>6</v>
      </c>
      <c r="D1677">
        <v>1903250</v>
      </c>
      <c r="E1677" t="s">
        <v>59</v>
      </c>
    </row>
    <row r="1678" spans="1:5" x14ac:dyDescent="0.25">
      <c r="A1678" t="s">
        <v>75</v>
      </c>
      <c r="B1678">
        <v>2011</v>
      </c>
      <c r="C1678" t="s">
        <v>6</v>
      </c>
      <c r="D1678">
        <v>3165929</v>
      </c>
      <c r="E1678" t="s">
        <v>59</v>
      </c>
    </row>
    <row r="1679" spans="1:5" x14ac:dyDescent="0.25">
      <c r="A1679" t="s">
        <v>75</v>
      </c>
      <c r="B1679">
        <v>2012</v>
      </c>
      <c r="C1679" t="s">
        <v>6</v>
      </c>
      <c r="D1679">
        <v>3057271</v>
      </c>
      <c r="E1679" t="s">
        <v>59</v>
      </c>
    </row>
    <row r="1680" spans="1:5" x14ac:dyDescent="0.25">
      <c r="A1680" t="s">
        <v>75</v>
      </c>
      <c r="B1680">
        <v>2013</v>
      </c>
      <c r="C1680" t="s">
        <v>6</v>
      </c>
      <c r="D1680">
        <v>1794824</v>
      </c>
      <c r="E1680" t="s">
        <v>59</v>
      </c>
    </row>
    <row r="1681" spans="1:5" x14ac:dyDescent="0.25">
      <c r="A1681" t="s">
        <v>75</v>
      </c>
      <c r="B1681">
        <v>2014</v>
      </c>
      <c r="C1681" t="s">
        <v>6</v>
      </c>
      <c r="D1681">
        <v>6021761</v>
      </c>
      <c r="E1681" t="s">
        <v>59</v>
      </c>
    </row>
    <row r="1682" spans="1:5" x14ac:dyDescent="0.25">
      <c r="A1682" t="s">
        <v>75</v>
      </c>
      <c r="B1682">
        <v>2015</v>
      </c>
      <c r="C1682" t="s">
        <v>6</v>
      </c>
      <c r="D1682">
        <v>2371786</v>
      </c>
      <c r="E1682" t="s">
        <v>59</v>
      </c>
    </row>
    <row r="1683" spans="1:5" x14ac:dyDescent="0.25">
      <c r="A1683" t="s">
        <v>75</v>
      </c>
      <c r="B1683">
        <v>2016</v>
      </c>
      <c r="C1683" t="s">
        <v>6</v>
      </c>
      <c r="D1683">
        <v>2078184</v>
      </c>
      <c r="E1683" t="s">
        <v>59</v>
      </c>
    </row>
    <row r="1684" spans="1:5" x14ac:dyDescent="0.25">
      <c r="A1684" t="s">
        <v>75</v>
      </c>
      <c r="B1684">
        <v>2017</v>
      </c>
      <c r="C1684" t="s">
        <v>6</v>
      </c>
      <c r="D1684">
        <v>1822809</v>
      </c>
      <c r="E1684" t="s">
        <v>59</v>
      </c>
    </row>
    <row r="1685" spans="1:5" x14ac:dyDescent="0.25">
      <c r="A1685" t="s">
        <v>75</v>
      </c>
      <c r="B1685">
        <v>2018</v>
      </c>
      <c r="C1685" t="s">
        <v>6</v>
      </c>
      <c r="D1685">
        <v>2205567</v>
      </c>
      <c r="E1685" t="s">
        <v>59</v>
      </c>
    </row>
    <row r="1686" spans="1:5" x14ac:dyDescent="0.25">
      <c r="A1686" t="s">
        <v>75</v>
      </c>
      <c r="B1686">
        <v>2019</v>
      </c>
      <c r="C1686" t="s">
        <v>6</v>
      </c>
      <c r="D1686">
        <v>2212459</v>
      </c>
      <c r="E1686" t="s">
        <v>59</v>
      </c>
    </row>
    <row r="1687" spans="1:5" x14ac:dyDescent="0.25">
      <c r="A1687" t="s">
        <v>75</v>
      </c>
      <c r="B1687">
        <v>2020</v>
      </c>
      <c r="C1687" t="s">
        <v>6</v>
      </c>
      <c r="D1687">
        <v>1933693</v>
      </c>
      <c r="E1687" t="s">
        <v>59</v>
      </c>
    </row>
    <row r="1688" spans="1:5" x14ac:dyDescent="0.25">
      <c r="A1688" t="s">
        <v>75</v>
      </c>
      <c r="B1688">
        <v>2021</v>
      </c>
      <c r="C1688" t="s">
        <v>6</v>
      </c>
      <c r="D1688">
        <v>1887687</v>
      </c>
      <c r="E1688" t="s">
        <v>59</v>
      </c>
    </row>
    <row r="1689" spans="1:5" x14ac:dyDescent="0.25">
      <c r="A1689" t="s">
        <v>75</v>
      </c>
      <c r="B1689">
        <v>2022</v>
      </c>
      <c r="C1689" t="s">
        <v>6</v>
      </c>
      <c r="D1689">
        <v>2619332</v>
      </c>
      <c r="E1689" t="s">
        <v>59</v>
      </c>
    </row>
    <row r="1690" spans="1:5" x14ac:dyDescent="0.25">
      <c r="A1690" t="s">
        <v>75</v>
      </c>
      <c r="B1690">
        <v>2023</v>
      </c>
      <c r="C1690" t="s">
        <v>6</v>
      </c>
      <c r="D1690">
        <v>2326520</v>
      </c>
      <c r="E1690" t="s">
        <v>59</v>
      </c>
    </row>
    <row r="1691" spans="1:5" x14ac:dyDescent="0.25">
      <c r="A1691" t="s">
        <v>75</v>
      </c>
      <c r="B1691">
        <v>2024</v>
      </c>
      <c r="C1691" t="s">
        <v>6</v>
      </c>
      <c r="D1691">
        <v>3200625</v>
      </c>
      <c r="E1691" t="s">
        <v>59</v>
      </c>
    </row>
    <row r="1692" spans="1:5" x14ac:dyDescent="0.25">
      <c r="A1692" t="s">
        <v>75</v>
      </c>
      <c r="B1692">
        <v>2025</v>
      </c>
      <c r="C1692" t="s">
        <v>6</v>
      </c>
      <c r="D1692">
        <v>3079311.1150000002</v>
      </c>
      <c r="E1692" t="s">
        <v>59</v>
      </c>
    </row>
    <row r="1693" spans="1:5" x14ac:dyDescent="0.25">
      <c r="A1693" t="s">
        <v>29</v>
      </c>
      <c r="B1693">
        <v>2000</v>
      </c>
      <c r="C1693" t="s">
        <v>6</v>
      </c>
      <c r="D1693">
        <v>6862016</v>
      </c>
      <c r="E1693" t="s">
        <v>59</v>
      </c>
    </row>
    <row r="1694" spans="1:5" x14ac:dyDescent="0.25">
      <c r="A1694" t="s">
        <v>29</v>
      </c>
      <c r="B1694">
        <v>2001</v>
      </c>
      <c r="C1694" t="s">
        <v>6</v>
      </c>
      <c r="D1694">
        <v>4706391</v>
      </c>
      <c r="E1694" t="s">
        <v>59</v>
      </c>
    </row>
    <row r="1695" spans="1:5" x14ac:dyDescent="0.25">
      <c r="A1695" t="s">
        <v>29</v>
      </c>
      <c r="B1695">
        <v>2002</v>
      </c>
      <c r="C1695" t="s">
        <v>6</v>
      </c>
      <c r="D1695">
        <v>4364770</v>
      </c>
      <c r="E1695" t="s">
        <v>59</v>
      </c>
    </row>
    <row r="1696" spans="1:5" x14ac:dyDescent="0.25">
      <c r="A1696" t="s">
        <v>29</v>
      </c>
      <c r="B1696">
        <v>2003</v>
      </c>
      <c r="C1696" t="s">
        <v>6</v>
      </c>
      <c r="D1696">
        <v>3778357</v>
      </c>
      <c r="E1696" t="s">
        <v>59</v>
      </c>
    </row>
    <row r="1697" spans="1:5" x14ac:dyDescent="0.25">
      <c r="A1697" t="s">
        <v>29</v>
      </c>
      <c r="B1697">
        <v>2004</v>
      </c>
      <c r="C1697" t="s">
        <v>6</v>
      </c>
      <c r="D1697">
        <v>5284510</v>
      </c>
      <c r="E1697" t="s">
        <v>59</v>
      </c>
    </row>
    <row r="1698" spans="1:5" x14ac:dyDescent="0.25">
      <c r="A1698" t="s">
        <v>29</v>
      </c>
      <c r="B1698">
        <v>2005</v>
      </c>
      <c r="C1698" t="s">
        <v>6</v>
      </c>
      <c r="D1698">
        <v>6379308</v>
      </c>
      <c r="E1698" t="s">
        <v>59</v>
      </c>
    </row>
    <row r="1699" spans="1:5" x14ac:dyDescent="0.25">
      <c r="A1699" t="s">
        <v>29</v>
      </c>
      <c r="B1699">
        <v>2006</v>
      </c>
      <c r="C1699" t="s">
        <v>6</v>
      </c>
      <c r="D1699">
        <v>6937251</v>
      </c>
      <c r="E1699" t="s">
        <v>59</v>
      </c>
    </row>
    <row r="1700" spans="1:5" x14ac:dyDescent="0.25">
      <c r="A1700" t="s">
        <v>29</v>
      </c>
      <c r="B1700">
        <v>2007</v>
      </c>
      <c r="C1700" t="s">
        <v>6</v>
      </c>
      <c r="D1700">
        <v>5451784</v>
      </c>
      <c r="E1700" t="s">
        <v>59</v>
      </c>
    </row>
    <row r="1701" spans="1:5" x14ac:dyDescent="0.25">
      <c r="A1701" t="s">
        <v>29</v>
      </c>
      <c r="B1701">
        <v>2009</v>
      </c>
      <c r="C1701" t="s">
        <v>6</v>
      </c>
      <c r="D1701">
        <v>4220511</v>
      </c>
      <c r="E1701" t="s">
        <v>59</v>
      </c>
    </row>
    <row r="1702" spans="1:5" x14ac:dyDescent="0.25">
      <c r="A1702" t="s">
        <v>29</v>
      </c>
      <c r="B1702">
        <v>2010</v>
      </c>
      <c r="C1702" t="s">
        <v>6</v>
      </c>
      <c r="D1702">
        <v>2491000</v>
      </c>
      <c r="E1702" t="s">
        <v>59</v>
      </c>
    </row>
    <row r="1703" spans="1:5" x14ac:dyDescent="0.25">
      <c r="A1703" t="s">
        <v>29</v>
      </c>
      <c r="B1703">
        <v>2011</v>
      </c>
      <c r="C1703" t="s">
        <v>6</v>
      </c>
      <c r="D1703">
        <v>4646100</v>
      </c>
      <c r="E1703" t="s">
        <v>59</v>
      </c>
    </row>
    <row r="1704" spans="1:5" x14ac:dyDescent="0.25">
      <c r="A1704" t="s">
        <v>29</v>
      </c>
      <c r="B1704">
        <v>2012</v>
      </c>
      <c r="C1704" t="s">
        <v>6</v>
      </c>
      <c r="D1704">
        <v>2454100</v>
      </c>
      <c r="E1704" t="s">
        <v>59</v>
      </c>
    </row>
    <row r="1705" spans="1:5" x14ac:dyDescent="0.25">
      <c r="A1705" t="s">
        <v>29</v>
      </c>
      <c r="B1705">
        <v>2013</v>
      </c>
      <c r="C1705" t="s">
        <v>6</v>
      </c>
      <c r="D1705">
        <v>3368700</v>
      </c>
      <c r="E1705" t="s">
        <v>59</v>
      </c>
    </row>
    <row r="1706" spans="1:5" x14ac:dyDescent="0.25">
      <c r="A1706" t="s">
        <v>29</v>
      </c>
      <c r="B1706">
        <v>2014</v>
      </c>
      <c r="C1706" t="s">
        <v>6</v>
      </c>
      <c r="D1706">
        <v>3562114</v>
      </c>
      <c r="E1706" t="s">
        <v>59</v>
      </c>
    </row>
    <row r="1707" spans="1:5" x14ac:dyDescent="0.25">
      <c r="A1707" t="s">
        <v>29</v>
      </c>
      <c r="B1707">
        <v>2015</v>
      </c>
      <c r="C1707" t="s">
        <v>6</v>
      </c>
      <c r="D1707">
        <v>3369486</v>
      </c>
      <c r="E1707" t="s">
        <v>59</v>
      </c>
    </row>
    <row r="1708" spans="1:5" x14ac:dyDescent="0.25">
      <c r="A1708" t="s">
        <v>29</v>
      </c>
      <c r="B1708">
        <v>2016</v>
      </c>
      <c r="C1708" t="s">
        <v>6</v>
      </c>
      <c r="D1708">
        <v>2762057</v>
      </c>
      <c r="E1708" t="s">
        <v>59</v>
      </c>
    </row>
    <row r="1709" spans="1:5" x14ac:dyDescent="0.25">
      <c r="A1709" t="s">
        <v>29</v>
      </c>
      <c r="B1709">
        <v>2017</v>
      </c>
      <c r="C1709" t="s">
        <v>6</v>
      </c>
      <c r="D1709">
        <v>2722282</v>
      </c>
      <c r="E1709" t="s">
        <v>59</v>
      </c>
    </row>
    <row r="1710" spans="1:5" x14ac:dyDescent="0.25">
      <c r="A1710" t="s">
        <v>29</v>
      </c>
      <c r="B1710">
        <v>2018</v>
      </c>
      <c r="C1710" t="s">
        <v>6</v>
      </c>
      <c r="D1710">
        <v>2308287</v>
      </c>
      <c r="E1710" t="s">
        <v>59</v>
      </c>
    </row>
    <row r="1711" spans="1:5" x14ac:dyDescent="0.25">
      <c r="A1711" t="s">
        <v>29</v>
      </c>
      <c r="B1711">
        <v>2019</v>
      </c>
      <c r="C1711" t="s">
        <v>6</v>
      </c>
      <c r="D1711">
        <v>2428587</v>
      </c>
      <c r="E1711" t="s">
        <v>59</v>
      </c>
    </row>
    <row r="1712" spans="1:5" x14ac:dyDescent="0.25">
      <c r="A1712" t="s">
        <v>29</v>
      </c>
      <c r="B1712">
        <v>2020</v>
      </c>
      <c r="C1712" t="s">
        <v>6</v>
      </c>
      <c r="D1712">
        <v>2332067</v>
      </c>
      <c r="E1712" t="s">
        <v>59</v>
      </c>
    </row>
    <row r="1713" spans="1:5" x14ac:dyDescent="0.25">
      <c r="A1713" t="s">
        <v>29</v>
      </c>
      <c r="B1713">
        <v>2021</v>
      </c>
      <c r="C1713" t="s">
        <v>6</v>
      </c>
      <c r="D1713">
        <v>3214563</v>
      </c>
      <c r="E1713" t="s">
        <v>59</v>
      </c>
    </row>
    <row r="1714" spans="1:5" x14ac:dyDescent="0.25">
      <c r="A1714" t="s">
        <v>29</v>
      </c>
      <c r="B1714">
        <v>2022</v>
      </c>
      <c r="C1714" t="s">
        <v>6</v>
      </c>
      <c r="D1714">
        <v>2433340</v>
      </c>
      <c r="E1714" t="s">
        <v>59</v>
      </c>
    </row>
    <row r="1715" spans="1:5" x14ac:dyDescent="0.25">
      <c r="A1715" t="s">
        <v>29</v>
      </c>
      <c r="B1715">
        <v>2023</v>
      </c>
      <c r="C1715" t="s">
        <v>6</v>
      </c>
      <c r="D1715">
        <v>2098319</v>
      </c>
      <c r="E1715" t="s">
        <v>59</v>
      </c>
    </row>
    <row r="1716" spans="1:5" x14ac:dyDescent="0.25">
      <c r="A1716" t="s">
        <v>29</v>
      </c>
      <c r="B1716">
        <v>2024</v>
      </c>
      <c r="C1716" t="s">
        <v>6</v>
      </c>
      <c r="D1716">
        <v>2324942</v>
      </c>
      <c r="E1716" t="s">
        <v>59</v>
      </c>
    </row>
    <row r="1717" spans="1:5" x14ac:dyDescent="0.25">
      <c r="A1717" t="s">
        <v>29</v>
      </c>
      <c r="B1717">
        <v>2025</v>
      </c>
      <c r="C1717" t="s">
        <v>6</v>
      </c>
      <c r="D1717">
        <v>1475172</v>
      </c>
      <c r="E1717" t="s">
        <v>59</v>
      </c>
    </row>
    <row r="1718" spans="1:5" x14ac:dyDescent="0.25">
      <c r="A1718" t="s">
        <v>74</v>
      </c>
      <c r="B1718">
        <v>2010</v>
      </c>
      <c r="C1718" t="s">
        <v>6</v>
      </c>
      <c r="D1718">
        <v>75588774</v>
      </c>
      <c r="E1718" t="s">
        <v>59</v>
      </c>
    </row>
    <row r="1719" spans="1:5" x14ac:dyDescent="0.25">
      <c r="A1719" t="s">
        <v>74</v>
      </c>
      <c r="B1719">
        <v>2011</v>
      </c>
      <c r="C1719" t="s">
        <v>6</v>
      </c>
      <c r="D1719">
        <v>67069916</v>
      </c>
      <c r="E1719" t="s">
        <v>59</v>
      </c>
    </row>
    <row r="1720" spans="1:5" x14ac:dyDescent="0.25">
      <c r="A1720" t="s">
        <v>74</v>
      </c>
      <c r="B1720">
        <v>2012</v>
      </c>
      <c r="C1720" t="s">
        <v>6</v>
      </c>
      <c r="D1720">
        <v>51243338</v>
      </c>
      <c r="E1720" t="s">
        <v>59</v>
      </c>
    </row>
    <row r="1721" spans="1:5" x14ac:dyDescent="0.25">
      <c r="A1721" t="s">
        <v>74</v>
      </c>
      <c r="B1721">
        <v>2013</v>
      </c>
      <c r="C1721" t="s">
        <v>6</v>
      </c>
      <c r="D1721">
        <v>71005770</v>
      </c>
      <c r="E1721" t="s">
        <v>59</v>
      </c>
    </row>
    <row r="1722" spans="1:5" x14ac:dyDescent="0.25">
      <c r="A1722" t="s">
        <v>74</v>
      </c>
      <c r="B1722">
        <v>2014</v>
      </c>
      <c r="C1722" t="s">
        <v>6</v>
      </c>
      <c r="D1722">
        <v>62881694</v>
      </c>
      <c r="E1722" t="s">
        <v>59</v>
      </c>
    </row>
    <row r="1723" spans="1:5" x14ac:dyDescent="0.25">
      <c r="A1723" t="s">
        <v>74</v>
      </c>
      <c r="B1723">
        <v>2015</v>
      </c>
      <c r="C1723" t="s">
        <v>6</v>
      </c>
      <c r="D1723">
        <v>40115483</v>
      </c>
      <c r="E1723" t="s">
        <v>59</v>
      </c>
    </row>
    <row r="1724" spans="1:5" x14ac:dyDescent="0.25">
      <c r="A1724" t="s">
        <v>74</v>
      </c>
      <c r="B1724">
        <v>2016</v>
      </c>
      <c r="C1724" t="s">
        <v>6</v>
      </c>
      <c r="D1724">
        <v>22887520</v>
      </c>
      <c r="E1724" t="s">
        <v>59</v>
      </c>
    </row>
    <row r="1725" spans="1:5" x14ac:dyDescent="0.25">
      <c r="A1725" t="s">
        <v>74</v>
      </c>
      <c r="B1725">
        <v>2017</v>
      </c>
      <c r="C1725" t="s">
        <v>6</v>
      </c>
      <c r="D1725">
        <v>37062326</v>
      </c>
      <c r="E1725" t="s">
        <v>59</v>
      </c>
    </row>
    <row r="1726" spans="1:5" x14ac:dyDescent="0.25">
      <c r="A1726" t="s">
        <v>74</v>
      </c>
      <c r="B1726">
        <v>2018</v>
      </c>
      <c r="C1726" t="s">
        <v>6</v>
      </c>
      <c r="D1726">
        <v>55767213</v>
      </c>
      <c r="E1726" t="s">
        <v>59</v>
      </c>
    </row>
    <row r="1727" spans="1:5" x14ac:dyDescent="0.25">
      <c r="A1727" t="s">
        <v>74</v>
      </c>
      <c r="B1727">
        <v>2019</v>
      </c>
      <c r="C1727" t="s">
        <v>6</v>
      </c>
      <c r="D1727">
        <v>41278996</v>
      </c>
      <c r="E1727" t="s">
        <v>59</v>
      </c>
    </row>
    <row r="1728" spans="1:5" x14ac:dyDescent="0.25">
      <c r="A1728" t="s">
        <v>74</v>
      </c>
      <c r="B1728">
        <v>2020</v>
      </c>
      <c r="C1728" t="s">
        <v>6</v>
      </c>
      <c r="D1728">
        <v>63550779</v>
      </c>
      <c r="E1728" t="s">
        <v>59</v>
      </c>
    </row>
    <row r="1729" spans="1:5" x14ac:dyDescent="0.25">
      <c r="A1729" t="s">
        <v>74</v>
      </c>
      <c r="B1729">
        <v>2021</v>
      </c>
      <c r="C1729" t="s">
        <v>6</v>
      </c>
      <c r="D1729">
        <v>57639398</v>
      </c>
      <c r="E1729" t="s">
        <v>59</v>
      </c>
    </row>
    <row r="1730" spans="1:5" x14ac:dyDescent="0.25">
      <c r="A1730" t="s">
        <v>74</v>
      </c>
      <c r="B1730">
        <v>2022</v>
      </c>
      <c r="C1730" t="s">
        <v>6</v>
      </c>
      <c r="D1730">
        <v>22263835</v>
      </c>
      <c r="E1730" t="s">
        <v>59</v>
      </c>
    </row>
    <row r="1731" spans="1:5" x14ac:dyDescent="0.25">
      <c r="A1731" t="s">
        <v>74</v>
      </c>
      <c r="B1731">
        <v>2023</v>
      </c>
      <c r="C1731" t="s">
        <v>6</v>
      </c>
      <c r="D1731">
        <v>35693252</v>
      </c>
      <c r="E1731" t="s">
        <v>59</v>
      </c>
    </row>
    <row r="1732" spans="1:5" x14ac:dyDescent="0.25">
      <c r="A1732" t="s">
        <v>74</v>
      </c>
      <c r="B1732">
        <v>2024</v>
      </c>
      <c r="C1732" t="s">
        <v>6</v>
      </c>
      <c r="D1732">
        <v>46903413</v>
      </c>
      <c r="E1732" t="s">
        <v>59</v>
      </c>
    </row>
    <row r="1733" spans="1:5" x14ac:dyDescent="0.25">
      <c r="A1733" t="s">
        <v>74</v>
      </c>
      <c r="B1733">
        <v>2025</v>
      </c>
      <c r="C1733" t="s">
        <v>6</v>
      </c>
      <c r="D1733">
        <v>32092556</v>
      </c>
      <c r="E1733" t="s">
        <v>59</v>
      </c>
    </row>
    <row r="1734" spans="1:5" x14ac:dyDescent="0.25">
      <c r="A1734" t="s">
        <v>73</v>
      </c>
      <c r="B1734">
        <v>2017</v>
      </c>
      <c r="C1734" t="s">
        <v>6</v>
      </c>
      <c r="D1734">
        <v>1863994.5</v>
      </c>
      <c r="E1734" t="s">
        <v>59</v>
      </c>
    </row>
    <row r="1735" spans="1:5" x14ac:dyDescent="0.25">
      <c r="A1735" t="s">
        <v>73</v>
      </c>
      <c r="B1735">
        <v>2018</v>
      </c>
      <c r="C1735" t="s">
        <v>6</v>
      </c>
      <c r="D1735">
        <v>1608165.9</v>
      </c>
      <c r="E1735" t="s">
        <v>59</v>
      </c>
    </row>
    <row r="1736" spans="1:5" x14ac:dyDescent="0.25">
      <c r="A1736" t="s">
        <v>32</v>
      </c>
      <c r="B1736">
        <v>2013</v>
      </c>
      <c r="C1736" t="s">
        <v>6</v>
      </c>
      <c r="D1736">
        <v>2176731</v>
      </c>
      <c r="E1736" t="s">
        <v>59</v>
      </c>
    </row>
    <row r="1737" spans="1:5" x14ac:dyDescent="0.25">
      <c r="A1737" t="s">
        <v>33</v>
      </c>
      <c r="B1737">
        <v>2015</v>
      </c>
      <c r="C1737" t="s">
        <v>6</v>
      </c>
      <c r="D1737">
        <v>1245581.72</v>
      </c>
      <c r="E1737" t="s">
        <v>59</v>
      </c>
    </row>
    <row r="1738" spans="1:5" x14ac:dyDescent="0.25">
      <c r="A1738" t="s">
        <v>33</v>
      </c>
      <c r="B1738">
        <v>2016</v>
      </c>
      <c r="C1738" t="s">
        <v>6</v>
      </c>
      <c r="D1738">
        <v>2092163.29</v>
      </c>
      <c r="E1738" t="s">
        <v>59</v>
      </c>
    </row>
    <row r="1739" spans="1:5" x14ac:dyDescent="0.25">
      <c r="A1739" t="s">
        <v>33</v>
      </c>
      <c r="B1739">
        <v>2017</v>
      </c>
      <c r="C1739" t="s">
        <v>6</v>
      </c>
      <c r="D1739">
        <v>3960802.55</v>
      </c>
      <c r="E1739" t="s">
        <v>59</v>
      </c>
    </row>
    <row r="1740" spans="1:5" x14ac:dyDescent="0.25">
      <c r="A1740" t="s">
        <v>33</v>
      </c>
      <c r="B1740">
        <v>2019</v>
      </c>
      <c r="C1740" t="s">
        <v>6</v>
      </c>
      <c r="D1740">
        <v>2761595.29</v>
      </c>
      <c r="E1740" t="s">
        <v>59</v>
      </c>
    </row>
    <row r="1741" spans="1:5" x14ac:dyDescent="0.25">
      <c r="A1741" t="s">
        <v>33</v>
      </c>
      <c r="B1741">
        <v>2020</v>
      </c>
      <c r="C1741" t="s">
        <v>6</v>
      </c>
      <c r="D1741">
        <v>1362563.57</v>
      </c>
      <c r="E1741" t="s">
        <v>59</v>
      </c>
    </row>
    <row r="1742" spans="1:5" x14ac:dyDescent="0.25">
      <c r="A1742" t="s">
        <v>33</v>
      </c>
      <c r="B1742">
        <v>2023</v>
      </c>
      <c r="C1742" t="s">
        <v>6</v>
      </c>
      <c r="D1742">
        <v>5110087.93</v>
      </c>
      <c r="E1742" t="s">
        <v>59</v>
      </c>
    </row>
    <row r="1743" spans="1:5" x14ac:dyDescent="0.25">
      <c r="A1743" t="s">
        <v>72</v>
      </c>
      <c r="B1743">
        <v>2010</v>
      </c>
      <c r="C1743" t="s">
        <v>6</v>
      </c>
      <c r="D1743">
        <v>1869629.31</v>
      </c>
      <c r="E1743" t="s">
        <v>59</v>
      </c>
    </row>
    <row r="1744" spans="1:5" x14ac:dyDescent="0.25">
      <c r="A1744" t="s">
        <v>72</v>
      </c>
      <c r="B1744">
        <v>2017</v>
      </c>
      <c r="C1744" t="s">
        <v>6</v>
      </c>
      <c r="D1744">
        <v>1750837.35</v>
      </c>
      <c r="E1744" t="s">
        <v>59</v>
      </c>
    </row>
    <row r="1745" spans="1:5" x14ac:dyDescent="0.25">
      <c r="A1745" t="s">
        <v>72</v>
      </c>
      <c r="B1745">
        <v>2018</v>
      </c>
      <c r="C1745" t="s">
        <v>6</v>
      </c>
      <c r="D1745">
        <v>3569601.41</v>
      </c>
      <c r="E1745" t="s">
        <v>59</v>
      </c>
    </row>
    <row r="1746" spans="1:5" x14ac:dyDescent="0.25">
      <c r="A1746" t="s">
        <v>72</v>
      </c>
      <c r="B1746">
        <v>2019</v>
      </c>
      <c r="C1746" t="s">
        <v>6</v>
      </c>
      <c r="D1746">
        <v>4520419.5199999996</v>
      </c>
      <c r="E1746" t="s">
        <v>59</v>
      </c>
    </row>
    <row r="1747" spans="1:5" x14ac:dyDescent="0.25">
      <c r="A1747" t="s">
        <v>72</v>
      </c>
      <c r="B1747">
        <v>2020</v>
      </c>
      <c r="C1747" t="s">
        <v>6</v>
      </c>
      <c r="D1747">
        <v>8626067.1199999992</v>
      </c>
      <c r="E1747" t="s">
        <v>59</v>
      </c>
    </row>
    <row r="1748" spans="1:5" x14ac:dyDescent="0.25">
      <c r="A1748" t="s">
        <v>72</v>
      </c>
      <c r="B1748">
        <v>2021</v>
      </c>
      <c r="C1748" t="s">
        <v>6</v>
      </c>
      <c r="D1748">
        <v>3184884.44</v>
      </c>
      <c r="E1748" t="s">
        <v>59</v>
      </c>
    </row>
    <row r="1749" spans="1:5" x14ac:dyDescent="0.25">
      <c r="A1749" t="s">
        <v>72</v>
      </c>
      <c r="B1749">
        <v>2022</v>
      </c>
      <c r="C1749" t="s">
        <v>6</v>
      </c>
      <c r="D1749">
        <v>3638585.79</v>
      </c>
      <c r="E1749" t="s">
        <v>59</v>
      </c>
    </row>
    <row r="1750" spans="1:5" x14ac:dyDescent="0.25">
      <c r="A1750" t="s">
        <v>72</v>
      </c>
      <c r="B1750">
        <v>2023</v>
      </c>
      <c r="C1750" t="s">
        <v>6</v>
      </c>
      <c r="D1750">
        <v>7131140.0599999996</v>
      </c>
      <c r="E1750" t="s">
        <v>59</v>
      </c>
    </row>
    <row r="1751" spans="1:5" x14ac:dyDescent="0.25">
      <c r="A1751" t="s">
        <v>72</v>
      </c>
      <c r="B1751">
        <v>2024</v>
      </c>
      <c r="C1751" t="s">
        <v>6</v>
      </c>
      <c r="D1751">
        <v>7006799.7000000002</v>
      </c>
      <c r="E1751" t="s">
        <v>59</v>
      </c>
    </row>
    <row r="1752" spans="1:5" x14ac:dyDescent="0.25">
      <c r="A1752" t="s">
        <v>72</v>
      </c>
      <c r="B1752">
        <v>2025</v>
      </c>
      <c r="C1752" t="s">
        <v>6</v>
      </c>
      <c r="D1752">
        <v>15924065.550000001</v>
      </c>
      <c r="E1752" t="s">
        <v>59</v>
      </c>
    </row>
    <row r="1753" spans="1:5" x14ac:dyDescent="0.25">
      <c r="A1753" t="s">
        <v>34</v>
      </c>
      <c r="B1753">
        <v>2018</v>
      </c>
      <c r="C1753" t="s">
        <v>6</v>
      </c>
      <c r="D1753">
        <v>49582691.990000002</v>
      </c>
      <c r="E1753" t="s">
        <v>59</v>
      </c>
    </row>
    <row r="1754" spans="1:5" x14ac:dyDescent="0.25">
      <c r="A1754" t="s">
        <v>71</v>
      </c>
      <c r="B1754">
        <v>2010</v>
      </c>
      <c r="C1754" t="s">
        <v>6</v>
      </c>
      <c r="D1754">
        <v>5248800</v>
      </c>
      <c r="E1754" t="s">
        <v>59</v>
      </c>
    </row>
    <row r="1755" spans="1:5" x14ac:dyDescent="0.25">
      <c r="A1755" t="s">
        <v>71</v>
      </c>
      <c r="B1755">
        <v>2011</v>
      </c>
      <c r="C1755" t="s">
        <v>6</v>
      </c>
      <c r="D1755">
        <v>1926300</v>
      </c>
      <c r="E1755" t="s">
        <v>59</v>
      </c>
    </row>
    <row r="1756" spans="1:5" x14ac:dyDescent="0.25">
      <c r="A1756" t="s">
        <v>71</v>
      </c>
      <c r="B1756">
        <v>2012</v>
      </c>
      <c r="C1756" t="s">
        <v>6</v>
      </c>
      <c r="D1756">
        <v>3376000</v>
      </c>
      <c r="E1756" t="s">
        <v>59</v>
      </c>
    </row>
    <row r="1757" spans="1:5" x14ac:dyDescent="0.25">
      <c r="A1757" t="s">
        <v>71</v>
      </c>
      <c r="B1757">
        <v>2013</v>
      </c>
      <c r="C1757" t="s">
        <v>6</v>
      </c>
      <c r="D1757">
        <v>5466300</v>
      </c>
      <c r="E1757" t="s">
        <v>59</v>
      </c>
    </row>
    <row r="1758" spans="1:5" x14ac:dyDescent="0.25">
      <c r="A1758" t="s">
        <v>71</v>
      </c>
      <c r="B1758">
        <v>2014</v>
      </c>
      <c r="C1758" t="s">
        <v>6</v>
      </c>
      <c r="D1758">
        <v>6001000</v>
      </c>
      <c r="E1758" t="s">
        <v>59</v>
      </c>
    </row>
    <row r="1759" spans="1:5" x14ac:dyDescent="0.25">
      <c r="A1759" t="s">
        <v>71</v>
      </c>
      <c r="B1759">
        <v>2015</v>
      </c>
      <c r="C1759" t="s">
        <v>6</v>
      </c>
      <c r="D1759">
        <v>7517826</v>
      </c>
      <c r="E1759" t="s">
        <v>59</v>
      </c>
    </row>
    <row r="1760" spans="1:5" x14ac:dyDescent="0.25">
      <c r="A1760" t="s">
        <v>71</v>
      </c>
      <c r="B1760">
        <v>2016</v>
      </c>
      <c r="C1760" t="s">
        <v>6</v>
      </c>
      <c r="D1760">
        <v>11136959</v>
      </c>
      <c r="E1760" t="s">
        <v>59</v>
      </c>
    </row>
    <row r="1761" spans="1:5" x14ac:dyDescent="0.25">
      <c r="A1761" t="s">
        <v>71</v>
      </c>
      <c r="B1761">
        <v>2019</v>
      </c>
      <c r="C1761" t="s">
        <v>6</v>
      </c>
      <c r="D1761">
        <v>12992477</v>
      </c>
      <c r="E1761" t="s">
        <v>59</v>
      </c>
    </row>
    <row r="1762" spans="1:5" x14ac:dyDescent="0.25">
      <c r="A1762" t="s">
        <v>71</v>
      </c>
      <c r="B1762">
        <v>2020</v>
      </c>
      <c r="C1762" t="s">
        <v>6</v>
      </c>
      <c r="D1762">
        <v>10828069</v>
      </c>
      <c r="E1762" t="s">
        <v>59</v>
      </c>
    </row>
    <row r="1763" spans="1:5" x14ac:dyDescent="0.25">
      <c r="A1763" t="s">
        <v>71</v>
      </c>
      <c r="B1763">
        <v>2021</v>
      </c>
      <c r="C1763" t="s">
        <v>6</v>
      </c>
      <c r="D1763">
        <v>10249214</v>
      </c>
      <c r="E1763" t="s">
        <v>59</v>
      </c>
    </row>
    <row r="1764" spans="1:5" x14ac:dyDescent="0.25">
      <c r="A1764" t="s">
        <v>71</v>
      </c>
      <c r="B1764">
        <v>2022</v>
      </c>
      <c r="C1764" t="s">
        <v>6</v>
      </c>
      <c r="D1764">
        <v>10474698</v>
      </c>
      <c r="E1764" t="s">
        <v>59</v>
      </c>
    </row>
    <row r="1765" spans="1:5" x14ac:dyDescent="0.25">
      <c r="A1765" t="s">
        <v>71</v>
      </c>
      <c r="B1765">
        <v>2023</v>
      </c>
      <c r="C1765" t="s">
        <v>6</v>
      </c>
      <c r="D1765">
        <v>12282951</v>
      </c>
      <c r="E1765" t="s">
        <v>59</v>
      </c>
    </row>
    <row r="1766" spans="1:5" x14ac:dyDescent="0.25">
      <c r="A1766" t="s">
        <v>71</v>
      </c>
      <c r="B1766">
        <v>2024</v>
      </c>
      <c r="C1766" t="s">
        <v>6</v>
      </c>
      <c r="D1766">
        <v>10592424</v>
      </c>
      <c r="E1766" t="s">
        <v>59</v>
      </c>
    </row>
    <row r="1767" spans="1:5" x14ac:dyDescent="0.25">
      <c r="A1767" t="s">
        <v>35</v>
      </c>
      <c r="B1767">
        <v>2010</v>
      </c>
      <c r="C1767" t="s">
        <v>6</v>
      </c>
      <c r="D1767">
        <v>5548700</v>
      </c>
      <c r="E1767" t="s">
        <v>59</v>
      </c>
    </row>
    <row r="1768" spans="1:5" x14ac:dyDescent="0.25">
      <c r="A1768" t="s">
        <v>35</v>
      </c>
      <c r="B1768">
        <v>2011</v>
      </c>
      <c r="C1768" t="s">
        <v>6</v>
      </c>
      <c r="D1768">
        <v>11170063</v>
      </c>
      <c r="E1768" t="s">
        <v>59</v>
      </c>
    </row>
    <row r="1769" spans="1:5" x14ac:dyDescent="0.25">
      <c r="A1769" t="s">
        <v>35</v>
      </c>
      <c r="B1769">
        <v>2012</v>
      </c>
      <c r="C1769" t="s">
        <v>6</v>
      </c>
      <c r="D1769">
        <v>20945735</v>
      </c>
      <c r="E1769" t="s">
        <v>59</v>
      </c>
    </row>
    <row r="1770" spans="1:5" x14ac:dyDescent="0.25">
      <c r="A1770" t="s">
        <v>35</v>
      </c>
      <c r="B1770">
        <v>2013</v>
      </c>
      <c r="C1770" t="s">
        <v>6</v>
      </c>
      <c r="D1770">
        <v>11279930</v>
      </c>
      <c r="E1770" t="s">
        <v>59</v>
      </c>
    </row>
    <row r="1771" spans="1:5" x14ac:dyDescent="0.25">
      <c r="A1771" t="s">
        <v>35</v>
      </c>
      <c r="B1771">
        <v>2014</v>
      </c>
      <c r="C1771" t="s">
        <v>6</v>
      </c>
      <c r="D1771">
        <v>14462968</v>
      </c>
      <c r="E1771" t="s">
        <v>59</v>
      </c>
    </row>
    <row r="1772" spans="1:5" x14ac:dyDescent="0.25">
      <c r="A1772" t="s">
        <v>35</v>
      </c>
      <c r="B1772">
        <v>2015</v>
      </c>
      <c r="C1772" t="s">
        <v>6</v>
      </c>
      <c r="D1772">
        <v>11515015</v>
      </c>
      <c r="E1772" t="s">
        <v>59</v>
      </c>
    </row>
    <row r="1773" spans="1:5" x14ac:dyDescent="0.25">
      <c r="A1773" t="s">
        <v>35</v>
      </c>
      <c r="B1773">
        <v>2016</v>
      </c>
      <c r="C1773" t="s">
        <v>6</v>
      </c>
      <c r="D1773">
        <v>17080343</v>
      </c>
      <c r="E1773" t="s">
        <v>59</v>
      </c>
    </row>
    <row r="1774" spans="1:5" x14ac:dyDescent="0.25">
      <c r="A1774" t="s">
        <v>35</v>
      </c>
      <c r="B1774">
        <v>2017</v>
      </c>
      <c r="C1774" t="s">
        <v>6</v>
      </c>
      <c r="D1774">
        <v>9369962</v>
      </c>
      <c r="E1774" t="s">
        <v>59</v>
      </c>
    </row>
    <row r="1775" spans="1:5" x14ac:dyDescent="0.25">
      <c r="A1775" t="s">
        <v>35</v>
      </c>
      <c r="B1775">
        <v>2018</v>
      </c>
      <c r="C1775" t="s">
        <v>6</v>
      </c>
      <c r="D1775">
        <v>7935675</v>
      </c>
      <c r="E1775" t="s">
        <v>59</v>
      </c>
    </row>
    <row r="1776" spans="1:5" x14ac:dyDescent="0.25">
      <c r="A1776" t="s">
        <v>35</v>
      </c>
      <c r="B1776">
        <v>2019</v>
      </c>
      <c r="C1776" t="s">
        <v>6</v>
      </c>
      <c r="D1776">
        <v>10282151</v>
      </c>
      <c r="E1776" t="s">
        <v>59</v>
      </c>
    </row>
    <row r="1777" spans="1:5" x14ac:dyDescent="0.25">
      <c r="A1777" t="s">
        <v>35</v>
      </c>
      <c r="B1777">
        <v>2020</v>
      </c>
      <c r="C1777" t="s">
        <v>6</v>
      </c>
      <c r="D1777">
        <v>12151781</v>
      </c>
      <c r="E1777" t="s">
        <v>59</v>
      </c>
    </row>
    <row r="1778" spans="1:5" x14ac:dyDescent="0.25">
      <c r="A1778" t="s">
        <v>35</v>
      </c>
      <c r="B1778">
        <v>2021</v>
      </c>
      <c r="C1778" t="s">
        <v>6</v>
      </c>
      <c r="D1778">
        <v>17139572</v>
      </c>
      <c r="E1778" t="s">
        <v>59</v>
      </c>
    </row>
    <row r="1779" spans="1:5" x14ac:dyDescent="0.25">
      <c r="A1779" t="s">
        <v>35</v>
      </c>
      <c r="B1779">
        <v>2022</v>
      </c>
      <c r="C1779" t="s">
        <v>6</v>
      </c>
      <c r="D1779">
        <v>22922599</v>
      </c>
      <c r="E1779" t="s">
        <v>59</v>
      </c>
    </row>
    <row r="1780" spans="1:5" x14ac:dyDescent="0.25">
      <c r="A1780" t="s">
        <v>35</v>
      </c>
      <c r="B1780">
        <v>2023</v>
      </c>
      <c r="C1780" t="s">
        <v>6</v>
      </c>
      <c r="D1780">
        <v>24043460</v>
      </c>
      <c r="E1780" t="s">
        <v>59</v>
      </c>
    </row>
    <row r="1781" spans="1:5" x14ac:dyDescent="0.25">
      <c r="A1781" t="s">
        <v>35</v>
      </c>
      <c r="B1781">
        <v>2024</v>
      </c>
      <c r="C1781" t="s">
        <v>6</v>
      </c>
      <c r="D1781">
        <v>18084374</v>
      </c>
      <c r="E1781" t="s">
        <v>59</v>
      </c>
    </row>
    <row r="1782" spans="1:5" x14ac:dyDescent="0.25">
      <c r="A1782" t="s">
        <v>35</v>
      </c>
      <c r="B1782">
        <v>2025</v>
      </c>
      <c r="C1782" t="s">
        <v>6</v>
      </c>
      <c r="D1782">
        <v>7209974</v>
      </c>
      <c r="E1782" t="s">
        <v>59</v>
      </c>
    </row>
    <row r="1783" spans="1:5" x14ac:dyDescent="0.25">
      <c r="A1783" t="s">
        <v>36</v>
      </c>
      <c r="B1783">
        <v>2010</v>
      </c>
      <c r="C1783" t="s">
        <v>6</v>
      </c>
      <c r="D1783">
        <v>24541358.73</v>
      </c>
      <c r="E1783" t="s">
        <v>59</v>
      </c>
    </row>
    <row r="1784" spans="1:5" x14ac:dyDescent="0.25">
      <c r="A1784" t="s">
        <v>36</v>
      </c>
      <c r="B1784">
        <v>2011</v>
      </c>
      <c r="C1784" t="s">
        <v>6</v>
      </c>
      <c r="D1784">
        <v>31293924.048</v>
      </c>
      <c r="E1784" t="s">
        <v>59</v>
      </c>
    </row>
    <row r="1785" spans="1:5" x14ac:dyDescent="0.25">
      <c r="A1785" t="s">
        <v>36</v>
      </c>
      <c r="B1785">
        <v>2012</v>
      </c>
      <c r="C1785" t="s">
        <v>6</v>
      </c>
      <c r="D1785">
        <v>31888656.603999998</v>
      </c>
      <c r="E1785" t="s">
        <v>59</v>
      </c>
    </row>
    <row r="1786" spans="1:5" x14ac:dyDescent="0.25">
      <c r="A1786" t="s">
        <v>36</v>
      </c>
      <c r="B1786">
        <v>2013</v>
      </c>
      <c r="C1786" t="s">
        <v>6</v>
      </c>
      <c r="D1786">
        <v>17216264.508000001</v>
      </c>
      <c r="E1786" t="s">
        <v>59</v>
      </c>
    </row>
    <row r="1787" spans="1:5" x14ac:dyDescent="0.25">
      <c r="A1787" t="s">
        <v>36</v>
      </c>
      <c r="B1787">
        <v>2014</v>
      </c>
      <c r="C1787" t="s">
        <v>6</v>
      </c>
      <c r="D1787">
        <v>7909226</v>
      </c>
      <c r="E1787" t="s">
        <v>59</v>
      </c>
    </row>
    <row r="1788" spans="1:5" x14ac:dyDescent="0.25">
      <c r="A1788" t="s">
        <v>36</v>
      </c>
      <c r="B1788">
        <v>2015</v>
      </c>
      <c r="C1788" t="s">
        <v>6</v>
      </c>
      <c r="D1788">
        <v>4634277</v>
      </c>
      <c r="E1788" t="s">
        <v>59</v>
      </c>
    </row>
    <row r="1789" spans="1:5" x14ac:dyDescent="0.25">
      <c r="A1789" t="s">
        <v>36</v>
      </c>
      <c r="B1789">
        <v>2016</v>
      </c>
      <c r="C1789" t="s">
        <v>6</v>
      </c>
      <c r="D1789">
        <v>7258666</v>
      </c>
      <c r="E1789" t="s">
        <v>59</v>
      </c>
    </row>
    <row r="1790" spans="1:5" x14ac:dyDescent="0.25">
      <c r="A1790" t="s">
        <v>36</v>
      </c>
      <c r="B1790">
        <v>2017</v>
      </c>
      <c r="C1790" t="s">
        <v>6</v>
      </c>
      <c r="D1790">
        <v>1876092</v>
      </c>
      <c r="E1790" t="s">
        <v>59</v>
      </c>
    </row>
    <row r="1791" spans="1:5" x14ac:dyDescent="0.25">
      <c r="A1791" t="s">
        <v>36</v>
      </c>
      <c r="B1791">
        <v>2018</v>
      </c>
      <c r="C1791" t="s">
        <v>6</v>
      </c>
      <c r="D1791">
        <v>2181082</v>
      </c>
      <c r="E1791" t="s">
        <v>59</v>
      </c>
    </row>
    <row r="1792" spans="1:5" x14ac:dyDescent="0.25">
      <c r="A1792" t="s">
        <v>36</v>
      </c>
      <c r="B1792">
        <v>2019</v>
      </c>
      <c r="C1792" t="s">
        <v>6</v>
      </c>
      <c r="D1792">
        <v>1871212</v>
      </c>
      <c r="E1792" t="s">
        <v>59</v>
      </c>
    </row>
    <row r="1793" spans="1:5" x14ac:dyDescent="0.25">
      <c r="A1793" t="s">
        <v>36</v>
      </c>
      <c r="B1793">
        <v>2021</v>
      </c>
      <c r="C1793" t="s">
        <v>6</v>
      </c>
      <c r="D1793">
        <v>1939411</v>
      </c>
      <c r="E1793" t="s">
        <v>59</v>
      </c>
    </row>
    <row r="1794" spans="1:5" x14ac:dyDescent="0.25">
      <c r="A1794" t="s">
        <v>36</v>
      </c>
      <c r="B1794">
        <v>2022</v>
      </c>
      <c r="C1794" t="s">
        <v>6</v>
      </c>
      <c r="D1794">
        <v>1771285</v>
      </c>
      <c r="E1794" t="s">
        <v>59</v>
      </c>
    </row>
    <row r="1795" spans="1:5" x14ac:dyDescent="0.25">
      <c r="A1795" t="s">
        <v>36</v>
      </c>
      <c r="B1795">
        <v>2023</v>
      </c>
      <c r="C1795" t="s">
        <v>6</v>
      </c>
      <c r="D1795">
        <v>1728846</v>
      </c>
      <c r="E1795" t="s">
        <v>59</v>
      </c>
    </row>
    <row r="1796" spans="1:5" x14ac:dyDescent="0.25">
      <c r="A1796" t="s">
        <v>36</v>
      </c>
      <c r="B1796">
        <v>2024</v>
      </c>
      <c r="C1796" t="s">
        <v>6</v>
      </c>
      <c r="D1796">
        <v>2771943</v>
      </c>
      <c r="E1796" t="s">
        <v>59</v>
      </c>
    </row>
    <row r="1797" spans="1:5" x14ac:dyDescent="0.25">
      <c r="A1797" t="s">
        <v>36</v>
      </c>
      <c r="B1797">
        <v>2025</v>
      </c>
      <c r="C1797" t="s">
        <v>6</v>
      </c>
      <c r="D1797">
        <v>1274706</v>
      </c>
      <c r="E1797" t="s">
        <v>59</v>
      </c>
    </row>
    <row r="1798" spans="1:5" x14ac:dyDescent="0.25">
      <c r="A1798" t="s">
        <v>37</v>
      </c>
      <c r="B1798">
        <v>2000</v>
      </c>
      <c r="C1798" t="s">
        <v>6</v>
      </c>
      <c r="D1798">
        <v>3191876.31</v>
      </c>
      <c r="E1798" t="s">
        <v>59</v>
      </c>
    </row>
    <row r="1799" spans="1:5" x14ac:dyDescent="0.25">
      <c r="A1799" t="s">
        <v>37</v>
      </c>
      <c r="B1799">
        <v>2001</v>
      </c>
      <c r="C1799" t="s">
        <v>6</v>
      </c>
      <c r="D1799">
        <v>2288552.9700000002</v>
      </c>
      <c r="E1799" t="s">
        <v>59</v>
      </c>
    </row>
    <row r="1800" spans="1:5" x14ac:dyDescent="0.25">
      <c r="A1800" t="s">
        <v>37</v>
      </c>
      <c r="B1800">
        <v>2002</v>
      </c>
      <c r="C1800" t="s">
        <v>6</v>
      </c>
      <c r="D1800">
        <v>5012620</v>
      </c>
      <c r="E1800" t="s">
        <v>59</v>
      </c>
    </row>
    <row r="1801" spans="1:5" x14ac:dyDescent="0.25">
      <c r="A1801" t="s">
        <v>37</v>
      </c>
      <c r="B1801">
        <v>2003</v>
      </c>
      <c r="C1801" t="s">
        <v>6</v>
      </c>
      <c r="D1801">
        <v>5027727.7769999998</v>
      </c>
      <c r="E1801" t="s">
        <v>59</v>
      </c>
    </row>
    <row r="1802" spans="1:5" x14ac:dyDescent="0.25">
      <c r="A1802" t="s">
        <v>37</v>
      </c>
      <c r="B1802">
        <v>2004</v>
      </c>
      <c r="C1802" t="s">
        <v>6</v>
      </c>
      <c r="D1802">
        <v>5229177.93</v>
      </c>
      <c r="E1802" t="s">
        <v>59</v>
      </c>
    </row>
    <row r="1803" spans="1:5" x14ac:dyDescent="0.25">
      <c r="A1803" t="s">
        <v>37</v>
      </c>
      <c r="B1803">
        <v>2005</v>
      </c>
      <c r="C1803" t="s">
        <v>6</v>
      </c>
      <c r="D1803">
        <v>4009037.17</v>
      </c>
      <c r="E1803" t="s">
        <v>59</v>
      </c>
    </row>
    <row r="1804" spans="1:5" x14ac:dyDescent="0.25">
      <c r="A1804" t="s">
        <v>37</v>
      </c>
      <c r="B1804">
        <v>2006</v>
      </c>
      <c r="C1804" t="s">
        <v>6</v>
      </c>
      <c r="D1804">
        <v>7382044.1299999999</v>
      </c>
      <c r="E1804" t="s">
        <v>59</v>
      </c>
    </row>
    <row r="1805" spans="1:5" x14ac:dyDescent="0.25">
      <c r="A1805" t="s">
        <v>37</v>
      </c>
      <c r="B1805">
        <v>2007</v>
      </c>
      <c r="C1805" t="s">
        <v>6</v>
      </c>
      <c r="D1805">
        <v>3068981.62</v>
      </c>
      <c r="E1805" t="s">
        <v>59</v>
      </c>
    </row>
    <row r="1806" spans="1:5" x14ac:dyDescent="0.25">
      <c r="A1806" t="s">
        <v>37</v>
      </c>
      <c r="B1806">
        <v>2008</v>
      </c>
      <c r="C1806" t="s">
        <v>6</v>
      </c>
      <c r="D1806">
        <v>6283470.7599999998</v>
      </c>
      <c r="E1806" t="s">
        <v>59</v>
      </c>
    </row>
    <row r="1807" spans="1:5" x14ac:dyDescent="0.25">
      <c r="A1807" t="s">
        <v>37</v>
      </c>
      <c r="B1807">
        <v>2009</v>
      </c>
      <c r="C1807" t="s">
        <v>6</v>
      </c>
      <c r="D1807">
        <v>3488385.03</v>
      </c>
      <c r="E1807" t="s">
        <v>59</v>
      </c>
    </row>
    <row r="1808" spans="1:5" x14ac:dyDescent="0.25">
      <c r="A1808" t="s">
        <v>37</v>
      </c>
      <c r="B1808">
        <v>2010</v>
      </c>
      <c r="C1808" t="s">
        <v>6</v>
      </c>
      <c r="D1808">
        <v>6695474.4079999998</v>
      </c>
      <c r="E1808" t="s">
        <v>59</v>
      </c>
    </row>
    <row r="1809" spans="1:5" x14ac:dyDescent="0.25">
      <c r="A1809" t="s">
        <v>37</v>
      </c>
      <c r="B1809">
        <v>2011</v>
      </c>
      <c r="C1809" t="s">
        <v>6</v>
      </c>
      <c r="D1809">
        <v>6468023.8099999996</v>
      </c>
      <c r="E1809" t="s">
        <v>59</v>
      </c>
    </row>
    <row r="1810" spans="1:5" x14ac:dyDescent="0.25">
      <c r="A1810" t="s">
        <v>37</v>
      </c>
      <c r="B1810">
        <v>2012</v>
      </c>
      <c r="C1810" t="s">
        <v>6</v>
      </c>
      <c r="D1810">
        <v>7503789.5559999999</v>
      </c>
      <c r="E1810" t="s">
        <v>59</v>
      </c>
    </row>
    <row r="1811" spans="1:5" x14ac:dyDescent="0.25">
      <c r="A1811" t="s">
        <v>37</v>
      </c>
      <c r="B1811">
        <v>2013</v>
      </c>
      <c r="C1811" t="s">
        <v>6</v>
      </c>
      <c r="D1811">
        <v>10599613.897</v>
      </c>
      <c r="E1811" t="s">
        <v>59</v>
      </c>
    </row>
    <row r="1812" spans="1:5" x14ac:dyDescent="0.25">
      <c r="A1812" t="s">
        <v>37</v>
      </c>
      <c r="B1812">
        <v>2014</v>
      </c>
      <c r="C1812" t="s">
        <v>6</v>
      </c>
      <c r="D1812">
        <v>8927263.7789999992</v>
      </c>
      <c r="E1812" t="s">
        <v>59</v>
      </c>
    </row>
    <row r="1813" spans="1:5" x14ac:dyDescent="0.25">
      <c r="A1813" t="s">
        <v>37</v>
      </c>
      <c r="B1813">
        <v>2015</v>
      </c>
      <c r="C1813" t="s">
        <v>6</v>
      </c>
      <c r="D1813">
        <v>9914603.1760000009</v>
      </c>
      <c r="E1813" t="s">
        <v>59</v>
      </c>
    </row>
    <row r="1814" spans="1:5" x14ac:dyDescent="0.25">
      <c r="A1814" t="s">
        <v>37</v>
      </c>
      <c r="B1814">
        <v>2016</v>
      </c>
      <c r="C1814" t="s">
        <v>6</v>
      </c>
      <c r="D1814">
        <v>13875599.354</v>
      </c>
      <c r="E1814" t="s">
        <v>59</v>
      </c>
    </row>
    <row r="1815" spans="1:5" x14ac:dyDescent="0.25">
      <c r="A1815" t="s">
        <v>37</v>
      </c>
      <c r="B1815">
        <v>2017</v>
      </c>
      <c r="C1815" t="s">
        <v>6</v>
      </c>
      <c r="D1815">
        <v>13454829.455</v>
      </c>
      <c r="E1815" t="s">
        <v>59</v>
      </c>
    </row>
    <row r="1816" spans="1:5" x14ac:dyDescent="0.25">
      <c r="A1816" t="s">
        <v>37</v>
      </c>
      <c r="B1816">
        <v>2018</v>
      </c>
      <c r="C1816" t="s">
        <v>6</v>
      </c>
      <c r="D1816">
        <v>15036602.347999999</v>
      </c>
      <c r="E1816" t="s">
        <v>59</v>
      </c>
    </row>
    <row r="1817" spans="1:5" x14ac:dyDescent="0.25">
      <c r="A1817" t="s">
        <v>37</v>
      </c>
      <c r="B1817">
        <v>2019</v>
      </c>
      <c r="C1817" t="s">
        <v>6</v>
      </c>
      <c r="D1817">
        <v>13440525.073999999</v>
      </c>
      <c r="E1817" t="s">
        <v>59</v>
      </c>
    </row>
    <row r="1818" spans="1:5" x14ac:dyDescent="0.25">
      <c r="A1818" t="s">
        <v>37</v>
      </c>
      <c r="B1818">
        <v>2020</v>
      </c>
      <c r="C1818" t="s">
        <v>6</v>
      </c>
      <c r="D1818">
        <v>12296947.389</v>
      </c>
      <c r="E1818" t="s">
        <v>59</v>
      </c>
    </row>
    <row r="1819" spans="1:5" x14ac:dyDescent="0.25">
      <c r="A1819" t="s">
        <v>37</v>
      </c>
      <c r="B1819">
        <v>2021</v>
      </c>
      <c r="C1819" t="s">
        <v>6</v>
      </c>
      <c r="D1819">
        <v>12520440.716</v>
      </c>
      <c r="E1819" t="s">
        <v>59</v>
      </c>
    </row>
    <row r="1820" spans="1:5" x14ac:dyDescent="0.25">
      <c r="A1820" t="s">
        <v>37</v>
      </c>
      <c r="B1820">
        <v>2022</v>
      </c>
      <c r="C1820" t="s">
        <v>6</v>
      </c>
      <c r="D1820">
        <v>10679208.767000001</v>
      </c>
      <c r="E1820" t="s">
        <v>59</v>
      </c>
    </row>
    <row r="1821" spans="1:5" x14ac:dyDescent="0.25">
      <c r="A1821" t="s">
        <v>37</v>
      </c>
      <c r="B1821">
        <v>2023</v>
      </c>
      <c r="C1821" t="s">
        <v>6</v>
      </c>
      <c r="D1821">
        <v>11011209.743000001</v>
      </c>
      <c r="E1821" t="s">
        <v>59</v>
      </c>
    </row>
    <row r="1822" spans="1:5" x14ac:dyDescent="0.25">
      <c r="A1822" t="s">
        <v>37</v>
      </c>
      <c r="B1822">
        <v>2024</v>
      </c>
      <c r="C1822" t="s">
        <v>6</v>
      </c>
      <c r="D1822">
        <v>11777998.862</v>
      </c>
      <c r="E1822" t="s">
        <v>59</v>
      </c>
    </row>
    <row r="1823" spans="1:5" x14ac:dyDescent="0.25">
      <c r="A1823" t="s">
        <v>37</v>
      </c>
      <c r="B1823">
        <v>2025</v>
      </c>
      <c r="C1823" t="s">
        <v>6</v>
      </c>
      <c r="D1823">
        <v>4444086.5729999999</v>
      </c>
      <c r="E1823" t="s">
        <v>59</v>
      </c>
    </row>
    <row r="1824" spans="1:5" x14ac:dyDescent="0.25">
      <c r="A1824" t="s">
        <v>38</v>
      </c>
      <c r="B1824">
        <v>2003</v>
      </c>
      <c r="C1824" t="s">
        <v>6</v>
      </c>
      <c r="D1824" t="s">
        <v>39</v>
      </c>
      <c r="E1824" t="s">
        <v>59</v>
      </c>
    </row>
    <row r="1825" spans="1:5" x14ac:dyDescent="0.25">
      <c r="A1825" t="s">
        <v>38</v>
      </c>
      <c r="B1825">
        <v>2005</v>
      </c>
      <c r="C1825" t="s">
        <v>6</v>
      </c>
      <c r="D1825" t="s">
        <v>39</v>
      </c>
      <c r="E1825" t="s">
        <v>59</v>
      </c>
    </row>
    <row r="1826" spans="1:5" x14ac:dyDescent="0.25">
      <c r="A1826" t="s">
        <v>38</v>
      </c>
      <c r="B1826">
        <v>2006</v>
      </c>
      <c r="C1826" t="s">
        <v>6</v>
      </c>
      <c r="D1826" t="s">
        <v>39</v>
      </c>
      <c r="E1826" t="s">
        <v>59</v>
      </c>
    </row>
    <row r="1827" spans="1:5" x14ac:dyDescent="0.25">
      <c r="A1827" t="s">
        <v>38</v>
      </c>
      <c r="B1827">
        <v>2007</v>
      </c>
      <c r="C1827" t="s">
        <v>6</v>
      </c>
      <c r="D1827">
        <v>206186417.94400001</v>
      </c>
      <c r="E1827" t="s">
        <v>59</v>
      </c>
    </row>
    <row r="1828" spans="1:5" x14ac:dyDescent="0.25">
      <c r="A1828" t="s">
        <v>38</v>
      </c>
      <c r="B1828">
        <v>2010</v>
      </c>
      <c r="C1828" t="s">
        <v>6</v>
      </c>
      <c r="D1828">
        <v>393117810.20499998</v>
      </c>
      <c r="E1828" t="s">
        <v>59</v>
      </c>
    </row>
    <row r="1829" spans="1:5" x14ac:dyDescent="0.25">
      <c r="A1829" t="s">
        <v>38</v>
      </c>
      <c r="B1829">
        <v>2011</v>
      </c>
      <c r="C1829" t="s">
        <v>6</v>
      </c>
      <c r="D1829">
        <v>612637263.824</v>
      </c>
      <c r="E1829" t="s">
        <v>59</v>
      </c>
    </row>
    <row r="1830" spans="1:5" x14ac:dyDescent="0.25">
      <c r="A1830" t="s">
        <v>38</v>
      </c>
      <c r="B1830">
        <v>2012</v>
      </c>
      <c r="C1830" t="s">
        <v>6</v>
      </c>
      <c r="D1830">
        <v>1055219955.237</v>
      </c>
      <c r="E1830" t="s">
        <v>59</v>
      </c>
    </row>
    <row r="1831" spans="1:5" x14ac:dyDescent="0.25">
      <c r="A1831" t="s">
        <v>38</v>
      </c>
      <c r="B1831">
        <v>2013</v>
      </c>
      <c r="C1831" t="s">
        <v>6</v>
      </c>
      <c r="D1831">
        <v>671924447.59599996</v>
      </c>
      <c r="E1831" t="s">
        <v>59</v>
      </c>
    </row>
    <row r="1832" spans="1:5" x14ac:dyDescent="0.25">
      <c r="A1832" t="s">
        <v>38</v>
      </c>
      <c r="B1832">
        <v>2014</v>
      </c>
      <c r="C1832" t="s">
        <v>6</v>
      </c>
      <c r="D1832">
        <v>1008595240.418</v>
      </c>
      <c r="E1832" t="s">
        <v>59</v>
      </c>
    </row>
    <row r="1833" spans="1:5" x14ac:dyDescent="0.25">
      <c r="A1833" t="s">
        <v>38</v>
      </c>
      <c r="B1833">
        <v>2015</v>
      </c>
      <c r="C1833" t="s">
        <v>6</v>
      </c>
      <c r="D1833">
        <v>898180419.80499995</v>
      </c>
      <c r="E1833" t="s">
        <v>59</v>
      </c>
    </row>
    <row r="1834" spans="1:5" x14ac:dyDescent="0.25">
      <c r="A1834" t="s">
        <v>38</v>
      </c>
      <c r="B1834">
        <v>2016</v>
      </c>
      <c r="C1834" t="s">
        <v>6</v>
      </c>
      <c r="D1834">
        <v>1385040244.3729999</v>
      </c>
      <c r="E1834" t="s">
        <v>59</v>
      </c>
    </row>
    <row r="1835" spans="1:5" x14ac:dyDescent="0.25">
      <c r="A1835" t="s">
        <v>38</v>
      </c>
      <c r="B1835">
        <v>2017</v>
      </c>
      <c r="C1835" t="s">
        <v>6</v>
      </c>
      <c r="D1835">
        <v>774389663.06799996</v>
      </c>
      <c r="E1835" t="s">
        <v>59</v>
      </c>
    </row>
    <row r="1836" spans="1:5" x14ac:dyDescent="0.25">
      <c r="A1836" t="s">
        <v>38</v>
      </c>
      <c r="B1836">
        <v>2018</v>
      </c>
      <c r="C1836" t="s">
        <v>6</v>
      </c>
      <c r="D1836">
        <v>950058789.49399996</v>
      </c>
      <c r="E1836" t="s">
        <v>59</v>
      </c>
    </row>
    <row r="1837" spans="1:5" x14ac:dyDescent="0.25">
      <c r="A1837" t="s">
        <v>38</v>
      </c>
      <c r="B1837">
        <v>2019</v>
      </c>
      <c r="C1837" t="s">
        <v>6</v>
      </c>
      <c r="D1837">
        <v>904500670.10099995</v>
      </c>
      <c r="E1837" t="s">
        <v>59</v>
      </c>
    </row>
    <row r="1838" spans="1:5" x14ac:dyDescent="0.25">
      <c r="A1838" t="s">
        <v>38</v>
      </c>
      <c r="B1838">
        <v>2020</v>
      </c>
      <c r="C1838" t="s">
        <v>6</v>
      </c>
      <c r="D1838">
        <v>933427917.15999997</v>
      </c>
      <c r="E1838" t="s">
        <v>59</v>
      </c>
    </row>
    <row r="1839" spans="1:5" x14ac:dyDescent="0.25">
      <c r="A1839" t="s">
        <v>38</v>
      </c>
      <c r="B1839">
        <v>2021</v>
      </c>
      <c r="C1839" t="s">
        <v>6</v>
      </c>
      <c r="D1839">
        <v>940047639.63100004</v>
      </c>
      <c r="E1839" t="s">
        <v>59</v>
      </c>
    </row>
    <row r="1840" spans="1:5" x14ac:dyDescent="0.25">
      <c r="A1840" t="s">
        <v>38</v>
      </c>
      <c r="B1840">
        <v>2022</v>
      </c>
      <c r="C1840" t="s">
        <v>6</v>
      </c>
      <c r="D1840">
        <v>991233732.42999995</v>
      </c>
      <c r="E1840" t="s">
        <v>59</v>
      </c>
    </row>
    <row r="1841" spans="1:5" x14ac:dyDescent="0.25">
      <c r="A1841" t="s">
        <v>38</v>
      </c>
      <c r="B1841">
        <v>2023</v>
      </c>
      <c r="C1841" t="s">
        <v>6</v>
      </c>
      <c r="D1841">
        <v>641464461.26400006</v>
      </c>
      <c r="E1841" t="s">
        <v>59</v>
      </c>
    </row>
    <row r="1842" spans="1:5" x14ac:dyDescent="0.25">
      <c r="A1842" t="s">
        <v>38</v>
      </c>
      <c r="B1842">
        <v>2024</v>
      </c>
      <c r="C1842" t="s">
        <v>6</v>
      </c>
      <c r="D1842">
        <v>890341424.80700004</v>
      </c>
      <c r="E1842" t="s">
        <v>59</v>
      </c>
    </row>
    <row r="1843" spans="1:5" x14ac:dyDescent="0.25">
      <c r="A1843" t="s">
        <v>38</v>
      </c>
      <c r="B1843">
        <v>2025</v>
      </c>
      <c r="C1843" t="s">
        <v>6</v>
      </c>
      <c r="D1843">
        <v>546910368.62800002</v>
      </c>
      <c r="E1843" t="s">
        <v>59</v>
      </c>
    </row>
    <row r="1844" spans="1:5" x14ac:dyDescent="0.25">
      <c r="A1844" t="s">
        <v>70</v>
      </c>
      <c r="B1844">
        <v>2000</v>
      </c>
      <c r="C1844" t="s">
        <v>6</v>
      </c>
      <c r="D1844">
        <v>2636508</v>
      </c>
      <c r="E1844" t="s">
        <v>59</v>
      </c>
    </row>
    <row r="1845" spans="1:5" x14ac:dyDescent="0.25">
      <c r="A1845" t="s">
        <v>70</v>
      </c>
      <c r="B1845">
        <v>2001</v>
      </c>
      <c r="C1845" t="s">
        <v>6</v>
      </c>
      <c r="D1845">
        <v>3659712</v>
      </c>
      <c r="E1845" t="s">
        <v>59</v>
      </c>
    </row>
    <row r="1846" spans="1:5" x14ac:dyDescent="0.25">
      <c r="A1846" t="s">
        <v>70</v>
      </c>
      <c r="B1846">
        <v>2007</v>
      </c>
      <c r="C1846" t="s">
        <v>6</v>
      </c>
      <c r="D1846">
        <v>2534915</v>
      </c>
      <c r="E1846" t="s">
        <v>59</v>
      </c>
    </row>
    <row r="1847" spans="1:5" x14ac:dyDescent="0.25">
      <c r="A1847" t="s">
        <v>70</v>
      </c>
      <c r="B1847">
        <v>2008</v>
      </c>
      <c r="C1847" t="s">
        <v>6</v>
      </c>
      <c r="D1847">
        <v>3447966</v>
      </c>
      <c r="E1847" t="s">
        <v>59</v>
      </c>
    </row>
    <row r="1848" spans="1:5" x14ac:dyDescent="0.25">
      <c r="A1848" t="s">
        <v>70</v>
      </c>
      <c r="B1848">
        <v>2021</v>
      </c>
      <c r="C1848" t="s">
        <v>6</v>
      </c>
      <c r="D1848">
        <v>2934308.3</v>
      </c>
      <c r="E1848" t="s">
        <v>59</v>
      </c>
    </row>
    <row r="1849" spans="1:5" x14ac:dyDescent="0.25">
      <c r="A1849" t="s">
        <v>70</v>
      </c>
      <c r="B1849">
        <v>2022</v>
      </c>
      <c r="C1849" t="s">
        <v>6</v>
      </c>
      <c r="D1849">
        <v>3517909.7</v>
      </c>
      <c r="E1849" t="s">
        <v>59</v>
      </c>
    </row>
    <row r="1850" spans="1:5" x14ac:dyDescent="0.25">
      <c r="A1850" t="s">
        <v>70</v>
      </c>
      <c r="B1850">
        <v>2023</v>
      </c>
      <c r="C1850" t="s">
        <v>6</v>
      </c>
      <c r="D1850">
        <v>4800698.63</v>
      </c>
      <c r="E1850" t="s">
        <v>59</v>
      </c>
    </row>
    <row r="1851" spans="1:5" x14ac:dyDescent="0.25">
      <c r="A1851" t="s">
        <v>69</v>
      </c>
      <c r="B1851">
        <v>2011</v>
      </c>
      <c r="C1851" t="s">
        <v>6</v>
      </c>
      <c r="D1851">
        <v>4166205</v>
      </c>
      <c r="E1851" t="s">
        <v>59</v>
      </c>
    </row>
    <row r="1852" spans="1:5" x14ac:dyDescent="0.25">
      <c r="A1852" t="s">
        <v>69</v>
      </c>
      <c r="B1852">
        <v>2012</v>
      </c>
      <c r="C1852" t="s">
        <v>6</v>
      </c>
      <c r="D1852">
        <v>20020901.134</v>
      </c>
      <c r="E1852" t="s">
        <v>59</v>
      </c>
    </row>
    <row r="1853" spans="1:5" x14ac:dyDescent="0.25">
      <c r="A1853" t="s">
        <v>69</v>
      </c>
      <c r="B1853">
        <v>2013</v>
      </c>
      <c r="C1853" t="s">
        <v>6</v>
      </c>
      <c r="D1853">
        <v>12882091.759</v>
      </c>
      <c r="E1853" t="s">
        <v>59</v>
      </c>
    </row>
    <row r="1854" spans="1:5" x14ac:dyDescent="0.25">
      <c r="A1854" t="s">
        <v>69</v>
      </c>
      <c r="B1854">
        <v>2014</v>
      </c>
      <c r="C1854" t="s">
        <v>6</v>
      </c>
      <c r="D1854">
        <v>16859637.5</v>
      </c>
      <c r="E1854" t="s">
        <v>59</v>
      </c>
    </row>
    <row r="1855" spans="1:5" x14ac:dyDescent="0.25">
      <c r="A1855" t="s">
        <v>69</v>
      </c>
      <c r="B1855">
        <v>2015</v>
      </c>
      <c r="C1855" t="s">
        <v>6</v>
      </c>
      <c r="D1855">
        <v>4424822.3</v>
      </c>
      <c r="E1855" t="s">
        <v>59</v>
      </c>
    </row>
    <row r="1856" spans="1:5" x14ac:dyDescent="0.25">
      <c r="A1856" t="s">
        <v>69</v>
      </c>
      <c r="B1856">
        <v>2016</v>
      </c>
      <c r="C1856" t="s">
        <v>6</v>
      </c>
      <c r="D1856">
        <v>3104064.79</v>
      </c>
      <c r="E1856" t="s">
        <v>59</v>
      </c>
    </row>
    <row r="1857" spans="1:5" x14ac:dyDescent="0.25">
      <c r="A1857" t="s">
        <v>69</v>
      </c>
      <c r="B1857">
        <v>2017</v>
      </c>
      <c r="C1857" t="s">
        <v>6</v>
      </c>
      <c r="D1857">
        <v>13947945.1</v>
      </c>
      <c r="E1857" t="s">
        <v>59</v>
      </c>
    </row>
    <row r="1858" spans="1:5" x14ac:dyDescent="0.25">
      <c r="A1858" t="s">
        <v>69</v>
      </c>
      <c r="B1858">
        <v>2018</v>
      </c>
      <c r="C1858" t="s">
        <v>6</v>
      </c>
      <c r="D1858">
        <v>13678721.800000001</v>
      </c>
      <c r="E1858" t="s">
        <v>59</v>
      </c>
    </row>
    <row r="1859" spans="1:5" x14ac:dyDescent="0.25">
      <c r="A1859" t="s">
        <v>69</v>
      </c>
      <c r="B1859">
        <v>2019</v>
      </c>
      <c r="C1859" t="s">
        <v>6</v>
      </c>
      <c r="D1859">
        <v>9553479.5099999998</v>
      </c>
      <c r="E1859" t="s">
        <v>59</v>
      </c>
    </row>
    <row r="1860" spans="1:5" x14ac:dyDescent="0.25">
      <c r="A1860" t="s">
        <v>69</v>
      </c>
      <c r="B1860">
        <v>2020</v>
      </c>
      <c r="C1860" t="s">
        <v>6</v>
      </c>
      <c r="D1860">
        <v>4987671</v>
      </c>
      <c r="E1860" t="s">
        <v>59</v>
      </c>
    </row>
    <row r="1861" spans="1:5" x14ac:dyDescent="0.25">
      <c r="A1861" t="s">
        <v>69</v>
      </c>
      <c r="B1861">
        <v>2021</v>
      </c>
      <c r="C1861" t="s">
        <v>6</v>
      </c>
      <c r="D1861">
        <v>6419101</v>
      </c>
      <c r="E1861" t="s">
        <v>59</v>
      </c>
    </row>
    <row r="1862" spans="1:5" x14ac:dyDescent="0.25">
      <c r="A1862" t="s">
        <v>69</v>
      </c>
      <c r="B1862">
        <v>2022</v>
      </c>
      <c r="C1862" t="s">
        <v>6</v>
      </c>
      <c r="D1862">
        <v>12011508.199999999</v>
      </c>
      <c r="E1862" t="s">
        <v>59</v>
      </c>
    </row>
    <row r="1863" spans="1:5" x14ac:dyDescent="0.25">
      <c r="A1863" t="s">
        <v>69</v>
      </c>
      <c r="B1863">
        <v>2023</v>
      </c>
      <c r="C1863" t="s">
        <v>6</v>
      </c>
      <c r="D1863">
        <v>21275933</v>
      </c>
      <c r="E1863" t="s">
        <v>59</v>
      </c>
    </row>
    <row r="1864" spans="1:5" x14ac:dyDescent="0.25">
      <c r="A1864" t="s">
        <v>69</v>
      </c>
      <c r="B1864">
        <v>2024</v>
      </c>
      <c r="C1864" t="s">
        <v>6</v>
      </c>
      <c r="D1864">
        <v>5062330</v>
      </c>
      <c r="E1864" t="s">
        <v>59</v>
      </c>
    </row>
    <row r="1865" spans="1:5" x14ac:dyDescent="0.25">
      <c r="A1865" t="s">
        <v>68</v>
      </c>
      <c r="B1865">
        <v>2020</v>
      </c>
      <c r="C1865" t="s">
        <v>6</v>
      </c>
      <c r="D1865">
        <v>1966225.9</v>
      </c>
      <c r="E1865" t="s">
        <v>59</v>
      </c>
    </row>
    <row r="1866" spans="1:5" x14ac:dyDescent="0.25">
      <c r="A1866" t="s">
        <v>68</v>
      </c>
      <c r="B1866">
        <v>2021</v>
      </c>
      <c r="C1866" t="s">
        <v>6</v>
      </c>
      <c r="D1866">
        <v>2137858.56</v>
      </c>
      <c r="E1866" t="s">
        <v>59</v>
      </c>
    </row>
    <row r="1867" spans="1:5" x14ac:dyDescent="0.25">
      <c r="A1867" t="s">
        <v>68</v>
      </c>
      <c r="B1867">
        <v>2022</v>
      </c>
      <c r="C1867" t="s">
        <v>6</v>
      </c>
      <c r="D1867">
        <v>1967406.7</v>
      </c>
      <c r="E1867" t="s">
        <v>59</v>
      </c>
    </row>
    <row r="1868" spans="1:5" x14ac:dyDescent="0.25">
      <c r="A1868" t="s">
        <v>40</v>
      </c>
      <c r="B1868">
        <v>2011</v>
      </c>
      <c r="C1868" t="s">
        <v>6</v>
      </c>
      <c r="D1868">
        <v>1665281.9879999999</v>
      </c>
      <c r="E1868" t="s">
        <v>59</v>
      </c>
    </row>
    <row r="1869" spans="1:5" x14ac:dyDescent="0.25">
      <c r="A1869" t="s">
        <v>40</v>
      </c>
      <c r="B1869">
        <v>2012</v>
      </c>
      <c r="C1869" t="s">
        <v>6</v>
      </c>
      <c r="D1869">
        <v>2077777.58</v>
      </c>
      <c r="E1869" t="s">
        <v>59</v>
      </c>
    </row>
    <row r="1870" spans="1:5" x14ac:dyDescent="0.25">
      <c r="A1870" t="s">
        <v>40</v>
      </c>
      <c r="B1870">
        <v>2013</v>
      </c>
      <c r="C1870" t="s">
        <v>6</v>
      </c>
      <c r="D1870">
        <v>3390551.702</v>
      </c>
      <c r="E1870" t="s">
        <v>59</v>
      </c>
    </row>
    <row r="1871" spans="1:5" x14ac:dyDescent="0.25">
      <c r="A1871" t="s">
        <v>40</v>
      </c>
      <c r="B1871">
        <v>2014</v>
      </c>
      <c r="C1871" t="s">
        <v>6</v>
      </c>
      <c r="D1871">
        <v>4625004.3219999997</v>
      </c>
      <c r="E1871" t="s">
        <v>59</v>
      </c>
    </row>
    <row r="1872" spans="1:5" x14ac:dyDescent="0.25">
      <c r="A1872" t="s">
        <v>40</v>
      </c>
      <c r="B1872">
        <v>2015</v>
      </c>
      <c r="C1872" t="s">
        <v>6</v>
      </c>
      <c r="D1872">
        <v>3067279.3840000001</v>
      </c>
      <c r="E1872" t="s">
        <v>59</v>
      </c>
    </row>
    <row r="1873" spans="1:5" x14ac:dyDescent="0.25">
      <c r="A1873" t="s">
        <v>40</v>
      </c>
      <c r="B1873">
        <v>2016</v>
      </c>
      <c r="C1873" t="s">
        <v>6</v>
      </c>
      <c r="D1873">
        <v>5183721.7230000002</v>
      </c>
      <c r="E1873" t="s">
        <v>59</v>
      </c>
    </row>
    <row r="1874" spans="1:5" x14ac:dyDescent="0.25">
      <c r="A1874" t="s">
        <v>40</v>
      </c>
      <c r="B1874">
        <v>2017</v>
      </c>
      <c r="C1874" t="s">
        <v>6</v>
      </c>
      <c r="D1874">
        <v>8215537.3030000003</v>
      </c>
      <c r="E1874" t="s">
        <v>59</v>
      </c>
    </row>
    <row r="1875" spans="1:5" x14ac:dyDescent="0.25">
      <c r="A1875" t="s">
        <v>40</v>
      </c>
      <c r="B1875">
        <v>2018</v>
      </c>
      <c r="C1875" t="s">
        <v>6</v>
      </c>
      <c r="D1875">
        <v>4455384.915</v>
      </c>
      <c r="E1875" t="s">
        <v>59</v>
      </c>
    </row>
    <row r="1876" spans="1:5" x14ac:dyDescent="0.25">
      <c r="A1876" t="s">
        <v>40</v>
      </c>
      <c r="B1876">
        <v>2019</v>
      </c>
      <c r="C1876" t="s">
        <v>6</v>
      </c>
      <c r="D1876">
        <v>2668765.0049999999</v>
      </c>
      <c r="E1876" t="s">
        <v>59</v>
      </c>
    </row>
    <row r="1877" spans="1:5" x14ac:dyDescent="0.25">
      <c r="A1877" t="s">
        <v>40</v>
      </c>
      <c r="B1877">
        <v>2020</v>
      </c>
      <c r="C1877" t="s">
        <v>6</v>
      </c>
      <c r="D1877">
        <v>2405783.7519999999</v>
      </c>
      <c r="E1877" t="s">
        <v>59</v>
      </c>
    </row>
    <row r="1878" spans="1:5" x14ac:dyDescent="0.25">
      <c r="A1878" t="s">
        <v>40</v>
      </c>
      <c r="B1878">
        <v>2021</v>
      </c>
      <c r="C1878" t="s">
        <v>6</v>
      </c>
      <c r="D1878">
        <v>2745082.15</v>
      </c>
      <c r="E1878" t="s">
        <v>59</v>
      </c>
    </row>
    <row r="1879" spans="1:5" x14ac:dyDescent="0.25">
      <c r="A1879" t="s">
        <v>40</v>
      </c>
      <c r="B1879">
        <v>2022</v>
      </c>
      <c r="C1879" t="s">
        <v>6</v>
      </c>
      <c r="D1879">
        <v>3379327.8760000002</v>
      </c>
      <c r="E1879" t="s">
        <v>59</v>
      </c>
    </row>
    <row r="1880" spans="1:5" x14ac:dyDescent="0.25">
      <c r="A1880" t="s">
        <v>40</v>
      </c>
      <c r="B1880">
        <v>2023</v>
      </c>
      <c r="C1880" t="s">
        <v>6</v>
      </c>
      <c r="D1880">
        <v>3199819.682</v>
      </c>
      <c r="E1880" t="s">
        <v>59</v>
      </c>
    </row>
    <row r="1881" spans="1:5" x14ac:dyDescent="0.25">
      <c r="A1881" t="s">
        <v>40</v>
      </c>
      <c r="B1881">
        <v>2024</v>
      </c>
      <c r="C1881" t="s">
        <v>6</v>
      </c>
      <c r="D1881">
        <v>3346351.9240000001</v>
      </c>
      <c r="E1881" t="s">
        <v>59</v>
      </c>
    </row>
    <row r="1882" spans="1:5" x14ac:dyDescent="0.25">
      <c r="A1882" t="s">
        <v>40</v>
      </c>
      <c r="B1882">
        <v>2025</v>
      </c>
      <c r="C1882" t="s">
        <v>6</v>
      </c>
      <c r="D1882">
        <v>2584985.338</v>
      </c>
      <c r="E1882" t="s">
        <v>59</v>
      </c>
    </row>
    <row r="1883" spans="1:5" x14ac:dyDescent="0.25">
      <c r="A1883" t="s">
        <v>67</v>
      </c>
      <c r="B1883">
        <v>2010</v>
      </c>
      <c r="C1883" t="s">
        <v>6</v>
      </c>
      <c r="D1883">
        <v>13278213</v>
      </c>
      <c r="E1883" t="s">
        <v>59</v>
      </c>
    </row>
    <row r="1884" spans="1:5" x14ac:dyDescent="0.25">
      <c r="A1884" t="s">
        <v>67</v>
      </c>
      <c r="B1884">
        <v>2011</v>
      </c>
      <c r="C1884" t="s">
        <v>6</v>
      </c>
      <c r="D1884">
        <v>18773151</v>
      </c>
      <c r="E1884" t="s">
        <v>59</v>
      </c>
    </row>
    <row r="1885" spans="1:5" x14ac:dyDescent="0.25">
      <c r="A1885" t="s">
        <v>67</v>
      </c>
      <c r="B1885">
        <v>2012</v>
      </c>
      <c r="C1885" t="s">
        <v>6</v>
      </c>
      <c r="D1885">
        <v>17476352</v>
      </c>
      <c r="E1885" t="s">
        <v>59</v>
      </c>
    </row>
    <row r="1886" spans="1:5" x14ac:dyDescent="0.25">
      <c r="A1886" t="s">
        <v>67</v>
      </c>
      <c r="B1886">
        <v>2013</v>
      </c>
      <c r="C1886" t="s">
        <v>6</v>
      </c>
      <c r="D1886">
        <v>19315977</v>
      </c>
      <c r="E1886" t="s">
        <v>59</v>
      </c>
    </row>
    <row r="1887" spans="1:5" x14ac:dyDescent="0.25">
      <c r="A1887" t="s">
        <v>67</v>
      </c>
      <c r="B1887">
        <v>2014</v>
      </c>
      <c r="C1887" t="s">
        <v>6</v>
      </c>
      <c r="D1887">
        <v>18740484</v>
      </c>
      <c r="E1887" t="s">
        <v>59</v>
      </c>
    </row>
    <row r="1888" spans="1:5" x14ac:dyDescent="0.25">
      <c r="A1888" t="s">
        <v>67</v>
      </c>
      <c r="B1888">
        <v>2015</v>
      </c>
      <c r="C1888" t="s">
        <v>6</v>
      </c>
      <c r="D1888">
        <v>19591041</v>
      </c>
      <c r="E1888" t="s">
        <v>59</v>
      </c>
    </row>
    <row r="1889" spans="1:5" x14ac:dyDescent="0.25">
      <c r="A1889" t="s">
        <v>67</v>
      </c>
      <c r="B1889">
        <v>2016</v>
      </c>
      <c r="C1889" t="s">
        <v>6</v>
      </c>
      <c r="D1889">
        <v>9158864</v>
      </c>
      <c r="E1889" t="s">
        <v>59</v>
      </c>
    </row>
    <row r="1890" spans="1:5" x14ac:dyDescent="0.25">
      <c r="A1890" t="s">
        <v>67</v>
      </c>
      <c r="B1890">
        <v>2017</v>
      </c>
      <c r="C1890" t="s">
        <v>6</v>
      </c>
      <c r="D1890">
        <v>8985679</v>
      </c>
      <c r="E1890" t="s">
        <v>59</v>
      </c>
    </row>
    <row r="1891" spans="1:5" x14ac:dyDescent="0.25">
      <c r="A1891" t="s">
        <v>67</v>
      </c>
      <c r="B1891">
        <v>2018</v>
      </c>
      <c r="C1891" t="s">
        <v>6</v>
      </c>
      <c r="D1891">
        <v>8183010</v>
      </c>
      <c r="E1891" t="s">
        <v>59</v>
      </c>
    </row>
    <row r="1892" spans="1:5" x14ac:dyDescent="0.25">
      <c r="A1892" t="s">
        <v>67</v>
      </c>
      <c r="B1892">
        <v>2019</v>
      </c>
      <c r="C1892" t="s">
        <v>6</v>
      </c>
      <c r="D1892">
        <v>10337442</v>
      </c>
      <c r="E1892" t="s">
        <v>59</v>
      </c>
    </row>
    <row r="1893" spans="1:5" x14ac:dyDescent="0.25">
      <c r="A1893" t="s">
        <v>67</v>
      </c>
      <c r="B1893">
        <v>2020</v>
      </c>
      <c r="C1893" t="s">
        <v>6</v>
      </c>
      <c r="D1893">
        <v>11259095</v>
      </c>
      <c r="E1893" t="s">
        <v>59</v>
      </c>
    </row>
    <row r="1894" spans="1:5" x14ac:dyDescent="0.25">
      <c r="A1894" t="s">
        <v>67</v>
      </c>
      <c r="B1894">
        <v>2021</v>
      </c>
      <c r="C1894" t="s">
        <v>6</v>
      </c>
      <c r="D1894">
        <v>9349993</v>
      </c>
      <c r="E1894" t="s">
        <v>59</v>
      </c>
    </row>
    <row r="1895" spans="1:5" x14ac:dyDescent="0.25">
      <c r="A1895" t="s">
        <v>67</v>
      </c>
      <c r="B1895">
        <v>2022</v>
      </c>
      <c r="C1895" t="s">
        <v>6</v>
      </c>
      <c r="D1895">
        <v>4764546</v>
      </c>
      <c r="E1895" t="s">
        <v>59</v>
      </c>
    </row>
    <row r="1896" spans="1:5" x14ac:dyDescent="0.25">
      <c r="A1896" t="s">
        <v>67</v>
      </c>
      <c r="B1896">
        <v>2023</v>
      </c>
      <c r="C1896" t="s">
        <v>6</v>
      </c>
      <c r="D1896">
        <v>2134262</v>
      </c>
      <c r="E1896" t="s">
        <v>59</v>
      </c>
    </row>
    <row r="1897" spans="1:5" x14ac:dyDescent="0.25">
      <c r="A1897" t="s">
        <v>67</v>
      </c>
      <c r="B1897">
        <v>2024</v>
      </c>
      <c r="C1897" t="s">
        <v>6</v>
      </c>
      <c r="D1897">
        <v>2937499</v>
      </c>
      <c r="E1897" t="s">
        <v>59</v>
      </c>
    </row>
    <row r="1898" spans="1:5" x14ac:dyDescent="0.25">
      <c r="A1898" t="s">
        <v>67</v>
      </c>
      <c r="B1898">
        <v>2025</v>
      </c>
      <c r="C1898" t="s">
        <v>6</v>
      </c>
      <c r="D1898">
        <v>1968786</v>
      </c>
      <c r="E1898" t="s">
        <v>59</v>
      </c>
    </row>
    <row r="1899" spans="1:5" x14ac:dyDescent="0.25">
      <c r="A1899" t="s">
        <v>66</v>
      </c>
      <c r="B1899">
        <v>2019</v>
      </c>
      <c r="C1899" t="s">
        <v>6</v>
      </c>
      <c r="D1899">
        <v>11972400.578</v>
      </c>
      <c r="E1899" t="s">
        <v>59</v>
      </c>
    </row>
    <row r="1900" spans="1:5" x14ac:dyDescent="0.25">
      <c r="A1900" t="s">
        <v>66</v>
      </c>
      <c r="B1900">
        <v>2020</v>
      </c>
      <c r="C1900" t="s">
        <v>6</v>
      </c>
      <c r="D1900">
        <v>18056403.620000001</v>
      </c>
      <c r="E1900" t="s">
        <v>59</v>
      </c>
    </row>
    <row r="1901" spans="1:5" x14ac:dyDescent="0.25">
      <c r="A1901" t="s">
        <v>66</v>
      </c>
      <c r="B1901">
        <v>2021</v>
      </c>
      <c r="C1901" t="s">
        <v>6</v>
      </c>
      <c r="D1901">
        <v>14232708.82</v>
      </c>
      <c r="E1901" t="s">
        <v>59</v>
      </c>
    </row>
    <row r="1902" spans="1:5" x14ac:dyDescent="0.25">
      <c r="A1902" t="s">
        <v>66</v>
      </c>
      <c r="B1902">
        <v>2022</v>
      </c>
      <c r="C1902" t="s">
        <v>6</v>
      </c>
      <c r="D1902">
        <v>20274344.120000001</v>
      </c>
      <c r="E1902" t="s">
        <v>59</v>
      </c>
    </row>
    <row r="1903" spans="1:5" x14ac:dyDescent="0.25">
      <c r="A1903" t="s">
        <v>66</v>
      </c>
      <c r="B1903">
        <v>2023</v>
      </c>
      <c r="C1903" t="s">
        <v>6</v>
      </c>
      <c r="D1903">
        <v>20929426.710000001</v>
      </c>
      <c r="E1903" t="s">
        <v>59</v>
      </c>
    </row>
    <row r="1904" spans="1:5" x14ac:dyDescent="0.25">
      <c r="A1904" t="s">
        <v>41</v>
      </c>
      <c r="B1904">
        <v>2015</v>
      </c>
      <c r="C1904" t="s">
        <v>6</v>
      </c>
      <c r="D1904">
        <v>14019271</v>
      </c>
      <c r="E1904" t="s">
        <v>59</v>
      </c>
    </row>
    <row r="1905" spans="1:5" x14ac:dyDescent="0.25">
      <c r="A1905" t="s">
        <v>41</v>
      </c>
      <c r="B1905">
        <v>2016</v>
      </c>
      <c r="C1905" t="s">
        <v>6</v>
      </c>
      <c r="D1905">
        <v>2538423</v>
      </c>
      <c r="E1905" t="s">
        <v>59</v>
      </c>
    </row>
    <row r="1906" spans="1:5" x14ac:dyDescent="0.25">
      <c r="A1906" t="s">
        <v>41</v>
      </c>
      <c r="B1906">
        <v>2018</v>
      </c>
      <c r="C1906" t="s">
        <v>6</v>
      </c>
      <c r="D1906">
        <v>18054093</v>
      </c>
      <c r="E1906" t="s">
        <v>59</v>
      </c>
    </row>
    <row r="1907" spans="1:5" x14ac:dyDescent="0.25">
      <c r="A1907" t="s">
        <v>41</v>
      </c>
      <c r="B1907">
        <v>2022</v>
      </c>
      <c r="C1907" t="s">
        <v>6</v>
      </c>
      <c r="D1907">
        <v>2184895.784</v>
      </c>
      <c r="E1907" t="s">
        <v>59</v>
      </c>
    </row>
    <row r="1908" spans="1:5" x14ac:dyDescent="0.25">
      <c r="A1908" t="s">
        <v>41</v>
      </c>
      <c r="B1908">
        <v>2023</v>
      </c>
      <c r="C1908" t="s">
        <v>6</v>
      </c>
      <c r="D1908">
        <v>3261405.835</v>
      </c>
      <c r="E1908" t="s">
        <v>59</v>
      </c>
    </row>
    <row r="1909" spans="1:5" x14ac:dyDescent="0.25">
      <c r="A1909" t="s">
        <v>65</v>
      </c>
      <c r="B1909">
        <v>2010</v>
      </c>
      <c r="C1909" t="s">
        <v>6</v>
      </c>
      <c r="D1909">
        <v>2897636</v>
      </c>
      <c r="E1909" t="s">
        <v>59</v>
      </c>
    </row>
    <row r="1910" spans="1:5" x14ac:dyDescent="0.25">
      <c r="A1910" t="s">
        <v>65</v>
      </c>
      <c r="B1910">
        <v>2011</v>
      </c>
      <c r="C1910" t="s">
        <v>6</v>
      </c>
      <c r="D1910">
        <v>2776506</v>
      </c>
      <c r="E1910" t="s">
        <v>59</v>
      </c>
    </row>
    <row r="1911" spans="1:5" x14ac:dyDescent="0.25">
      <c r="A1911" t="s">
        <v>65</v>
      </c>
      <c r="B1911">
        <v>2012</v>
      </c>
      <c r="C1911" t="s">
        <v>6</v>
      </c>
      <c r="D1911">
        <v>4381080</v>
      </c>
      <c r="E1911" t="s">
        <v>59</v>
      </c>
    </row>
    <row r="1912" spans="1:5" x14ac:dyDescent="0.25">
      <c r="A1912" t="s">
        <v>65</v>
      </c>
      <c r="B1912">
        <v>2013</v>
      </c>
      <c r="C1912" t="s">
        <v>6</v>
      </c>
      <c r="D1912">
        <v>1516220</v>
      </c>
      <c r="E1912" t="s">
        <v>59</v>
      </c>
    </row>
    <row r="1913" spans="1:5" x14ac:dyDescent="0.25">
      <c r="A1913" t="s">
        <v>65</v>
      </c>
      <c r="B1913">
        <v>2014</v>
      </c>
      <c r="C1913" t="s">
        <v>6</v>
      </c>
      <c r="D1913">
        <v>5043769</v>
      </c>
      <c r="E1913" t="s">
        <v>59</v>
      </c>
    </row>
    <row r="1914" spans="1:5" x14ac:dyDescent="0.25">
      <c r="A1914" t="s">
        <v>65</v>
      </c>
      <c r="B1914">
        <v>2015</v>
      </c>
      <c r="C1914" t="s">
        <v>6</v>
      </c>
      <c r="D1914">
        <v>1691109</v>
      </c>
      <c r="E1914" t="s">
        <v>59</v>
      </c>
    </row>
    <row r="1915" spans="1:5" x14ac:dyDescent="0.25">
      <c r="A1915" t="s">
        <v>65</v>
      </c>
      <c r="B1915">
        <v>2016</v>
      </c>
      <c r="C1915" t="s">
        <v>6</v>
      </c>
      <c r="D1915">
        <v>2341758</v>
      </c>
      <c r="E1915" t="s">
        <v>59</v>
      </c>
    </row>
    <row r="1916" spans="1:5" x14ac:dyDescent="0.25">
      <c r="A1916" t="s">
        <v>65</v>
      </c>
      <c r="B1916">
        <v>2019</v>
      </c>
      <c r="C1916" t="s">
        <v>6</v>
      </c>
      <c r="D1916">
        <v>4354533</v>
      </c>
      <c r="E1916" t="s">
        <v>59</v>
      </c>
    </row>
    <row r="1917" spans="1:5" x14ac:dyDescent="0.25">
      <c r="A1917" t="s">
        <v>65</v>
      </c>
      <c r="B1917">
        <v>2020</v>
      </c>
      <c r="C1917" t="s">
        <v>6</v>
      </c>
      <c r="D1917">
        <v>1702353</v>
      </c>
      <c r="E1917" t="s">
        <v>59</v>
      </c>
    </row>
    <row r="1918" spans="1:5" x14ac:dyDescent="0.25">
      <c r="A1918" t="s">
        <v>65</v>
      </c>
      <c r="B1918">
        <v>2023</v>
      </c>
      <c r="C1918" t="s">
        <v>6</v>
      </c>
      <c r="D1918">
        <v>7435210</v>
      </c>
      <c r="E1918" t="s">
        <v>59</v>
      </c>
    </row>
    <row r="1919" spans="1:5" x14ac:dyDescent="0.25">
      <c r="A1919" t="s">
        <v>65</v>
      </c>
      <c r="B1919">
        <v>2024</v>
      </c>
      <c r="C1919" t="s">
        <v>6</v>
      </c>
      <c r="D1919">
        <v>9834968</v>
      </c>
      <c r="E1919" t="s">
        <v>59</v>
      </c>
    </row>
    <row r="1920" spans="1:5" x14ac:dyDescent="0.25">
      <c r="A1920" t="s">
        <v>65</v>
      </c>
      <c r="B1920">
        <v>2025</v>
      </c>
      <c r="C1920" t="s">
        <v>6</v>
      </c>
      <c r="D1920">
        <v>5744174</v>
      </c>
      <c r="E1920" t="s">
        <v>59</v>
      </c>
    </row>
    <row r="1921" spans="1:5" x14ac:dyDescent="0.25">
      <c r="A1921" t="s">
        <v>64</v>
      </c>
      <c r="B1921">
        <v>2010</v>
      </c>
      <c r="C1921" t="s">
        <v>6</v>
      </c>
      <c r="D1921">
        <v>4221461</v>
      </c>
      <c r="E1921" t="s">
        <v>59</v>
      </c>
    </row>
    <row r="1922" spans="1:5" x14ac:dyDescent="0.25">
      <c r="A1922" t="s">
        <v>64</v>
      </c>
      <c r="B1922">
        <v>2011</v>
      </c>
      <c r="C1922" t="s">
        <v>6</v>
      </c>
      <c r="D1922">
        <v>1693130</v>
      </c>
      <c r="E1922" t="s">
        <v>59</v>
      </c>
    </row>
    <row r="1923" spans="1:5" x14ac:dyDescent="0.25">
      <c r="A1923" t="s">
        <v>64</v>
      </c>
      <c r="B1923">
        <v>2012</v>
      </c>
      <c r="C1923" t="s">
        <v>6</v>
      </c>
      <c r="D1923">
        <v>2383084</v>
      </c>
      <c r="E1923" t="s">
        <v>59</v>
      </c>
    </row>
    <row r="1924" spans="1:5" x14ac:dyDescent="0.25">
      <c r="A1924" t="s">
        <v>64</v>
      </c>
      <c r="B1924">
        <v>2013</v>
      </c>
      <c r="C1924" t="s">
        <v>6</v>
      </c>
      <c r="D1924">
        <v>2106894</v>
      </c>
      <c r="E1924" t="s">
        <v>59</v>
      </c>
    </row>
    <row r="1925" spans="1:5" x14ac:dyDescent="0.25">
      <c r="A1925" t="s">
        <v>64</v>
      </c>
      <c r="B1925">
        <v>2014</v>
      </c>
      <c r="C1925" t="s">
        <v>6</v>
      </c>
      <c r="D1925">
        <v>2791791</v>
      </c>
      <c r="E1925" t="s">
        <v>59</v>
      </c>
    </row>
    <row r="1926" spans="1:5" x14ac:dyDescent="0.25">
      <c r="A1926" t="s">
        <v>64</v>
      </c>
      <c r="B1926">
        <v>2015</v>
      </c>
      <c r="C1926" t="s">
        <v>6</v>
      </c>
      <c r="D1926">
        <v>3627443</v>
      </c>
      <c r="E1926" t="s">
        <v>59</v>
      </c>
    </row>
    <row r="1927" spans="1:5" x14ac:dyDescent="0.25">
      <c r="A1927" t="s">
        <v>64</v>
      </c>
      <c r="B1927">
        <v>2016</v>
      </c>
      <c r="C1927" t="s">
        <v>6</v>
      </c>
      <c r="D1927">
        <v>5602307</v>
      </c>
      <c r="E1927" t="s">
        <v>59</v>
      </c>
    </row>
    <row r="1928" spans="1:5" x14ac:dyDescent="0.25">
      <c r="A1928" t="s">
        <v>64</v>
      </c>
      <c r="B1928">
        <v>2017</v>
      </c>
      <c r="C1928" t="s">
        <v>6</v>
      </c>
      <c r="D1928">
        <v>2613937</v>
      </c>
      <c r="E1928" t="s">
        <v>59</v>
      </c>
    </row>
    <row r="1929" spans="1:5" x14ac:dyDescent="0.25">
      <c r="A1929" t="s">
        <v>64</v>
      </c>
      <c r="B1929">
        <v>2018</v>
      </c>
      <c r="C1929" t="s">
        <v>6</v>
      </c>
      <c r="D1929">
        <v>7500887</v>
      </c>
      <c r="E1929" t="s">
        <v>59</v>
      </c>
    </row>
    <row r="1930" spans="1:5" x14ac:dyDescent="0.25">
      <c r="A1930" t="s">
        <v>64</v>
      </c>
      <c r="B1930">
        <v>2019</v>
      </c>
      <c r="C1930" t="s">
        <v>6</v>
      </c>
      <c r="D1930">
        <v>4252692</v>
      </c>
      <c r="E1930" t="s">
        <v>59</v>
      </c>
    </row>
    <row r="1931" spans="1:5" x14ac:dyDescent="0.25">
      <c r="A1931" t="s">
        <v>64</v>
      </c>
      <c r="B1931">
        <v>2020</v>
      </c>
      <c r="C1931" t="s">
        <v>6</v>
      </c>
      <c r="D1931">
        <v>6381789</v>
      </c>
      <c r="E1931" t="s">
        <v>59</v>
      </c>
    </row>
    <row r="1932" spans="1:5" x14ac:dyDescent="0.25">
      <c r="A1932" t="s">
        <v>64</v>
      </c>
      <c r="B1932">
        <v>2021</v>
      </c>
      <c r="C1932" t="s">
        <v>6</v>
      </c>
      <c r="D1932">
        <v>5641924</v>
      </c>
      <c r="E1932" t="s">
        <v>59</v>
      </c>
    </row>
    <row r="1933" spans="1:5" x14ac:dyDescent="0.25">
      <c r="A1933" t="s">
        <v>64</v>
      </c>
      <c r="B1933">
        <v>2022</v>
      </c>
      <c r="C1933" t="s">
        <v>6</v>
      </c>
      <c r="D1933">
        <v>4877982</v>
      </c>
      <c r="E1933" t="s">
        <v>59</v>
      </c>
    </row>
    <row r="1934" spans="1:5" x14ac:dyDescent="0.25">
      <c r="A1934" t="s">
        <v>64</v>
      </c>
      <c r="B1934">
        <v>2023</v>
      </c>
      <c r="C1934" t="s">
        <v>6</v>
      </c>
      <c r="D1934">
        <v>5125895</v>
      </c>
      <c r="E1934" t="s">
        <v>59</v>
      </c>
    </row>
    <row r="1935" spans="1:5" x14ac:dyDescent="0.25">
      <c r="A1935" t="s">
        <v>64</v>
      </c>
      <c r="B1935">
        <v>2024</v>
      </c>
      <c r="C1935" t="s">
        <v>6</v>
      </c>
      <c r="D1935">
        <v>7026652</v>
      </c>
      <c r="E1935" t="s">
        <v>59</v>
      </c>
    </row>
    <row r="1936" spans="1:5" x14ac:dyDescent="0.25">
      <c r="A1936" t="s">
        <v>64</v>
      </c>
      <c r="B1936">
        <v>2025</v>
      </c>
      <c r="C1936" t="s">
        <v>6</v>
      </c>
      <c r="D1936">
        <v>10635728</v>
      </c>
      <c r="E1936" t="s">
        <v>59</v>
      </c>
    </row>
    <row r="1937" spans="1:5" x14ac:dyDescent="0.25">
      <c r="A1937" t="s">
        <v>42</v>
      </c>
      <c r="B1937">
        <v>2016</v>
      </c>
      <c r="C1937" t="s">
        <v>6</v>
      </c>
      <c r="D1937">
        <v>10448203.539999999</v>
      </c>
      <c r="E1937" t="s">
        <v>59</v>
      </c>
    </row>
    <row r="1938" spans="1:5" x14ac:dyDescent="0.25">
      <c r="A1938" t="s">
        <v>42</v>
      </c>
      <c r="B1938">
        <v>2017</v>
      </c>
      <c r="C1938" t="s">
        <v>6</v>
      </c>
      <c r="D1938">
        <v>8304314.9299999997</v>
      </c>
      <c r="E1938" t="s">
        <v>59</v>
      </c>
    </row>
    <row r="1939" spans="1:5" x14ac:dyDescent="0.25">
      <c r="A1939" t="s">
        <v>42</v>
      </c>
      <c r="B1939">
        <v>2018</v>
      </c>
      <c r="C1939" t="s">
        <v>6</v>
      </c>
      <c r="D1939">
        <v>1517219.5</v>
      </c>
      <c r="E1939" t="s">
        <v>59</v>
      </c>
    </row>
    <row r="1940" spans="1:5" x14ac:dyDescent="0.25">
      <c r="A1940" t="s">
        <v>42</v>
      </c>
      <c r="B1940">
        <v>2024</v>
      </c>
      <c r="C1940" t="s">
        <v>6</v>
      </c>
      <c r="D1940">
        <v>2343789.0389999999</v>
      </c>
      <c r="E1940" t="s">
        <v>59</v>
      </c>
    </row>
    <row r="1941" spans="1:5" x14ac:dyDescent="0.25">
      <c r="A1941" t="s">
        <v>42</v>
      </c>
      <c r="B1941">
        <v>2025</v>
      </c>
      <c r="C1941" t="s">
        <v>6</v>
      </c>
      <c r="D1941">
        <v>1392779.02</v>
      </c>
      <c r="E1941" t="s">
        <v>59</v>
      </c>
    </row>
    <row r="1942" spans="1:5" x14ac:dyDescent="0.25">
      <c r="A1942" t="s">
        <v>43</v>
      </c>
      <c r="B1942">
        <v>2010</v>
      </c>
      <c r="C1942" t="s">
        <v>6</v>
      </c>
      <c r="D1942">
        <v>29644069</v>
      </c>
      <c r="E1942" t="s">
        <v>59</v>
      </c>
    </row>
    <row r="1943" spans="1:5" x14ac:dyDescent="0.25">
      <c r="A1943" t="s">
        <v>43</v>
      </c>
      <c r="B1943">
        <v>2011</v>
      </c>
      <c r="C1943" t="s">
        <v>6</v>
      </c>
      <c r="D1943">
        <v>16854730</v>
      </c>
      <c r="E1943" t="s">
        <v>59</v>
      </c>
    </row>
    <row r="1944" spans="1:5" x14ac:dyDescent="0.25">
      <c r="A1944" t="s">
        <v>43</v>
      </c>
      <c r="B1944">
        <v>2012</v>
      </c>
      <c r="C1944" t="s">
        <v>6</v>
      </c>
      <c r="D1944">
        <v>17912574</v>
      </c>
      <c r="E1944" t="s">
        <v>59</v>
      </c>
    </row>
    <row r="1945" spans="1:5" x14ac:dyDescent="0.25">
      <c r="A1945" t="s">
        <v>43</v>
      </c>
      <c r="B1945">
        <v>2013</v>
      </c>
      <c r="C1945" t="s">
        <v>6</v>
      </c>
      <c r="D1945">
        <v>18119086</v>
      </c>
      <c r="E1945" t="s">
        <v>59</v>
      </c>
    </row>
    <row r="1946" spans="1:5" x14ac:dyDescent="0.25">
      <c r="A1946" t="s">
        <v>43</v>
      </c>
      <c r="B1946">
        <v>2014</v>
      </c>
      <c r="C1946" t="s">
        <v>6</v>
      </c>
      <c r="D1946">
        <v>22762059.059999999</v>
      </c>
      <c r="E1946" t="s">
        <v>59</v>
      </c>
    </row>
    <row r="1947" spans="1:5" x14ac:dyDescent="0.25">
      <c r="A1947" t="s">
        <v>43</v>
      </c>
      <c r="B1947">
        <v>2015</v>
      </c>
      <c r="C1947" t="s">
        <v>6</v>
      </c>
      <c r="D1947">
        <v>19412622.23</v>
      </c>
      <c r="E1947" t="s">
        <v>59</v>
      </c>
    </row>
    <row r="1948" spans="1:5" x14ac:dyDescent="0.25">
      <c r="A1948" t="s">
        <v>43</v>
      </c>
      <c r="B1948">
        <v>2016</v>
      </c>
      <c r="C1948" t="s">
        <v>6</v>
      </c>
      <c r="D1948">
        <v>18125421.260000002</v>
      </c>
      <c r="E1948" t="s">
        <v>59</v>
      </c>
    </row>
    <row r="1949" spans="1:5" x14ac:dyDescent="0.25">
      <c r="A1949" t="s">
        <v>43</v>
      </c>
      <c r="B1949">
        <v>2017</v>
      </c>
      <c r="C1949" t="s">
        <v>6</v>
      </c>
      <c r="D1949">
        <v>30049054.863000002</v>
      </c>
      <c r="E1949" t="s">
        <v>59</v>
      </c>
    </row>
    <row r="1950" spans="1:5" x14ac:dyDescent="0.25">
      <c r="A1950" t="s">
        <v>43</v>
      </c>
      <c r="B1950">
        <v>2018</v>
      </c>
      <c r="C1950" t="s">
        <v>6</v>
      </c>
      <c r="D1950">
        <v>30567443.75</v>
      </c>
      <c r="E1950" t="s">
        <v>59</v>
      </c>
    </row>
    <row r="1951" spans="1:5" x14ac:dyDescent="0.25">
      <c r="A1951" t="s">
        <v>43</v>
      </c>
      <c r="B1951">
        <v>2019</v>
      </c>
      <c r="C1951" t="s">
        <v>6</v>
      </c>
      <c r="D1951">
        <v>48633298.126999997</v>
      </c>
      <c r="E1951" t="s">
        <v>59</v>
      </c>
    </row>
    <row r="1952" spans="1:5" x14ac:dyDescent="0.25">
      <c r="A1952" t="s">
        <v>43</v>
      </c>
      <c r="B1952">
        <v>2021</v>
      </c>
      <c r="C1952" t="s">
        <v>6</v>
      </c>
      <c r="D1952">
        <v>11150604.741</v>
      </c>
      <c r="E1952" t="s">
        <v>59</v>
      </c>
    </row>
    <row r="1953" spans="1:5" x14ac:dyDescent="0.25">
      <c r="A1953" t="s">
        <v>43</v>
      </c>
      <c r="B1953">
        <v>2022</v>
      </c>
      <c r="C1953" t="s">
        <v>6</v>
      </c>
      <c r="D1953">
        <v>13652372.202</v>
      </c>
      <c r="E1953" t="s">
        <v>59</v>
      </c>
    </row>
    <row r="1954" spans="1:5" x14ac:dyDescent="0.25">
      <c r="A1954" t="s">
        <v>43</v>
      </c>
      <c r="B1954">
        <v>2023</v>
      </c>
      <c r="C1954" t="s">
        <v>6</v>
      </c>
      <c r="D1954">
        <v>19203458.291000001</v>
      </c>
      <c r="E1954" t="s">
        <v>59</v>
      </c>
    </row>
    <row r="1955" spans="1:5" x14ac:dyDescent="0.25">
      <c r="A1955" t="s">
        <v>43</v>
      </c>
      <c r="B1955">
        <v>2024</v>
      </c>
      <c r="C1955" t="s">
        <v>6</v>
      </c>
      <c r="D1955">
        <v>20282199.98</v>
      </c>
      <c r="E1955" t="s">
        <v>59</v>
      </c>
    </row>
    <row r="1956" spans="1:5" x14ac:dyDescent="0.25">
      <c r="A1956" t="s">
        <v>43</v>
      </c>
      <c r="B1956">
        <v>2025</v>
      </c>
      <c r="C1956" t="s">
        <v>6</v>
      </c>
      <c r="D1956">
        <v>14760990.6</v>
      </c>
      <c r="E1956" t="s">
        <v>59</v>
      </c>
    </row>
    <row r="1957" spans="1:5" x14ac:dyDescent="0.25">
      <c r="A1957" t="s">
        <v>44</v>
      </c>
      <c r="B1957">
        <v>2010</v>
      </c>
      <c r="C1957" t="s">
        <v>6</v>
      </c>
      <c r="D1957">
        <v>5394410</v>
      </c>
      <c r="E1957" t="s">
        <v>59</v>
      </c>
    </row>
    <row r="1958" spans="1:5" x14ac:dyDescent="0.25">
      <c r="A1958" t="s">
        <v>44</v>
      </c>
      <c r="B1958">
        <v>2011</v>
      </c>
      <c r="C1958" t="s">
        <v>6</v>
      </c>
      <c r="D1958">
        <v>5300652</v>
      </c>
      <c r="E1958" t="s">
        <v>59</v>
      </c>
    </row>
    <row r="1959" spans="1:5" x14ac:dyDescent="0.25">
      <c r="A1959" t="s">
        <v>44</v>
      </c>
      <c r="B1959">
        <v>2012</v>
      </c>
      <c r="C1959" t="s">
        <v>6</v>
      </c>
      <c r="D1959">
        <v>6193570</v>
      </c>
      <c r="E1959" t="s">
        <v>59</v>
      </c>
    </row>
    <row r="1960" spans="1:5" x14ac:dyDescent="0.25">
      <c r="A1960" t="s">
        <v>44</v>
      </c>
      <c r="B1960">
        <v>2013</v>
      </c>
      <c r="C1960" t="s">
        <v>6</v>
      </c>
      <c r="D1960">
        <v>10557120</v>
      </c>
      <c r="E1960" t="s">
        <v>59</v>
      </c>
    </row>
    <row r="1961" spans="1:5" x14ac:dyDescent="0.25">
      <c r="A1961" t="s">
        <v>44</v>
      </c>
      <c r="B1961">
        <v>2014</v>
      </c>
      <c r="C1961" t="s">
        <v>6</v>
      </c>
      <c r="D1961">
        <v>16322396</v>
      </c>
      <c r="E1961" t="s">
        <v>59</v>
      </c>
    </row>
    <row r="1962" spans="1:5" x14ac:dyDescent="0.25">
      <c r="A1962" t="s">
        <v>44</v>
      </c>
      <c r="B1962">
        <v>2015</v>
      </c>
      <c r="C1962" t="s">
        <v>6</v>
      </c>
      <c r="D1962">
        <v>9751169</v>
      </c>
      <c r="E1962" t="s">
        <v>59</v>
      </c>
    </row>
    <row r="1963" spans="1:5" x14ac:dyDescent="0.25">
      <c r="A1963" t="s">
        <v>44</v>
      </c>
      <c r="B1963">
        <v>2016</v>
      </c>
      <c r="C1963" t="s">
        <v>6</v>
      </c>
      <c r="D1963">
        <v>6823647.6799999997</v>
      </c>
      <c r="E1963" t="s">
        <v>59</v>
      </c>
    </row>
    <row r="1964" spans="1:5" x14ac:dyDescent="0.25">
      <c r="A1964" t="s">
        <v>44</v>
      </c>
      <c r="B1964">
        <v>2017</v>
      </c>
      <c r="C1964" t="s">
        <v>6</v>
      </c>
      <c r="D1964">
        <v>7242207.2740000002</v>
      </c>
      <c r="E1964" t="s">
        <v>59</v>
      </c>
    </row>
    <row r="1965" spans="1:5" x14ac:dyDescent="0.25">
      <c r="A1965" t="s">
        <v>44</v>
      </c>
      <c r="B1965">
        <v>2018</v>
      </c>
      <c r="C1965" t="s">
        <v>6</v>
      </c>
      <c r="D1965">
        <v>8694691.625</v>
      </c>
      <c r="E1965" t="s">
        <v>59</v>
      </c>
    </row>
    <row r="1966" spans="1:5" x14ac:dyDescent="0.25">
      <c r="A1966" t="s">
        <v>44</v>
      </c>
      <c r="B1966">
        <v>2019</v>
      </c>
      <c r="C1966" t="s">
        <v>6</v>
      </c>
      <c r="D1966">
        <v>8289249.2120000003</v>
      </c>
      <c r="E1966" t="s">
        <v>59</v>
      </c>
    </row>
    <row r="1967" spans="1:5" x14ac:dyDescent="0.25">
      <c r="A1967" t="s">
        <v>44</v>
      </c>
      <c r="B1967">
        <v>2020</v>
      </c>
      <c r="C1967" t="s">
        <v>6</v>
      </c>
      <c r="D1967">
        <v>4621654.3119999999</v>
      </c>
      <c r="E1967" t="s">
        <v>59</v>
      </c>
    </row>
    <row r="1968" spans="1:5" x14ac:dyDescent="0.25">
      <c r="A1968" t="s">
        <v>44</v>
      </c>
      <c r="B1968">
        <v>2021</v>
      </c>
      <c r="C1968" t="s">
        <v>6</v>
      </c>
      <c r="D1968">
        <v>8486831.4499999993</v>
      </c>
      <c r="E1968" t="s">
        <v>59</v>
      </c>
    </row>
    <row r="1969" spans="1:5" x14ac:dyDescent="0.25">
      <c r="A1969" t="s">
        <v>44</v>
      </c>
      <c r="B1969">
        <v>2022</v>
      </c>
      <c r="C1969" t="s">
        <v>6</v>
      </c>
      <c r="D1969">
        <v>8415707.5940000005</v>
      </c>
      <c r="E1969" t="s">
        <v>59</v>
      </c>
    </row>
    <row r="1970" spans="1:5" x14ac:dyDescent="0.25">
      <c r="A1970" t="s">
        <v>44</v>
      </c>
      <c r="B1970">
        <v>2023</v>
      </c>
      <c r="C1970" t="s">
        <v>6</v>
      </c>
      <c r="D1970">
        <v>10869567</v>
      </c>
      <c r="E1970" t="s">
        <v>59</v>
      </c>
    </row>
    <row r="1971" spans="1:5" x14ac:dyDescent="0.25">
      <c r="A1971" t="s">
        <v>44</v>
      </c>
      <c r="B1971">
        <v>2024</v>
      </c>
      <c r="C1971" t="s">
        <v>6</v>
      </c>
      <c r="D1971">
        <v>13937119.532</v>
      </c>
      <c r="E1971" t="s">
        <v>59</v>
      </c>
    </row>
    <row r="1972" spans="1:5" x14ac:dyDescent="0.25">
      <c r="A1972" t="s">
        <v>44</v>
      </c>
      <c r="B1972">
        <v>2025</v>
      </c>
      <c r="C1972" t="s">
        <v>6</v>
      </c>
      <c r="D1972">
        <v>16722078</v>
      </c>
      <c r="E1972" t="s">
        <v>59</v>
      </c>
    </row>
    <row r="1973" spans="1:5" x14ac:dyDescent="0.25">
      <c r="A1973" t="s">
        <v>45</v>
      </c>
      <c r="B1973">
        <v>2015</v>
      </c>
      <c r="C1973" t="s">
        <v>6</v>
      </c>
      <c r="D1973">
        <v>215971379.80000001</v>
      </c>
      <c r="E1973" t="s">
        <v>59</v>
      </c>
    </row>
    <row r="1974" spans="1:5" x14ac:dyDescent="0.25">
      <c r="A1974" t="s">
        <v>45</v>
      </c>
      <c r="B1974">
        <v>2016</v>
      </c>
      <c r="C1974" t="s">
        <v>6</v>
      </c>
      <c r="D1974">
        <v>217253041.75</v>
      </c>
      <c r="E1974" t="s">
        <v>59</v>
      </c>
    </row>
    <row r="1975" spans="1:5" x14ac:dyDescent="0.25">
      <c r="A1975" t="s">
        <v>45</v>
      </c>
      <c r="B1975">
        <v>2017</v>
      </c>
      <c r="C1975" t="s">
        <v>6</v>
      </c>
      <c r="D1975">
        <v>186126369.30000001</v>
      </c>
      <c r="E1975" t="s">
        <v>59</v>
      </c>
    </row>
    <row r="1976" spans="1:5" x14ac:dyDescent="0.25">
      <c r="A1976" t="s">
        <v>45</v>
      </c>
      <c r="B1976">
        <v>2018</v>
      </c>
      <c r="C1976" t="s">
        <v>6</v>
      </c>
      <c r="D1976">
        <v>208880897.88999999</v>
      </c>
      <c r="E1976" t="s">
        <v>59</v>
      </c>
    </row>
    <row r="1977" spans="1:5" x14ac:dyDescent="0.25">
      <c r="A1977" t="s">
        <v>45</v>
      </c>
      <c r="B1977">
        <v>2019</v>
      </c>
      <c r="C1977" t="s">
        <v>6</v>
      </c>
      <c r="D1977">
        <v>230304315.12</v>
      </c>
      <c r="E1977" t="s">
        <v>59</v>
      </c>
    </row>
    <row r="1978" spans="1:5" x14ac:dyDescent="0.25">
      <c r="A1978" t="s">
        <v>45</v>
      </c>
      <c r="B1978">
        <v>2020</v>
      </c>
      <c r="C1978" t="s">
        <v>6</v>
      </c>
      <c r="D1978">
        <v>206580139.62599999</v>
      </c>
      <c r="E1978" t="s">
        <v>59</v>
      </c>
    </row>
    <row r="1979" spans="1:5" x14ac:dyDescent="0.25">
      <c r="A1979" t="s">
        <v>45</v>
      </c>
      <c r="B1979">
        <v>2021</v>
      </c>
      <c r="C1979" t="s">
        <v>6</v>
      </c>
      <c r="D1979">
        <v>167337281.23500001</v>
      </c>
      <c r="E1979" t="s">
        <v>59</v>
      </c>
    </row>
    <row r="1980" spans="1:5" x14ac:dyDescent="0.25">
      <c r="A1980" t="s">
        <v>45</v>
      </c>
      <c r="B1980">
        <v>2022</v>
      </c>
      <c r="C1980" t="s">
        <v>6</v>
      </c>
      <c r="D1980">
        <v>164860072.03</v>
      </c>
      <c r="E1980" t="s">
        <v>59</v>
      </c>
    </row>
    <row r="1981" spans="1:5" x14ac:dyDescent="0.25">
      <c r="A1981" t="s">
        <v>45</v>
      </c>
      <c r="B1981">
        <v>2023</v>
      </c>
      <c r="C1981" t="s">
        <v>6</v>
      </c>
      <c r="D1981">
        <v>175909038.40000001</v>
      </c>
      <c r="E1981" t="s">
        <v>59</v>
      </c>
    </row>
    <row r="1982" spans="1:5" x14ac:dyDescent="0.25">
      <c r="A1982" t="s">
        <v>45</v>
      </c>
      <c r="B1982">
        <v>2024</v>
      </c>
      <c r="C1982" t="s">
        <v>6</v>
      </c>
      <c r="D1982">
        <v>225451844.01199999</v>
      </c>
      <c r="E1982" t="s">
        <v>59</v>
      </c>
    </row>
    <row r="1983" spans="1:5" x14ac:dyDescent="0.25">
      <c r="A1983" t="s">
        <v>63</v>
      </c>
      <c r="B1983">
        <v>2018</v>
      </c>
      <c r="C1983" t="s">
        <v>6</v>
      </c>
      <c r="D1983">
        <v>2072357.95</v>
      </c>
      <c r="E1983" t="s">
        <v>59</v>
      </c>
    </row>
    <row r="1984" spans="1:5" x14ac:dyDescent="0.25">
      <c r="A1984" t="s">
        <v>46</v>
      </c>
      <c r="B1984">
        <v>2010</v>
      </c>
      <c r="C1984" t="s">
        <v>6</v>
      </c>
      <c r="D1984">
        <v>8890663</v>
      </c>
      <c r="E1984" t="s">
        <v>59</v>
      </c>
    </row>
    <row r="1985" spans="1:5" x14ac:dyDescent="0.25">
      <c r="A1985" t="s">
        <v>46</v>
      </c>
      <c r="B1985">
        <v>2011</v>
      </c>
      <c r="C1985" t="s">
        <v>6</v>
      </c>
      <c r="D1985">
        <v>13807616</v>
      </c>
      <c r="E1985" t="s">
        <v>59</v>
      </c>
    </row>
    <row r="1986" spans="1:5" x14ac:dyDescent="0.25">
      <c r="A1986" t="s">
        <v>46</v>
      </c>
      <c r="B1986">
        <v>2012</v>
      </c>
      <c r="C1986" t="s">
        <v>6</v>
      </c>
      <c r="D1986">
        <v>6501727</v>
      </c>
      <c r="E1986" t="s">
        <v>59</v>
      </c>
    </row>
    <row r="1987" spans="1:5" x14ac:dyDescent="0.25">
      <c r="A1987" t="s">
        <v>46</v>
      </c>
      <c r="B1987">
        <v>2013</v>
      </c>
      <c r="C1987" t="s">
        <v>6</v>
      </c>
      <c r="D1987">
        <v>26799396</v>
      </c>
      <c r="E1987" t="s">
        <v>59</v>
      </c>
    </row>
    <row r="1988" spans="1:5" x14ac:dyDescent="0.25">
      <c r="A1988" t="s">
        <v>46</v>
      </c>
      <c r="B1988">
        <v>2014</v>
      </c>
      <c r="C1988" t="s">
        <v>6</v>
      </c>
      <c r="D1988">
        <v>5080646</v>
      </c>
      <c r="E1988" t="s">
        <v>59</v>
      </c>
    </row>
    <row r="1989" spans="1:5" x14ac:dyDescent="0.25">
      <c r="A1989" t="s">
        <v>46</v>
      </c>
      <c r="B1989">
        <v>2015</v>
      </c>
      <c r="C1989" t="s">
        <v>6</v>
      </c>
      <c r="D1989">
        <v>6770029</v>
      </c>
      <c r="E1989" t="s">
        <v>59</v>
      </c>
    </row>
    <row r="1990" spans="1:5" x14ac:dyDescent="0.25">
      <c r="A1990" t="s">
        <v>46</v>
      </c>
      <c r="B1990">
        <v>2016</v>
      </c>
      <c r="C1990" t="s">
        <v>6</v>
      </c>
      <c r="D1990">
        <v>21973090</v>
      </c>
      <c r="E1990" t="s">
        <v>59</v>
      </c>
    </row>
    <row r="1991" spans="1:5" x14ac:dyDescent="0.25">
      <c r="A1991" t="s">
        <v>46</v>
      </c>
      <c r="B1991">
        <v>2017</v>
      </c>
      <c r="C1991" t="s">
        <v>6</v>
      </c>
      <c r="D1991">
        <v>29946430</v>
      </c>
      <c r="E1991" t="s">
        <v>59</v>
      </c>
    </row>
    <row r="1992" spans="1:5" x14ac:dyDescent="0.25">
      <c r="A1992" t="s">
        <v>46</v>
      </c>
      <c r="B1992">
        <v>2018</v>
      </c>
      <c r="C1992" t="s">
        <v>6</v>
      </c>
      <c r="D1992">
        <v>40697674</v>
      </c>
      <c r="E1992" t="s">
        <v>59</v>
      </c>
    </row>
    <row r="1993" spans="1:5" x14ac:dyDescent="0.25">
      <c r="A1993" t="s">
        <v>46</v>
      </c>
      <c r="B1993">
        <v>2019</v>
      </c>
      <c r="C1993" t="s">
        <v>6</v>
      </c>
      <c r="D1993">
        <v>36815554</v>
      </c>
      <c r="E1993" t="s">
        <v>59</v>
      </c>
    </row>
    <row r="1994" spans="1:5" x14ac:dyDescent="0.25">
      <c r="A1994" t="s">
        <v>46</v>
      </c>
      <c r="B1994">
        <v>2020</v>
      </c>
      <c r="C1994" t="s">
        <v>6</v>
      </c>
      <c r="D1994">
        <v>36530197.259999998</v>
      </c>
      <c r="E1994" t="s">
        <v>59</v>
      </c>
    </row>
    <row r="1995" spans="1:5" x14ac:dyDescent="0.25">
      <c r="A1995" t="s">
        <v>46</v>
      </c>
      <c r="B1995">
        <v>2022</v>
      </c>
      <c r="C1995" t="s">
        <v>6</v>
      </c>
      <c r="D1995">
        <v>19460751</v>
      </c>
      <c r="E1995" t="s">
        <v>59</v>
      </c>
    </row>
    <row r="1996" spans="1:5" x14ac:dyDescent="0.25">
      <c r="A1996" t="s">
        <v>47</v>
      </c>
      <c r="B1996">
        <v>2009</v>
      </c>
      <c r="C1996" t="s">
        <v>6</v>
      </c>
      <c r="D1996">
        <v>18012921.305</v>
      </c>
      <c r="E1996" t="s">
        <v>59</v>
      </c>
    </row>
    <row r="1997" spans="1:5" x14ac:dyDescent="0.25">
      <c r="A1997" t="s">
        <v>47</v>
      </c>
      <c r="B1997">
        <v>2010</v>
      </c>
      <c r="C1997" t="s">
        <v>6</v>
      </c>
      <c r="D1997">
        <v>23356752.289999999</v>
      </c>
      <c r="E1997" t="s">
        <v>59</v>
      </c>
    </row>
    <row r="1998" spans="1:5" x14ac:dyDescent="0.25">
      <c r="A1998" t="s">
        <v>47</v>
      </c>
      <c r="B1998">
        <v>2011</v>
      </c>
      <c r="C1998" t="s">
        <v>6</v>
      </c>
      <c r="D1998">
        <v>6818195.2769999998</v>
      </c>
      <c r="E1998" t="s">
        <v>59</v>
      </c>
    </row>
    <row r="1999" spans="1:5" x14ac:dyDescent="0.25">
      <c r="A1999" t="s">
        <v>47</v>
      </c>
      <c r="B1999">
        <v>2013</v>
      </c>
      <c r="C1999" t="s">
        <v>6</v>
      </c>
      <c r="D1999">
        <v>7614532</v>
      </c>
      <c r="E1999" t="s">
        <v>59</v>
      </c>
    </row>
    <row r="2000" spans="1:5" x14ac:dyDescent="0.25">
      <c r="A2000" t="s">
        <v>47</v>
      </c>
      <c r="B2000">
        <v>2016</v>
      </c>
      <c r="C2000" t="s">
        <v>6</v>
      </c>
      <c r="D2000">
        <v>12829812.33</v>
      </c>
      <c r="E2000" t="s">
        <v>59</v>
      </c>
    </row>
    <row r="2001" spans="1:5" x14ac:dyDescent="0.25">
      <c r="A2001" t="s">
        <v>47</v>
      </c>
      <c r="B2001">
        <v>2017</v>
      </c>
      <c r="C2001" t="s">
        <v>6</v>
      </c>
      <c r="D2001">
        <v>25841206.690000001</v>
      </c>
      <c r="E2001" t="s">
        <v>59</v>
      </c>
    </row>
    <row r="2002" spans="1:5" x14ac:dyDescent="0.25">
      <c r="A2002" t="s">
        <v>47</v>
      </c>
      <c r="B2002">
        <v>2018</v>
      </c>
      <c r="C2002" t="s">
        <v>6</v>
      </c>
      <c r="D2002">
        <v>44938505.991999999</v>
      </c>
      <c r="E2002" t="s">
        <v>59</v>
      </c>
    </row>
    <row r="2003" spans="1:5" x14ac:dyDescent="0.25">
      <c r="A2003" t="s">
        <v>47</v>
      </c>
      <c r="B2003">
        <v>2019</v>
      </c>
      <c r="C2003" t="s">
        <v>6</v>
      </c>
      <c r="D2003">
        <v>30242258.620000001</v>
      </c>
      <c r="E2003" t="s">
        <v>59</v>
      </c>
    </row>
    <row r="2004" spans="1:5" x14ac:dyDescent="0.25">
      <c r="A2004" t="s">
        <v>47</v>
      </c>
      <c r="B2004">
        <v>2020</v>
      </c>
      <c r="C2004" t="s">
        <v>6</v>
      </c>
      <c r="D2004">
        <v>56719885.799999997</v>
      </c>
      <c r="E2004" t="s">
        <v>59</v>
      </c>
    </row>
    <row r="2005" spans="1:5" x14ac:dyDescent="0.25">
      <c r="A2005" t="s">
        <v>47</v>
      </c>
      <c r="B2005">
        <v>2021</v>
      </c>
      <c r="C2005" t="s">
        <v>6</v>
      </c>
      <c r="D2005">
        <v>106739496.63</v>
      </c>
      <c r="E2005" t="s">
        <v>59</v>
      </c>
    </row>
    <row r="2006" spans="1:5" x14ac:dyDescent="0.25">
      <c r="A2006" t="s">
        <v>47</v>
      </c>
      <c r="B2006">
        <v>2022</v>
      </c>
      <c r="C2006" t="s">
        <v>6</v>
      </c>
      <c r="D2006">
        <v>32854968.170000002</v>
      </c>
      <c r="E2006" t="s">
        <v>59</v>
      </c>
    </row>
    <row r="2007" spans="1:5" x14ac:dyDescent="0.25">
      <c r="A2007" t="s">
        <v>62</v>
      </c>
      <c r="B2007">
        <v>2011</v>
      </c>
      <c r="C2007" t="s">
        <v>6</v>
      </c>
      <c r="D2007">
        <v>5365990</v>
      </c>
      <c r="E2007" t="s">
        <v>59</v>
      </c>
    </row>
    <row r="2008" spans="1:5" x14ac:dyDescent="0.25">
      <c r="A2008" t="s">
        <v>62</v>
      </c>
      <c r="B2008">
        <v>2012</v>
      </c>
      <c r="C2008" t="s">
        <v>6</v>
      </c>
      <c r="D2008">
        <v>6242220</v>
      </c>
      <c r="E2008" t="s">
        <v>59</v>
      </c>
    </row>
    <row r="2009" spans="1:5" x14ac:dyDescent="0.25">
      <c r="A2009" t="s">
        <v>62</v>
      </c>
      <c r="B2009">
        <v>2013</v>
      </c>
      <c r="C2009" t="s">
        <v>6</v>
      </c>
      <c r="D2009">
        <v>2430070</v>
      </c>
      <c r="E2009" t="s">
        <v>59</v>
      </c>
    </row>
    <row r="2010" spans="1:5" x14ac:dyDescent="0.25">
      <c r="A2010" t="s">
        <v>62</v>
      </c>
      <c r="B2010">
        <v>2014</v>
      </c>
      <c r="C2010" t="s">
        <v>6</v>
      </c>
      <c r="D2010">
        <v>2151220</v>
      </c>
      <c r="E2010" t="s">
        <v>59</v>
      </c>
    </row>
    <row r="2011" spans="1:5" x14ac:dyDescent="0.25">
      <c r="A2011" t="s">
        <v>62</v>
      </c>
      <c r="B2011">
        <v>2015</v>
      </c>
      <c r="C2011" t="s">
        <v>6</v>
      </c>
      <c r="D2011">
        <v>5526910</v>
      </c>
      <c r="E2011" t="s">
        <v>59</v>
      </c>
    </row>
    <row r="2012" spans="1:5" x14ac:dyDescent="0.25">
      <c r="A2012" t="s">
        <v>62</v>
      </c>
      <c r="B2012">
        <v>2016</v>
      </c>
      <c r="C2012" t="s">
        <v>6</v>
      </c>
      <c r="D2012">
        <v>1741253.1</v>
      </c>
      <c r="E2012" t="s">
        <v>59</v>
      </c>
    </row>
    <row r="2013" spans="1:5" x14ac:dyDescent="0.25">
      <c r="A2013" t="s">
        <v>62</v>
      </c>
      <c r="B2013">
        <v>2019</v>
      </c>
      <c r="C2013" t="s">
        <v>6</v>
      </c>
      <c r="D2013">
        <v>2294414.9309999999</v>
      </c>
      <c r="E2013" t="s">
        <v>59</v>
      </c>
    </row>
    <row r="2014" spans="1:5" x14ac:dyDescent="0.25">
      <c r="A2014" t="s">
        <v>62</v>
      </c>
      <c r="B2014">
        <v>2020</v>
      </c>
      <c r="C2014" t="s">
        <v>6</v>
      </c>
      <c r="D2014">
        <v>3057803.3050000002</v>
      </c>
      <c r="E2014" t="s">
        <v>59</v>
      </c>
    </row>
    <row r="2015" spans="1:5" x14ac:dyDescent="0.25">
      <c r="A2015" t="s">
        <v>62</v>
      </c>
      <c r="B2015">
        <v>2023</v>
      </c>
      <c r="C2015" t="s">
        <v>6</v>
      </c>
      <c r="D2015">
        <v>2700955.4330000002</v>
      </c>
      <c r="E2015" t="s">
        <v>59</v>
      </c>
    </row>
    <row r="2016" spans="1:5" x14ac:dyDescent="0.25">
      <c r="A2016" t="s">
        <v>62</v>
      </c>
      <c r="B2016">
        <v>2024</v>
      </c>
      <c r="C2016" t="s">
        <v>6</v>
      </c>
      <c r="D2016">
        <v>6911319.3030000003</v>
      </c>
      <c r="E2016" t="s">
        <v>59</v>
      </c>
    </row>
    <row r="2017" spans="1:5" x14ac:dyDescent="0.25">
      <c r="A2017" t="s">
        <v>62</v>
      </c>
      <c r="B2017">
        <v>2025</v>
      </c>
      <c r="C2017" t="s">
        <v>6</v>
      </c>
      <c r="D2017">
        <v>1727360.723</v>
      </c>
      <c r="E2017" t="s">
        <v>59</v>
      </c>
    </row>
    <row r="2018" spans="1:5" x14ac:dyDescent="0.25">
      <c r="A2018" t="s">
        <v>48</v>
      </c>
      <c r="B2018">
        <v>2010</v>
      </c>
      <c r="C2018" t="s">
        <v>6</v>
      </c>
      <c r="D2018">
        <v>7730047.0199999996</v>
      </c>
      <c r="E2018" t="s">
        <v>59</v>
      </c>
    </row>
    <row r="2019" spans="1:5" x14ac:dyDescent="0.25">
      <c r="A2019" t="s">
        <v>48</v>
      </c>
      <c r="B2019">
        <v>2011</v>
      </c>
      <c r="C2019" t="s">
        <v>6</v>
      </c>
      <c r="D2019">
        <v>4158000.18</v>
      </c>
      <c r="E2019" t="s">
        <v>59</v>
      </c>
    </row>
    <row r="2020" spans="1:5" x14ac:dyDescent="0.25">
      <c r="A2020" t="s">
        <v>48</v>
      </c>
      <c r="B2020">
        <v>2012</v>
      </c>
      <c r="C2020" t="s">
        <v>6</v>
      </c>
      <c r="D2020">
        <v>6068284.4900000002</v>
      </c>
      <c r="E2020" t="s">
        <v>59</v>
      </c>
    </row>
    <row r="2021" spans="1:5" x14ac:dyDescent="0.25">
      <c r="A2021" t="s">
        <v>48</v>
      </c>
      <c r="B2021">
        <v>2013</v>
      </c>
      <c r="C2021" t="s">
        <v>6</v>
      </c>
      <c r="D2021">
        <v>3841395.09</v>
      </c>
      <c r="E2021" t="s">
        <v>59</v>
      </c>
    </row>
    <row r="2022" spans="1:5" x14ac:dyDescent="0.25">
      <c r="A2022" t="s">
        <v>48</v>
      </c>
      <c r="B2022">
        <v>2014</v>
      </c>
      <c r="C2022" t="s">
        <v>6</v>
      </c>
      <c r="D2022">
        <v>7324183.1600000001</v>
      </c>
      <c r="E2022" t="s">
        <v>59</v>
      </c>
    </row>
    <row r="2023" spans="1:5" x14ac:dyDescent="0.25">
      <c r="A2023" t="s">
        <v>48</v>
      </c>
      <c r="B2023">
        <v>2015</v>
      </c>
      <c r="C2023" t="s">
        <v>6</v>
      </c>
      <c r="D2023">
        <v>5668159.4000000004</v>
      </c>
      <c r="E2023" t="s">
        <v>59</v>
      </c>
    </row>
    <row r="2024" spans="1:5" x14ac:dyDescent="0.25">
      <c r="A2024" t="s">
        <v>48</v>
      </c>
      <c r="B2024">
        <v>2016</v>
      </c>
      <c r="C2024" t="s">
        <v>6</v>
      </c>
      <c r="D2024">
        <v>3775152.28</v>
      </c>
      <c r="E2024" t="s">
        <v>59</v>
      </c>
    </row>
    <row r="2025" spans="1:5" x14ac:dyDescent="0.25">
      <c r="A2025" t="s">
        <v>48</v>
      </c>
      <c r="B2025">
        <v>2017</v>
      </c>
      <c r="C2025" t="s">
        <v>6</v>
      </c>
      <c r="D2025">
        <v>2761003.68</v>
      </c>
      <c r="E2025" t="s">
        <v>59</v>
      </c>
    </row>
    <row r="2026" spans="1:5" x14ac:dyDescent="0.25">
      <c r="A2026" t="s">
        <v>48</v>
      </c>
      <c r="B2026">
        <v>2018</v>
      </c>
      <c r="C2026" t="s">
        <v>6</v>
      </c>
      <c r="D2026">
        <v>4527381.91</v>
      </c>
      <c r="E2026" t="s">
        <v>59</v>
      </c>
    </row>
    <row r="2027" spans="1:5" x14ac:dyDescent="0.25">
      <c r="A2027" t="s">
        <v>48</v>
      </c>
      <c r="B2027">
        <v>2019</v>
      </c>
      <c r="C2027" t="s">
        <v>6</v>
      </c>
      <c r="D2027">
        <v>5756749.1900000004</v>
      </c>
      <c r="E2027" t="s">
        <v>59</v>
      </c>
    </row>
    <row r="2028" spans="1:5" x14ac:dyDescent="0.25">
      <c r="A2028" t="s">
        <v>48</v>
      </c>
      <c r="B2028">
        <v>2020</v>
      </c>
      <c r="C2028" t="s">
        <v>6</v>
      </c>
      <c r="D2028">
        <v>5898854.2800000003</v>
      </c>
      <c r="E2028" t="s">
        <v>59</v>
      </c>
    </row>
    <row r="2029" spans="1:5" x14ac:dyDescent="0.25">
      <c r="A2029" t="s">
        <v>48</v>
      </c>
      <c r="B2029">
        <v>2021</v>
      </c>
      <c r="C2029" t="s">
        <v>6</v>
      </c>
      <c r="D2029">
        <v>7587241.8799999999</v>
      </c>
      <c r="E2029" t="s">
        <v>59</v>
      </c>
    </row>
    <row r="2030" spans="1:5" x14ac:dyDescent="0.25">
      <c r="A2030" t="s">
        <v>48</v>
      </c>
      <c r="B2030">
        <v>2022</v>
      </c>
      <c r="C2030" t="s">
        <v>6</v>
      </c>
      <c r="D2030">
        <v>6898721.3099999996</v>
      </c>
      <c r="E2030" t="s">
        <v>59</v>
      </c>
    </row>
    <row r="2031" spans="1:5" x14ac:dyDescent="0.25">
      <c r="A2031" t="s">
        <v>48</v>
      </c>
      <c r="B2031">
        <v>2023</v>
      </c>
      <c r="C2031" t="s">
        <v>6</v>
      </c>
      <c r="D2031">
        <v>5909405.6600000001</v>
      </c>
      <c r="E2031" t="s">
        <v>59</v>
      </c>
    </row>
    <row r="2032" spans="1:5" x14ac:dyDescent="0.25">
      <c r="A2032" t="s">
        <v>48</v>
      </c>
      <c r="B2032">
        <v>2024</v>
      </c>
      <c r="C2032" t="s">
        <v>6</v>
      </c>
      <c r="D2032">
        <v>6740565.5099999998</v>
      </c>
      <c r="E2032" t="s">
        <v>59</v>
      </c>
    </row>
    <row r="2033" spans="1:5" x14ac:dyDescent="0.25">
      <c r="A2033" t="s">
        <v>48</v>
      </c>
      <c r="B2033">
        <v>2025</v>
      </c>
      <c r="C2033" t="s">
        <v>6</v>
      </c>
      <c r="D2033">
        <v>7008828.1299999999</v>
      </c>
      <c r="E2033" t="s">
        <v>59</v>
      </c>
    </row>
    <row r="2034" spans="1:5" x14ac:dyDescent="0.25">
      <c r="A2034" t="s">
        <v>49</v>
      </c>
      <c r="B2034">
        <v>2002</v>
      </c>
      <c r="C2034" t="s">
        <v>6</v>
      </c>
      <c r="D2034">
        <v>139380165.37</v>
      </c>
      <c r="E2034" t="s">
        <v>59</v>
      </c>
    </row>
    <row r="2035" spans="1:5" x14ac:dyDescent="0.25">
      <c r="A2035" t="s">
        <v>49</v>
      </c>
      <c r="B2035">
        <v>2003</v>
      </c>
      <c r="C2035" t="s">
        <v>6</v>
      </c>
      <c r="D2035">
        <v>149982154.34200001</v>
      </c>
      <c r="E2035" t="s">
        <v>59</v>
      </c>
    </row>
    <row r="2036" spans="1:5" x14ac:dyDescent="0.25">
      <c r="A2036" t="s">
        <v>49</v>
      </c>
      <c r="B2036">
        <v>2004</v>
      </c>
      <c r="C2036" t="s">
        <v>6</v>
      </c>
      <c r="D2036">
        <v>179678681.66</v>
      </c>
      <c r="E2036" t="s">
        <v>59</v>
      </c>
    </row>
    <row r="2037" spans="1:5" x14ac:dyDescent="0.25">
      <c r="A2037" t="s">
        <v>49</v>
      </c>
      <c r="B2037">
        <v>2005</v>
      </c>
      <c r="C2037" t="s">
        <v>6</v>
      </c>
      <c r="D2037">
        <v>179485998.03</v>
      </c>
      <c r="E2037" t="s">
        <v>59</v>
      </c>
    </row>
    <row r="2038" spans="1:5" x14ac:dyDescent="0.25">
      <c r="A2038" t="s">
        <v>49</v>
      </c>
      <c r="B2038">
        <v>2006</v>
      </c>
      <c r="C2038" t="s">
        <v>6</v>
      </c>
      <c r="D2038">
        <v>179718422.22099999</v>
      </c>
      <c r="E2038" t="s">
        <v>59</v>
      </c>
    </row>
    <row r="2039" spans="1:5" x14ac:dyDescent="0.25">
      <c r="A2039" t="s">
        <v>49</v>
      </c>
      <c r="B2039">
        <v>2007</v>
      </c>
      <c r="C2039" t="s">
        <v>6</v>
      </c>
      <c r="D2039">
        <v>168007357.47999999</v>
      </c>
      <c r="E2039" t="s">
        <v>59</v>
      </c>
    </row>
    <row r="2040" spans="1:5" x14ac:dyDescent="0.25">
      <c r="A2040" t="s">
        <v>49</v>
      </c>
      <c r="B2040">
        <v>2008</v>
      </c>
      <c r="C2040" t="s">
        <v>6</v>
      </c>
      <c r="D2040">
        <v>173397243.55000001</v>
      </c>
      <c r="E2040" t="s">
        <v>59</v>
      </c>
    </row>
    <row r="2041" spans="1:5" x14ac:dyDescent="0.25">
      <c r="A2041" t="s">
        <v>49</v>
      </c>
      <c r="B2041">
        <v>2009</v>
      </c>
      <c r="C2041" t="s">
        <v>6</v>
      </c>
      <c r="D2041">
        <v>196707582.27700001</v>
      </c>
      <c r="E2041" t="s">
        <v>59</v>
      </c>
    </row>
    <row r="2042" spans="1:5" x14ac:dyDescent="0.25">
      <c r="A2042" t="s">
        <v>49</v>
      </c>
      <c r="B2042">
        <v>2010</v>
      </c>
      <c r="C2042" t="s">
        <v>6</v>
      </c>
      <c r="D2042">
        <v>181386244.47499999</v>
      </c>
      <c r="E2042" t="s">
        <v>59</v>
      </c>
    </row>
    <row r="2043" spans="1:5" x14ac:dyDescent="0.25">
      <c r="A2043" t="s">
        <v>49</v>
      </c>
      <c r="B2043">
        <v>2011</v>
      </c>
      <c r="C2043" t="s">
        <v>6</v>
      </c>
      <c r="D2043">
        <v>204253093.55500001</v>
      </c>
      <c r="E2043" t="s">
        <v>59</v>
      </c>
    </row>
    <row r="2044" spans="1:5" x14ac:dyDescent="0.25">
      <c r="A2044" t="s">
        <v>49</v>
      </c>
      <c r="B2044">
        <v>2012</v>
      </c>
      <c r="C2044" t="s">
        <v>6</v>
      </c>
      <c r="D2044">
        <v>211027818.315</v>
      </c>
      <c r="E2044" t="s">
        <v>59</v>
      </c>
    </row>
    <row r="2045" spans="1:5" x14ac:dyDescent="0.25">
      <c r="A2045" t="s">
        <v>49</v>
      </c>
      <c r="B2045">
        <v>2013</v>
      </c>
      <c r="C2045" t="s">
        <v>6</v>
      </c>
      <c r="D2045">
        <v>220177798.53400001</v>
      </c>
      <c r="E2045" t="s">
        <v>59</v>
      </c>
    </row>
    <row r="2046" spans="1:5" x14ac:dyDescent="0.25">
      <c r="A2046" t="s">
        <v>49</v>
      </c>
      <c r="B2046">
        <v>2014</v>
      </c>
      <c r="C2046" t="s">
        <v>6</v>
      </c>
      <c r="D2046">
        <v>235282769.78200001</v>
      </c>
      <c r="E2046" t="s">
        <v>59</v>
      </c>
    </row>
    <row r="2047" spans="1:5" x14ac:dyDescent="0.25">
      <c r="A2047" t="s">
        <v>49</v>
      </c>
      <c r="B2047">
        <v>2015</v>
      </c>
      <c r="C2047" t="s">
        <v>6</v>
      </c>
      <c r="D2047">
        <v>195324083.08899999</v>
      </c>
      <c r="E2047" t="s">
        <v>59</v>
      </c>
    </row>
    <row r="2048" spans="1:5" x14ac:dyDescent="0.25">
      <c r="A2048" t="s">
        <v>49</v>
      </c>
      <c r="B2048">
        <v>2016</v>
      </c>
      <c r="C2048" t="s">
        <v>6</v>
      </c>
      <c r="D2048">
        <v>195959986.34200001</v>
      </c>
      <c r="E2048" t="s">
        <v>59</v>
      </c>
    </row>
    <row r="2049" spans="1:5" x14ac:dyDescent="0.25">
      <c r="A2049" t="s">
        <v>49</v>
      </c>
      <c r="B2049">
        <v>2017</v>
      </c>
      <c r="C2049" t="s">
        <v>6</v>
      </c>
      <c r="D2049">
        <v>197502911.71200001</v>
      </c>
      <c r="E2049" t="s">
        <v>59</v>
      </c>
    </row>
    <row r="2050" spans="1:5" x14ac:dyDescent="0.25">
      <c r="A2050" t="s">
        <v>49</v>
      </c>
      <c r="B2050">
        <v>2018</v>
      </c>
      <c r="C2050" t="s">
        <v>6</v>
      </c>
      <c r="D2050">
        <v>244197677.58399999</v>
      </c>
      <c r="E2050" t="s">
        <v>59</v>
      </c>
    </row>
    <row r="2051" spans="1:5" x14ac:dyDescent="0.25">
      <c r="A2051" t="s">
        <v>49</v>
      </c>
      <c r="B2051">
        <v>2019</v>
      </c>
      <c r="C2051" t="s">
        <v>6</v>
      </c>
      <c r="D2051">
        <v>228996525.93700001</v>
      </c>
      <c r="E2051" t="s">
        <v>59</v>
      </c>
    </row>
    <row r="2052" spans="1:5" x14ac:dyDescent="0.25">
      <c r="A2052" t="s">
        <v>49</v>
      </c>
      <c r="B2052">
        <v>2020</v>
      </c>
      <c r="C2052" t="s">
        <v>6</v>
      </c>
      <c r="D2052">
        <v>193538267.211</v>
      </c>
      <c r="E2052" t="s">
        <v>59</v>
      </c>
    </row>
    <row r="2053" spans="1:5" x14ac:dyDescent="0.25">
      <c r="A2053" t="s">
        <v>49</v>
      </c>
      <c r="B2053">
        <v>2021</v>
      </c>
      <c r="C2053" t="s">
        <v>6</v>
      </c>
      <c r="D2053">
        <v>204522966.104</v>
      </c>
      <c r="E2053" t="s">
        <v>59</v>
      </c>
    </row>
    <row r="2054" spans="1:5" x14ac:dyDescent="0.25">
      <c r="A2054" t="s">
        <v>49</v>
      </c>
      <c r="B2054">
        <v>2022</v>
      </c>
      <c r="C2054" t="s">
        <v>6</v>
      </c>
      <c r="D2054">
        <v>212125497.79699999</v>
      </c>
      <c r="E2054" t="s">
        <v>59</v>
      </c>
    </row>
    <row r="2055" spans="1:5" x14ac:dyDescent="0.25">
      <c r="A2055" t="s">
        <v>49</v>
      </c>
      <c r="B2055">
        <v>2023</v>
      </c>
      <c r="C2055" t="s">
        <v>6</v>
      </c>
      <c r="D2055">
        <v>218692707.31200001</v>
      </c>
      <c r="E2055" t="s">
        <v>59</v>
      </c>
    </row>
    <row r="2056" spans="1:5" x14ac:dyDescent="0.25">
      <c r="A2056" t="s">
        <v>49</v>
      </c>
      <c r="B2056">
        <v>2024</v>
      </c>
      <c r="C2056" t="s">
        <v>6</v>
      </c>
      <c r="D2056">
        <v>194809440.998</v>
      </c>
      <c r="E2056" t="s">
        <v>59</v>
      </c>
    </row>
    <row r="2057" spans="1:5" x14ac:dyDescent="0.25">
      <c r="A2057" t="s">
        <v>49</v>
      </c>
      <c r="B2057">
        <v>2025</v>
      </c>
      <c r="C2057" t="s">
        <v>6</v>
      </c>
      <c r="D2057">
        <v>174781263.68000001</v>
      </c>
      <c r="E2057" t="s">
        <v>59</v>
      </c>
    </row>
    <row r="2058" spans="1:5" x14ac:dyDescent="0.25">
      <c r="A2058" t="s">
        <v>50</v>
      </c>
      <c r="B2058">
        <v>2010</v>
      </c>
      <c r="C2058" t="s">
        <v>6</v>
      </c>
      <c r="D2058">
        <v>17860077</v>
      </c>
      <c r="E2058" t="s">
        <v>59</v>
      </c>
    </row>
    <row r="2059" spans="1:5" x14ac:dyDescent="0.25">
      <c r="A2059" t="s">
        <v>50</v>
      </c>
      <c r="B2059">
        <v>2011</v>
      </c>
      <c r="C2059" t="s">
        <v>6</v>
      </c>
      <c r="D2059">
        <v>18933436</v>
      </c>
      <c r="E2059" t="s">
        <v>59</v>
      </c>
    </row>
    <row r="2060" spans="1:5" x14ac:dyDescent="0.25">
      <c r="A2060" t="s">
        <v>50</v>
      </c>
      <c r="B2060">
        <v>2012</v>
      </c>
      <c r="C2060" t="s">
        <v>6</v>
      </c>
      <c r="D2060">
        <v>21296814</v>
      </c>
      <c r="E2060" t="s">
        <v>59</v>
      </c>
    </row>
    <row r="2061" spans="1:5" x14ac:dyDescent="0.25">
      <c r="A2061" t="s">
        <v>50</v>
      </c>
      <c r="B2061">
        <v>2013</v>
      </c>
      <c r="C2061" t="s">
        <v>6</v>
      </c>
      <c r="D2061">
        <v>14289269</v>
      </c>
      <c r="E2061" t="s">
        <v>59</v>
      </c>
    </row>
    <row r="2062" spans="1:5" x14ac:dyDescent="0.25">
      <c r="A2062" t="s">
        <v>50</v>
      </c>
      <c r="B2062">
        <v>2014</v>
      </c>
      <c r="C2062" t="s">
        <v>6</v>
      </c>
      <c r="D2062">
        <v>22534528</v>
      </c>
      <c r="E2062" t="s">
        <v>59</v>
      </c>
    </row>
    <row r="2063" spans="1:5" x14ac:dyDescent="0.25">
      <c r="A2063" t="s">
        <v>50</v>
      </c>
      <c r="B2063">
        <v>2015</v>
      </c>
      <c r="C2063" t="s">
        <v>6</v>
      </c>
      <c r="D2063">
        <v>22248211.085999999</v>
      </c>
      <c r="E2063" t="s">
        <v>59</v>
      </c>
    </row>
    <row r="2064" spans="1:5" x14ac:dyDescent="0.25">
      <c r="A2064" t="s">
        <v>50</v>
      </c>
      <c r="B2064">
        <v>2016</v>
      </c>
      <c r="C2064" t="s">
        <v>6</v>
      </c>
      <c r="D2064">
        <v>28377593.173999999</v>
      </c>
      <c r="E2064" t="s">
        <v>59</v>
      </c>
    </row>
    <row r="2065" spans="1:5" x14ac:dyDescent="0.25">
      <c r="A2065" t="s">
        <v>50</v>
      </c>
      <c r="B2065">
        <v>2017</v>
      </c>
      <c r="C2065" t="s">
        <v>6</v>
      </c>
      <c r="D2065">
        <v>27462267.763</v>
      </c>
      <c r="E2065" t="s">
        <v>59</v>
      </c>
    </row>
    <row r="2066" spans="1:5" x14ac:dyDescent="0.25">
      <c r="A2066" t="s">
        <v>50</v>
      </c>
      <c r="B2066">
        <v>2018</v>
      </c>
      <c r="C2066" t="s">
        <v>6</v>
      </c>
      <c r="D2066">
        <v>24013383</v>
      </c>
      <c r="E2066" t="s">
        <v>59</v>
      </c>
    </row>
    <row r="2067" spans="1:5" x14ac:dyDescent="0.25">
      <c r="A2067" t="s">
        <v>50</v>
      </c>
      <c r="B2067">
        <v>2019</v>
      </c>
      <c r="C2067" t="s">
        <v>6</v>
      </c>
      <c r="D2067">
        <v>17861866.223000001</v>
      </c>
      <c r="E2067" t="s">
        <v>59</v>
      </c>
    </row>
    <row r="2068" spans="1:5" x14ac:dyDescent="0.25">
      <c r="A2068" t="s">
        <v>50</v>
      </c>
      <c r="B2068">
        <v>2020</v>
      </c>
      <c r="C2068" t="s">
        <v>6</v>
      </c>
      <c r="D2068">
        <v>20388868</v>
      </c>
      <c r="E2068" t="s">
        <v>59</v>
      </c>
    </row>
    <row r="2069" spans="1:5" x14ac:dyDescent="0.25">
      <c r="A2069" t="s">
        <v>50</v>
      </c>
      <c r="B2069">
        <v>2021</v>
      </c>
      <c r="C2069" t="s">
        <v>6</v>
      </c>
      <c r="D2069">
        <v>24576139</v>
      </c>
      <c r="E2069" t="s">
        <v>59</v>
      </c>
    </row>
    <row r="2070" spans="1:5" x14ac:dyDescent="0.25">
      <c r="A2070" t="s">
        <v>50</v>
      </c>
      <c r="B2070">
        <v>2022</v>
      </c>
      <c r="C2070" t="s">
        <v>6</v>
      </c>
      <c r="D2070">
        <v>36002079</v>
      </c>
      <c r="E2070" t="s">
        <v>59</v>
      </c>
    </row>
    <row r="2071" spans="1:5" x14ac:dyDescent="0.25">
      <c r="A2071" t="s">
        <v>50</v>
      </c>
      <c r="B2071">
        <v>2023</v>
      </c>
      <c r="C2071" t="s">
        <v>6</v>
      </c>
      <c r="D2071">
        <v>27798624</v>
      </c>
      <c r="E2071" t="s">
        <v>59</v>
      </c>
    </row>
    <row r="2072" spans="1:5" x14ac:dyDescent="0.25">
      <c r="A2072" t="s">
        <v>50</v>
      </c>
      <c r="B2072">
        <v>2024</v>
      </c>
      <c r="C2072" t="s">
        <v>6</v>
      </c>
      <c r="D2072">
        <v>38900750.744000003</v>
      </c>
      <c r="E2072" t="s">
        <v>59</v>
      </c>
    </row>
    <row r="2073" spans="1:5" x14ac:dyDescent="0.25">
      <c r="A2073" t="s">
        <v>50</v>
      </c>
      <c r="B2073">
        <v>2025</v>
      </c>
      <c r="C2073" t="s">
        <v>6</v>
      </c>
      <c r="D2073">
        <v>7241207</v>
      </c>
      <c r="E2073" t="s">
        <v>59</v>
      </c>
    </row>
    <row r="2074" spans="1:5" x14ac:dyDescent="0.25">
      <c r="A2074" t="s">
        <v>61</v>
      </c>
      <c r="B2074">
        <v>2012</v>
      </c>
      <c r="C2074" t="s">
        <v>6</v>
      </c>
      <c r="D2074">
        <v>1910547</v>
      </c>
      <c r="E2074" t="s">
        <v>59</v>
      </c>
    </row>
    <row r="2075" spans="1:5" x14ac:dyDescent="0.25">
      <c r="A2075" t="s">
        <v>61</v>
      </c>
      <c r="B2075">
        <v>2013</v>
      </c>
      <c r="C2075" t="s">
        <v>6</v>
      </c>
      <c r="D2075">
        <v>1360393</v>
      </c>
      <c r="E2075" t="s">
        <v>59</v>
      </c>
    </row>
    <row r="2076" spans="1:5" x14ac:dyDescent="0.25">
      <c r="A2076" t="s">
        <v>61</v>
      </c>
      <c r="B2076">
        <v>2014</v>
      </c>
      <c r="C2076" t="s">
        <v>6</v>
      </c>
      <c r="D2076">
        <v>1102336</v>
      </c>
      <c r="E2076" t="s">
        <v>59</v>
      </c>
    </row>
    <row r="2077" spans="1:5" x14ac:dyDescent="0.25">
      <c r="A2077" t="s">
        <v>51</v>
      </c>
      <c r="B2077">
        <v>2014</v>
      </c>
      <c r="C2077" t="s">
        <v>6</v>
      </c>
      <c r="D2077">
        <v>1703295</v>
      </c>
      <c r="E2077" t="s">
        <v>59</v>
      </c>
    </row>
    <row r="2078" spans="1:5" x14ac:dyDescent="0.25">
      <c r="A2078" t="s">
        <v>51</v>
      </c>
      <c r="B2078">
        <v>2021</v>
      </c>
      <c r="C2078" t="s">
        <v>6</v>
      </c>
      <c r="D2078">
        <v>4983114</v>
      </c>
      <c r="E2078" t="s">
        <v>59</v>
      </c>
    </row>
    <row r="2079" spans="1:5" x14ac:dyDescent="0.25">
      <c r="A2079" t="s">
        <v>51</v>
      </c>
      <c r="B2079">
        <v>2022</v>
      </c>
      <c r="C2079" t="s">
        <v>6</v>
      </c>
      <c r="D2079">
        <v>3692375</v>
      </c>
      <c r="E2079" t="s">
        <v>59</v>
      </c>
    </row>
    <row r="2080" spans="1:5" x14ac:dyDescent="0.25">
      <c r="A2080" t="s">
        <v>52</v>
      </c>
      <c r="B2080">
        <v>2003</v>
      </c>
      <c r="C2080" t="s">
        <v>6</v>
      </c>
      <c r="D2080">
        <v>3535867</v>
      </c>
      <c r="E2080" t="s">
        <v>59</v>
      </c>
    </row>
    <row r="2081" spans="1:5" x14ac:dyDescent="0.25">
      <c r="A2081" t="s">
        <v>52</v>
      </c>
      <c r="B2081">
        <v>2005</v>
      </c>
      <c r="C2081" t="s">
        <v>6</v>
      </c>
      <c r="D2081">
        <v>4388630</v>
      </c>
      <c r="E2081" t="s">
        <v>59</v>
      </c>
    </row>
    <row r="2082" spans="1:5" x14ac:dyDescent="0.25">
      <c r="A2082" t="s">
        <v>52</v>
      </c>
      <c r="B2082">
        <v>2008</v>
      </c>
      <c r="C2082" t="s">
        <v>6</v>
      </c>
      <c r="D2082">
        <v>5198648</v>
      </c>
      <c r="E2082" t="s">
        <v>59</v>
      </c>
    </row>
    <row r="2083" spans="1:5" x14ac:dyDescent="0.25">
      <c r="A2083" t="s">
        <v>52</v>
      </c>
      <c r="B2083">
        <v>2009</v>
      </c>
      <c r="C2083" t="s">
        <v>6</v>
      </c>
      <c r="D2083">
        <v>3780536</v>
      </c>
      <c r="E2083" t="s">
        <v>59</v>
      </c>
    </row>
    <row r="2084" spans="1:5" x14ac:dyDescent="0.25">
      <c r="A2084" t="s">
        <v>52</v>
      </c>
      <c r="B2084">
        <v>2010</v>
      </c>
      <c r="C2084" t="s">
        <v>6</v>
      </c>
      <c r="D2084">
        <v>2296825</v>
      </c>
      <c r="E2084" t="s">
        <v>59</v>
      </c>
    </row>
    <row r="2085" spans="1:5" x14ac:dyDescent="0.25">
      <c r="A2085" t="s">
        <v>52</v>
      </c>
      <c r="B2085">
        <v>2011</v>
      </c>
      <c r="C2085" t="s">
        <v>6</v>
      </c>
      <c r="D2085">
        <v>2028273</v>
      </c>
      <c r="E2085" t="s">
        <v>59</v>
      </c>
    </row>
    <row r="2086" spans="1:5" x14ac:dyDescent="0.25">
      <c r="A2086" t="s">
        <v>52</v>
      </c>
      <c r="B2086">
        <v>2012</v>
      </c>
      <c r="C2086" t="s">
        <v>6</v>
      </c>
      <c r="D2086">
        <v>1779199</v>
      </c>
      <c r="E2086" t="s">
        <v>59</v>
      </c>
    </row>
    <row r="2087" spans="1:5" x14ac:dyDescent="0.25">
      <c r="A2087" t="s">
        <v>52</v>
      </c>
      <c r="B2087">
        <v>2013</v>
      </c>
      <c r="C2087" t="s">
        <v>6</v>
      </c>
      <c r="D2087">
        <v>2097615</v>
      </c>
      <c r="E2087" t="s">
        <v>59</v>
      </c>
    </row>
    <row r="2088" spans="1:5" x14ac:dyDescent="0.25">
      <c r="A2088" t="s">
        <v>52</v>
      </c>
      <c r="B2088">
        <v>2014</v>
      </c>
      <c r="C2088" t="s">
        <v>6</v>
      </c>
      <c r="D2088">
        <v>2214649</v>
      </c>
      <c r="E2088" t="s">
        <v>59</v>
      </c>
    </row>
    <row r="2089" spans="1:5" x14ac:dyDescent="0.25">
      <c r="A2089" t="s">
        <v>52</v>
      </c>
      <c r="B2089">
        <v>2015</v>
      </c>
      <c r="C2089" t="s">
        <v>6</v>
      </c>
      <c r="D2089">
        <v>2662016</v>
      </c>
      <c r="E2089" t="s">
        <v>59</v>
      </c>
    </row>
    <row r="2090" spans="1:5" x14ac:dyDescent="0.25">
      <c r="A2090" t="s">
        <v>52</v>
      </c>
      <c r="B2090">
        <v>2016</v>
      </c>
      <c r="C2090" t="s">
        <v>6</v>
      </c>
      <c r="D2090">
        <v>3011982</v>
      </c>
      <c r="E2090" t="s">
        <v>59</v>
      </c>
    </row>
    <row r="2091" spans="1:5" x14ac:dyDescent="0.25">
      <c r="A2091" t="s">
        <v>52</v>
      </c>
      <c r="B2091">
        <v>2017</v>
      </c>
      <c r="C2091" t="s">
        <v>6</v>
      </c>
      <c r="D2091">
        <v>4091864</v>
      </c>
      <c r="E2091" t="s">
        <v>59</v>
      </c>
    </row>
    <row r="2092" spans="1:5" x14ac:dyDescent="0.25">
      <c r="A2092" t="s">
        <v>52</v>
      </c>
      <c r="B2092">
        <v>2018</v>
      </c>
      <c r="C2092" t="s">
        <v>6</v>
      </c>
      <c r="D2092">
        <v>5516075</v>
      </c>
      <c r="E2092" t="s">
        <v>59</v>
      </c>
    </row>
    <row r="2093" spans="1:5" x14ac:dyDescent="0.25">
      <c r="A2093" t="s">
        <v>52</v>
      </c>
      <c r="B2093">
        <v>2019</v>
      </c>
      <c r="C2093" t="s">
        <v>6</v>
      </c>
      <c r="D2093">
        <v>6823515</v>
      </c>
      <c r="E2093" t="s">
        <v>59</v>
      </c>
    </row>
    <row r="2094" spans="1:5" x14ac:dyDescent="0.25">
      <c r="A2094" t="s">
        <v>52</v>
      </c>
      <c r="B2094">
        <v>2020</v>
      </c>
      <c r="C2094" t="s">
        <v>6</v>
      </c>
      <c r="D2094">
        <v>7092175</v>
      </c>
      <c r="E2094" t="s">
        <v>59</v>
      </c>
    </row>
    <row r="2095" spans="1:5" x14ac:dyDescent="0.25">
      <c r="A2095" t="s">
        <v>52</v>
      </c>
      <c r="B2095">
        <v>2021</v>
      </c>
      <c r="C2095" t="s">
        <v>6</v>
      </c>
      <c r="D2095">
        <v>5937240</v>
      </c>
      <c r="E2095" t="s">
        <v>59</v>
      </c>
    </row>
    <row r="2096" spans="1:5" x14ac:dyDescent="0.25">
      <c r="A2096" t="s">
        <v>52</v>
      </c>
      <c r="B2096">
        <v>2022</v>
      </c>
      <c r="C2096" t="s">
        <v>6</v>
      </c>
      <c r="D2096">
        <v>6232454</v>
      </c>
      <c r="E2096" t="s">
        <v>59</v>
      </c>
    </row>
    <row r="2097" spans="1:5" x14ac:dyDescent="0.25">
      <c r="A2097" t="s">
        <v>52</v>
      </c>
      <c r="B2097">
        <v>2023</v>
      </c>
      <c r="C2097" t="s">
        <v>6</v>
      </c>
      <c r="D2097">
        <v>4469233</v>
      </c>
      <c r="E2097" t="s">
        <v>59</v>
      </c>
    </row>
    <row r="2098" spans="1:5" x14ac:dyDescent="0.25">
      <c r="A2098" t="s">
        <v>52</v>
      </c>
      <c r="B2098">
        <v>2024</v>
      </c>
      <c r="C2098" t="s">
        <v>6</v>
      </c>
      <c r="D2098">
        <v>12415092</v>
      </c>
      <c r="E2098" t="s">
        <v>59</v>
      </c>
    </row>
    <row r="2099" spans="1:5" x14ac:dyDescent="0.25">
      <c r="A2099" t="s">
        <v>52</v>
      </c>
      <c r="B2099">
        <v>2025</v>
      </c>
      <c r="C2099" t="s">
        <v>6</v>
      </c>
      <c r="D2099">
        <v>4229202</v>
      </c>
      <c r="E2099" t="s">
        <v>59</v>
      </c>
    </row>
    <row r="2100" spans="1:5" x14ac:dyDescent="0.25">
      <c r="A2100" t="s">
        <v>53</v>
      </c>
      <c r="B2100">
        <v>2016</v>
      </c>
      <c r="C2100" t="s">
        <v>6</v>
      </c>
      <c r="D2100">
        <v>19746000.576000001</v>
      </c>
      <c r="E2100" t="s">
        <v>59</v>
      </c>
    </row>
    <row r="2101" spans="1:5" x14ac:dyDescent="0.25">
      <c r="A2101" t="s">
        <v>53</v>
      </c>
      <c r="B2101">
        <v>2017</v>
      </c>
      <c r="C2101" t="s">
        <v>6</v>
      </c>
      <c r="D2101">
        <v>12926119.109999999</v>
      </c>
      <c r="E2101" t="s">
        <v>59</v>
      </c>
    </row>
    <row r="2102" spans="1:5" x14ac:dyDescent="0.25">
      <c r="A2102" t="s">
        <v>53</v>
      </c>
      <c r="B2102">
        <v>2018</v>
      </c>
      <c r="C2102" t="s">
        <v>6</v>
      </c>
      <c r="D2102">
        <v>14190025</v>
      </c>
      <c r="E2102" t="s">
        <v>59</v>
      </c>
    </row>
    <row r="2103" spans="1:5" x14ac:dyDescent="0.25">
      <c r="A2103" t="s">
        <v>53</v>
      </c>
      <c r="B2103">
        <v>2019</v>
      </c>
      <c r="C2103" t="s">
        <v>6</v>
      </c>
      <c r="D2103">
        <v>9865880.8399999999</v>
      </c>
      <c r="E2103" t="s">
        <v>59</v>
      </c>
    </row>
    <row r="2104" spans="1:5" x14ac:dyDescent="0.25">
      <c r="A2104" t="s">
        <v>53</v>
      </c>
      <c r="B2104">
        <v>2020</v>
      </c>
      <c r="C2104" t="s">
        <v>6</v>
      </c>
      <c r="D2104">
        <v>10826941</v>
      </c>
      <c r="E2104" t="s">
        <v>59</v>
      </c>
    </row>
    <row r="2105" spans="1:5" x14ac:dyDescent="0.25">
      <c r="A2105" t="s">
        <v>53</v>
      </c>
      <c r="B2105">
        <v>2021</v>
      </c>
      <c r="C2105" t="s">
        <v>6</v>
      </c>
      <c r="D2105">
        <v>7481516</v>
      </c>
      <c r="E2105" t="s">
        <v>59</v>
      </c>
    </row>
    <row r="2106" spans="1:5" x14ac:dyDescent="0.25">
      <c r="A2106" t="s">
        <v>53</v>
      </c>
      <c r="B2106">
        <v>2022</v>
      </c>
      <c r="C2106" t="s">
        <v>6</v>
      </c>
      <c r="D2106">
        <v>12454187</v>
      </c>
      <c r="E2106" t="s">
        <v>59</v>
      </c>
    </row>
    <row r="2107" spans="1:5" x14ac:dyDescent="0.25">
      <c r="A2107" t="s">
        <v>53</v>
      </c>
      <c r="B2107">
        <v>2023</v>
      </c>
      <c r="C2107" t="s">
        <v>6</v>
      </c>
      <c r="D2107">
        <v>8738134</v>
      </c>
      <c r="E2107" t="s">
        <v>59</v>
      </c>
    </row>
    <row r="2108" spans="1:5" x14ac:dyDescent="0.25">
      <c r="A2108" t="s">
        <v>53</v>
      </c>
      <c r="B2108">
        <v>2024</v>
      </c>
      <c r="C2108" t="s">
        <v>6</v>
      </c>
      <c r="D2108">
        <v>7388410.0209999997</v>
      </c>
      <c r="E2108" t="s">
        <v>59</v>
      </c>
    </row>
    <row r="2109" spans="1:5" x14ac:dyDescent="0.25">
      <c r="A2109" t="s">
        <v>53</v>
      </c>
      <c r="B2109">
        <v>2025</v>
      </c>
      <c r="C2109" t="s">
        <v>6</v>
      </c>
      <c r="D2109">
        <v>7213775.1679999996</v>
      </c>
      <c r="E2109" t="s">
        <v>59</v>
      </c>
    </row>
    <row r="2110" spans="1:5" x14ac:dyDescent="0.25">
      <c r="A2110" t="s">
        <v>54</v>
      </c>
      <c r="B2110">
        <v>2018</v>
      </c>
      <c r="C2110" t="s">
        <v>6</v>
      </c>
      <c r="D2110">
        <v>3008461.86</v>
      </c>
      <c r="E2110" t="s">
        <v>59</v>
      </c>
    </row>
    <row r="2111" spans="1:5" x14ac:dyDescent="0.25">
      <c r="A2111" t="s">
        <v>54</v>
      </c>
      <c r="B2111">
        <v>2019</v>
      </c>
      <c r="C2111" t="s">
        <v>6</v>
      </c>
      <c r="D2111">
        <v>22271379.739999998</v>
      </c>
      <c r="E2111" t="s">
        <v>59</v>
      </c>
    </row>
    <row r="2112" spans="1:5" x14ac:dyDescent="0.25">
      <c r="A2112" t="s">
        <v>55</v>
      </c>
      <c r="B2112">
        <v>2014</v>
      </c>
      <c r="C2112" t="s">
        <v>6</v>
      </c>
      <c r="D2112">
        <v>1402565</v>
      </c>
      <c r="E2112" t="s">
        <v>59</v>
      </c>
    </row>
    <row r="2113" spans="1:5" x14ac:dyDescent="0.25">
      <c r="A2113" t="s">
        <v>55</v>
      </c>
      <c r="B2113">
        <v>2015</v>
      </c>
      <c r="C2113" t="s">
        <v>6</v>
      </c>
      <c r="D2113">
        <v>1382856</v>
      </c>
      <c r="E2113" t="s">
        <v>59</v>
      </c>
    </row>
    <row r="2114" spans="1:5" x14ac:dyDescent="0.25">
      <c r="A2114" t="s">
        <v>55</v>
      </c>
      <c r="B2114">
        <v>2016</v>
      </c>
      <c r="C2114" t="s">
        <v>6</v>
      </c>
      <c r="D2114">
        <v>1767122</v>
      </c>
      <c r="E2114" t="s">
        <v>59</v>
      </c>
    </row>
    <row r="2115" spans="1:5" x14ac:dyDescent="0.25">
      <c r="A2115" t="s">
        <v>55</v>
      </c>
      <c r="B2115">
        <v>2018</v>
      </c>
      <c r="C2115" t="s">
        <v>6</v>
      </c>
      <c r="D2115">
        <v>1794596</v>
      </c>
      <c r="E2115" t="s">
        <v>59</v>
      </c>
    </row>
    <row r="2116" spans="1:5" x14ac:dyDescent="0.25">
      <c r="A2116" t="s">
        <v>55</v>
      </c>
      <c r="B2116">
        <v>2022</v>
      </c>
      <c r="C2116" t="s">
        <v>6</v>
      </c>
      <c r="D2116">
        <v>1109842.074</v>
      </c>
      <c r="E2116" t="s">
        <v>59</v>
      </c>
    </row>
    <row r="2117" spans="1:5" x14ac:dyDescent="0.25">
      <c r="A2117" t="s">
        <v>56</v>
      </c>
      <c r="B2117">
        <v>2015</v>
      </c>
      <c r="C2117" t="s">
        <v>6</v>
      </c>
      <c r="D2117">
        <v>36040619.251999997</v>
      </c>
      <c r="E2117" t="s">
        <v>59</v>
      </c>
    </row>
    <row r="2118" spans="1:5" x14ac:dyDescent="0.25">
      <c r="A2118" t="s">
        <v>56</v>
      </c>
      <c r="B2118">
        <v>2016</v>
      </c>
      <c r="C2118" t="s">
        <v>6</v>
      </c>
      <c r="D2118">
        <v>43735884.100000001</v>
      </c>
      <c r="E2118" t="s">
        <v>59</v>
      </c>
    </row>
    <row r="2119" spans="1:5" x14ac:dyDescent="0.25">
      <c r="A2119" t="s">
        <v>56</v>
      </c>
      <c r="B2119">
        <v>2017</v>
      </c>
      <c r="C2119" t="s">
        <v>6</v>
      </c>
      <c r="D2119">
        <v>50792280.667999998</v>
      </c>
      <c r="E2119" t="s">
        <v>59</v>
      </c>
    </row>
    <row r="2120" spans="1:5" x14ac:dyDescent="0.25">
      <c r="A2120" t="s">
        <v>56</v>
      </c>
      <c r="B2120">
        <v>2018</v>
      </c>
      <c r="C2120" t="s">
        <v>6</v>
      </c>
      <c r="D2120">
        <v>33016283.197000001</v>
      </c>
      <c r="E2120" t="s">
        <v>59</v>
      </c>
    </row>
    <row r="2121" spans="1:5" x14ac:dyDescent="0.25">
      <c r="A2121" t="s">
        <v>56</v>
      </c>
      <c r="B2121">
        <v>2019</v>
      </c>
      <c r="C2121" t="s">
        <v>6</v>
      </c>
      <c r="D2121">
        <v>57199407.993000001</v>
      </c>
      <c r="E2121" t="s">
        <v>59</v>
      </c>
    </row>
    <row r="2122" spans="1:5" x14ac:dyDescent="0.25">
      <c r="A2122" t="s">
        <v>56</v>
      </c>
      <c r="B2122">
        <v>2020</v>
      </c>
      <c r="C2122" t="s">
        <v>6</v>
      </c>
      <c r="D2122">
        <v>40614698.520000003</v>
      </c>
      <c r="E2122" t="s">
        <v>59</v>
      </c>
    </row>
    <row r="2123" spans="1:5" x14ac:dyDescent="0.25">
      <c r="A2123" t="s">
        <v>56</v>
      </c>
      <c r="B2123">
        <v>2021</v>
      </c>
      <c r="C2123" t="s">
        <v>6</v>
      </c>
      <c r="D2123">
        <v>56351870.627999999</v>
      </c>
      <c r="E2123" t="s">
        <v>59</v>
      </c>
    </row>
    <row r="2124" spans="1:5" x14ac:dyDescent="0.25">
      <c r="A2124" t="s">
        <v>56</v>
      </c>
      <c r="B2124">
        <v>2022</v>
      </c>
      <c r="C2124" t="s">
        <v>6</v>
      </c>
      <c r="D2124">
        <v>55388560.236000001</v>
      </c>
      <c r="E2124" t="s">
        <v>59</v>
      </c>
    </row>
    <row r="2125" spans="1:5" x14ac:dyDescent="0.25">
      <c r="A2125" t="s">
        <v>56</v>
      </c>
      <c r="B2125">
        <v>2023</v>
      </c>
      <c r="C2125" t="s">
        <v>6</v>
      </c>
      <c r="D2125">
        <v>45464217.256999999</v>
      </c>
      <c r="E2125" t="s">
        <v>59</v>
      </c>
    </row>
    <row r="2126" spans="1:5" x14ac:dyDescent="0.25">
      <c r="A2126" t="s">
        <v>60</v>
      </c>
      <c r="B2126">
        <v>2012</v>
      </c>
      <c r="C2126" t="s">
        <v>6</v>
      </c>
      <c r="D2126">
        <v>2087936</v>
      </c>
      <c r="E2126" t="s">
        <v>59</v>
      </c>
    </row>
    <row r="2127" spans="1:5" x14ac:dyDescent="0.25">
      <c r="A2127" t="s">
        <v>60</v>
      </c>
      <c r="B2127">
        <v>2015</v>
      </c>
      <c r="C2127" t="s">
        <v>6</v>
      </c>
      <c r="D2127">
        <v>1192817</v>
      </c>
      <c r="E2127" t="s">
        <v>59</v>
      </c>
    </row>
    <row r="2128" spans="1:5" x14ac:dyDescent="0.25">
      <c r="A2128" t="s">
        <v>5</v>
      </c>
      <c r="B2128">
        <v>2011</v>
      </c>
      <c r="C2128" t="s">
        <v>57</v>
      </c>
      <c r="D2128">
        <v>174684779.002</v>
      </c>
      <c r="E2128" t="s">
        <v>59</v>
      </c>
    </row>
    <row r="2129" spans="1:5" x14ac:dyDescent="0.25">
      <c r="A2129" t="s">
        <v>5</v>
      </c>
      <c r="B2129">
        <v>2012</v>
      </c>
      <c r="C2129" t="s">
        <v>57</v>
      </c>
      <c r="D2129">
        <v>165462063.116</v>
      </c>
      <c r="E2129" t="s">
        <v>59</v>
      </c>
    </row>
    <row r="2130" spans="1:5" x14ac:dyDescent="0.25">
      <c r="A2130" t="s">
        <v>5</v>
      </c>
      <c r="B2130">
        <v>2013</v>
      </c>
      <c r="C2130" t="s">
        <v>57</v>
      </c>
      <c r="D2130">
        <v>123247091.242</v>
      </c>
      <c r="E2130" t="s">
        <v>59</v>
      </c>
    </row>
    <row r="2131" spans="1:5" x14ac:dyDescent="0.25">
      <c r="A2131" t="s">
        <v>5</v>
      </c>
      <c r="B2131">
        <v>2014</v>
      </c>
      <c r="C2131" t="s">
        <v>57</v>
      </c>
      <c r="D2131">
        <v>139223855.273</v>
      </c>
      <c r="E2131" t="s">
        <v>59</v>
      </c>
    </row>
    <row r="2132" spans="1:5" x14ac:dyDescent="0.25">
      <c r="A2132" t="s">
        <v>5</v>
      </c>
      <c r="B2132">
        <v>2015</v>
      </c>
      <c r="C2132" t="s">
        <v>57</v>
      </c>
      <c r="D2132">
        <v>103677664.721</v>
      </c>
      <c r="E2132" t="s">
        <v>59</v>
      </c>
    </row>
    <row r="2133" spans="1:5" x14ac:dyDescent="0.25">
      <c r="A2133" t="s">
        <v>5</v>
      </c>
      <c r="B2133">
        <v>2016</v>
      </c>
      <c r="C2133" t="s">
        <v>57</v>
      </c>
      <c r="D2133">
        <v>114131654.778</v>
      </c>
      <c r="E2133" t="s">
        <v>59</v>
      </c>
    </row>
    <row r="2134" spans="1:5" x14ac:dyDescent="0.25">
      <c r="A2134" t="s">
        <v>5</v>
      </c>
      <c r="B2134">
        <v>2017</v>
      </c>
      <c r="C2134" t="s">
        <v>57</v>
      </c>
      <c r="D2134">
        <v>112181788.45999999</v>
      </c>
      <c r="E2134" t="s">
        <v>59</v>
      </c>
    </row>
    <row r="2135" spans="1:5" x14ac:dyDescent="0.25">
      <c r="A2135" t="s">
        <v>5</v>
      </c>
      <c r="B2135">
        <v>2018</v>
      </c>
      <c r="C2135" t="s">
        <v>57</v>
      </c>
      <c r="D2135">
        <v>111157372.016</v>
      </c>
      <c r="E2135" t="s">
        <v>59</v>
      </c>
    </row>
    <row r="2136" spans="1:5" x14ac:dyDescent="0.25">
      <c r="A2136" t="s">
        <v>5</v>
      </c>
      <c r="B2136">
        <v>2019</v>
      </c>
      <c r="C2136" t="s">
        <v>57</v>
      </c>
      <c r="D2136">
        <v>118015608.234</v>
      </c>
      <c r="E2136" t="s">
        <v>59</v>
      </c>
    </row>
    <row r="2137" spans="1:5" x14ac:dyDescent="0.25">
      <c r="A2137" t="s">
        <v>5</v>
      </c>
      <c r="B2137">
        <v>2020</v>
      </c>
      <c r="C2137" t="s">
        <v>57</v>
      </c>
      <c r="D2137">
        <v>94282604.255999997</v>
      </c>
      <c r="E2137" t="s">
        <v>59</v>
      </c>
    </row>
    <row r="2138" spans="1:5" x14ac:dyDescent="0.25">
      <c r="A2138" t="s">
        <v>5</v>
      </c>
      <c r="B2138">
        <v>2021</v>
      </c>
      <c r="C2138" t="s">
        <v>57</v>
      </c>
      <c r="D2138">
        <v>85086192.290999994</v>
      </c>
      <c r="E2138" t="s">
        <v>59</v>
      </c>
    </row>
    <row r="2139" spans="1:5" x14ac:dyDescent="0.25">
      <c r="A2139" t="s">
        <v>5</v>
      </c>
      <c r="B2139">
        <v>2022</v>
      </c>
      <c r="C2139" t="s">
        <v>57</v>
      </c>
      <c r="D2139">
        <v>99442246.941</v>
      </c>
      <c r="E2139" t="s">
        <v>59</v>
      </c>
    </row>
    <row r="2140" spans="1:5" x14ac:dyDescent="0.25">
      <c r="A2140" t="s">
        <v>5</v>
      </c>
      <c r="B2140">
        <v>2023</v>
      </c>
      <c r="C2140" t="s">
        <v>57</v>
      </c>
      <c r="D2140">
        <v>98340247.398000002</v>
      </c>
      <c r="E2140" t="s">
        <v>59</v>
      </c>
    </row>
    <row r="2141" spans="1:5" x14ac:dyDescent="0.25">
      <c r="A2141" t="s">
        <v>5</v>
      </c>
      <c r="B2141">
        <v>2024</v>
      </c>
      <c r="C2141" t="s">
        <v>57</v>
      </c>
      <c r="D2141">
        <v>82898083.017000005</v>
      </c>
      <c r="E2141" t="s">
        <v>59</v>
      </c>
    </row>
    <row r="2142" spans="1:5" x14ac:dyDescent="0.25">
      <c r="A2142" t="s">
        <v>5</v>
      </c>
      <c r="B2142">
        <v>2025</v>
      </c>
      <c r="C2142" t="s">
        <v>57</v>
      </c>
      <c r="D2142">
        <v>101128878.589</v>
      </c>
      <c r="E2142" t="s">
        <v>59</v>
      </c>
    </row>
    <row r="2143" spans="1:5" x14ac:dyDescent="0.25">
      <c r="A2143" t="s">
        <v>10</v>
      </c>
      <c r="B2143">
        <v>2000</v>
      </c>
      <c r="C2143" t="s">
        <v>57</v>
      </c>
      <c r="D2143">
        <v>16064856</v>
      </c>
      <c r="E2143" t="s">
        <v>59</v>
      </c>
    </row>
    <row r="2144" spans="1:5" x14ac:dyDescent="0.25">
      <c r="A2144" t="s">
        <v>10</v>
      </c>
      <c r="B2144">
        <v>2001</v>
      </c>
      <c r="C2144" t="s">
        <v>57</v>
      </c>
      <c r="D2144">
        <v>19180731</v>
      </c>
      <c r="E2144" t="s">
        <v>59</v>
      </c>
    </row>
    <row r="2145" spans="1:5" x14ac:dyDescent="0.25">
      <c r="A2145" t="s">
        <v>10</v>
      </c>
      <c r="B2145">
        <v>2002</v>
      </c>
      <c r="C2145" t="s">
        <v>57</v>
      </c>
      <c r="D2145">
        <v>16140207</v>
      </c>
      <c r="E2145" t="s">
        <v>59</v>
      </c>
    </row>
    <row r="2146" spans="1:5" x14ac:dyDescent="0.25">
      <c r="A2146" t="s">
        <v>10</v>
      </c>
      <c r="B2146">
        <v>2003</v>
      </c>
      <c r="C2146" t="s">
        <v>57</v>
      </c>
      <c r="D2146">
        <v>10710156</v>
      </c>
      <c r="E2146" t="s">
        <v>59</v>
      </c>
    </row>
    <row r="2147" spans="1:5" x14ac:dyDescent="0.25">
      <c r="A2147" t="s">
        <v>10</v>
      </c>
      <c r="B2147">
        <v>2004</v>
      </c>
      <c r="C2147" t="s">
        <v>57</v>
      </c>
      <c r="D2147">
        <v>13474062</v>
      </c>
      <c r="E2147" t="s">
        <v>59</v>
      </c>
    </row>
    <row r="2148" spans="1:5" x14ac:dyDescent="0.25">
      <c r="A2148" t="s">
        <v>10</v>
      </c>
      <c r="B2148">
        <v>2005</v>
      </c>
      <c r="C2148" t="s">
        <v>57</v>
      </c>
      <c r="D2148">
        <v>13692201</v>
      </c>
      <c r="E2148" t="s">
        <v>59</v>
      </c>
    </row>
    <row r="2149" spans="1:5" x14ac:dyDescent="0.25">
      <c r="A2149" t="s">
        <v>10</v>
      </c>
      <c r="B2149">
        <v>2006</v>
      </c>
      <c r="C2149" t="s">
        <v>57</v>
      </c>
      <c r="D2149">
        <v>11783976</v>
      </c>
      <c r="E2149" t="s">
        <v>59</v>
      </c>
    </row>
    <row r="2150" spans="1:5" x14ac:dyDescent="0.25">
      <c r="A2150" t="s">
        <v>10</v>
      </c>
      <c r="B2150">
        <v>2007</v>
      </c>
      <c r="C2150" t="s">
        <v>57</v>
      </c>
      <c r="D2150">
        <v>9783610</v>
      </c>
      <c r="E2150" t="s">
        <v>59</v>
      </c>
    </row>
    <row r="2151" spans="1:5" x14ac:dyDescent="0.25">
      <c r="A2151" t="s">
        <v>10</v>
      </c>
      <c r="B2151">
        <v>2009</v>
      </c>
      <c r="C2151" t="s">
        <v>57</v>
      </c>
      <c r="D2151">
        <v>6614216</v>
      </c>
      <c r="E2151" t="s">
        <v>59</v>
      </c>
    </row>
    <row r="2152" spans="1:5" x14ac:dyDescent="0.25">
      <c r="A2152" t="s">
        <v>10</v>
      </c>
      <c r="B2152">
        <v>2010</v>
      </c>
      <c r="C2152" t="s">
        <v>57</v>
      </c>
      <c r="D2152">
        <v>9874514</v>
      </c>
      <c r="E2152" t="s">
        <v>59</v>
      </c>
    </row>
    <row r="2153" spans="1:5" x14ac:dyDescent="0.25">
      <c r="A2153" t="s">
        <v>10</v>
      </c>
      <c r="B2153">
        <v>2011</v>
      </c>
      <c r="C2153" t="s">
        <v>57</v>
      </c>
      <c r="D2153">
        <v>27059259</v>
      </c>
      <c r="E2153" t="s">
        <v>59</v>
      </c>
    </row>
    <row r="2154" spans="1:5" x14ac:dyDescent="0.25">
      <c r="A2154" t="s">
        <v>10</v>
      </c>
      <c r="B2154">
        <v>2012</v>
      </c>
      <c r="C2154" t="s">
        <v>57</v>
      </c>
      <c r="D2154">
        <v>40263668</v>
      </c>
      <c r="E2154" t="s">
        <v>59</v>
      </c>
    </row>
    <row r="2155" spans="1:5" x14ac:dyDescent="0.25">
      <c r="A2155" t="s">
        <v>10</v>
      </c>
      <c r="B2155">
        <v>2013</v>
      </c>
      <c r="C2155" t="s">
        <v>57</v>
      </c>
      <c r="D2155">
        <v>26857215</v>
      </c>
      <c r="E2155" t="s">
        <v>59</v>
      </c>
    </row>
    <row r="2156" spans="1:5" x14ac:dyDescent="0.25">
      <c r="A2156" t="s">
        <v>10</v>
      </c>
      <c r="B2156">
        <v>2014</v>
      </c>
      <c r="C2156" t="s">
        <v>57</v>
      </c>
      <c r="D2156">
        <v>17445172</v>
      </c>
      <c r="E2156" t="s">
        <v>59</v>
      </c>
    </row>
    <row r="2157" spans="1:5" x14ac:dyDescent="0.25">
      <c r="A2157" t="s">
        <v>10</v>
      </c>
      <c r="B2157">
        <v>2015</v>
      </c>
      <c r="C2157" t="s">
        <v>57</v>
      </c>
      <c r="D2157">
        <v>25475050</v>
      </c>
      <c r="E2157" t="s">
        <v>59</v>
      </c>
    </row>
    <row r="2158" spans="1:5" x14ac:dyDescent="0.25">
      <c r="A2158" t="s">
        <v>10</v>
      </c>
      <c r="B2158">
        <v>2016</v>
      </c>
      <c r="C2158" t="s">
        <v>57</v>
      </c>
      <c r="D2158">
        <v>22423841</v>
      </c>
      <c r="E2158" t="s">
        <v>59</v>
      </c>
    </row>
    <row r="2159" spans="1:5" x14ac:dyDescent="0.25">
      <c r="A2159" t="s">
        <v>10</v>
      </c>
      <c r="B2159">
        <v>2017</v>
      </c>
      <c r="C2159" t="s">
        <v>57</v>
      </c>
      <c r="D2159">
        <v>24492000</v>
      </c>
      <c r="E2159" t="s">
        <v>59</v>
      </c>
    </row>
    <row r="2160" spans="1:5" x14ac:dyDescent="0.25">
      <c r="A2160" t="s">
        <v>10</v>
      </c>
      <c r="B2160">
        <v>2018</v>
      </c>
      <c r="C2160" t="s">
        <v>57</v>
      </c>
      <c r="D2160">
        <v>23601347</v>
      </c>
      <c r="E2160" t="s">
        <v>59</v>
      </c>
    </row>
    <row r="2161" spans="1:5" x14ac:dyDescent="0.25">
      <c r="A2161" t="s">
        <v>10</v>
      </c>
      <c r="B2161">
        <v>2019</v>
      </c>
      <c r="C2161" t="s">
        <v>57</v>
      </c>
      <c r="D2161">
        <v>23284449</v>
      </c>
      <c r="E2161" t="s">
        <v>59</v>
      </c>
    </row>
    <row r="2162" spans="1:5" x14ac:dyDescent="0.25">
      <c r="A2162" t="s">
        <v>10</v>
      </c>
      <c r="B2162">
        <v>2020</v>
      </c>
      <c r="C2162" t="s">
        <v>57</v>
      </c>
      <c r="D2162">
        <v>16178006</v>
      </c>
      <c r="E2162" t="s">
        <v>59</v>
      </c>
    </row>
    <row r="2163" spans="1:5" x14ac:dyDescent="0.25">
      <c r="A2163" t="s">
        <v>10</v>
      </c>
      <c r="B2163">
        <v>2021</v>
      </c>
      <c r="C2163" t="s">
        <v>57</v>
      </c>
      <c r="D2163">
        <v>19690124</v>
      </c>
      <c r="E2163" t="s">
        <v>59</v>
      </c>
    </row>
    <row r="2164" spans="1:5" x14ac:dyDescent="0.25">
      <c r="A2164" t="s">
        <v>10</v>
      </c>
      <c r="B2164">
        <v>2022</v>
      </c>
      <c r="C2164" t="s">
        <v>57</v>
      </c>
      <c r="D2164">
        <v>22547107</v>
      </c>
      <c r="E2164" t="s">
        <v>59</v>
      </c>
    </row>
    <row r="2165" spans="1:5" x14ac:dyDescent="0.25">
      <c r="A2165" t="s">
        <v>10</v>
      </c>
      <c r="B2165">
        <v>2023</v>
      </c>
      <c r="C2165" t="s">
        <v>57</v>
      </c>
      <c r="D2165">
        <v>23049735</v>
      </c>
      <c r="E2165" t="s">
        <v>59</v>
      </c>
    </row>
    <row r="2166" spans="1:5" x14ac:dyDescent="0.25">
      <c r="A2166" t="s">
        <v>10</v>
      </c>
      <c r="B2166">
        <v>2025</v>
      </c>
      <c r="C2166" t="s">
        <v>57</v>
      </c>
      <c r="D2166">
        <v>14043981</v>
      </c>
      <c r="E2166" t="s">
        <v>59</v>
      </c>
    </row>
    <row r="2167" spans="1:5" x14ac:dyDescent="0.25">
      <c r="A2167" t="s">
        <v>80</v>
      </c>
      <c r="B2167">
        <v>2019</v>
      </c>
      <c r="C2167" t="s">
        <v>57</v>
      </c>
      <c r="D2167">
        <v>2081150.9539999999</v>
      </c>
      <c r="E2167" t="s">
        <v>59</v>
      </c>
    </row>
    <row r="2168" spans="1:5" x14ac:dyDescent="0.25">
      <c r="A2168" t="s">
        <v>79</v>
      </c>
      <c r="B2168">
        <v>2010</v>
      </c>
      <c r="C2168" t="s">
        <v>57</v>
      </c>
      <c r="D2168">
        <v>14992365.594000001</v>
      </c>
      <c r="E2168" t="s">
        <v>59</v>
      </c>
    </row>
    <row r="2169" spans="1:5" x14ac:dyDescent="0.25">
      <c r="A2169" t="s">
        <v>79</v>
      </c>
      <c r="B2169">
        <v>2011</v>
      </c>
      <c r="C2169" t="s">
        <v>57</v>
      </c>
      <c r="D2169">
        <v>24487962.927999999</v>
      </c>
      <c r="E2169" t="s">
        <v>59</v>
      </c>
    </row>
    <row r="2170" spans="1:5" x14ac:dyDescent="0.25">
      <c r="A2170" t="s">
        <v>79</v>
      </c>
      <c r="B2170">
        <v>2012</v>
      </c>
      <c r="C2170" t="s">
        <v>57</v>
      </c>
      <c r="D2170">
        <v>16266651.317</v>
      </c>
      <c r="E2170" t="s">
        <v>59</v>
      </c>
    </row>
    <row r="2171" spans="1:5" x14ac:dyDescent="0.25">
      <c r="A2171" t="s">
        <v>79</v>
      </c>
      <c r="B2171">
        <v>2013</v>
      </c>
      <c r="C2171" t="s">
        <v>57</v>
      </c>
      <c r="D2171">
        <v>28325465.556000002</v>
      </c>
      <c r="E2171" t="s">
        <v>59</v>
      </c>
    </row>
    <row r="2172" spans="1:5" x14ac:dyDescent="0.25">
      <c r="A2172" t="s">
        <v>79</v>
      </c>
      <c r="B2172">
        <v>2014</v>
      </c>
      <c r="C2172" t="s">
        <v>57</v>
      </c>
      <c r="D2172">
        <v>23611920.589000002</v>
      </c>
      <c r="E2172" t="s">
        <v>59</v>
      </c>
    </row>
    <row r="2173" spans="1:5" x14ac:dyDescent="0.25">
      <c r="A2173" t="s">
        <v>79</v>
      </c>
      <c r="B2173">
        <v>2015</v>
      </c>
      <c r="C2173" t="s">
        <v>57</v>
      </c>
      <c r="D2173">
        <v>18245245.010000002</v>
      </c>
      <c r="E2173" t="s">
        <v>59</v>
      </c>
    </row>
    <row r="2174" spans="1:5" x14ac:dyDescent="0.25">
      <c r="A2174" t="s">
        <v>79</v>
      </c>
      <c r="B2174">
        <v>2019</v>
      </c>
      <c r="C2174" t="s">
        <v>57</v>
      </c>
      <c r="D2174">
        <v>1920297.6850000001</v>
      </c>
      <c r="E2174" t="s">
        <v>59</v>
      </c>
    </row>
    <row r="2175" spans="1:5" x14ac:dyDescent="0.25">
      <c r="A2175" t="s">
        <v>78</v>
      </c>
      <c r="B2175">
        <v>2012</v>
      </c>
      <c r="C2175" t="s">
        <v>57</v>
      </c>
      <c r="D2175">
        <v>1459543.8</v>
      </c>
      <c r="E2175" t="s">
        <v>59</v>
      </c>
    </row>
    <row r="2176" spans="1:5" x14ac:dyDescent="0.25">
      <c r="A2176" t="s">
        <v>11</v>
      </c>
      <c r="B2176">
        <v>2010</v>
      </c>
      <c r="C2176" t="s">
        <v>57</v>
      </c>
      <c r="D2176">
        <v>30347912.710000001</v>
      </c>
      <c r="E2176" t="s">
        <v>59</v>
      </c>
    </row>
    <row r="2177" spans="1:5" x14ac:dyDescent="0.25">
      <c r="A2177" t="s">
        <v>11</v>
      </c>
      <c r="B2177">
        <v>2011</v>
      </c>
      <c r="C2177" t="s">
        <v>57</v>
      </c>
      <c r="D2177">
        <v>25771949.278000001</v>
      </c>
      <c r="E2177" t="s">
        <v>59</v>
      </c>
    </row>
    <row r="2178" spans="1:5" x14ac:dyDescent="0.25">
      <c r="A2178" t="s">
        <v>11</v>
      </c>
      <c r="B2178">
        <v>2012</v>
      </c>
      <c r="C2178" t="s">
        <v>57</v>
      </c>
      <c r="D2178">
        <v>24133102.18</v>
      </c>
      <c r="E2178" t="s">
        <v>59</v>
      </c>
    </row>
    <row r="2179" spans="1:5" x14ac:dyDescent="0.25">
      <c r="A2179" t="s">
        <v>11</v>
      </c>
      <c r="B2179">
        <v>2013</v>
      </c>
      <c r="C2179" t="s">
        <v>57</v>
      </c>
      <c r="D2179">
        <v>33881587.523999996</v>
      </c>
      <c r="E2179" t="s">
        <v>59</v>
      </c>
    </row>
    <row r="2180" spans="1:5" x14ac:dyDescent="0.25">
      <c r="A2180" t="s">
        <v>11</v>
      </c>
      <c r="B2180">
        <v>2014</v>
      </c>
      <c r="C2180" t="s">
        <v>57</v>
      </c>
      <c r="D2180">
        <v>31298710.285999998</v>
      </c>
      <c r="E2180" t="s">
        <v>59</v>
      </c>
    </row>
    <row r="2181" spans="1:5" x14ac:dyDescent="0.25">
      <c r="A2181" t="s">
        <v>11</v>
      </c>
      <c r="B2181">
        <v>2015</v>
      </c>
      <c r="C2181" t="s">
        <v>57</v>
      </c>
      <c r="D2181">
        <v>39727357.975000001</v>
      </c>
      <c r="E2181" t="s">
        <v>59</v>
      </c>
    </row>
    <row r="2182" spans="1:5" x14ac:dyDescent="0.25">
      <c r="A2182" t="s">
        <v>11</v>
      </c>
      <c r="B2182">
        <v>2016</v>
      </c>
      <c r="C2182" t="s">
        <v>57</v>
      </c>
      <c r="D2182">
        <v>28825288.767999999</v>
      </c>
      <c r="E2182" t="s">
        <v>59</v>
      </c>
    </row>
    <row r="2183" spans="1:5" x14ac:dyDescent="0.25">
      <c r="A2183" t="s">
        <v>11</v>
      </c>
      <c r="B2183">
        <v>2017</v>
      </c>
      <c r="C2183" t="s">
        <v>57</v>
      </c>
      <c r="D2183">
        <v>29176741.506999999</v>
      </c>
      <c r="E2183" t="s">
        <v>59</v>
      </c>
    </row>
    <row r="2184" spans="1:5" x14ac:dyDescent="0.25">
      <c r="A2184" t="s">
        <v>11</v>
      </c>
      <c r="B2184">
        <v>2018</v>
      </c>
      <c r="C2184" t="s">
        <v>57</v>
      </c>
      <c r="D2184">
        <v>26001429.537999999</v>
      </c>
      <c r="E2184" t="s">
        <v>59</v>
      </c>
    </row>
    <row r="2185" spans="1:5" x14ac:dyDescent="0.25">
      <c r="A2185" t="s">
        <v>11</v>
      </c>
      <c r="B2185">
        <v>2019</v>
      </c>
      <c r="C2185" t="s">
        <v>57</v>
      </c>
      <c r="D2185">
        <v>27889915.285999998</v>
      </c>
      <c r="E2185" t="s">
        <v>59</v>
      </c>
    </row>
    <row r="2186" spans="1:5" x14ac:dyDescent="0.25">
      <c r="A2186" t="s">
        <v>11</v>
      </c>
      <c r="B2186">
        <v>2020</v>
      </c>
      <c r="C2186" t="s">
        <v>57</v>
      </c>
      <c r="D2186">
        <v>21182758.445</v>
      </c>
      <c r="E2186" t="s">
        <v>59</v>
      </c>
    </row>
    <row r="2187" spans="1:5" x14ac:dyDescent="0.25">
      <c r="A2187" t="s">
        <v>11</v>
      </c>
      <c r="B2187">
        <v>2021</v>
      </c>
      <c r="C2187" t="s">
        <v>57</v>
      </c>
      <c r="D2187">
        <v>30467220.026999999</v>
      </c>
      <c r="E2187" t="s">
        <v>59</v>
      </c>
    </row>
    <row r="2188" spans="1:5" x14ac:dyDescent="0.25">
      <c r="A2188" t="s">
        <v>11</v>
      </c>
      <c r="B2188">
        <v>2022</v>
      </c>
      <c r="C2188" t="s">
        <v>57</v>
      </c>
      <c r="D2188">
        <v>38484141.434</v>
      </c>
      <c r="E2188" t="s">
        <v>59</v>
      </c>
    </row>
    <row r="2189" spans="1:5" x14ac:dyDescent="0.25">
      <c r="A2189" t="s">
        <v>11</v>
      </c>
      <c r="B2189">
        <v>2023</v>
      </c>
      <c r="C2189" t="s">
        <v>57</v>
      </c>
      <c r="D2189">
        <v>35285636.049999997</v>
      </c>
      <c r="E2189" t="s">
        <v>59</v>
      </c>
    </row>
    <row r="2190" spans="1:5" x14ac:dyDescent="0.25">
      <c r="A2190" t="s">
        <v>11</v>
      </c>
      <c r="B2190">
        <v>2024</v>
      </c>
      <c r="C2190" t="s">
        <v>57</v>
      </c>
      <c r="D2190">
        <v>29277082.267999999</v>
      </c>
      <c r="E2190" t="s">
        <v>59</v>
      </c>
    </row>
    <row r="2191" spans="1:5" x14ac:dyDescent="0.25">
      <c r="A2191" t="s">
        <v>11</v>
      </c>
      <c r="B2191">
        <v>2025</v>
      </c>
      <c r="C2191" t="s">
        <v>57</v>
      </c>
      <c r="D2191">
        <v>23138463.021000002</v>
      </c>
      <c r="E2191" t="s">
        <v>59</v>
      </c>
    </row>
    <row r="2192" spans="1:5" x14ac:dyDescent="0.25">
      <c r="A2192" t="s">
        <v>12</v>
      </c>
      <c r="B2192">
        <v>2010</v>
      </c>
      <c r="C2192" t="s">
        <v>57</v>
      </c>
      <c r="D2192">
        <v>102955419.094</v>
      </c>
      <c r="E2192" t="s">
        <v>59</v>
      </c>
    </row>
    <row r="2193" spans="1:5" x14ac:dyDescent="0.25">
      <c r="A2193" t="s">
        <v>12</v>
      </c>
      <c r="B2193">
        <v>2011</v>
      </c>
      <c r="C2193" t="s">
        <v>57</v>
      </c>
      <c r="D2193">
        <v>175745066.461</v>
      </c>
      <c r="E2193" t="s">
        <v>59</v>
      </c>
    </row>
    <row r="2194" spans="1:5" x14ac:dyDescent="0.25">
      <c r="A2194" t="s">
        <v>12</v>
      </c>
      <c r="B2194">
        <v>2012</v>
      </c>
      <c r="C2194" t="s">
        <v>57</v>
      </c>
      <c r="D2194">
        <v>126384408.322</v>
      </c>
      <c r="E2194" t="s">
        <v>59</v>
      </c>
    </row>
    <row r="2195" spans="1:5" x14ac:dyDescent="0.25">
      <c r="A2195" t="s">
        <v>12</v>
      </c>
      <c r="B2195">
        <v>2014</v>
      </c>
      <c r="C2195" t="s">
        <v>57</v>
      </c>
      <c r="D2195">
        <v>10497101.592</v>
      </c>
      <c r="E2195" t="s">
        <v>59</v>
      </c>
    </row>
    <row r="2196" spans="1:5" x14ac:dyDescent="0.25">
      <c r="A2196" t="s">
        <v>12</v>
      </c>
      <c r="B2196">
        <v>2015</v>
      </c>
      <c r="C2196" t="s">
        <v>57</v>
      </c>
      <c r="D2196">
        <v>6312510.1399999997</v>
      </c>
      <c r="E2196" t="s">
        <v>59</v>
      </c>
    </row>
    <row r="2197" spans="1:5" x14ac:dyDescent="0.25">
      <c r="A2197" t="s">
        <v>12</v>
      </c>
      <c r="B2197">
        <v>2016</v>
      </c>
      <c r="C2197" t="s">
        <v>57</v>
      </c>
      <c r="D2197">
        <v>571596364.67400002</v>
      </c>
      <c r="E2197" t="s">
        <v>59</v>
      </c>
    </row>
    <row r="2198" spans="1:5" x14ac:dyDescent="0.25">
      <c r="A2198" t="s">
        <v>12</v>
      </c>
      <c r="B2198">
        <v>2017</v>
      </c>
      <c r="C2198" t="s">
        <v>57</v>
      </c>
      <c r="D2198">
        <v>463984102.88800001</v>
      </c>
      <c r="E2198" t="s">
        <v>59</v>
      </c>
    </row>
    <row r="2199" spans="1:5" x14ac:dyDescent="0.25">
      <c r="A2199" t="s">
        <v>12</v>
      </c>
      <c r="B2199">
        <v>2018</v>
      </c>
      <c r="C2199" t="s">
        <v>57</v>
      </c>
      <c r="D2199">
        <v>487582053.64099997</v>
      </c>
      <c r="E2199" t="s">
        <v>59</v>
      </c>
    </row>
    <row r="2200" spans="1:5" x14ac:dyDescent="0.25">
      <c r="A2200" t="s">
        <v>12</v>
      </c>
      <c r="B2200">
        <v>2019</v>
      </c>
      <c r="C2200" t="s">
        <v>57</v>
      </c>
      <c r="D2200">
        <v>466455386.67799997</v>
      </c>
      <c r="E2200" t="s">
        <v>59</v>
      </c>
    </row>
    <row r="2201" spans="1:5" x14ac:dyDescent="0.25">
      <c r="A2201" t="s">
        <v>12</v>
      </c>
      <c r="B2201">
        <v>2020</v>
      </c>
      <c r="C2201" t="s">
        <v>57</v>
      </c>
      <c r="D2201">
        <v>570039281.09399998</v>
      </c>
      <c r="E2201" t="s">
        <v>59</v>
      </c>
    </row>
    <row r="2202" spans="1:5" x14ac:dyDescent="0.25">
      <c r="A2202" t="s">
        <v>12</v>
      </c>
      <c r="B2202">
        <v>2021</v>
      </c>
      <c r="C2202" t="s">
        <v>57</v>
      </c>
      <c r="D2202">
        <v>445002609.708</v>
      </c>
      <c r="E2202" t="s">
        <v>59</v>
      </c>
    </row>
    <row r="2203" spans="1:5" x14ac:dyDescent="0.25">
      <c r="A2203" t="s">
        <v>12</v>
      </c>
      <c r="B2203">
        <v>2022</v>
      </c>
      <c r="C2203" t="s">
        <v>57</v>
      </c>
      <c r="D2203">
        <v>353213561.70599997</v>
      </c>
      <c r="E2203" t="s">
        <v>59</v>
      </c>
    </row>
    <row r="2204" spans="1:5" x14ac:dyDescent="0.25">
      <c r="A2204" t="s">
        <v>12</v>
      </c>
      <c r="B2204">
        <v>2023</v>
      </c>
      <c r="C2204" t="s">
        <v>57</v>
      </c>
      <c r="D2204">
        <v>248471909.361</v>
      </c>
      <c r="E2204" t="s">
        <v>59</v>
      </c>
    </row>
    <row r="2205" spans="1:5" x14ac:dyDescent="0.25">
      <c r="A2205" t="s">
        <v>12</v>
      </c>
      <c r="B2205">
        <v>2024</v>
      </c>
      <c r="C2205" t="s">
        <v>57</v>
      </c>
      <c r="D2205">
        <v>371962295.74800003</v>
      </c>
      <c r="E2205" t="s">
        <v>59</v>
      </c>
    </row>
    <row r="2206" spans="1:5" x14ac:dyDescent="0.25">
      <c r="A2206" t="s">
        <v>13</v>
      </c>
      <c r="B2206">
        <v>2010</v>
      </c>
      <c r="C2206" t="s">
        <v>57</v>
      </c>
      <c r="D2206">
        <v>17550022.879999999</v>
      </c>
      <c r="E2206" t="s">
        <v>59</v>
      </c>
    </row>
    <row r="2207" spans="1:5" x14ac:dyDescent="0.25">
      <c r="A2207" t="s">
        <v>13</v>
      </c>
      <c r="B2207">
        <v>2014</v>
      </c>
      <c r="C2207" t="s">
        <v>57</v>
      </c>
      <c r="D2207">
        <v>94916196.980000004</v>
      </c>
      <c r="E2207" t="s">
        <v>59</v>
      </c>
    </row>
    <row r="2208" spans="1:5" x14ac:dyDescent="0.25">
      <c r="A2208" t="s">
        <v>13</v>
      </c>
      <c r="B2208">
        <v>2015</v>
      </c>
      <c r="C2208" t="s">
        <v>57</v>
      </c>
      <c r="D2208">
        <v>7708635.7199999997</v>
      </c>
      <c r="E2208" t="s">
        <v>59</v>
      </c>
    </row>
    <row r="2209" spans="1:5" x14ac:dyDescent="0.25">
      <c r="A2209" t="s">
        <v>13</v>
      </c>
      <c r="B2209">
        <v>2016</v>
      </c>
      <c r="C2209" t="s">
        <v>57</v>
      </c>
      <c r="D2209">
        <v>54319649.259999998</v>
      </c>
      <c r="E2209" t="s">
        <v>59</v>
      </c>
    </row>
    <row r="2210" spans="1:5" x14ac:dyDescent="0.25">
      <c r="A2210" t="s">
        <v>13</v>
      </c>
      <c r="B2210">
        <v>2017</v>
      </c>
      <c r="C2210" t="s">
        <v>57</v>
      </c>
      <c r="D2210">
        <v>8588312.4000000004</v>
      </c>
      <c r="E2210" t="s">
        <v>59</v>
      </c>
    </row>
    <row r="2211" spans="1:5" x14ac:dyDescent="0.25">
      <c r="A2211" t="s">
        <v>13</v>
      </c>
      <c r="B2211">
        <v>2018</v>
      </c>
      <c r="C2211" t="s">
        <v>57</v>
      </c>
      <c r="D2211">
        <v>13448890.869999999</v>
      </c>
      <c r="E2211" t="s">
        <v>59</v>
      </c>
    </row>
    <row r="2212" spans="1:5" x14ac:dyDescent="0.25">
      <c r="A2212" t="s">
        <v>13</v>
      </c>
      <c r="B2212">
        <v>2019</v>
      </c>
      <c r="C2212" t="s">
        <v>57</v>
      </c>
      <c r="D2212">
        <v>29305305.260000002</v>
      </c>
      <c r="E2212" t="s">
        <v>59</v>
      </c>
    </row>
    <row r="2213" spans="1:5" x14ac:dyDescent="0.25">
      <c r="A2213" t="s">
        <v>13</v>
      </c>
      <c r="B2213">
        <v>2020</v>
      </c>
      <c r="C2213" t="s">
        <v>57</v>
      </c>
      <c r="D2213">
        <v>16866236.719999999</v>
      </c>
      <c r="E2213" t="s">
        <v>59</v>
      </c>
    </row>
    <row r="2214" spans="1:5" x14ac:dyDescent="0.25">
      <c r="A2214" t="s">
        <v>13</v>
      </c>
      <c r="B2214">
        <v>2021</v>
      </c>
      <c r="C2214" t="s">
        <v>57</v>
      </c>
      <c r="D2214">
        <v>14563717</v>
      </c>
      <c r="E2214" t="s">
        <v>59</v>
      </c>
    </row>
    <row r="2215" spans="1:5" x14ac:dyDescent="0.25">
      <c r="A2215" t="s">
        <v>13</v>
      </c>
      <c r="B2215">
        <v>2022</v>
      </c>
      <c r="C2215" t="s">
        <v>57</v>
      </c>
      <c r="D2215">
        <v>10105918.560000001</v>
      </c>
      <c r="E2215" t="s">
        <v>59</v>
      </c>
    </row>
    <row r="2216" spans="1:5" x14ac:dyDescent="0.25">
      <c r="A2216" t="s">
        <v>13</v>
      </c>
      <c r="B2216">
        <v>2023</v>
      </c>
      <c r="C2216" t="s">
        <v>57</v>
      </c>
      <c r="D2216">
        <v>13419465.130000001</v>
      </c>
      <c r="E2216" t="s">
        <v>59</v>
      </c>
    </row>
    <row r="2217" spans="1:5" x14ac:dyDescent="0.25">
      <c r="A2217" t="s">
        <v>13</v>
      </c>
      <c r="B2217">
        <v>2025</v>
      </c>
      <c r="C2217" t="s">
        <v>57</v>
      </c>
      <c r="D2217">
        <v>7717649.6399999997</v>
      </c>
      <c r="E2217" t="s">
        <v>59</v>
      </c>
    </row>
    <row r="2218" spans="1:5" x14ac:dyDescent="0.25">
      <c r="A2218" t="s">
        <v>14</v>
      </c>
      <c r="B2218">
        <v>2010</v>
      </c>
      <c r="C2218" t="s">
        <v>57</v>
      </c>
      <c r="D2218">
        <v>42819593</v>
      </c>
      <c r="E2218" t="s">
        <v>59</v>
      </c>
    </row>
    <row r="2219" spans="1:5" x14ac:dyDescent="0.25">
      <c r="A2219" t="s">
        <v>14</v>
      </c>
      <c r="B2219">
        <v>2011</v>
      </c>
      <c r="C2219" t="s">
        <v>57</v>
      </c>
      <c r="D2219">
        <v>67716945</v>
      </c>
      <c r="E2219" t="s">
        <v>59</v>
      </c>
    </row>
    <row r="2220" spans="1:5" x14ac:dyDescent="0.25">
      <c r="A2220" t="s">
        <v>14</v>
      </c>
      <c r="B2220">
        <v>2012</v>
      </c>
      <c r="C2220" t="s">
        <v>57</v>
      </c>
      <c r="D2220">
        <v>59530538</v>
      </c>
      <c r="E2220" t="s">
        <v>59</v>
      </c>
    </row>
    <row r="2221" spans="1:5" x14ac:dyDescent="0.25">
      <c r="A2221" t="s">
        <v>14</v>
      </c>
      <c r="B2221">
        <v>2013</v>
      </c>
      <c r="C2221" t="s">
        <v>57</v>
      </c>
      <c r="D2221">
        <v>48954474</v>
      </c>
      <c r="E2221" t="s">
        <v>59</v>
      </c>
    </row>
    <row r="2222" spans="1:5" x14ac:dyDescent="0.25">
      <c r="A2222" t="s">
        <v>14</v>
      </c>
      <c r="B2222">
        <v>2014</v>
      </c>
      <c r="C2222" t="s">
        <v>57</v>
      </c>
      <c r="D2222">
        <v>40037622</v>
      </c>
      <c r="E2222" t="s">
        <v>59</v>
      </c>
    </row>
    <row r="2223" spans="1:5" x14ac:dyDescent="0.25">
      <c r="A2223" t="s">
        <v>14</v>
      </c>
      <c r="B2223">
        <v>2015</v>
      </c>
      <c r="C2223" t="s">
        <v>57</v>
      </c>
      <c r="D2223">
        <v>45940616</v>
      </c>
      <c r="E2223" t="s">
        <v>59</v>
      </c>
    </row>
    <row r="2224" spans="1:5" x14ac:dyDescent="0.25">
      <c r="A2224" t="s">
        <v>14</v>
      </c>
      <c r="B2224">
        <v>2016</v>
      </c>
      <c r="C2224" t="s">
        <v>57</v>
      </c>
      <c r="D2224">
        <v>30733246</v>
      </c>
      <c r="E2224" t="s">
        <v>59</v>
      </c>
    </row>
    <row r="2225" spans="1:5" x14ac:dyDescent="0.25">
      <c r="A2225" t="s">
        <v>14</v>
      </c>
      <c r="B2225">
        <v>2017</v>
      </c>
      <c r="C2225" t="s">
        <v>57</v>
      </c>
      <c r="D2225">
        <v>33605423</v>
      </c>
      <c r="E2225" t="s">
        <v>59</v>
      </c>
    </row>
    <row r="2226" spans="1:5" x14ac:dyDescent="0.25">
      <c r="A2226" t="s">
        <v>14</v>
      </c>
      <c r="B2226">
        <v>2018</v>
      </c>
      <c r="C2226" t="s">
        <v>57</v>
      </c>
      <c r="D2226">
        <v>41592678</v>
      </c>
      <c r="E2226" t="s">
        <v>59</v>
      </c>
    </row>
    <row r="2227" spans="1:5" x14ac:dyDescent="0.25">
      <c r="A2227" t="s">
        <v>14</v>
      </c>
      <c r="B2227">
        <v>2019</v>
      </c>
      <c r="C2227" t="s">
        <v>57</v>
      </c>
      <c r="D2227">
        <v>37419136</v>
      </c>
      <c r="E2227" t="s">
        <v>59</v>
      </c>
    </row>
    <row r="2228" spans="1:5" x14ac:dyDescent="0.25">
      <c r="A2228" t="s">
        <v>14</v>
      </c>
      <c r="B2228">
        <v>2020</v>
      </c>
      <c r="C2228" t="s">
        <v>57</v>
      </c>
      <c r="D2228">
        <v>40564825</v>
      </c>
      <c r="E2228" t="s">
        <v>59</v>
      </c>
    </row>
    <row r="2229" spans="1:5" x14ac:dyDescent="0.25">
      <c r="A2229" t="s">
        <v>14</v>
      </c>
      <c r="B2229">
        <v>2021</v>
      </c>
      <c r="C2229" t="s">
        <v>57</v>
      </c>
      <c r="D2229">
        <v>56383173</v>
      </c>
      <c r="E2229" t="s">
        <v>59</v>
      </c>
    </row>
    <row r="2230" spans="1:5" x14ac:dyDescent="0.25">
      <c r="A2230" t="s">
        <v>14</v>
      </c>
      <c r="B2230">
        <v>2022</v>
      </c>
      <c r="C2230" t="s">
        <v>57</v>
      </c>
      <c r="D2230">
        <v>52606434</v>
      </c>
      <c r="E2230" t="s">
        <v>59</v>
      </c>
    </row>
    <row r="2231" spans="1:5" x14ac:dyDescent="0.25">
      <c r="A2231" t="s">
        <v>14</v>
      </c>
      <c r="B2231">
        <v>2023</v>
      </c>
      <c r="C2231" t="s">
        <v>57</v>
      </c>
      <c r="D2231">
        <v>55462876</v>
      </c>
      <c r="E2231" t="s">
        <v>59</v>
      </c>
    </row>
    <row r="2232" spans="1:5" x14ac:dyDescent="0.25">
      <c r="A2232" t="s">
        <v>14</v>
      </c>
      <c r="B2232">
        <v>2024</v>
      </c>
      <c r="C2232" t="s">
        <v>57</v>
      </c>
      <c r="D2232">
        <v>28026698</v>
      </c>
      <c r="E2232" t="s">
        <v>59</v>
      </c>
    </row>
    <row r="2233" spans="1:5" x14ac:dyDescent="0.25">
      <c r="A2233" t="s">
        <v>14</v>
      </c>
      <c r="B2233">
        <v>2025</v>
      </c>
      <c r="C2233" t="s">
        <v>57</v>
      </c>
      <c r="D2233">
        <v>36184905</v>
      </c>
      <c r="E2233" t="s">
        <v>59</v>
      </c>
    </row>
    <row r="2234" spans="1:5" x14ac:dyDescent="0.25">
      <c r="A2234" t="s">
        <v>16</v>
      </c>
      <c r="B2234">
        <v>2008</v>
      </c>
      <c r="C2234" t="s">
        <v>57</v>
      </c>
      <c r="D2234">
        <v>15368660.937999999</v>
      </c>
      <c r="E2234" t="s">
        <v>59</v>
      </c>
    </row>
    <row r="2235" spans="1:5" x14ac:dyDescent="0.25">
      <c r="A2235" t="s">
        <v>16</v>
      </c>
      <c r="B2235">
        <v>2009</v>
      </c>
      <c r="C2235" t="s">
        <v>57</v>
      </c>
      <c r="D2235">
        <v>27876699.828000002</v>
      </c>
      <c r="E2235" t="s">
        <v>59</v>
      </c>
    </row>
    <row r="2236" spans="1:5" x14ac:dyDescent="0.25">
      <c r="A2236" t="s">
        <v>16</v>
      </c>
      <c r="B2236">
        <v>2010</v>
      </c>
      <c r="C2236" t="s">
        <v>57</v>
      </c>
      <c r="D2236">
        <v>4395837.8109999998</v>
      </c>
      <c r="E2236" t="s">
        <v>59</v>
      </c>
    </row>
    <row r="2237" spans="1:5" x14ac:dyDescent="0.25">
      <c r="A2237" t="s">
        <v>16</v>
      </c>
      <c r="B2237">
        <v>2018</v>
      </c>
      <c r="C2237" t="s">
        <v>57</v>
      </c>
      <c r="D2237">
        <v>2499257.3119999999</v>
      </c>
      <c r="E2237" t="s">
        <v>59</v>
      </c>
    </row>
    <row r="2238" spans="1:5" x14ac:dyDescent="0.25">
      <c r="A2238" t="s">
        <v>16</v>
      </c>
      <c r="B2238">
        <v>2019</v>
      </c>
      <c r="C2238" t="s">
        <v>57</v>
      </c>
      <c r="D2238">
        <v>1861472.0619999999</v>
      </c>
      <c r="E2238" t="s">
        <v>59</v>
      </c>
    </row>
    <row r="2239" spans="1:5" x14ac:dyDescent="0.25">
      <c r="A2239" t="s">
        <v>77</v>
      </c>
      <c r="B2239">
        <v>2025</v>
      </c>
      <c r="C2239" t="s">
        <v>57</v>
      </c>
      <c r="D2239">
        <v>6189403.1359999999</v>
      </c>
      <c r="E2239" t="s">
        <v>59</v>
      </c>
    </row>
    <row r="2240" spans="1:5" x14ac:dyDescent="0.25">
      <c r="A2240" t="s">
        <v>17</v>
      </c>
      <c r="B2240">
        <v>2010</v>
      </c>
      <c r="C2240" t="s">
        <v>57</v>
      </c>
      <c r="D2240">
        <v>56624555.799999997</v>
      </c>
      <c r="E2240" t="s">
        <v>59</v>
      </c>
    </row>
    <row r="2241" spans="1:5" x14ac:dyDescent="0.25">
      <c r="A2241" t="s">
        <v>17</v>
      </c>
      <c r="B2241">
        <v>2011</v>
      </c>
      <c r="C2241" t="s">
        <v>57</v>
      </c>
      <c r="D2241">
        <v>28208992.52</v>
      </c>
      <c r="E2241" t="s">
        <v>59</v>
      </c>
    </row>
    <row r="2242" spans="1:5" x14ac:dyDescent="0.25">
      <c r="A2242" t="s">
        <v>17</v>
      </c>
      <c r="B2242">
        <v>2012</v>
      </c>
      <c r="C2242" t="s">
        <v>57</v>
      </c>
      <c r="D2242">
        <v>41978268.489</v>
      </c>
      <c r="E2242" t="s">
        <v>59</v>
      </c>
    </row>
    <row r="2243" spans="1:5" x14ac:dyDescent="0.25">
      <c r="A2243" t="s">
        <v>17</v>
      </c>
      <c r="B2243">
        <v>2013</v>
      </c>
      <c r="C2243" t="s">
        <v>57</v>
      </c>
      <c r="D2243">
        <v>61887221.039999999</v>
      </c>
      <c r="E2243" t="s">
        <v>59</v>
      </c>
    </row>
    <row r="2244" spans="1:5" x14ac:dyDescent="0.25">
      <c r="A2244" t="s">
        <v>17</v>
      </c>
      <c r="B2244">
        <v>2014</v>
      </c>
      <c r="C2244" t="s">
        <v>57</v>
      </c>
      <c r="D2244">
        <v>61363186.810000002</v>
      </c>
      <c r="E2244" t="s">
        <v>59</v>
      </c>
    </row>
    <row r="2245" spans="1:5" x14ac:dyDescent="0.25">
      <c r="A2245" t="s">
        <v>17</v>
      </c>
      <c r="B2245">
        <v>2016</v>
      </c>
      <c r="C2245" t="s">
        <v>57</v>
      </c>
      <c r="D2245">
        <v>54653669.696000002</v>
      </c>
      <c r="E2245" t="s">
        <v>59</v>
      </c>
    </row>
    <row r="2246" spans="1:5" x14ac:dyDescent="0.25">
      <c r="A2246" t="s">
        <v>17</v>
      </c>
      <c r="B2246">
        <v>2017</v>
      </c>
      <c r="C2246" t="s">
        <v>57</v>
      </c>
      <c r="D2246">
        <v>74584676.810000002</v>
      </c>
      <c r="E2246" t="s">
        <v>59</v>
      </c>
    </row>
    <row r="2247" spans="1:5" x14ac:dyDescent="0.25">
      <c r="A2247" t="s">
        <v>17</v>
      </c>
      <c r="B2247">
        <v>2018</v>
      </c>
      <c r="C2247" t="s">
        <v>57</v>
      </c>
      <c r="D2247">
        <v>92663500.620000005</v>
      </c>
      <c r="E2247" t="s">
        <v>59</v>
      </c>
    </row>
    <row r="2248" spans="1:5" x14ac:dyDescent="0.25">
      <c r="A2248" t="s">
        <v>17</v>
      </c>
      <c r="B2248">
        <v>2019</v>
      </c>
      <c r="C2248" t="s">
        <v>57</v>
      </c>
      <c r="D2248">
        <v>63043572.210000001</v>
      </c>
      <c r="E2248" t="s">
        <v>59</v>
      </c>
    </row>
    <row r="2249" spans="1:5" x14ac:dyDescent="0.25">
      <c r="A2249" t="s">
        <v>17</v>
      </c>
      <c r="B2249">
        <v>2020</v>
      </c>
      <c r="C2249" t="s">
        <v>57</v>
      </c>
      <c r="D2249">
        <v>50890976.189999998</v>
      </c>
      <c r="E2249" t="s">
        <v>59</v>
      </c>
    </row>
    <row r="2250" spans="1:5" x14ac:dyDescent="0.25">
      <c r="A2250" t="s">
        <v>17</v>
      </c>
      <c r="B2250">
        <v>2021</v>
      </c>
      <c r="C2250" t="s">
        <v>57</v>
      </c>
      <c r="D2250">
        <v>59833371.18</v>
      </c>
      <c r="E2250" t="s">
        <v>59</v>
      </c>
    </row>
    <row r="2251" spans="1:5" x14ac:dyDescent="0.25">
      <c r="A2251" t="s">
        <v>17</v>
      </c>
      <c r="B2251">
        <v>2024</v>
      </c>
      <c r="C2251" t="s">
        <v>57</v>
      </c>
      <c r="D2251">
        <v>93441673.730000004</v>
      </c>
      <c r="E2251" t="s">
        <v>59</v>
      </c>
    </row>
    <row r="2252" spans="1:5" x14ac:dyDescent="0.25">
      <c r="A2252" t="s">
        <v>18</v>
      </c>
      <c r="B2252">
        <v>2002</v>
      </c>
      <c r="C2252" t="s">
        <v>57</v>
      </c>
      <c r="D2252">
        <v>4972543.6900000004</v>
      </c>
      <c r="E2252" t="s">
        <v>59</v>
      </c>
    </row>
    <row r="2253" spans="1:5" x14ac:dyDescent="0.25">
      <c r="A2253" t="s">
        <v>18</v>
      </c>
      <c r="B2253">
        <v>2003</v>
      </c>
      <c r="C2253" t="s">
        <v>57</v>
      </c>
      <c r="D2253">
        <v>8458787.0299999993</v>
      </c>
      <c r="E2253" t="s">
        <v>59</v>
      </c>
    </row>
    <row r="2254" spans="1:5" x14ac:dyDescent="0.25">
      <c r="A2254" t="s">
        <v>18</v>
      </c>
      <c r="B2254">
        <v>2016</v>
      </c>
      <c r="C2254" t="s">
        <v>57</v>
      </c>
      <c r="D2254">
        <v>8735767.8399999999</v>
      </c>
      <c r="E2254" t="s">
        <v>59</v>
      </c>
    </row>
    <row r="2255" spans="1:5" x14ac:dyDescent="0.25">
      <c r="A2255" t="s">
        <v>18</v>
      </c>
      <c r="B2255">
        <v>2017</v>
      </c>
      <c r="C2255" t="s">
        <v>57</v>
      </c>
      <c r="D2255">
        <v>9859805.9000000004</v>
      </c>
      <c r="E2255" t="s">
        <v>59</v>
      </c>
    </row>
    <row r="2256" spans="1:5" x14ac:dyDescent="0.25">
      <c r="A2256" t="s">
        <v>18</v>
      </c>
      <c r="B2256">
        <v>2018</v>
      </c>
      <c r="C2256" t="s">
        <v>57</v>
      </c>
      <c r="D2256">
        <v>4351791.46</v>
      </c>
      <c r="E2256" t="s">
        <v>59</v>
      </c>
    </row>
    <row r="2257" spans="1:5" x14ac:dyDescent="0.25">
      <c r="A2257" t="s">
        <v>18</v>
      </c>
      <c r="B2257">
        <v>2019</v>
      </c>
      <c r="C2257" t="s">
        <v>57</v>
      </c>
      <c r="D2257">
        <v>3993657.09</v>
      </c>
      <c r="E2257" t="s">
        <v>59</v>
      </c>
    </row>
    <row r="2258" spans="1:5" x14ac:dyDescent="0.25">
      <c r="A2258" t="s">
        <v>18</v>
      </c>
      <c r="B2258">
        <v>2020</v>
      </c>
      <c r="C2258" t="s">
        <v>57</v>
      </c>
      <c r="D2258">
        <v>6522559.04</v>
      </c>
      <c r="E2258" t="s">
        <v>59</v>
      </c>
    </row>
    <row r="2259" spans="1:5" x14ac:dyDescent="0.25">
      <c r="A2259" t="s">
        <v>18</v>
      </c>
      <c r="B2259">
        <v>2021</v>
      </c>
      <c r="C2259" t="s">
        <v>57</v>
      </c>
      <c r="D2259">
        <v>6727619.6100000003</v>
      </c>
      <c r="E2259" t="s">
        <v>59</v>
      </c>
    </row>
    <row r="2260" spans="1:5" x14ac:dyDescent="0.25">
      <c r="A2260" t="s">
        <v>18</v>
      </c>
      <c r="B2260">
        <v>2022</v>
      </c>
      <c r="C2260" t="s">
        <v>57</v>
      </c>
      <c r="D2260">
        <v>5927386.4400000004</v>
      </c>
      <c r="E2260" t="s">
        <v>59</v>
      </c>
    </row>
    <row r="2261" spans="1:5" x14ac:dyDescent="0.25">
      <c r="A2261" t="s">
        <v>18</v>
      </c>
      <c r="B2261">
        <v>2023</v>
      </c>
      <c r="C2261" t="s">
        <v>57</v>
      </c>
      <c r="D2261">
        <v>3691271.33</v>
      </c>
      <c r="E2261" t="s">
        <v>59</v>
      </c>
    </row>
    <row r="2262" spans="1:5" x14ac:dyDescent="0.25">
      <c r="A2262" t="s">
        <v>19</v>
      </c>
      <c r="B2262">
        <v>2014</v>
      </c>
      <c r="C2262" t="s">
        <v>57</v>
      </c>
      <c r="D2262">
        <v>613939.91200000001</v>
      </c>
      <c r="E2262" t="s">
        <v>59</v>
      </c>
    </row>
    <row r="2263" spans="1:5" x14ac:dyDescent="0.25">
      <c r="A2263" t="s">
        <v>20</v>
      </c>
      <c r="B2263">
        <v>2014</v>
      </c>
      <c r="C2263" t="s">
        <v>57</v>
      </c>
      <c r="D2263">
        <v>13882246.25</v>
      </c>
      <c r="E2263" t="s">
        <v>59</v>
      </c>
    </row>
    <row r="2264" spans="1:5" x14ac:dyDescent="0.25">
      <c r="A2264" t="s">
        <v>20</v>
      </c>
      <c r="B2264">
        <v>2015</v>
      </c>
      <c r="C2264" t="s">
        <v>57</v>
      </c>
      <c r="D2264">
        <v>208661995.206</v>
      </c>
      <c r="E2264" t="s">
        <v>59</v>
      </c>
    </row>
    <row r="2265" spans="1:5" x14ac:dyDescent="0.25">
      <c r="A2265" t="s">
        <v>20</v>
      </c>
      <c r="B2265">
        <v>2016</v>
      </c>
      <c r="C2265" t="s">
        <v>57</v>
      </c>
      <c r="D2265">
        <v>144517920.09400001</v>
      </c>
      <c r="E2265" t="s">
        <v>59</v>
      </c>
    </row>
    <row r="2266" spans="1:5" x14ac:dyDescent="0.25">
      <c r="A2266" t="s">
        <v>20</v>
      </c>
      <c r="B2266">
        <v>2017</v>
      </c>
      <c r="C2266" t="s">
        <v>57</v>
      </c>
      <c r="D2266">
        <v>184628802.42699999</v>
      </c>
      <c r="E2266" t="s">
        <v>59</v>
      </c>
    </row>
    <row r="2267" spans="1:5" x14ac:dyDescent="0.25">
      <c r="A2267" t="s">
        <v>20</v>
      </c>
      <c r="B2267">
        <v>2018</v>
      </c>
      <c r="C2267" t="s">
        <v>57</v>
      </c>
      <c r="D2267">
        <v>132075831.632</v>
      </c>
      <c r="E2267" t="s">
        <v>59</v>
      </c>
    </row>
    <row r="2268" spans="1:5" x14ac:dyDescent="0.25">
      <c r="A2268" t="s">
        <v>20</v>
      </c>
      <c r="B2268">
        <v>2019</v>
      </c>
      <c r="C2268" t="s">
        <v>57</v>
      </c>
      <c r="D2268">
        <v>137159438.664</v>
      </c>
      <c r="E2268" t="s">
        <v>59</v>
      </c>
    </row>
    <row r="2269" spans="1:5" x14ac:dyDescent="0.25">
      <c r="A2269" t="s">
        <v>20</v>
      </c>
      <c r="B2269">
        <v>2020</v>
      </c>
      <c r="C2269" t="s">
        <v>57</v>
      </c>
      <c r="D2269">
        <v>104729144.294</v>
      </c>
      <c r="E2269" t="s">
        <v>59</v>
      </c>
    </row>
    <row r="2270" spans="1:5" x14ac:dyDescent="0.25">
      <c r="A2270" t="s">
        <v>20</v>
      </c>
      <c r="B2270">
        <v>2021</v>
      </c>
      <c r="C2270" t="s">
        <v>57</v>
      </c>
      <c r="D2270">
        <v>94364077.457000002</v>
      </c>
      <c r="E2270" t="s">
        <v>59</v>
      </c>
    </row>
    <row r="2271" spans="1:5" x14ac:dyDescent="0.25">
      <c r="A2271" t="s">
        <v>20</v>
      </c>
      <c r="B2271">
        <v>2022</v>
      </c>
      <c r="C2271" t="s">
        <v>57</v>
      </c>
      <c r="D2271">
        <v>126202314.221</v>
      </c>
      <c r="E2271" t="s">
        <v>59</v>
      </c>
    </row>
    <row r="2272" spans="1:5" x14ac:dyDescent="0.25">
      <c r="A2272" t="s">
        <v>20</v>
      </c>
      <c r="B2272">
        <v>2023</v>
      </c>
      <c r="C2272" t="s">
        <v>57</v>
      </c>
      <c r="D2272">
        <v>78570371.895999998</v>
      </c>
      <c r="E2272" t="s">
        <v>59</v>
      </c>
    </row>
    <row r="2273" spans="1:5" x14ac:dyDescent="0.25">
      <c r="A2273" t="s">
        <v>20</v>
      </c>
      <c r="B2273">
        <v>2024</v>
      </c>
      <c r="C2273" t="s">
        <v>57</v>
      </c>
      <c r="D2273">
        <v>128970623.42200001</v>
      </c>
      <c r="E2273" t="s">
        <v>59</v>
      </c>
    </row>
    <row r="2274" spans="1:5" x14ac:dyDescent="0.25">
      <c r="A2274" t="s">
        <v>20</v>
      </c>
      <c r="B2274">
        <v>2025</v>
      </c>
      <c r="C2274" t="s">
        <v>57</v>
      </c>
      <c r="D2274">
        <v>91047338.520999998</v>
      </c>
      <c r="E2274" t="s">
        <v>59</v>
      </c>
    </row>
    <row r="2275" spans="1:5" x14ac:dyDescent="0.25">
      <c r="A2275" t="s">
        <v>21</v>
      </c>
      <c r="B2275">
        <v>2000</v>
      </c>
      <c r="C2275" t="s">
        <v>57</v>
      </c>
      <c r="D2275">
        <v>98771684.297000095</v>
      </c>
      <c r="E2275" t="s">
        <v>59</v>
      </c>
    </row>
    <row r="2276" spans="1:5" x14ac:dyDescent="0.25">
      <c r="A2276" t="s">
        <v>21</v>
      </c>
      <c r="B2276">
        <v>2001</v>
      </c>
      <c r="C2276" t="s">
        <v>57</v>
      </c>
      <c r="D2276">
        <v>138772626.16800001</v>
      </c>
      <c r="E2276" t="s">
        <v>59</v>
      </c>
    </row>
    <row r="2277" spans="1:5" x14ac:dyDescent="0.25">
      <c r="A2277" t="s">
        <v>21</v>
      </c>
      <c r="B2277">
        <v>2002</v>
      </c>
      <c r="C2277" t="s">
        <v>57</v>
      </c>
      <c r="D2277">
        <v>145171450.44400001</v>
      </c>
      <c r="E2277" t="s">
        <v>59</v>
      </c>
    </row>
    <row r="2278" spans="1:5" x14ac:dyDescent="0.25">
      <c r="A2278" t="s">
        <v>21</v>
      </c>
      <c r="B2278">
        <v>2003</v>
      </c>
      <c r="C2278" t="s">
        <v>57</v>
      </c>
      <c r="D2278">
        <v>178281936.93399999</v>
      </c>
      <c r="E2278" t="s">
        <v>59</v>
      </c>
    </row>
    <row r="2279" spans="1:5" x14ac:dyDescent="0.25">
      <c r="A2279" t="s">
        <v>21</v>
      </c>
      <c r="B2279">
        <v>2004</v>
      </c>
      <c r="C2279" t="s">
        <v>57</v>
      </c>
      <c r="D2279">
        <v>190901874.00799999</v>
      </c>
      <c r="E2279" t="s">
        <v>59</v>
      </c>
    </row>
    <row r="2280" spans="1:5" x14ac:dyDescent="0.25">
      <c r="A2280" t="s">
        <v>21</v>
      </c>
      <c r="B2280">
        <v>2005</v>
      </c>
      <c r="C2280" t="s">
        <v>57</v>
      </c>
      <c r="D2280">
        <v>160746758.96799999</v>
      </c>
      <c r="E2280" t="s">
        <v>59</v>
      </c>
    </row>
    <row r="2281" spans="1:5" x14ac:dyDescent="0.25">
      <c r="A2281" t="s">
        <v>21</v>
      </c>
      <c r="B2281">
        <v>2006</v>
      </c>
      <c r="C2281" t="s">
        <v>57</v>
      </c>
      <c r="D2281">
        <v>177526388.45199999</v>
      </c>
      <c r="E2281" t="s">
        <v>59</v>
      </c>
    </row>
    <row r="2282" spans="1:5" x14ac:dyDescent="0.25">
      <c r="A2282" t="s">
        <v>21</v>
      </c>
      <c r="B2282">
        <v>2007</v>
      </c>
      <c r="C2282" t="s">
        <v>57</v>
      </c>
      <c r="D2282">
        <v>169645630.528</v>
      </c>
      <c r="E2282" t="s">
        <v>59</v>
      </c>
    </row>
    <row r="2283" spans="1:5" x14ac:dyDescent="0.25">
      <c r="A2283" t="s">
        <v>21</v>
      </c>
      <c r="B2283">
        <v>2008</v>
      </c>
      <c r="C2283" t="s">
        <v>57</v>
      </c>
      <c r="D2283">
        <v>293466332.14999998</v>
      </c>
      <c r="E2283" t="s">
        <v>59</v>
      </c>
    </row>
    <row r="2284" spans="1:5" x14ac:dyDescent="0.25">
      <c r="A2284" t="s">
        <v>21</v>
      </c>
      <c r="B2284">
        <v>2009</v>
      </c>
      <c r="C2284" t="s">
        <v>57</v>
      </c>
      <c r="D2284">
        <v>145740127.62900001</v>
      </c>
      <c r="E2284" t="s">
        <v>59</v>
      </c>
    </row>
    <row r="2285" spans="1:5" x14ac:dyDescent="0.25">
      <c r="A2285" t="s">
        <v>21</v>
      </c>
      <c r="B2285">
        <v>2010</v>
      </c>
      <c r="C2285" t="s">
        <v>57</v>
      </c>
      <c r="D2285">
        <v>140665368.85299999</v>
      </c>
      <c r="E2285" t="s">
        <v>59</v>
      </c>
    </row>
    <row r="2286" spans="1:5" x14ac:dyDescent="0.25">
      <c r="A2286" t="s">
        <v>21</v>
      </c>
      <c r="B2286">
        <v>2011</v>
      </c>
      <c r="C2286" t="s">
        <v>57</v>
      </c>
      <c r="D2286">
        <v>149036432.743</v>
      </c>
      <c r="E2286" t="s">
        <v>59</v>
      </c>
    </row>
    <row r="2287" spans="1:5" x14ac:dyDescent="0.25">
      <c r="A2287" t="s">
        <v>21</v>
      </c>
      <c r="B2287">
        <v>2012</v>
      </c>
      <c r="C2287" t="s">
        <v>57</v>
      </c>
      <c r="D2287">
        <v>233644626.484</v>
      </c>
      <c r="E2287" t="s">
        <v>59</v>
      </c>
    </row>
    <row r="2288" spans="1:5" x14ac:dyDescent="0.25">
      <c r="A2288" t="s">
        <v>21</v>
      </c>
      <c r="B2288">
        <v>2013</v>
      </c>
      <c r="C2288" t="s">
        <v>57</v>
      </c>
      <c r="D2288">
        <v>242658475.33000001</v>
      </c>
      <c r="E2288" t="s">
        <v>59</v>
      </c>
    </row>
    <row r="2289" spans="1:5" x14ac:dyDescent="0.25">
      <c r="A2289" t="s">
        <v>21</v>
      </c>
      <c r="B2289">
        <v>2014</v>
      </c>
      <c r="C2289" t="s">
        <v>57</v>
      </c>
      <c r="D2289">
        <v>156006910.80000001</v>
      </c>
      <c r="E2289" t="s">
        <v>59</v>
      </c>
    </row>
    <row r="2290" spans="1:5" x14ac:dyDescent="0.25">
      <c r="A2290" t="s">
        <v>21</v>
      </c>
      <c r="B2290">
        <v>2015</v>
      </c>
      <c r="C2290" t="s">
        <v>57</v>
      </c>
      <c r="D2290">
        <v>158056235.44499999</v>
      </c>
      <c r="E2290" t="s">
        <v>59</v>
      </c>
    </row>
    <row r="2291" spans="1:5" x14ac:dyDescent="0.25">
      <c r="A2291" t="s">
        <v>21</v>
      </c>
      <c r="B2291">
        <v>2016</v>
      </c>
      <c r="C2291" t="s">
        <v>57</v>
      </c>
      <c r="D2291">
        <v>193230981.833</v>
      </c>
      <c r="E2291" t="s">
        <v>59</v>
      </c>
    </row>
    <row r="2292" spans="1:5" x14ac:dyDescent="0.25">
      <c r="A2292" t="s">
        <v>21</v>
      </c>
      <c r="B2292">
        <v>2017</v>
      </c>
      <c r="C2292" t="s">
        <v>57</v>
      </c>
      <c r="D2292">
        <v>226645314.42699999</v>
      </c>
      <c r="E2292" t="s">
        <v>59</v>
      </c>
    </row>
    <row r="2293" spans="1:5" x14ac:dyDescent="0.25">
      <c r="A2293" t="s">
        <v>21</v>
      </c>
      <c r="B2293">
        <v>2018</v>
      </c>
      <c r="C2293" t="s">
        <v>57</v>
      </c>
      <c r="D2293">
        <v>225838681.521</v>
      </c>
      <c r="E2293" t="s">
        <v>59</v>
      </c>
    </row>
    <row r="2294" spans="1:5" x14ac:dyDescent="0.25">
      <c r="A2294" t="s">
        <v>21</v>
      </c>
      <c r="B2294">
        <v>2019</v>
      </c>
      <c r="C2294" t="s">
        <v>57</v>
      </c>
      <c r="D2294">
        <v>217608678.26499999</v>
      </c>
      <c r="E2294" t="s">
        <v>59</v>
      </c>
    </row>
    <row r="2295" spans="1:5" x14ac:dyDescent="0.25">
      <c r="A2295" t="s">
        <v>21</v>
      </c>
      <c r="B2295">
        <v>2020</v>
      </c>
      <c r="C2295" t="s">
        <v>57</v>
      </c>
      <c r="D2295">
        <v>170879455.84200001</v>
      </c>
      <c r="E2295" t="s">
        <v>59</v>
      </c>
    </row>
    <row r="2296" spans="1:5" x14ac:dyDescent="0.25">
      <c r="A2296" t="s">
        <v>21</v>
      </c>
      <c r="B2296">
        <v>2021</v>
      </c>
      <c r="C2296" t="s">
        <v>57</v>
      </c>
      <c r="D2296">
        <v>124425502.29799999</v>
      </c>
      <c r="E2296" t="s">
        <v>59</v>
      </c>
    </row>
    <row r="2297" spans="1:5" x14ac:dyDescent="0.25">
      <c r="A2297" t="s">
        <v>21</v>
      </c>
      <c r="B2297">
        <v>2022</v>
      </c>
      <c r="C2297" t="s">
        <v>57</v>
      </c>
      <c r="D2297">
        <v>89065225.270999998</v>
      </c>
      <c r="E2297" t="s">
        <v>59</v>
      </c>
    </row>
    <row r="2298" spans="1:5" x14ac:dyDescent="0.25">
      <c r="A2298" t="s">
        <v>21</v>
      </c>
      <c r="B2298">
        <v>2023</v>
      </c>
      <c r="C2298" t="s">
        <v>57</v>
      </c>
      <c r="D2298">
        <v>98324323.778999999</v>
      </c>
      <c r="E2298" t="s">
        <v>59</v>
      </c>
    </row>
    <row r="2299" spans="1:5" x14ac:dyDescent="0.25">
      <c r="A2299" t="s">
        <v>21</v>
      </c>
      <c r="B2299">
        <v>2024</v>
      </c>
      <c r="C2299" t="s">
        <v>57</v>
      </c>
      <c r="D2299">
        <v>95067389.469999999</v>
      </c>
      <c r="E2299" t="s">
        <v>59</v>
      </c>
    </row>
    <row r="2300" spans="1:5" x14ac:dyDescent="0.25">
      <c r="A2300" t="s">
        <v>76</v>
      </c>
      <c r="B2300">
        <v>2015</v>
      </c>
      <c r="C2300" t="s">
        <v>57</v>
      </c>
      <c r="D2300">
        <v>11475192.773</v>
      </c>
      <c r="E2300" t="s">
        <v>59</v>
      </c>
    </row>
    <row r="2301" spans="1:5" x14ac:dyDescent="0.25">
      <c r="A2301" t="s">
        <v>76</v>
      </c>
      <c r="B2301">
        <v>2021</v>
      </c>
      <c r="C2301" t="s">
        <v>57</v>
      </c>
      <c r="D2301">
        <v>15195853.166999999</v>
      </c>
      <c r="E2301" t="s">
        <v>59</v>
      </c>
    </row>
    <row r="2302" spans="1:5" x14ac:dyDescent="0.25">
      <c r="A2302" t="s">
        <v>76</v>
      </c>
      <c r="B2302">
        <v>2022</v>
      </c>
      <c r="C2302" t="s">
        <v>57</v>
      </c>
      <c r="D2302">
        <v>18679826.605</v>
      </c>
      <c r="E2302" t="s">
        <v>59</v>
      </c>
    </row>
    <row r="2303" spans="1:5" x14ac:dyDescent="0.25">
      <c r="A2303" t="s">
        <v>22</v>
      </c>
      <c r="B2303">
        <v>2017</v>
      </c>
      <c r="C2303" t="s">
        <v>57</v>
      </c>
      <c r="D2303">
        <v>23210468.669</v>
      </c>
      <c r="E2303" t="s">
        <v>59</v>
      </c>
    </row>
    <row r="2304" spans="1:5" x14ac:dyDescent="0.25">
      <c r="A2304" t="s">
        <v>22</v>
      </c>
      <c r="B2304">
        <v>2019</v>
      </c>
      <c r="C2304" t="s">
        <v>57</v>
      </c>
      <c r="D2304">
        <v>17173613.177999999</v>
      </c>
      <c r="E2304" t="s">
        <v>59</v>
      </c>
    </row>
    <row r="2305" spans="1:5" x14ac:dyDescent="0.25">
      <c r="A2305" t="s">
        <v>22</v>
      </c>
      <c r="B2305">
        <v>2020</v>
      </c>
      <c r="C2305" t="s">
        <v>57</v>
      </c>
      <c r="D2305">
        <v>14969024.744999999</v>
      </c>
      <c r="E2305" t="s">
        <v>59</v>
      </c>
    </row>
    <row r="2306" spans="1:5" x14ac:dyDescent="0.25">
      <c r="A2306" t="s">
        <v>22</v>
      </c>
      <c r="B2306">
        <v>2025</v>
      </c>
      <c r="C2306" t="s">
        <v>57</v>
      </c>
      <c r="D2306">
        <v>8760971.1270000003</v>
      </c>
      <c r="E2306" t="s">
        <v>59</v>
      </c>
    </row>
    <row r="2307" spans="1:5" x14ac:dyDescent="0.25">
      <c r="A2307" t="s">
        <v>23</v>
      </c>
      <c r="B2307">
        <v>2010</v>
      </c>
      <c r="C2307" t="s">
        <v>57</v>
      </c>
      <c r="D2307">
        <v>14119780.286</v>
      </c>
      <c r="E2307" t="s">
        <v>59</v>
      </c>
    </row>
    <row r="2308" spans="1:5" x14ac:dyDescent="0.25">
      <c r="A2308" t="s">
        <v>23</v>
      </c>
      <c r="B2308">
        <v>2011</v>
      </c>
      <c r="C2308" t="s">
        <v>57</v>
      </c>
      <c r="D2308">
        <v>12654623.060000001</v>
      </c>
      <c r="E2308" t="s">
        <v>59</v>
      </c>
    </row>
    <row r="2309" spans="1:5" x14ac:dyDescent="0.25">
      <c r="A2309" t="s">
        <v>23</v>
      </c>
      <c r="B2309">
        <v>2012</v>
      </c>
      <c r="C2309" t="s">
        <v>57</v>
      </c>
      <c r="D2309">
        <v>38890339.780000001</v>
      </c>
      <c r="E2309" t="s">
        <v>59</v>
      </c>
    </row>
    <row r="2310" spans="1:5" x14ac:dyDescent="0.25">
      <c r="A2310" t="s">
        <v>23</v>
      </c>
      <c r="B2310">
        <v>2013</v>
      </c>
      <c r="C2310" t="s">
        <v>57</v>
      </c>
      <c r="D2310">
        <v>24327491.033</v>
      </c>
      <c r="E2310" t="s">
        <v>59</v>
      </c>
    </row>
    <row r="2311" spans="1:5" x14ac:dyDescent="0.25">
      <c r="A2311" t="s">
        <v>23</v>
      </c>
      <c r="B2311">
        <v>2014</v>
      </c>
      <c r="C2311" t="s">
        <v>57</v>
      </c>
      <c r="D2311">
        <v>412540897.48100001</v>
      </c>
      <c r="E2311" t="s">
        <v>59</v>
      </c>
    </row>
    <row r="2312" spans="1:5" x14ac:dyDescent="0.25">
      <c r="A2312" t="s">
        <v>23</v>
      </c>
      <c r="B2312">
        <v>2015</v>
      </c>
      <c r="C2312" t="s">
        <v>57</v>
      </c>
      <c r="D2312">
        <v>24454534.943</v>
      </c>
      <c r="E2312" t="s">
        <v>59</v>
      </c>
    </row>
    <row r="2313" spans="1:5" x14ac:dyDescent="0.25">
      <c r="A2313" t="s">
        <v>23</v>
      </c>
      <c r="B2313">
        <v>2016</v>
      </c>
      <c r="C2313" t="s">
        <v>57</v>
      </c>
      <c r="D2313">
        <v>18376899.022999998</v>
      </c>
      <c r="E2313" t="s">
        <v>59</v>
      </c>
    </row>
    <row r="2314" spans="1:5" x14ac:dyDescent="0.25">
      <c r="A2314" t="s">
        <v>23</v>
      </c>
      <c r="B2314">
        <v>2017</v>
      </c>
      <c r="C2314" t="s">
        <v>57</v>
      </c>
      <c r="D2314">
        <v>48309267.189999998</v>
      </c>
      <c r="E2314" t="s">
        <v>59</v>
      </c>
    </row>
    <row r="2315" spans="1:5" x14ac:dyDescent="0.25">
      <c r="A2315" t="s">
        <v>23</v>
      </c>
      <c r="B2315">
        <v>2018</v>
      </c>
      <c r="C2315" t="s">
        <v>57</v>
      </c>
      <c r="D2315">
        <v>48921105.229000002</v>
      </c>
      <c r="E2315" t="s">
        <v>59</v>
      </c>
    </row>
    <row r="2316" spans="1:5" x14ac:dyDescent="0.25">
      <c r="A2316" t="s">
        <v>23</v>
      </c>
      <c r="B2316">
        <v>2019</v>
      </c>
      <c r="C2316" t="s">
        <v>57</v>
      </c>
      <c r="D2316">
        <v>38738742.840000004</v>
      </c>
      <c r="E2316" t="s">
        <v>59</v>
      </c>
    </row>
    <row r="2317" spans="1:5" x14ac:dyDescent="0.25">
      <c r="A2317" t="s">
        <v>23</v>
      </c>
      <c r="B2317">
        <v>2020</v>
      </c>
      <c r="C2317" t="s">
        <v>57</v>
      </c>
      <c r="D2317">
        <v>26898958.032000002</v>
      </c>
      <c r="E2317" t="s">
        <v>59</v>
      </c>
    </row>
    <row r="2318" spans="1:5" x14ac:dyDescent="0.25">
      <c r="A2318" t="s">
        <v>23</v>
      </c>
      <c r="B2318">
        <v>2021</v>
      </c>
      <c r="C2318" t="s">
        <v>57</v>
      </c>
      <c r="D2318">
        <v>22267963.686000001</v>
      </c>
      <c r="E2318" t="s">
        <v>59</v>
      </c>
    </row>
    <row r="2319" spans="1:5" x14ac:dyDescent="0.25">
      <c r="A2319" t="s">
        <v>23</v>
      </c>
      <c r="B2319">
        <v>2022</v>
      </c>
      <c r="C2319" t="s">
        <v>57</v>
      </c>
      <c r="D2319">
        <v>59364733.585000001</v>
      </c>
      <c r="E2319" t="s">
        <v>59</v>
      </c>
    </row>
    <row r="2320" spans="1:5" x14ac:dyDescent="0.25">
      <c r="A2320" t="s">
        <v>23</v>
      </c>
      <c r="B2320">
        <v>2023</v>
      </c>
      <c r="C2320" t="s">
        <v>57</v>
      </c>
      <c r="D2320">
        <v>52721901.899999999</v>
      </c>
      <c r="E2320" t="s">
        <v>59</v>
      </c>
    </row>
    <row r="2321" spans="1:5" x14ac:dyDescent="0.25">
      <c r="A2321" t="s">
        <v>25</v>
      </c>
      <c r="B2321">
        <v>2020</v>
      </c>
      <c r="C2321" t="s">
        <v>57</v>
      </c>
      <c r="D2321">
        <v>2647040</v>
      </c>
      <c r="E2321" t="s">
        <v>59</v>
      </c>
    </row>
    <row r="2322" spans="1:5" x14ac:dyDescent="0.25">
      <c r="A2322" t="s">
        <v>25</v>
      </c>
      <c r="B2322">
        <v>2021</v>
      </c>
      <c r="C2322" t="s">
        <v>57</v>
      </c>
      <c r="D2322">
        <v>4015255</v>
      </c>
      <c r="E2322" t="s">
        <v>59</v>
      </c>
    </row>
    <row r="2323" spans="1:5" x14ac:dyDescent="0.25">
      <c r="A2323" t="s">
        <v>25</v>
      </c>
      <c r="B2323">
        <v>2022</v>
      </c>
      <c r="C2323" t="s">
        <v>57</v>
      </c>
      <c r="D2323">
        <v>12495381</v>
      </c>
      <c r="E2323" t="s">
        <v>59</v>
      </c>
    </row>
    <row r="2324" spans="1:5" x14ac:dyDescent="0.25">
      <c r="A2324" t="s">
        <v>25</v>
      </c>
      <c r="B2324">
        <v>2023</v>
      </c>
      <c r="C2324" t="s">
        <v>57</v>
      </c>
      <c r="D2324">
        <v>7741172</v>
      </c>
      <c r="E2324" t="s">
        <v>59</v>
      </c>
    </row>
    <row r="2325" spans="1:5" x14ac:dyDescent="0.25">
      <c r="A2325" t="s">
        <v>25</v>
      </c>
      <c r="B2325">
        <v>2024</v>
      </c>
      <c r="C2325" t="s">
        <v>57</v>
      </c>
      <c r="D2325">
        <v>10800075</v>
      </c>
      <c r="E2325" t="s">
        <v>59</v>
      </c>
    </row>
    <row r="2326" spans="1:5" x14ac:dyDescent="0.25">
      <c r="A2326" t="s">
        <v>27</v>
      </c>
      <c r="B2326">
        <v>2011</v>
      </c>
      <c r="C2326" t="s">
        <v>57</v>
      </c>
      <c r="D2326">
        <v>26586714.627999999</v>
      </c>
      <c r="E2326" t="s">
        <v>59</v>
      </c>
    </row>
    <row r="2327" spans="1:5" x14ac:dyDescent="0.25">
      <c r="A2327" t="s">
        <v>27</v>
      </c>
      <c r="B2327">
        <v>2012</v>
      </c>
      <c r="C2327" t="s">
        <v>57</v>
      </c>
      <c r="D2327">
        <v>42710312.456</v>
      </c>
      <c r="E2327" t="s">
        <v>59</v>
      </c>
    </row>
    <row r="2328" spans="1:5" x14ac:dyDescent="0.25">
      <c r="A2328" t="s">
        <v>27</v>
      </c>
      <c r="B2328">
        <v>2013</v>
      </c>
      <c r="C2328" t="s">
        <v>57</v>
      </c>
      <c r="D2328">
        <v>81163241.768999994</v>
      </c>
      <c r="E2328" t="s">
        <v>59</v>
      </c>
    </row>
    <row r="2329" spans="1:5" x14ac:dyDescent="0.25">
      <c r="A2329" t="s">
        <v>27</v>
      </c>
      <c r="B2329">
        <v>2014</v>
      </c>
      <c r="C2329" t="s">
        <v>57</v>
      </c>
      <c r="D2329">
        <v>71253175.545000002</v>
      </c>
      <c r="E2329" t="s">
        <v>59</v>
      </c>
    </row>
    <row r="2330" spans="1:5" x14ac:dyDescent="0.25">
      <c r="A2330" t="s">
        <v>27</v>
      </c>
      <c r="B2330">
        <v>2015</v>
      </c>
      <c r="C2330" t="s">
        <v>57</v>
      </c>
      <c r="D2330">
        <v>60215483.081</v>
      </c>
      <c r="E2330" t="s">
        <v>59</v>
      </c>
    </row>
    <row r="2331" spans="1:5" x14ac:dyDescent="0.25">
      <c r="A2331" t="s">
        <v>27</v>
      </c>
      <c r="B2331">
        <v>2016</v>
      </c>
      <c r="C2331" t="s">
        <v>57</v>
      </c>
      <c r="D2331">
        <v>43688204.597999997</v>
      </c>
      <c r="E2331" t="s">
        <v>59</v>
      </c>
    </row>
    <row r="2332" spans="1:5" x14ac:dyDescent="0.25">
      <c r="A2332" t="s">
        <v>27</v>
      </c>
      <c r="B2332">
        <v>2017</v>
      </c>
      <c r="C2332" t="s">
        <v>57</v>
      </c>
      <c r="D2332">
        <v>43312327.971000001</v>
      </c>
      <c r="E2332" t="s">
        <v>59</v>
      </c>
    </row>
    <row r="2333" spans="1:5" x14ac:dyDescent="0.25">
      <c r="A2333" t="s">
        <v>27</v>
      </c>
      <c r="B2333">
        <v>2018</v>
      </c>
      <c r="C2333" t="s">
        <v>57</v>
      </c>
      <c r="D2333">
        <v>88159922.672000006</v>
      </c>
      <c r="E2333" t="s">
        <v>59</v>
      </c>
    </row>
    <row r="2334" spans="1:5" x14ac:dyDescent="0.25">
      <c r="A2334" t="s">
        <v>27</v>
      </c>
      <c r="B2334">
        <v>2019</v>
      </c>
      <c r="C2334" t="s">
        <v>57</v>
      </c>
      <c r="D2334">
        <v>71243101.743000001</v>
      </c>
      <c r="E2334" t="s">
        <v>59</v>
      </c>
    </row>
    <row r="2335" spans="1:5" x14ac:dyDescent="0.25">
      <c r="A2335" t="s">
        <v>27</v>
      </c>
      <c r="B2335">
        <v>2020</v>
      </c>
      <c r="C2335" t="s">
        <v>57</v>
      </c>
      <c r="D2335">
        <v>52794412.829999998</v>
      </c>
      <c r="E2335" t="s">
        <v>59</v>
      </c>
    </row>
    <row r="2336" spans="1:5" x14ac:dyDescent="0.25">
      <c r="A2336" t="s">
        <v>27</v>
      </c>
      <c r="B2336">
        <v>2021</v>
      </c>
      <c r="C2336" t="s">
        <v>57</v>
      </c>
      <c r="D2336">
        <v>48596491.277999997</v>
      </c>
      <c r="E2336" t="s">
        <v>59</v>
      </c>
    </row>
    <row r="2337" spans="1:5" x14ac:dyDescent="0.25">
      <c r="A2337" t="s">
        <v>27</v>
      </c>
      <c r="B2337">
        <v>2022</v>
      </c>
      <c r="C2337" t="s">
        <v>57</v>
      </c>
      <c r="D2337">
        <v>56424948.152999997</v>
      </c>
      <c r="E2337" t="s">
        <v>59</v>
      </c>
    </row>
    <row r="2338" spans="1:5" x14ac:dyDescent="0.25">
      <c r="A2338" t="s">
        <v>27</v>
      </c>
      <c r="B2338">
        <v>2023</v>
      </c>
      <c r="C2338" t="s">
        <v>57</v>
      </c>
      <c r="D2338">
        <v>87926288.022000104</v>
      </c>
      <c r="E2338" t="s">
        <v>59</v>
      </c>
    </row>
    <row r="2339" spans="1:5" x14ac:dyDescent="0.25">
      <c r="A2339" t="s">
        <v>27</v>
      </c>
      <c r="B2339">
        <v>2024</v>
      </c>
      <c r="C2339" t="s">
        <v>57</v>
      </c>
      <c r="D2339">
        <v>72767073.019999996</v>
      </c>
      <c r="E2339" t="s">
        <v>59</v>
      </c>
    </row>
    <row r="2340" spans="1:5" x14ac:dyDescent="0.25">
      <c r="A2340" t="s">
        <v>27</v>
      </c>
      <c r="B2340">
        <v>2025</v>
      </c>
      <c r="C2340" t="s">
        <v>57</v>
      </c>
      <c r="D2340">
        <v>42166694.022</v>
      </c>
      <c r="E2340" t="s">
        <v>59</v>
      </c>
    </row>
    <row r="2341" spans="1:5" x14ac:dyDescent="0.25">
      <c r="A2341" t="s">
        <v>28</v>
      </c>
      <c r="B2341">
        <v>2012</v>
      </c>
      <c r="C2341" t="s">
        <v>57</v>
      </c>
      <c r="D2341">
        <v>33010015</v>
      </c>
      <c r="E2341" t="s">
        <v>59</v>
      </c>
    </row>
    <row r="2342" spans="1:5" x14ac:dyDescent="0.25">
      <c r="A2342" t="s">
        <v>28</v>
      </c>
      <c r="B2342">
        <v>2013</v>
      </c>
      <c r="C2342" t="s">
        <v>57</v>
      </c>
      <c r="D2342">
        <v>300692059</v>
      </c>
      <c r="E2342" t="s">
        <v>59</v>
      </c>
    </row>
    <row r="2343" spans="1:5" x14ac:dyDescent="0.25">
      <c r="A2343" t="s">
        <v>28</v>
      </c>
      <c r="B2343">
        <v>2014</v>
      </c>
      <c r="C2343" t="s">
        <v>57</v>
      </c>
      <c r="D2343">
        <v>255347272</v>
      </c>
      <c r="E2343" t="s">
        <v>59</v>
      </c>
    </row>
    <row r="2344" spans="1:5" x14ac:dyDescent="0.25">
      <c r="A2344" t="s">
        <v>28</v>
      </c>
      <c r="B2344">
        <v>2015</v>
      </c>
      <c r="C2344" t="s">
        <v>57</v>
      </c>
      <c r="D2344">
        <v>237498315.09299999</v>
      </c>
      <c r="E2344" t="s">
        <v>59</v>
      </c>
    </row>
    <row r="2345" spans="1:5" x14ac:dyDescent="0.25">
      <c r="A2345" t="s">
        <v>28</v>
      </c>
      <c r="B2345">
        <v>2016</v>
      </c>
      <c r="C2345" t="s">
        <v>57</v>
      </c>
      <c r="D2345">
        <v>230871616.46900001</v>
      </c>
      <c r="E2345" t="s">
        <v>59</v>
      </c>
    </row>
    <row r="2346" spans="1:5" x14ac:dyDescent="0.25">
      <c r="A2346" t="s">
        <v>28</v>
      </c>
      <c r="B2346">
        <v>2017</v>
      </c>
      <c r="C2346" t="s">
        <v>57</v>
      </c>
      <c r="D2346">
        <v>301166325.06</v>
      </c>
      <c r="E2346" t="s">
        <v>59</v>
      </c>
    </row>
    <row r="2347" spans="1:5" x14ac:dyDescent="0.25">
      <c r="A2347" t="s">
        <v>28</v>
      </c>
      <c r="B2347">
        <v>2018</v>
      </c>
      <c r="C2347" t="s">
        <v>57</v>
      </c>
      <c r="D2347">
        <v>326630592.49000001</v>
      </c>
      <c r="E2347" t="s">
        <v>59</v>
      </c>
    </row>
    <row r="2348" spans="1:5" x14ac:dyDescent="0.25">
      <c r="A2348" t="s">
        <v>28</v>
      </c>
      <c r="B2348">
        <v>2019</v>
      </c>
      <c r="C2348" t="s">
        <v>57</v>
      </c>
      <c r="D2348">
        <v>336479014.708</v>
      </c>
      <c r="E2348" t="s">
        <v>59</v>
      </c>
    </row>
    <row r="2349" spans="1:5" x14ac:dyDescent="0.25">
      <c r="A2349" t="s">
        <v>28</v>
      </c>
      <c r="B2349">
        <v>2020</v>
      </c>
      <c r="C2349" t="s">
        <v>57</v>
      </c>
      <c r="D2349">
        <v>384170803.33600003</v>
      </c>
      <c r="E2349" t="s">
        <v>59</v>
      </c>
    </row>
    <row r="2350" spans="1:5" x14ac:dyDescent="0.25">
      <c r="A2350" t="s">
        <v>28</v>
      </c>
      <c r="B2350">
        <v>2021</v>
      </c>
      <c r="C2350" t="s">
        <v>57</v>
      </c>
      <c r="D2350">
        <v>456588707.66500002</v>
      </c>
      <c r="E2350" t="s">
        <v>59</v>
      </c>
    </row>
    <row r="2351" spans="1:5" x14ac:dyDescent="0.25">
      <c r="A2351" t="s">
        <v>28</v>
      </c>
      <c r="B2351">
        <v>2022</v>
      </c>
      <c r="C2351" t="s">
        <v>57</v>
      </c>
      <c r="D2351">
        <v>614056270.23300004</v>
      </c>
      <c r="E2351" t="s">
        <v>59</v>
      </c>
    </row>
    <row r="2352" spans="1:5" x14ac:dyDescent="0.25">
      <c r="A2352" t="s">
        <v>28</v>
      </c>
      <c r="B2352">
        <v>2023</v>
      </c>
      <c r="C2352" t="s">
        <v>57</v>
      </c>
      <c r="D2352">
        <v>568614481.54299998</v>
      </c>
      <c r="E2352" t="s">
        <v>59</v>
      </c>
    </row>
    <row r="2353" spans="1:5" x14ac:dyDescent="0.25">
      <c r="A2353" t="s">
        <v>28</v>
      </c>
      <c r="B2353">
        <v>2024</v>
      </c>
      <c r="C2353" t="s">
        <v>57</v>
      </c>
      <c r="D2353">
        <v>667418650.05999994</v>
      </c>
      <c r="E2353" t="s">
        <v>59</v>
      </c>
    </row>
    <row r="2354" spans="1:5" x14ac:dyDescent="0.25">
      <c r="A2354" t="s">
        <v>75</v>
      </c>
      <c r="B2354">
        <v>2001</v>
      </c>
      <c r="C2354" t="s">
        <v>57</v>
      </c>
      <c r="D2354">
        <v>4417309.7340000002</v>
      </c>
      <c r="E2354" t="s">
        <v>59</v>
      </c>
    </row>
    <row r="2355" spans="1:5" x14ac:dyDescent="0.25">
      <c r="A2355" t="s">
        <v>75</v>
      </c>
      <c r="B2355">
        <v>2011</v>
      </c>
      <c r="C2355" t="s">
        <v>57</v>
      </c>
      <c r="D2355">
        <v>12235524.957</v>
      </c>
      <c r="E2355" t="s">
        <v>59</v>
      </c>
    </row>
    <row r="2356" spans="1:5" x14ac:dyDescent="0.25">
      <c r="A2356" t="s">
        <v>75</v>
      </c>
      <c r="B2356">
        <v>2012</v>
      </c>
      <c r="C2356" t="s">
        <v>57</v>
      </c>
      <c r="D2356">
        <v>9725802.6380000003</v>
      </c>
      <c r="E2356" t="s">
        <v>59</v>
      </c>
    </row>
    <row r="2357" spans="1:5" x14ac:dyDescent="0.25">
      <c r="A2357" t="s">
        <v>75</v>
      </c>
      <c r="B2357">
        <v>2013</v>
      </c>
      <c r="C2357" t="s">
        <v>57</v>
      </c>
      <c r="D2357">
        <v>4979734.1780000003</v>
      </c>
      <c r="E2357" t="s">
        <v>59</v>
      </c>
    </row>
    <row r="2358" spans="1:5" x14ac:dyDescent="0.25">
      <c r="A2358" t="s">
        <v>75</v>
      </c>
      <c r="B2358">
        <v>2014</v>
      </c>
      <c r="C2358" t="s">
        <v>57</v>
      </c>
      <c r="D2358">
        <v>12104468.056</v>
      </c>
      <c r="E2358" t="s">
        <v>59</v>
      </c>
    </row>
    <row r="2359" spans="1:5" x14ac:dyDescent="0.25">
      <c r="A2359" t="s">
        <v>75</v>
      </c>
      <c r="B2359">
        <v>2015</v>
      </c>
      <c r="C2359" t="s">
        <v>57</v>
      </c>
      <c r="D2359">
        <v>7424799.307</v>
      </c>
      <c r="E2359" t="s">
        <v>59</v>
      </c>
    </row>
    <row r="2360" spans="1:5" x14ac:dyDescent="0.25">
      <c r="A2360" t="s">
        <v>75</v>
      </c>
      <c r="B2360">
        <v>2016</v>
      </c>
      <c r="C2360" t="s">
        <v>57</v>
      </c>
      <c r="D2360">
        <v>6598944.176</v>
      </c>
      <c r="E2360" t="s">
        <v>59</v>
      </c>
    </row>
    <row r="2361" spans="1:5" x14ac:dyDescent="0.25">
      <c r="A2361" t="s">
        <v>75</v>
      </c>
      <c r="B2361">
        <v>2017</v>
      </c>
      <c r="C2361" t="s">
        <v>57</v>
      </c>
      <c r="D2361">
        <v>6210798.0810000002</v>
      </c>
      <c r="E2361" t="s">
        <v>59</v>
      </c>
    </row>
    <row r="2362" spans="1:5" x14ac:dyDescent="0.25">
      <c r="A2362" t="s">
        <v>75</v>
      </c>
      <c r="B2362">
        <v>2018</v>
      </c>
      <c r="C2362" t="s">
        <v>57</v>
      </c>
      <c r="D2362">
        <v>6312821.4709999999</v>
      </c>
      <c r="E2362" t="s">
        <v>59</v>
      </c>
    </row>
    <row r="2363" spans="1:5" x14ac:dyDescent="0.25">
      <c r="A2363" t="s">
        <v>75</v>
      </c>
      <c r="B2363">
        <v>2019</v>
      </c>
      <c r="C2363" t="s">
        <v>57</v>
      </c>
      <c r="D2363">
        <v>5910195.7910000002</v>
      </c>
      <c r="E2363" t="s">
        <v>59</v>
      </c>
    </row>
    <row r="2364" spans="1:5" x14ac:dyDescent="0.25">
      <c r="A2364" t="s">
        <v>75</v>
      </c>
      <c r="B2364">
        <v>2020</v>
      </c>
      <c r="C2364" t="s">
        <v>57</v>
      </c>
      <c r="D2364">
        <v>5754117.4380000001</v>
      </c>
      <c r="E2364" t="s">
        <v>59</v>
      </c>
    </row>
    <row r="2365" spans="1:5" x14ac:dyDescent="0.25">
      <c r="A2365" t="s">
        <v>75</v>
      </c>
      <c r="B2365">
        <v>2021</v>
      </c>
      <c r="C2365" t="s">
        <v>57</v>
      </c>
      <c r="D2365">
        <v>6204346.9189999998</v>
      </c>
      <c r="E2365" t="s">
        <v>59</v>
      </c>
    </row>
    <row r="2366" spans="1:5" x14ac:dyDescent="0.25">
      <c r="A2366" t="s">
        <v>75</v>
      </c>
      <c r="B2366">
        <v>2022</v>
      </c>
      <c r="C2366" t="s">
        <v>57</v>
      </c>
      <c r="D2366">
        <v>6843020.2369999997</v>
      </c>
      <c r="E2366" t="s">
        <v>59</v>
      </c>
    </row>
    <row r="2367" spans="1:5" x14ac:dyDescent="0.25">
      <c r="A2367" t="s">
        <v>75</v>
      </c>
      <c r="B2367">
        <v>2023</v>
      </c>
      <c r="C2367" t="s">
        <v>57</v>
      </c>
      <c r="D2367">
        <v>4868569.9989999998</v>
      </c>
      <c r="E2367" t="s">
        <v>59</v>
      </c>
    </row>
    <row r="2368" spans="1:5" x14ac:dyDescent="0.25">
      <c r="A2368" t="s">
        <v>75</v>
      </c>
      <c r="B2368">
        <v>2024</v>
      </c>
      <c r="C2368" t="s">
        <v>57</v>
      </c>
      <c r="D2368">
        <v>8893808.1239999998</v>
      </c>
      <c r="E2368" t="s">
        <v>59</v>
      </c>
    </row>
    <row r="2369" spans="1:5" x14ac:dyDescent="0.25">
      <c r="A2369" t="s">
        <v>75</v>
      </c>
      <c r="B2369">
        <v>2025</v>
      </c>
      <c r="C2369" t="s">
        <v>57</v>
      </c>
      <c r="D2369">
        <v>9267261.3800000008</v>
      </c>
      <c r="E2369" t="s">
        <v>59</v>
      </c>
    </row>
    <row r="2370" spans="1:5" x14ac:dyDescent="0.25">
      <c r="A2370" t="s">
        <v>29</v>
      </c>
      <c r="B2370">
        <v>2000</v>
      </c>
      <c r="C2370" t="s">
        <v>57</v>
      </c>
      <c r="D2370">
        <v>28912397.000999998</v>
      </c>
      <c r="E2370" t="s">
        <v>59</v>
      </c>
    </row>
    <row r="2371" spans="1:5" x14ac:dyDescent="0.25">
      <c r="A2371" t="s">
        <v>29</v>
      </c>
      <c r="B2371">
        <v>2001</v>
      </c>
      <c r="C2371" t="s">
        <v>57</v>
      </c>
      <c r="D2371">
        <v>17564814.693999998</v>
      </c>
      <c r="E2371" t="s">
        <v>59</v>
      </c>
    </row>
    <row r="2372" spans="1:5" x14ac:dyDescent="0.25">
      <c r="A2372" t="s">
        <v>29</v>
      </c>
      <c r="B2372">
        <v>2002</v>
      </c>
      <c r="C2372" t="s">
        <v>57</v>
      </c>
      <c r="D2372">
        <v>25040754.977000002</v>
      </c>
      <c r="E2372" t="s">
        <v>59</v>
      </c>
    </row>
    <row r="2373" spans="1:5" x14ac:dyDescent="0.25">
      <c r="A2373" t="s">
        <v>29</v>
      </c>
      <c r="B2373">
        <v>2003</v>
      </c>
      <c r="C2373" t="s">
        <v>57</v>
      </c>
      <c r="D2373">
        <v>22835688.079999998</v>
      </c>
      <c r="E2373" t="s">
        <v>59</v>
      </c>
    </row>
    <row r="2374" spans="1:5" x14ac:dyDescent="0.25">
      <c r="A2374" t="s">
        <v>29</v>
      </c>
      <c r="B2374">
        <v>2004</v>
      </c>
      <c r="C2374" t="s">
        <v>57</v>
      </c>
      <c r="D2374">
        <v>32090272.629000001</v>
      </c>
      <c r="E2374" t="s">
        <v>59</v>
      </c>
    </row>
    <row r="2375" spans="1:5" x14ac:dyDescent="0.25">
      <c r="A2375" t="s">
        <v>29</v>
      </c>
      <c r="B2375">
        <v>2005</v>
      </c>
      <c r="C2375" t="s">
        <v>57</v>
      </c>
      <c r="D2375">
        <v>43387830.675999999</v>
      </c>
      <c r="E2375" t="s">
        <v>59</v>
      </c>
    </row>
    <row r="2376" spans="1:5" x14ac:dyDescent="0.25">
      <c r="A2376" t="s">
        <v>29</v>
      </c>
      <c r="B2376">
        <v>2006</v>
      </c>
      <c r="C2376" t="s">
        <v>57</v>
      </c>
      <c r="D2376">
        <v>54629333.045000002</v>
      </c>
      <c r="E2376" t="s">
        <v>59</v>
      </c>
    </row>
    <row r="2377" spans="1:5" x14ac:dyDescent="0.25">
      <c r="A2377" t="s">
        <v>29</v>
      </c>
      <c r="B2377">
        <v>2007</v>
      </c>
      <c r="C2377" t="s">
        <v>57</v>
      </c>
      <c r="D2377">
        <v>58989498.494999997</v>
      </c>
      <c r="E2377" t="s">
        <v>59</v>
      </c>
    </row>
    <row r="2378" spans="1:5" x14ac:dyDescent="0.25">
      <c r="A2378" t="s">
        <v>29</v>
      </c>
      <c r="B2378">
        <v>2009</v>
      </c>
      <c r="C2378" t="s">
        <v>57</v>
      </c>
      <c r="D2378">
        <v>25481106.614</v>
      </c>
      <c r="E2378" t="s">
        <v>59</v>
      </c>
    </row>
    <row r="2379" spans="1:5" x14ac:dyDescent="0.25">
      <c r="A2379" t="s">
        <v>29</v>
      </c>
      <c r="B2379">
        <v>2010</v>
      </c>
      <c r="C2379" t="s">
        <v>57</v>
      </c>
      <c r="D2379">
        <v>12011675.467</v>
      </c>
      <c r="E2379" t="s">
        <v>59</v>
      </c>
    </row>
    <row r="2380" spans="1:5" x14ac:dyDescent="0.25">
      <c r="A2380" t="s">
        <v>29</v>
      </c>
      <c r="B2380">
        <v>2011</v>
      </c>
      <c r="C2380" t="s">
        <v>57</v>
      </c>
      <c r="D2380">
        <v>44718925.347000003</v>
      </c>
      <c r="E2380" t="s">
        <v>59</v>
      </c>
    </row>
    <row r="2381" spans="1:5" x14ac:dyDescent="0.25">
      <c r="A2381" t="s">
        <v>29</v>
      </c>
      <c r="B2381">
        <v>2012</v>
      </c>
      <c r="C2381" t="s">
        <v>57</v>
      </c>
      <c r="D2381">
        <v>18469134.638</v>
      </c>
      <c r="E2381" t="s">
        <v>59</v>
      </c>
    </row>
    <row r="2382" spans="1:5" x14ac:dyDescent="0.25">
      <c r="A2382" t="s">
        <v>29</v>
      </c>
      <c r="B2382">
        <v>2013</v>
      </c>
      <c r="C2382" t="s">
        <v>57</v>
      </c>
      <c r="D2382">
        <v>21341262.666999999</v>
      </c>
      <c r="E2382" t="s">
        <v>59</v>
      </c>
    </row>
    <row r="2383" spans="1:5" x14ac:dyDescent="0.25">
      <c r="A2383" t="s">
        <v>29</v>
      </c>
      <c r="B2383">
        <v>2014</v>
      </c>
      <c r="C2383" t="s">
        <v>57</v>
      </c>
      <c r="D2383">
        <v>21976314.701000001</v>
      </c>
      <c r="E2383" t="s">
        <v>59</v>
      </c>
    </row>
    <row r="2384" spans="1:5" x14ac:dyDescent="0.25">
      <c r="A2384" t="s">
        <v>29</v>
      </c>
      <c r="B2384">
        <v>2015</v>
      </c>
      <c r="C2384" t="s">
        <v>57</v>
      </c>
      <c r="D2384">
        <v>19818264.945</v>
      </c>
      <c r="E2384" t="s">
        <v>59</v>
      </c>
    </row>
    <row r="2385" spans="1:5" x14ac:dyDescent="0.25">
      <c r="A2385" t="s">
        <v>29</v>
      </c>
      <c r="B2385">
        <v>2016</v>
      </c>
      <c r="C2385" t="s">
        <v>57</v>
      </c>
      <c r="D2385">
        <v>16291145.335999999</v>
      </c>
      <c r="E2385" t="s">
        <v>59</v>
      </c>
    </row>
    <row r="2386" spans="1:5" x14ac:dyDescent="0.25">
      <c r="A2386" t="s">
        <v>29</v>
      </c>
      <c r="B2386">
        <v>2017</v>
      </c>
      <c r="C2386" t="s">
        <v>57</v>
      </c>
      <c r="D2386">
        <v>19049437.647</v>
      </c>
      <c r="E2386" t="s">
        <v>59</v>
      </c>
    </row>
    <row r="2387" spans="1:5" x14ac:dyDescent="0.25">
      <c r="A2387" t="s">
        <v>29</v>
      </c>
      <c r="B2387">
        <v>2018</v>
      </c>
      <c r="C2387" t="s">
        <v>57</v>
      </c>
      <c r="D2387">
        <v>18400982.328000002</v>
      </c>
      <c r="E2387" t="s">
        <v>59</v>
      </c>
    </row>
    <row r="2388" spans="1:5" x14ac:dyDescent="0.25">
      <c r="A2388" t="s">
        <v>29</v>
      </c>
      <c r="B2388">
        <v>2019</v>
      </c>
      <c r="C2388" t="s">
        <v>57</v>
      </c>
      <c r="D2388">
        <v>16069180.726</v>
      </c>
      <c r="E2388" t="s">
        <v>59</v>
      </c>
    </row>
    <row r="2389" spans="1:5" x14ac:dyDescent="0.25">
      <c r="A2389" t="s">
        <v>29</v>
      </c>
      <c r="B2389">
        <v>2020</v>
      </c>
      <c r="C2389" t="s">
        <v>57</v>
      </c>
      <c r="D2389">
        <v>13925811.566</v>
      </c>
      <c r="E2389" t="s">
        <v>59</v>
      </c>
    </row>
    <row r="2390" spans="1:5" x14ac:dyDescent="0.25">
      <c r="A2390" t="s">
        <v>29</v>
      </c>
      <c r="B2390">
        <v>2021</v>
      </c>
      <c r="C2390" t="s">
        <v>57</v>
      </c>
      <c r="D2390">
        <v>18897112.353</v>
      </c>
      <c r="E2390" t="s">
        <v>59</v>
      </c>
    </row>
    <row r="2391" spans="1:5" x14ac:dyDescent="0.25">
      <c r="A2391" t="s">
        <v>29</v>
      </c>
      <c r="B2391">
        <v>2022</v>
      </c>
      <c r="C2391" t="s">
        <v>57</v>
      </c>
      <c r="D2391">
        <v>24408471.846999999</v>
      </c>
      <c r="E2391" t="s">
        <v>59</v>
      </c>
    </row>
    <row r="2392" spans="1:5" x14ac:dyDescent="0.25">
      <c r="A2392" t="s">
        <v>29</v>
      </c>
      <c r="B2392">
        <v>2023</v>
      </c>
      <c r="C2392" t="s">
        <v>57</v>
      </c>
      <c r="D2392">
        <v>17613277.357000001</v>
      </c>
      <c r="E2392" t="s">
        <v>59</v>
      </c>
    </row>
    <row r="2393" spans="1:5" x14ac:dyDescent="0.25">
      <c r="A2393" t="s">
        <v>29</v>
      </c>
      <c r="B2393">
        <v>2024</v>
      </c>
      <c r="C2393" t="s">
        <v>57</v>
      </c>
      <c r="D2393">
        <v>16212107.216</v>
      </c>
      <c r="E2393" t="s">
        <v>59</v>
      </c>
    </row>
    <row r="2394" spans="1:5" x14ac:dyDescent="0.25">
      <c r="A2394" t="s">
        <v>29</v>
      </c>
      <c r="B2394">
        <v>2025</v>
      </c>
      <c r="C2394" t="s">
        <v>57</v>
      </c>
      <c r="D2394">
        <v>9929351.4509999901</v>
      </c>
      <c r="E2394" t="s">
        <v>59</v>
      </c>
    </row>
    <row r="2395" spans="1:5" x14ac:dyDescent="0.25">
      <c r="A2395" t="s">
        <v>74</v>
      </c>
      <c r="B2395">
        <v>2010</v>
      </c>
      <c r="C2395" t="s">
        <v>57</v>
      </c>
      <c r="D2395">
        <v>130926382.094</v>
      </c>
      <c r="E2395" t="s">
        <v>59</v>
      </c>
    </row>
    <row r="2396" spans="1:5" x14ac:dyDescent="0.25">
      <c r="A2396" t="s">
        <v>74</v>
      </c>
      <c r="B2396">
        <v>2011</v>
      </c>
      <c r="C2396" t="s">
        <v>57</v>
      </c>
      <c r="D2396">
        <v>140571057.553</v>
      </c>
      <c r="E2396" t="s">
        <v>59</v>
      </c>
    </row>
    <row r="2397" spans="1:5" x14ac:dyDescent="0.25">
      <c r="A2397" t="s">
        <v>74</v>
      </c>
      <c r="B2397">
        <v>2012</v>
      </c>
      <c r="C2397" t="s">
        <v>57</v>
      </c>
      <c r="D2397">
        <v>161659473.50400001</v>
      </c>
      <c r="E2397" t="s">
        <v>59</v>
      </c>
    </row>
    <row r="2398" spans="1:5" x14ac:dyDescent="0.25">
      <c r="A2398" t="s">
        <v>74</v>
      </c>
      <c r="B2398">
        <v>2013</v>
      </c>
      <c r="C2398" t="s">
        <v>57</v>
      </c>
      <c r="D2398">
        <v>168187654.41499999</v>
      </c>
      <c r="E2398" t="s">
        <v>59</v>
      </c>
    </row>
    <row r="2399" spans="1:5" x14ac:dyDescent="0.25">
      <c r="A2399" t="s">
        <v>74</v>
      </c>
      <c r="B2399">
        <v>2014</v>
      </c>
      <c r="C2399" t="s">
        <v>57</v>
      </c>
      <c r="D2399">
        <v>142436245.16100001</v>
      </c>
      <c r="E2399" t="s">
        <v>59</v>
      </c>
    </row>
    <row r="2400" spans="1:5" x14ac:dyDescent="0.25">
      <c r="A2400" t="s">
        <v>74</v>
      </c>
      <c r="B2400">
        <v>2015</v>
      </c>
      <c r="C2400" t="s">
        <v>57</v>
      </c>
      <c r="D2400">
        <v>102925986.19400001</v>
      </c>
      <c r="E2400" t="s">
        <v>59</v>
      </c>
    </row>
    <row r="2401" spans="1:5" x14ac:dyDescent="0.25">
      <c r="A2401" t="s">
        <v>74</v>
      </c>
      <c r="B2401">
        <v>2016</v>
      </c>
      <c r="C2401" t="s">
        <v>57</v>
      </c>
      <c r="D2401">
        <v>78768180.175999999</v>
      </c>
      <c r="E2401" t="s">
        <v>59</v>
      </c>
    </row>
    <row r="2402" spans="1:5" x14ac:dyDescent="0.25">
      <c r="A2402" t="s">
        <v>74</v>
      </c>
      <c r="B2402">
        <v>2017</v>
      </c>
      <c r="C2402" t="s">
        <v>57</v>
      </c>
      <c r="D2402">
        <v>113885213.745</v>
      </c>
      <c r="E2402" t="s">
        <v>59</v>
      </c>
    </row>
    <row r="2403" spans="1:5" x14ac:dyDescent="0.25">
      <c r="A2403" t="s">
        <v>74</v>
      </c>
      <c r="B2403">
        <v>2018</v>
      </c>
      <c r="C2403" t="s">
        <v>57</v>
      </c>
      <c r="D2403">
        <v>143779342.05899999</v>
      </c>
      <c r="E2403" t="s">
        <v>59</v>
      </c>
    </row>
    <row r="2404" spans="1:5" x14ac:dyDescent="0.25">
      <c r="A2404" t="s">
        <v>74</v>
      </c>
      <c r="B2404">
        <v>2019</v>
      </c>
      <c r="C2404" t="s">
        <v>57</v>
      </c>
      <c r="D2404">
        <v>118126541.633</v>
      </c>
      <c r="E2404" t="s">
        <v>59</v>
      </c>
    </row>
    <row r="2405" spans="1:5" x14ac:dyDescent="0.25">
      <c r="A2405" t="s">
        <v>74</v>
      </c>
      <c r="B2405">
        <v>2020</v>
      </c>
      <c r="C2405" t="s">
        <v>57</v>
      </c>
      <c r="D2405">
        <v>170446408.37</v>
      </c>
      <c r="E2405" t="s">
        <v>59</v>
      </c>
    </row>
    <row r="2406" spans="1:5" x14ac:dyDescent="0.25">
      <c r="A2406" t="s">
        <v>74</v>
      </c>
      <c r="B2406">
        <v>2021</v>
      </c>
      <c r="C2406" t="s">
        <v>57</v>
      </c>
      <c r="D2406">
        <v>151642379.558</v>
      </c>
      <c r="E2406" t="s">
        <v>59</v>
      </c>
    </row>
    <row r="2407" spans="1:5" x14ac:dyDescent="0.25">
      <c r="A2407" t="s">
        <v>74</v>
      </c>
      <c r="B2407">
        <v>2022</v>
      </c>
      <c r="C2407" t="s">
        <v>57</v>
      </c>
      <c r="D2407">
        <v>96630522.859999999</v>
      </c>
      <c r="E2407" t="s">
        <v>59</v>
      </c>
    </row>
    <row r="2408" spans="1:5" x14ac:dyDescent="0.25">
      <c r="A2408" t="s">
        <v>74</v>
      </c>
      <c r="B2408">
        <v>2023</v>
      </c>
      <c r="C2408" t="s">
        <v>57</v>
      </c>
      <c r="D2408">
        <v>121933369.83499999</v>
      </c>
      <c r="E2408" t="s">
        <v>59</v>
      </c>
    </row>
    <row r="2409" spans="1:5" x14ac:dyDescent="0.25">
      <c r="A2409" t="s">
        <v>74</v>
      </c>
      <c r="B2409">
        <v>2024</v>
      </c>
      <c r="C2409" t="s">
        <v>57</v>
      </c>
      <c r="D2409">
        <v>99268172.713</v>
      </c>
      <c r="E2409" t="s">
        <v>59</v>
      </c>
    </row>
    <row r="2410" spans="1:5" x14ac:dyDescent="0.25">
      <c r="A2410" t="s">
        <v>74</v>
      </c>
      <c r="B2410">
        <v>2025</v>
      </c>
      <c r="C2410" t="s">
        <v>57</v>
      </c>
      <c r="D2410">
        <v>96448560.426999897</v>
      </c>
      <c r="E2410" t="s">
        <v>59</v>
      </c>
    </row>
    <row r="2411" spans="1:5" x14ac:dyDescent="0.25">
      <c r="A2411" t="s">
        <v>73</v>
      </c>
      <c r="B2411">
        <v>2017</v>
      </c>
      <c r="C2411" t="s">
        <v>57</v>
      </c>
      <c r="D2411">
        <v>3385256.6260000002</v>
      </c>
      <c r="E2411" t="s">
        <v>59</v>
      </c>
    </row>
    <row r="2412" spans="1:5" x14ac:dyDescent="0.25">
      <c r="A2412" t="s">
        <v>73</v>
      </c>
      <c r="B2412">
        <v>2018</v>
      </c>
      <c r="C2412" t="s">
        <v>57</v>
      </c>
      <c r="D2412">
        <v>3210990.2969999998</v>
      </c>
      <c r="E2412" t="s">
        <v>59</v>
      </c>
    </row>
    <row r="2413" spans="1:5" x14ac:dyDescent="0.25">
      <c r="A2413" t="s">
        <v>32</v>
      </c>
      <c r="B2413">
        <v>2013</v>
      </c>
      <c r="C2413" t="s">
        <v>57</v>
      </c>
      <c r="D2413">
        <v>369210.49300000002</v>
      </c>
      <c r="E2413" t="s">
        <v>59</v>
      </c>
    </row>
    <row r="2414" spans="1:5" x14ac:dyDescent="0.25">
      <c r="A2414" t="s">
        <v>33</v>
      </c>
      <c r="B2414">
        <v>2015</v>
      </c>
      <c r="C2414" t="s">
        <v>57</v>
      </c>
      <c r="D2414">
        <v>2732065.3820000002</v>
      </c>
      <c r="E2414" t="s">
        <v>59</v>
      </c>
    </row>
    <row r="2415" spans="1:5" x14ac:dyDescent="0.25">
      <c r="A2415" t="s">
        <v>33</v>
      </c>
      <c r="B2415">
        <v>2016</v>
      </c>
      <c r="C2415" t="s">
        <v>57</v>
      </c>
      <c r="D2415">
        <v>4895793.2390000001</v>
      </c>
      <c r="E2415" t="s">
        <v>59</v>
      </c>
    </row>
    <row r="2416" spans="1:5" x14ac:dyDescent="0.25">
      <c r="A2416" t="s">
        <v>33</v>
      </c>
      <c r="B2416">
        <v>2017</v>
      </c>
      <c r="C2416" t="s">
        <v>57</v>
      </c>
      <c r="D2416">
        <v>9681760.3619999997</v>
      </c>
      <c r="E2416" t="s">
        <v>59</v>
      </c>
    </row>
    <row r="2417" spans="1:5" x14ac:dyDescent="0.25">
      <c r="A2417" t="s">
        <v>33</v>
      </c>
      <c r="B2417">
        <v>2019</v>
      </c>
      <c r="C2417" t="s">
        <v>57</v>
      </c>
      <c r="D2417">
        <v>5644482.4649999999</v>
      </c>
      <c r="E2417" t="s">
        <v>59</v>
      </c>
    </row>
    <row r="2418" spans="1:5" x14ac:dyDescent="0.25">
      <c r="A2418" t="s">
        <v>33</v>
      </c>
      <c r="B2418">
        <v>2020</v>
      </c>
      <c r="C2418" t="s">
        <v>57</v>
      </c>
      <c r="D2418">
        <v>2894292.787</v>
      </c>
      <c r="E2418" t="s">
        <v>59</v>
      </c>
    </row>
    <row r="2419" spans="1:5" x14ac:dyDescent="0.25">
      <c r="A2419" t="s">
        <v>33</v>
      </c>
      <c r="B2419">
        <v>2023</v>
      </c>
      <c r="C2419" t="s">
        <v>57</v>
      </c>
      <c r="D2419">
        <v>2583349.6579999998</v>
      </c>
      <c r="E2419" t="s">
        <v>59</v>
      </c>
    </row>
    <row r="2420" spans="1:5" x14ac:dyDescent="0.25">
      <c r="A2420" t="s">
        <v>72</v>
      </c>
      <c r="B2420">
        <v>2010</v>
      </c>
      <c r="C2420" t="s">
        <v>57</v>
      </c>
      <c r="D2420">
        <v>11550156.245999999</v>
      </c>
      <c r="E2420" t="s">
        <v>59</v>
      </c>
    </row>
    <row r="2421" spans="1:5" x14ac:dyDescent="0.25">
      <c r="A2421" t="s">
        <v>72</v>
      </c>
      <c r="B2421">
        <v>2017</v>
      </c>
      <c r="C2421" t="s">
        <v>57</v>
      </c>
      <c r="D2421">
        <v>4680615.4989999998</v>
      </c>
      <c r="E2421" t="s">
        <v>59</v>
      </c>
    </row>
    <row r="2422" spans="1:5" x14ac:dyDescent="0.25">
      <c r="A2422" t="s">
        <v>72</v>
      </c>
      <c r="B2422">
        <v>2018</v>
      </c>
      <c r="C2422" t="s">
        <v>57</v>
      </c>
      <c r="D2422">
        <v>8004410.2479999997</v>
      </c>
      <c r="E2422" t="s">
        <v>59</v>
      </c>
    </row>
    <row r="2423" spans="1:5" x14ac:dyDescent="0.25">
      <c r="A2423" t="s">
        <v>72</v>
      </c>
      <c r="B2423">
        <v>2019</v>
      </c>
      <c r="C2423" t="s">
        <v>57</v>
      </c>
      <c r="D2423">
        <v>10044333.842</v>
      </c>
      <c r="E2423" t="s">
        <v>59</v>
      </c>
    </row>
    <row r="2424" spans="1:5" x14ac:dyDescent="0.25">
      <c r="A2424" t="s">
        <v>72</v>
      </c>
      <c r="B2424">
        <v>2020</v>
      </c>
      <c r="C2424" t="s">
        <v>57</v>
      </c>
      <c r="D2424">
        <v>15003412.989</v>
      </c>
      <c r="E2424" t="s">
        <v>59</v>
      </c>
    </row>
    <row r="2425" spans="1:5" x14ac:dyDescent="0.25">
      <c r="A2425" t="s">
        <v>72</v>
      </c>
      <c r="B2425">
        <v>2021</v>
      </c>
      <c r="C2425" t="s">
        <v>57</v>
      </c>
      <c r="D2425">
        <v>7170697.6430000002</v>
      </c>
      <c r="E2425" t="s">
        <v>59</v>
      </c>
    </row>
    <row r="2426" spans="1:5" x14ac:dyDescent="0.25">
      <c r="A2426" t="s">
        <v>72</v>
      </c>
      <c r="B2426">
        <v>2022</v>
      </c>
      <c r="C2426" t="s">
        <v>57</v>
      </c>
      <c r="D2426">
        <v>8483465.727</v>
      </c>
      <c r="E2426" t="s">
        <v>59</v>
      </c>
    </row>
    <row r="2427" spans="1:5" x14ac:dyDescent="0.25">
      <c r="A2427" t="s">
        <v>72</v>
      </c>
      <c r="B2427">
        <v>2023</v>
      </c>
      <c r="C2427" t="s">
        <v>57</v>
      </c>
      <c r="D2427">
        <v>12581455.763</v>
      </c>
      <c r="E2427" t="s">
        <v>59</v>
      </c>
    </row>
    <row r="2428" spans="1:5" x14ac:dyDescent="0.25">
      <c r="A2428" t="s">
        <v>72</v>
      </c>
      <c r="B2428">
        <v>2024</v>
      </c>
      <c r="C2428" t="s">
        <v>57</v>
      </c>
      <c r="D2428">
        <v>9321623.8120000008</v>
      </c>
      <c r="E2428" t="s">
        <v>59</v>
      </c>
    </row>
    <row r="2429" spans="1:5" x14ac:dyDescent="0.25">
      <c r="A2429" t="s">
        <v>72</v>
      </c>
      <c r="B2429">
        <v>2025</v>
      </c>
      <c r="C2429" t="s">
        <v>57</v>
      </c>
      <c r="D2429">
        <v>18448715.767999999</v>
      </c>
      <c r="E2429" t="s">
        <v>59</v>
      </c>
    </row>
    <row r="2430" spans="1:5" x14ac:dyDescent="0.25">
      <c r="A2430" t="s">
        <v>34</v>
      </c>
      <c r="B2430">
        <v>2018</v>
      </c>
      <c r="C2430" t="s">
        <v>57</v>
      </c>
      <c r="D2430">
        <v>94812613.024000004</v>
      </c>
      <c r="E2430" t="s">
        <v>59</v>
      </c>
    </row>
    <row r="2431" spans="1:5" x14ac:dyDescent="0.25">
      <c r="A2431" t="s">
        <v>71</v>
      </c>
      <c r="B2431">
        <v>2010</v>
      </c>
      <c r="C2431" t="s">
        <v>57</v>
      </c>
      <c r="D2431">
        <v>80846686.716000006</v>
      </c>
      <c r="E2431" t="s">
        <v>59</v>
      </c>
    </row>
    <row r="2432" spans="1:5" x14ac:dyDescent="0.25">
      <c r="A2432" t="s">
        <v>71</v>
      </c>
      <c r="B2432">
        <v>2011</v>
      </c>
      <c r="C2432" t="s">
        <v>57</v>
      </c>
      <c r="D2432">
        <v>53344419.082000002</v>
      </c>
      <c r="E2432" t="s">
        <v>59</v>
      </c>
    </row>
    <row r="2433" spans="1:5" x14ac:dyDescent="0.25">
      <c r="A2433" t="s">
        <v>71</v>
      </c>
      <c r="B2433">
        <v>2012</v>
      </c>
      <c r="C2433" t="s">
        <v>57</v>
      </c>
      <c r="D2433">
        <v>89275883.420000002</v>
      </c>
      <c r="E2433" t="s">
        <v>59</v>
      </c>
    </row>
    <row r="2434" spans="1:5" x14ac:dyDescent="0.25">
      <c r="A2434" t="s">
        <v>71</v>
      </c>
      <c r="B2434">
        <v>2013</v>
      </c>
      <c r="C2434" t="s">
        <v>57</v>
      </c>
      <c r="D2434">
        <v>123117810.95</v>
      </c>
      <c r="E2434" t="s">
        <v>59</v>
      </c>
    </row>
    <row r="2435" spans="1:5" x14ac:dyDescent="0.25">
      <c r="A2435" t="s">
        <v>71</v>
      </c>
      <c r="B2435">
        <v>2014</v>
      </c>
      <c r="C2435" t="s">
        <v>57</v>
      </c>
      <c r="D2435">
        <v>104872217.09900001</v>
      </c>
      <c r="E2435" t="s">
        <v>59</v>
      </c>
    </row>
    <row r="2436" spans="1:5" x14ac:dyDescent="0.25">
      <c r="A2436" t="s">
        <v>71</v>
      </c>
      <c r="B2436">
        <v>2015</v>
      </c>
      <c r="C2436" t="s">
        <v>57</v>
      </c>
      <c r="D2436">
        <v>110603348.469</v>
      </c>
      <c r="E2436" t="s">
        <v>59</v>
      </c>
    </row>
    <row r="2437" spans="1:5" x14ac:dyDescent="0.25">
      <c r="A2437" t="s">
        <v>71</v>
      </c>
      <c r="B2437">
        <v>2016</v>
      </c>
      <c r="C2437" t="s">
        <v>57</v>
      </c>
      <c r="D2437">
        <v>159145307.322</v>
      </c>
      <c r="E2437" t="s">
        <v>59</v>
      </c>
    </row>
    <row r="2438" spans="1:5" x14ac:dyDescent="0.25">
      <c r="A2438" t="s">
        <v>71</v>
      </c>
      <c r="B2438">
        <v>2019</v>
      </c>
      <c r="C2438" t="s">
        <v>57</v>
      </c>
      <c r="D2438">
        <v>198030372.609</v>
      </c>
      <c r="E2438" t="s">
        <v>59</v>
      </c>
    </row>
    <row r="2439" spans="1:5" x14ac:dyDescent="0.25">
      <c r="A2439" t="s">
        <v>71</v>
      </c>
      <c r="B2439">
        <v>2020</v>
      </c>
      <c r="C2439" t="s">
        <v>57</v>
      </c>
      <c r="D2439">
        <v>167450541.44499999</v>
      </c>
      <c r="E2439" t="s">
        <v>59</v>
      </c>
    </row>
    <row r="2440" spans="1:5" x14ac:dyDescent="0.25">
      <c r="A2440" t="s">
        <v>71</v>
      </c>
      <c r="B2440">
        <v>2021</v>
      </c>
      <c r="C2440" t="s">
        <v>57</v>
      </c>
      <c r="D2440">
        <v>182018459.97099999</v>
      </c>
      <c r="E2440" t="s">
        <v>59</v>
      </c>
    </row>
    <row r="2441" spans="1:5" x14ac:dyDescent="0.25">
      <c r="A2441" t="s">
        <v>71</v>
      </c>
      <c r="B2441">
        <v>2022</v>
      </c>
      <c r="C2441" t="s">
        <v>57</v>
      </c>
      <c r="D2441">
        <v>234754940.391</v>
      </c>
      <c r="E2441" t="s">
        <v>59</v>
      </c>
    </row>
    <row r="2442" spans="1:5" x14ac:dyDescent="0.25">
      <c r="A2442" t="s">
        <v>71</v>
      </c>
      <c r="B2442">
        <v>2023</v>
      </c>
      <c r="C2442" t="s">
        <v>57</v>
      </c>
      <c r="D2442">
        <v>157097405.65799999</v>
      </c>
      <c r="E2442" t="s">
        <v>59</v>
      </c>
    </row>
    <row r="2443" spans="1:5" x14ac:dyDescent="0.25">
      <c r="A2443" t="s">
        <v>71</v>
      </c>
      <c r="B2443">
        <v>2024</v>
      </c>
      <c r="C2443" t="s">
        <v>57</v>
      </c>
      <c r="D2443">
        <v>143933321.495</v>
      </c>
      <c r="E2443" t="s">
        <v>59</v>
      </c>
    </row>
    <row r="2444" spans="1:5" x14ac:dyDescent="0.25">
      <c r="A2444" t="s">
        <v>35</v>
      </c>
      <c r="B2444">
        <v>2010</v>
      </c>
      <c r="C2444" t="s">
        <v>57</v>
      </c>
      <c r="D2444">
        <v>13232058.458000001</v>
      </c>
      <c r="E2444" t="s">
        <v>59</v>
      </c>
    </row>
    <row r="2445" spans="1:5" x14ac:dyDescent="0.25">
      <c r="A2445" t="s">
        <v>35</v>
      </c>
      <c r="B2445">
        <v>2011</v>
      </c>
      <c r="C2445" t="s">
        <v>57</v>
      </c>
      <c r="D2445">
        <v>22688988.743999999</v>
      </c>
      <c r="E2445" t="s">
        <v>59</v>
      </c>
    </row>
    <row r="2446" spans="1:5" x14ac:dyDescent="0.25">
      <c r="A2446" t="s">
        <v>35</v>
      </c>
      <c r="B2446">
        <v>2012</v>
      </c>
      <c r="C2446" t="s">
        <v>57</v>
      </c>
      <c r="D2446">
        <v>42246289.995999999</v>
      </c>
      <c r="E2446" t="s">
        <v>59</v>
      </c>
    </row>
    <row r="2447" spans="1:5" x14ac:dyDescent="0.25">
      <c r="A2447" t="s">
        <v>35</v>
      </c>
      <c r="B2447">
        <v>2013</v>
      </c>
      <c r="C2447" t="s">
        <v>57</v>
      </c>
      <c r="D2447">
        <v>28873033.756000001</v>
      </c>
      <c r="E2447" t="s">
        <v>59</v>
      </c>
    </row>
    <row r="2448" spans="1:5" x14ac:dyDescent="0.25">
      <c r="A2448" t="s">
        <v>35</v>
      </c>
      <c r="B2448">
        <v>2014</v>
      </c>
      <c r="C2448" t="s">
        <v>57</v>
      </c>
      <c r="D2448">
        <v>56614873.594999999</v>
      </c>
      <c r="E2448" t="s">
        <v>59</v>
      </c>
    </row>
    <row r="2449" spans="1:5" x14ac:dyDescent="0.25">
      <c r="A2449" t="s">
        <v>35</v>
      </c>
      <c r="B2449">
        <v>2015</v>
      </c>
      <c r="C2449" t="s">
        <v>57</v>
      </c>
      <c r="D2449">
        <v>34026403.233999997</v>
      </c>
      <c r="E2449" t="s">
        <v>59</v>
      </c>
    </row>
    <row r="2450" spans="1:5" x14ac:dyDescent="0.25">
      <c r="A2450" t="s">
        <v>35</v>
      </c>
      <c r="B2450">
        <v>2016</v>
      </c>
      <c r="C2450" t="s">
        <v>57</v>
      </c>
      <c r="D2450">
        <v>50100107.244000003</v>
      </c>
      <c r="E2450" t="s">
        <v>59</v>
      </c>
    </row>
    <row r="2451" spans="1:5" x14ac:dyDescent="0.25">
      <c r="A2451" t="s">
        <v>35</v>
      </c>
      <c r="B2451">
        <v>2017</v>
      </c>
      <c r="C2451" t="s">
        <v>57</v>
      </c>
      <c r="D2451">
        <v>32454580.311000001</v>
      </c>
      <c r="E2451" t="s">
        <v>59</v>
      </c>
    </row>
    <row r="2452" spans="1:5" x14ac:dyDescent="0.25">
      <c r="A2452" t="s">
        <v>35</v>
      </c>
      <c r="B2452">
        <v>2018</v>
      </c>
      <c r="C2452" t="s">
        <v>57</v>
      </c>
      <c r="D2452">
        <v>26239979.254999999</v>
      </c>
      <c r="E2452" t="s">
        <v>59</v>
      </c>
    </row>
    <row r="2453" spans="1:5" x14ac:dyDescent="0.25">
      <c r="A2453" t="s">
        <v>35</v>
      </c>
      <c r="B2453">
        <v>2019</v>
      </c>
      <c r="C2453" t="s">
        <v>57</v>
      </c>
      <c r="D2453">
        <v>30123531.052000001</v>
      </c>
      <c r="E2453" t="s">
        <v>59</v>
      </c>
    </row>
    <row r="2454" spans="1:5" x14ac:dyDescent="0.25">
      <c r="A2454" t="s">
        <v>35</v>
      </c>
      <c r="B2454">
        <v>2020</v>
      </c>
      <c r="C2454" t="s">
        <v>57</v>
      </c>
      <c r="D2454">
        <v>29606046.574000001</v>
      </c>
      <c r="E2454" t="s">
        <v>59</v>
      </c>
    </row>
    <row r="2455" spans="1:5" x14ac:dyDescent="0.25">
      <c r="A2455" t="s">
        <v>35</v>
      </c>
      <c r="B2455">
        <v>2021</v>
      </c>
      <c r="C2455" t="s">
        <v>57</v>
      </c>
      <c r="D2455">
        <v>40561403.601000004</v>
      </c>
      <c r="E2455" t="s">
        <v>59</v>
      </c>
    </row>
    <row r="2456" spans="1:5" x14ac:dyDescent="0.25">
      <c r="A2456" t="s">
        <v>35</v>
      </c>
      <c r="B2456">
        <v>2022</v>
      </c>
      <c r="C2456" t="s">
        <v>57</v>
      </c>
      <c r="D2456">
        <v>49144931.108000003</v>
      </c>
      <c r="E2456" t="s">
        <v>59</v>
      </c>
    </row>
    <row r="2457" spans="1:5" x14ac:dyDescent="0.25">
      <c r="A2457" t="s">
        <v>35</v>
      </c>
      <c r="B2457">
        <v>2023</v>
      </c>
      <c r="C2457" t="s">
        <v>57</v>
      </c>
      <c r="D2457">
        <v>52220603.390000001</v>
      </c>
      <c r="E2457" t="s">
        <v>59</v>
      </c>
    </row>
    <row r="2458" spans="1:5" x14ac:dyDescent="0.25">
      <c r="A2458" t="s">
        <v>35</v>
      </c>
      <c r="B2458">
        <v>2024</v>
      </c>
      <c r="C2458" t="s">
        <v>57</v>
      </c>
      <c r="D2458">
        <v>44390537.831</v>
      </c>
      <c r="E2458" t="s">
        <v>59</v>
      </c>
    </row>
    <row r="2459" spans="1:5" x14ac:dyDescent="0.25">
      <c r="A2459" t="s">
        <v>35</v>
      </c>
      <c r="B2459">
        <v>2025</v>
      </c>
      <c r="C2459" t="s">
        <v>57</v>
      </c>
      <c r="D2459">
        <v>30594394.035999998</v>
      </c>
      <c r="E2459" t="s">
        <v>59</v>
      </c>
    </row>
    <row r="2460" spans="1:5" x14ac:dyDescent="0.25">
      <c r="A2460" t="s">
        <v>36</v>
      </c>
      <c r="B2460">
        <v>2010</v>
      </c>
      <c r="C2460" t="s">
        <v>57</v>
      </c>
      <c r="D2460">
        <v>73712040</v>
      </c>
      <c r="E2460" t="s">
        <v>59</v>
      </c>
    </row>
    <row r="2461" spans="1:5" x14ac:dyDescent="0.25">
      <c r="A2461" t="s">
        <v>36</v>
      </c>
      <c r="B2461">
        <v>2011</v>
      </c>
      <c r="C2461" t="s">
        <v>57</v>
      </c>
      <c r="D2461">
        <v>146280629</v>
      </c>
      <c r="E2461" t="s">
        <v>59</v>
      </c>
    </row>
    <row r="2462" spans="1:5" x14ac:dyDescent="0.25">
      <c r="A2462" t="s">
        <v>36</v>
      </c>
      <c r="B2462">
        <v>2012</v>
      </c>
      <c r="C2462" t="s">
        <v>57</v>
      </c>
      <c r="D2462">
        <v>133990366</v>
      </c>
      <c r="E2462" t="s">
        <v>59</v>
      </c>
    </row>
    <row r="2463" spans="1:5" x14ac:dyDescent="0.25">
      <c r="A2463" t="s">
        <v>36</v>
      </c>
      <c r="B2463">
        <v>2013</v>
      </c>
      <c r="C2463" t="s">
        <v>57</v>
      </c>
      <c r="D2463">
        <v>116414065</v>
      </c>
      <c r="E2463" t="s">
        <v>59</v>
      </c>
    </row>
    <row r="2464" spans="1:5" x14ac:dyDescent="0.25">
      <c r="A2464" t="s">
        <v>36</v>
      </c>
      <c r="B2464">
        <v>2014</v>
      </c>
      <c r="C2464" t="s">
        <v>57</v>
      </c>
      <c r="D2464">
        <v>54960792</v>
      </c>
      <c r="E2464" t="s">
        <v>59</v>
      </c>
    </row>
    <row r="2465" spans="1:5" x14ac:dyDescent="0.25">
      <c r="A2465" t="s">
        <v>36</v>
      </c>
      <c r="B2465">
        <v>2015</v>
      </c>
      <c r="C2465" t="s">
        <v>57</v>
      </c>
      <c r="D2465">
        <v>45647688</v>
      </c>
      <c r="E2465" t="s">
        <v>59</v>
      </c>
    </row>
    <row r="2466" spans="1:5" x14ac:dyDescent="0.25">
      <c r="A2466" t="s">
        <v>36</v>
      </c>
      <c r="B2466">
        <v>2016</v>
      </c>
      <c r="C2466" t="s">
        <v>57</v>
      </c>
      <c r="D2466">
        <v>67433734</v>
      </c>
      <c r="E2466" t="s">
        <v>59</v>
      </c>
    </row>
    <row r="2467" spans="1:5" x14ac:dyDescent="0.25">
      <c r="A2467" t="s">
        <v>36</v>
      </c>
      <c r="B2467">
        <v>2017</v>
      </c>
      <c r="C2467" t="s">
        <v>57</v>
      </c>
      <c r="D2467">
        <v>21446632</v>
      </c>
      <c r="E2467" t="s">
        <v>59</v>
      </c>
    </row>
    <row r="2468" spans="1:5" x14ac:dyDescent="0.25">
      <c r="A2468" t="s">
        <v>36</v>
      </c>
      <c r="B2468">
        <v>2018</v>
      </c>
      <c r="C2468" t="s">
        <v>57</v>
      </c>
      <c r="D2468">
        <v>28668904</v>
      </c>
      <c r="E2468" t="s">
        <v>59</v>
      </c>
    </row>
    <row r="2469" spans="1:5" x14ac:dyDescent="0.25">
      <c r="A2469" t="s">
        <v>36</v>
      </c>
      <c r="B2469">
        <v>2019</v>
      </c>
      <c r="C2469" t="s">
        <v>57</v>
      </c>
      <c r="D2469">
        <v>27546282</v>
      </c>
      <c r="E2469" t="s">
        <v>59</v>
      </c>
    </row>
    <row r="2470" spans="1:5" x14ac:dyDescent="0.25">
      <c r="A2470" t="s">
        <v>36</v>
      </c>
      <c r="B2470">
        <v>2021</v>
      </c>
      <c r="C2470" t="s">
        <v>57</v>
      </c>
      <c r="D2470">
        <v>27262101</v>
      </c>
      <c r="E2470" t="s">
        <v>59</v>
      </c>
    </row>
    <row r="2471" spans="1:5" x14ac:dyDescent="0.25">
      <c r="A2471" t="s">
        <v>36</v>
      </c>
      <c r="B2471">
        <v>2022</v>
      </c>
      <c r="C2471" t="s">
        <v>57</v>
      </c>
      <c r="D2471">
        <v>32641513</v>
      </c>
      <c r="E2471" t="s">
        <v>59</v>
      </c>
    </row>
    <row r="2472" spans="1:5" x14ac:dyDescent="0.25">
      <c r="A2472" t="s">
        <v>36</v>
      </c>
      <c r="B2472">
        <v>2023</v>
      </c>
      <c r="C2472" t="s">
        <v>57</v>
      </c>
      <c r="D2472">
        <v>34034082</v>
      </c>
      <c r="E2472" t="s">
        <v>59</v>
      </c>
    </row>
    <row r="2473" spans="1:5" x14ac:dyDescent="0.25">
      <c r="A2473" t="s">
        <v>36</v>
      </c>
      <c r="B2473">
        <v>2024</v>
      </c>
      <c r="C2473" t="s">
        <v>57</v>
      </c>
      <c r="D2473">
        <v>56369338</v>
      </c>
      <c r="E2473" t="s">
        <v>59</v>
      </c>
    </row>
    <row r="2474" spans="1:5" x14ac:dyDescent="0.25">
      <c r="A2474" t="s">
        <v>36</v>
      </c>
      <c r="B2474">
        <v>2025</v>
      </c>
      <c r="C2474" t="s">
        <v>57</v>
      </c>
      <c r="D2474">
        <v>19755383</v>
      </c>
      <c r="E2474" t="s">
        <v>59</v>
      </c>
    </row>
    <row r="2475" spans="1:5" x14ac:dyDescent="0.25">
      <c r="A2475" t="s">
        <v>37</v>
      </c>
      <c r="B2475">
        <v>2000</v>
      </c>
      <c r="C2475" t="s">
        <v>57</v>
      </c>
      <c r="D2475">
        <v>9332600.7799999993</v>
      </c>
      <c r="E2475" t="s">
        <v>59</v>
      </c>
    </row>
    <row r="2476" spans="1:5" x14ac:dyDescent="0.25">
      <c r="A2476" t="s">
        <v>37</v>
      </c>
      <c r="B2476">
        <v>2001</v>
      </c>
      <c r="C2476" t="s">
        <v>57</v>
      </c>
      <c r="D2476">
        <v>4060916.9920000001</v>
      </c>
      <c r="E2476" t="s">
        <v>59</v>
      </c>
    </row>
    <row r="2477" spans="1:5" x14ac:dyDescent="0.25">
      <c r="A2477" t="s">
        <v>37</v>
      </c>
      <c r="B2477">
        <v>2002</v>
      </c>
      <c r="C2477" t="s">
        <v>57</v>
      </c>
      <c r="D2477">
        <v>36260463.870999999</v>
      </c>
      <c r="E2477" t="s">
        <v>59</v>
      </c>
    </row>
    <row r="2478" spans="1:5" x14ac:dyDescent="0.25">
      <c r="A2478" t="s">
        <v>37</v>
      </c>
      <c r="B2478">
        <v>2003</v>
      </c>
      <c r="C2478" t="s">
        <v>57</v>
      </c>
      <c r="D2478">
        <v>14079392.971999999</v>
      </c>
      <c r="E2478" t="s">
        <v>59</v>
      </c>
    </row>
    <row r="2479" spans="1:5" x14ac:dyDescent="0.25">
      <c r="A2479" t="s">
        <v>37</v>
      </c>
      <c r="B2479">
        <v>2004</v>
      </c>
      <c r="C2479" t="s">
        <v>57</v>
      </c>
      <c r="D2479">
        <v>62372618.351999998</v>
      </c>
      <c r="E2479" t="s">
        <v>59</v>
      </c>
    </row>
    <row r="2480" spans="1:5" x14ac:dyDescent="0.25">
      <c r="A2480" t="s">
        <v>37</v>
      </c>
      <c r="B2480">
        <v>2005</v>
      </c>
      <c r="C2480" t="s">
        <v>57</v>
      </c>
      <c r="D2480">
        <v>8400331.3550000004</v>
      </c>
      <c r="E2480" t="s">
        <v>59</v>
      </c>
    </row>
    <row r="2481" spans="1:5" x14ac:dyDescent="0.25">
      <c r="A2481" t="s">
        <v>37</v>
      </c>
      <c r="B2481">
        <v>2006</v>
      </c>
      <c r="C2481" t="s">
        <v>57</v>
      </c>
      <c r="D2481">
        <v>71858797.218999997</v>
      </c>
      <c r="E2481" t="s">
        <v>59</v>
      </c>
    </row>
    <row r="2482" spans="1:5" x14ac:dyDescent="0.25">
      <c r="A2482" t="s">
        <v>37</v>
      </c>
      <c r="B2482">
        <v>2007</v>
      </c>
      <c r="C2482" t="s">
        <v>57</v>
      </c>
      <c r="D2482">
        <v>38273122.252999999</v>
      </c>
      <c r="E2482" t="s">
        <v>59</v>
      </c>
    </row>
    <row r="2483" spans="1:5" x14ac:dyDescent="0.25">
      <c r="A2483" t="s">
        <v>37</v>
      </c>
      <c r="B2483">
        <v>2008</v>
      </c>
      <c r="C2483" t="s">
        <v>57</v>
      </c>
      <c r="D2483">
        <v>48411646.309</v>
      </c>
      <c r="E2483" t="s">
        <v>59</v>
      </c>
    </row>
    <row r="2484" spans="1:5" x14ac:dyDescent="0.25">
      <c r="A2484" t="s">
        <v>37</v>
      </c>
      <c r="B2484">
        <v>2009</v>
      </c>
      <c r="C2484" t="s">
        <v>57</v>
      </c>
      <c r="D2484">
        <v>13633377.364</v>
      </c>
      <c r="E2484" t="s">
        <v>59</v>
      </c>
    </row>
    <row r="2485" spans="1:5" x14ac:dyDescent="0.25">
      <c r="A2485" t="s">
        <v>37</v>
      </c>
      <c r="B2485">
        <v>2010</v>
      </c>
      <c r="C2485" t="s">
        <v>57</v>
      </c>
      <c r="D2485">
        <v>265834700.458</v>
      </c>
      <c r="E2485" t="s">
        <v>59</v>
      </c>
    </row>
    <row r="2486" spans="1:5" x14ac:dyDescent="0.25">
      <c r="A2486" t="s">
        <v>37</v>
      </c>
      <c r="B2486">
        <v>2011</v>
      </c>
      <c r="C2486" t="s">
        <v>57</v>
      </c>
      <c r="D2486">
        <v>107431591.638</v>
      </c>
      <c r="E2486" t="s">
        <v>59</v>
      </c>
    </row>
    <row r="2487" spans="1:5" x14ac:dyDescent="0.25">
      <c r="A2487" t="s">
        <v>37</v>
      </c>
      <c r="B2487">
        <v>2012</v>
      </c>
      <c r="C2487" t="s">
        <v>57</v>
      </c>
      <c r="D2487">
        <v>142874816.61300001</v>
      </c>
      <c r="E2487" t="s">
        <v>59</v>
      </c>
    </row>
    <row r="2488" spans="1:5" x14ac:dyDescent="0.25">
      <c r="A2488" t="s">
        <v>37</v>
      </c>
      <c r="B2488">
        <v>2013</v>
      </c>
      <c r="C2488" t="s">
        <v>57</v>
      </c>
      <c r="D2488">
        <v>650587829.78699994</v>
      </c>
      <c r="E2488" t="s">
        <v>59</v>
      </c>
    </row>
    <row r="2489" spans="1:5" x14ac:dyDescent="0.25">
      <c r="A2489" t="s">
        <v>37</v>
      </c>
      <c r="B2489">
        <v>2014</v>
      </c>
      <c r="C2489" t="s">
        <v>57</v>
      </c>
      <c r="D2489">
        <v>113767404.234</v>
      </c>
      <c r="E2489" t="s">
        <v>59</v>
      </c>
    </row>
    <row r="2490" spans="1:5" x14ac:dyDescent="0.25">
      <c r="A2490" t="s">
        <v>37</v>
      </c>
      <c r="B2490">
        <v>2015</v>
      </c>
      <c r="C2490" t="s">
        <v>57</v>
      </c>
      <c r="D2490">
        <v>101762452.45900001</v>
      </c>
      <c r="E2490" t="s">
        <v>59</v>
      </c>
    </row>
    <row r="2491" spans="1:5" x14ac:dyDescent="0.25">
      <c r="A2491" t="s">
        <v>37</v>
      </c>
      <c r="B2491">
        <v>2016</v>
      </c>
      <c r="C2491" t="s">
        <v>57</v>
      </c>
      <c r="D2491">
        <v>72698682.520999998</v>
      </c>
      <c r="E2491" t="s">
        <v>59</v>
      </c>
    </row>
    <row r="2492" spans="1:5" x14ac:dyDescent="0.25">
      <c r="A2492" t="s">
        <v>37</v>
      </c>
      <c r="B2492">
        <v>2017</v>
      </c>
      <c r="C2492" t="s">
        <v>57</v>
      </c>
      <c r="D2492">
        <v>79283654.713999897</v>
      </c>
      <c r="E2492" t="s">
        <v>59</v>
      </c>
    </row>
    <row r="2493" spans="1:5" x14ac:dyDescent="0.25">
      <c r="A2493" t="s">
        <v>37</v>
      </c>
      <c r="B2493">
        <v>2018</v>
      </c>
      <c r="C2493" t="s">
        <v>57</v>
      </c>
      <c r="D2493">
        <v>92747436.813999996</v>
      </c>
      <c r="E2493" t="s">
        <v>59</v>
      </c>
    </row>
    <row r="2494" spans="1:5" x14ac:dyDescent="0.25">
      <c r="A2494" t="s">
        <v>37</v>
      </c>
      <c r="B2494">
        <v>2019</v>
      </c>
      <c r="C2494" t="s">
        <v>57</v>
      </c>
      <c r="D2494">
        <v>86538555.437999994</v>
      </c>
      <c r="E2494" t="s">
        <v>59</v>
      </c>
    </row>
    <row r="2495" spans="1:5" x14ac:dyDescent="0.25">
      <c r="A2495" t="s">
        <v>37</v>
      </c>
      <c r="B2495">
        <v>2020</v>
      </c>
      <c r="C2495" t="s">
        <v>57</v>
      </c>
      <c r="D2495">
        <v>84299185.215000004</v>
      </c>
      <c r="E2495" t="s">
        <v>59</v>
      </c>
    </row>
    <row r="2496" spans="1:5" x14ac:dyDescent="0.25">
      <c r="A2496" t="s">
        <v>37</v>
      </c>
      <c r="B2496">
        <v>2021</v>
      </c>
      <c r="C2496" t="s">
        <v>57</v>
      </c>
      <c r="D2496">
        <v>76642912.997999996</v>
      </c>
      <c r="E2496" t="s">
        <v>59</v>
      </c>
    </row>
    <row r="2497" spans="1:5" x14ac:dyDescent="0.25">
      <c r="A2497" t="s">
        <v>37</v>
      </c>
      <c r="B2497">
        <v>2022</v>
      </c>
      <c r="C2497" t="s">
        <v>57</v>
      </c>
      <c r="D2497">
        <v>74743437.721000001</v>
      </c>
      <c r="E2497" t="s">
        <v>59</v>
      </c>
    </row>
    <row r="2498" spans="1:5" x14ac:dyDescent="0.25">
      <c r="A2498" t="s">
        <v>37</v>
      </c>
      <c r="B2498">
        <v>2023</v>
      </c>
      <c r="C2498" t="s">
        <v>57</v>
      </c>
      <c r="D2498">
        <v>79555960.754999995</v>
      </c>
      <c r="E2498" t="s">
        <v>59</v>
      </c>
    </row>
    <row r="2499" spans="1:5" x14ac:dyDescent="0.25">
      <c r="A2499" t="s">
        <v>37</v>
      </c>
      <c r="B2499">
        <v>2024</v>
      </c>
      <c r="C2499" t="s">
        <v>57</v>
      </c>
      <c r="D2499">
        <v>91141576.406000003</v>
      </c>
      <c r="E2499" t="s">
        <v>59</v>
      </c>
    </row>
    <row r="2500" spans="1:5" x14ac:dyDescent="0.25">
      <c r="A2500" t="s">
        <v>37</v>
      </c>
      <c r="B2500">
        <v>2025</v>
      </c>
      <c r="C2500" t="s">
        <v>57</v>
      </c>
      <c r="D2500">
        <v>35084072.839000002</v>
      </c>
      <c r="E2500" t="s">
        <v>59</v>
      </c>
    </row>
    <row r="2501" spans="1:5" x14ac:dyDescent="0.25">
      <c r="A2501" t="s">
        <v>38</v>
      </c>
      <c r="B2501">
        <v>2003</v>
      </c>
      <c r="C2501" t="s">
        <v>57</v>
      </c>
      <c r="D2501">
        <v>65974986.1269999</v>
      </c>
      <c r="E2501" t="s">
        <v>59</v>
      </c>
    </row>
    <row r="2502" spans="1:5" x14ac:dyDescent="0.25">
      <c r="A2502" t="s">
        <v>38</v>
      </c>
      <c r="B2502">
        <v>2005</v>
      </c>
      <c r="C2502" t="s">
        <v>57</v>
      </c>
      <c r="D2502">
        <v>108291298.823</v>
      </c>
      <c r="E2502" t="s">
        <v>59</v>
      </c>
    </row>
    <row r="2503" spans="1:5" x14ac:dyDescent="0.25">
      <c r="A2503" t="s">
        <v>38</v>
      </c>
      <c r="B2503">
        <v>2006</v>
      </c>
      <c r="C2503" t="s">
        <v>57</v>
      </c>
      <c r="D2503">
        <v>128650999.809</v>
      </c>
      <c r="E2503" t="s">
        <v>59</v>
      </c>
    </row>
    <row r="2504" spans="1:5" x14ac:dyDescent="0.25">
      <c r="A2504" t="s">
        <v>38</v>
      </c>
      <c r="B2504">
        <v>2007</v>
      </c>
      <c r="C2504" t="s">
        <v>57</v>
      </c>
      <c r="D2504">
        <v>260820987.866</v>
      </c>
      <c r="E2504" t="s">
        <v>59</v>
      </c>
    </row>
    <row r="2505" spans="1:5" x14ac:dyDescent="0.25">
      <c r="A2505" t="s">
        <v>38</v>
      </c>
      <c r="B2505">
        <v>2010</v>
      </c>
      <c r="C2505" t="s">
        <v>57</v>
      </c>
      <c r="D2505">
        <v>1664553363.6830001</v>
      </c>
      <c r="E2505" t="s">
        <v>59</v>
      </c>
    </row>
    <row r="2506" spans="1:5" x14ac:dyDescent="0.25">
      <c r="A2506" t="s">
        <v>38</v>
      </c>
      <c r="B2506">
        <v>2011</v>
      </c>
      <c r="C2506" t="s">
        <v>57</v>
      </c>
      <c r="D2506">
        <v>2349768456.9029999</v>
      </c>
      <c r="E2506" t="s">
        <v>59</v>
      </c>
    </row>
    <row r="2507" spans="1:5" x14ac:dyDescent="0.25">
      <c r="A2507" t="s">
        <v>38</v>
      </c>
      <c r="B2507">
        <v>2012</v>
      </c>
      <c r="C2507" t="s">
        <v>57</v>
      </c>
      <c r="D2507">
        <v>4376972933.7799997</v>
      </c>
      <c r="E2507" t="s">
        <v>59</v>
      </c>
    </row>
    <row r="2508" spans="1:5" x14ac:dyDescent="0.25">
      <c r="A2508" t="s">
        <v>38</v>
      </c>
      <c r="B2508">
        <v>2013</v>
      </c>
      <c r="C2508" t="s">
        <v>57</v>
      </c>
      <c r="D2508">
        <v>3091804344.2049999</v>
      </c>
      <c r="E2508" t="s">
        <v>59</v>
      </c>
    </row>
    <row r="2509" spans="1:5" x14ac:dyDescent="0.25">
      <c r="A2509" t="s">
        <v>38</v>
      </c>
      <c r="B2509">
        <v>2014</v>
      </c>
      <c r="C2509" t="s">
        <v>57</v>
      </c>
      <c r="D2509">
        <v>2921464080.3470001</v>
      </c>
      <c r="E2509" t="s">
        <v>59</v>
      </c>
    </row>
    <row r="2510" spans="1:5" x14ac:dyDescent="0.25">
      <c r="A2510" t="s">
        <v>38</v>
      </c>
      <c r="B2510">
        <v>2015</v>
      </c>
      <c r="C2510" t="s">
        <v>57</v>
      </c>
      <c r="D2510">
        <v>2392500002.1529999</v>
      </c>
      <c r="E2510" t="s">
        <v>59</v>
      </c>
    </row>
    <row r="2511" spans="1:5" x14ac:dyDescent="0.25">
      <c r="A2511" t="s">
        <v>38</v>
      </c>
      <c r="B2511">
        <v>2016</v>
      </c>
      <c r="C2511" t="s">
        <v>57</v>
      </c>
      <c r="D2511">
        <v>2412623995.3070002</v>
      </c>
      <c r="E2511" t="s">
        <v>59</v>
      </c>
    </row>
    <row r="2512" spans="1:5" x14ac:dyDescent="0.25">
      <c r="A2512" t="s">
        <v>38</v>
      </c>
      <c r="B2512">
        <v>2017</v>
      </c>
      <c r="C2512" t="s">
        <v>57</v>
      </c>
      <c r="D2512">
        <v>2932554086.4749999</v>
      </c>
      <c r="E2512" t="s">
        <v>59</v>
      </c>
    </row>
    <row r="2513" spans="1:5" x14ac:dyDescent="0.25">
      <c r="A2513" t="s">
        <v>38</v>
      </c>
      <c r="B2513">
        <v>2018</v>
      </c>
      <c r="C2513" t="s">
        <v>57</v>
      </c>
      <c r="D2513">
        <v>2672821847.994</v>
      </c>
      <c r="E2513" t="s">
        <v>59</v>
      </c>
    </row>
    <row r="2514" spans="1:5" x14ac:dyDescent="0.25">
      <c r="A2514" t="s">
        <v>38</v>
      </c>
      <c r="B2514">
        <v>2019</v>
      </c>
      <c r="C2514" t="s">
        <v>57</v>
      </c>
      <c r="D2514">
        <v>2451483785.776</v>
      </c>
      <c r="E2514" t="s">
        <v>59</v>
      </c>
    </row>
    <row r="2515" spans="1:5" x14ac:dyDescent="0.25">
      <c r="A2515" t="s">
        <v>38</v>
      </c>
      <c r="B2515">
        <v>2020</v>
      </c>
      <c r="C2515" t="s">
        <v>57</v>
      </c>
      <c r="D2515">
        <v>2331385627.552</v>
      </c>
      <c r="E2515" t="s">
        <v>59</v>
      </c>
    </row>
    <row r="2516" spans="1:5" x14ac:dyDescent="0.25">
      <c r="A2516" t="s">
        <v>38</v>
      </c>
      <c r="B2516">
        <v>2021</v>
      </c>
      <c r="C2516" t="s">
        <v>57</v>
      </c>
      <c r="D2516">
        <v>2524459608.6199999</v>
      </c>
      <c r="E2516" t="s">
        <v>59</v>
      </c>
    </row>
    <row r="2517" spans="1:5" x14ac:dyDescent="0.25">
      <c r="A2517" t="s">
        <v>38</v>
      </c>
      <c r="B2517">
        <v>2022</v>
      </c>
      <c r="C2517" t="s">
        <v>57</v>
      </c>
      <c r="D2517">
        <v>3016027586.6350002</v>
      </c>
      <c r="E2517" t="s">
        <v>59</v>
      </c>
    </row>
    <row r="2518" spans="1:5" x14ac:dyDescent="0.25">
      <c r="A2518" t="s">
        <v>38</v>
      </c>
      <c r="B2518">
        <v>2023</v>
      </c>
      <c r="C2518" t="s">
        <v>57</v>
      </c>
      <c r="D2518">
        <v>2585383302.138</v>
      </c>
      <c r="E2518" t="s">
        <v>59</v>
      </c>
    </row>
    <row r="2519" spans="1:5" x14ac:dyDescent="0.25">
      <c r="A2519" t="s">
        <v>38</v>
      </c>
      <c r="B2519">
        <v>2024</v>
      </c>
      <c r="C2519" t="s">
        <v>57</v>
      </c>
      <c r="D2519">
        <v>2376905163.2010002</v>
      </c>
      <c r="E2519" t="s">
        <v>59</v>
      </c>
    </row>
    <row r="2520" spans="1:5" x14ac:dyDescent="0.25">
      <c r="A2520" t="s">
        <v>38</v>
      </c>
      <c r="B2520">
        <v>2025</v>
      </c>
      <c r="C2520" t="s">
        <v>57</v>
      </c>
      <c r="D2520">
        <v>2552740737.8390002</v>
      </c>
      <c r="E2520" t="s">
        <v>59</v>
      </c>
    </row>
    <row r="2521" spans="1:5" x14ac:dyDescent="0.25">
      <c r="A2521" t="s">
        <v>70</v>
      </c>
      <c r="B2521">
        <v>2000</v>
      </c>
      <c r="C2521" t="s">
        <v>57</v>
      </c>
      <c r="D2521">
        <v>12771248.818</v>
      </c>
      <c r="E2521" t="s">
        <v>59</v>
      </c>
    </row>
    <row r="2522" spans="1:5" x14ac:dyDescent="0.25">
      <c r="A2522" t="s">
        <v>70</v>
      </c>
      <c r="B2522">
        <v>2001</v>
      </c>
      <c r="C2522" t="s">
        <v>57</v>
      </c>
      <c r="D2522">
        <v>24162868.986000001</v>
      </c>
      <c r="E2522" t="s">
        <v>59</v>
      </c>
    </row>
    <row r="2523" spans="1:5" x14ac:dyDescent="0.25">
      <c r="A2523" t="s">
        <v>70</v>
      </c>
      <c r="B2523">
        <v>2007</v>
      </c>
      <c r="C2523" t="s">
        <v>57</v>
      </c>
      <c r="D2523">
        <v>24128578.988000002</v>
      </c>
      <c r="E2523" t="s">
        <v>59</v>
      </c>
    </row>
    <row r="2524" spans="1:5" x14ac:dyDescent="0.25">
      <c r="A2524" t="s">
        <v>70</v>
      </c>
      <c r="B2524">
        <v>2008</v>
      </c>
      <c r="C2524" t="s">
        <v>57</v>
      </c>
      <c r="D2524">
        <v>29391014.368000001</v>
      </c>
      <c r="E2524" t="s">
        <v>59</v>
      </c>
    </row>
    <row r="2525" spans="1:5" x14ac:dyDescent="0.25">
      <c r="A2525" t="s">
        <v>70</v>
      </c>
      <c r="B2525">
        <v>2021</v>
      </c>
      <c r="C2525" t="s">
        <v>57</v>
      </c>
      <c r="D2525">
        <v>21326120.679000001</v>
      </c>
      <c r="E2525" t="s">
        <v>59</v>
      </c>
    </row>
    <row r="2526" spans="1:5" x14ac:dyDescent="0.25">
      <c r="A2526" t="s">
        <v>70</v>
      </c>
      <c r="B2526">
        <v>2022</v>
      </c>
      <c r="C2526" t="s">
        <v>57</v>
      </c>
      <c r="D2526">
        <v>29043650.131999999</v>
      </c>
      <c r="E2526" t="s">
        <v>59</v>
      </c>
    </row>
    <row r="2527" spans="1:5" x14ac:dyDescent="0.25">
      <c r="A2527" t="s">
        <v>70</v>
      </c>
      <c r="B2527">
        <v>2023</v>
      </c>
      <c r="C2527" t="s">
        <v>57</v>
      </c>
      <c r="D2527">
        <v>48166368.560999997</v>
      </c>
      <c r="E2527" t="s">
        <v>59</v>
      </c>
    </row>
    <row r="2528" spans="1:5" x14ac:dyDescent="0.25">
      <c r="A2528" t="s">
        <v>69</v>
      </c>
      <c r="B2528">
        <v>2011</v>
      </c>
      <c r="C2528" t="s">
        <v>57</v>
      </c>
      <c r="D2528">
        <v>22069991.609999999</v>
      </c>
      <c r="E2528" t="s">
        <v>59</v>
      </c>
    </row>
    <row r="2529" spans="1:5" x14ac:dyDescent="0.25">
      <c r="A2529" t="s">
        <v>69</v>
      </c>
      <c r="B2529">
        <v>2012</v>
      </c>
      <c r="C2529" t="s">
        <v>57</v>
      </c>
      <c r="D2529">
        <v>105593633.236</v>
      </c>
      <c r="E2529" t="s">
        <v>59</v>
      </c>
    </row>
    <row r="2530" spans="1:5" x14ac:dyDescent="0.25">
      <c r="A2530" t="s">
        <v>69</v>
      </c>
      <c r="B2530">
        <v>2013</v>
      </c>
      <c r="C2530" t="s">
        <v>57</v>
      </c>
      <c r="D2530">
        <v>29762280.723000001</v>
      </c>
      <c r="E2530" t="s">
        <v>59</v>
      </c>
    </row>
    <row r="2531" spans="1:5" x14ac:dyDescent="0.25">
      <c r="A2531" t="s">
        <v>69</v>
      </c>
      <c r="B2531">
        <v>2014</v>
      </c>
      <c r="C2531" t="s">
        <v>57</v>
      </c>
      <c r="D2531">
        <v>23948924.934999999</v>
      </c>
      <c r="E2531" t="s">
        <v>59</v>
      </c>
    </row>
    <row r="2532" spans="1:5" x14ac:dyDescent="0.25">
      <c r="A2532" t="s">
        <v>69</v>
      </c>
      <c r="B2532">
        <v>2015</v>
      </c>
      <c r="C2532" t="s">
        <v>57</v>
      </c>
      <c r="D2532">
        <v>8355707.96</v>
      </c>
      <c r="E2532" t="s">
        <v>59</v>
      </c>
    </row>
    <row r="2533" spans="1:5" x14ac:dyDescent="0.25">
      <c r="A2533" t="s">
        <v>69</v>
      </c>
      <c r="B2533">
        <v>2016</v>
      </c>
      <c r="C2533" t="s">
        <v>57</v>
      </c>
      <c r="D2533">
        <v>6612928.4900000002</v>
      </c>
      <c r="E2533" t="s">
        <v>59</v>
      </c>
    </row>
    <row r="2534" spans="1:5" x14ac:dyDescent="0.25">
      <c r="A2534" t="s">
        <v>69</v>
      </c>
      <c r="B2534">
        <v>2017</v>
      </c>
      <c r="C2534" t="s">
        <v>57</v>
      </c>
      <c r="D2534">
        <v>22566060.967999998</v>
      </c>
      <c r="E2534" t="s">
        <v>59</v>
      </c>
    </row>
    <row r="2535" spans="1:5" x14ac:dyDescent="0.25">
      <c r="A2535" t="s">
        <v>69</v>
      </c>
      <c r="B2535">
        <v>2018</v>
      </c>
      <c r="C2535" t="s">
        <v>57</v>
      </c>
      <c r="D2535">
        <v>18920125.309999999</v>
      </c>
      <c r="E2535" t="s">
        <v>59</v>
      </c>
    </row>
    <row r="2536" spans="1:5" x14ac:dyDescent="0.25">
      <c r="A2536" t="s">
        <v>69</v>
      </c>
      <c r="B2536">
        <v>2019</v>
      </c>
      <c r="C2536" t="s">
        <v>57</v>
      </c>
      <c r="D2536">
        <v>11790226.327</v>
      </c>
      <c r="E2536" t="s">
        <v>59</v>
      </c>
    </row>
    <row r="2537" spans="1:5" x14ac:dyDescent="0.25">
      <c r="A2537" t="s">
        <v>69</v>
      </c>
      <c r="B2537">
        <v>2020</v>
      </c>
      <c r="C2537" t="s">
        <v>57</v>
      </c>
      <c r="D2537">
        <v>5011202.57</v>
      </c>
      <c r="E2537" t="s">
        <v>59</v>
      </c>
    </row>
    <row r="2538" spans="1:5" x14ac:dyDescent="0.25">
      <c r="A2538" t="s">
        <v>69</v>
      </c>
      <c r="B2538">
        <v>2021</v>
      </c>
      <c r="C2538" t="s">
        <v>57</v>
      </c>
      <c r="D2538">
        <v>7931806.5810000002</v>
      </c>
      <c r="E2538" t="s">
        <v>59</v>
      </c>
    </row>
    <row r="2539" spans="1:5" x14ac:dyDescent="0.25">
      <c r="A2539" t="s">
        <v>69</v>
      </c>
      <c r="B2539">
        <v>2022</v>
      </c>
      <c r="C2539" t="s">
        <v>57</v>
      </c>
      <c r="D2539">
        <v>14029136.140000001</v>
      </c>
      <c r="E2539" t="s">
        <v>59</v>
      </c>
    </row>
    <row r="2540" spans="1:5" x14ac:dyDescent="0.25">
      <c r="A2540" t="s">
        <v>69</v>
      </c>
      <c r="B2540">
        <v>2023</v>
      </c>
      <c r="C2540" t="s">
        <v>57</v>
      </c>
      <c r="D2540">
        <v>26841163.317000002</v>
      </c>
      <c r="E2540" t="s">
        <v>59</v>
      </c>
    </row>
    <row r="2541" spans="1:5" x14ac:dyDescent="0.25">
      <c r="A2541" t="s">
        <v>69</v>
      </c>
      <c r="B2541">
        <v>2024</v>
      </c>
      <c r="C2541" t="s">
        <v>57</v>
      </c>
      <c r="D2541">
        <v>7012608.9249999998</v>
      </c>
      <c r="E2541" t="s">
        <v>59</v>
      </c>
    </row>
    <row r="2542" spans="1:5" x14ac:dyDescent="0.25">
      <c r="A2542" t="s">
        <v>68</v>
      </c>
      <c r="B2542">
        <v>2020</v>
      </c>
      <c r="C2542" t="s">
        <v>57</v>
      </c>
      <c r="D2542">
        <v>5620397.8059999999</v>
      </c>
      <c r="E2542" t="s">
        <v>59</v>
      </c>
    </row>
    <row r="2543" spans="1:5" x14ac:dyDescent="0.25">
      <c r="A2543" t="s">
        <v>68</v>
      </c>
      <c r="B2543">
        <v>2021</v>
      </c>
      <c r="C2543" t="s">
        <v>57</v>
      </c>
      <c r="D2543">
        <v>7003404.6289999997</v>
      </c>
      <c r="E2543" t="s">
        <v>59</v>
      </c>
    </row>
    <row r="2544" spans="1:5" x14ac:dyDescent="0.25">
      <c r="A2544" t="s">
        <v>68</v>
      </c>
      <c r="B2544">
        <v>2022</v>
      </c>
      <c r="C2544" t="s">
        <v>57</v>
      </c>
      <c r="D2544">
        <v>7316205.9419999998</v>
      </c>
      <c r="E2544" t="s">
        <v>59</v>
      </c>
    </row>
    <row r="2545" spans="1:5" x14ac:dyDescent="0.25">
      <c r="A2545" t="s">
        <v>40</v>
      </c>
      <c r="B2545">
        <v>2011</v>
      </c>
      <c r="C2545" t="s">
        <v>57</v>
      </c>
      <c r="D2545">
        <v>12654042.296</v>
      </c>
      <c r="E2545" t="s">
        <v>59</v>
      </c>
    </row>
    <row r="2546" spans="1:5" x14ac:dyDescent="0.25">
      <c r="A2546" t="s">
        <v>40</v>
      </c>
      <c r="B2546">
        <v>2012</v>
      </c>
      <c r="C2546" t="s">
        <v>57</v>
      </c>
      <c r="D2546">
        <v>27043030.954</v>
      </c>
      <c r="E2546" t="s">
        <v>59</v>
      </c>
    </row>
    <row r="2547" spans="1:5" x14ac:dyDescent="0.25">
      <c r="A2547" t="s">
        <v>40</v>
      </c>
      <c r="B2547">
        <v>2013</v>
      </c>
      <c r="C2547" t="s">
        <v>57</v>
      </c>
      <c r="D2547">
        <v>31152098.831</v>
      </c>
      <c r="E2547" t="s">
        <v>59</v>
      </c>
    </row>
    <row r="2548" spans="1:5" x14ac:dyDescent="0.25">
      <c r="A2548" t="s">
        <v>40</v>
      </c>
      <c r="B2548">
        <v>2014</v>
      </c>
      <c r="C2548" t="s">
        <v>57</v>
      </c>
      <c r="D2548">
        <v>37188920.314999998</v>
      </c>
      <c r="E2548" t="s">
        <v>59</v>
      </c>
    </row>
    <row r="2549" spans="1:5" x14ac:dyDescent="0.25">
      <c r="A2549" t="s">
        <v>40</v>
      </c>
      <c r="B2549">
        <v>2015</v>
      </c>
      <c r="C2549" t="s">
        <v>57</v>
      </c>
      <c r="D2549">
        <v>24343565.602000002</v>
      </c>
      <c r="E2549" t="s">
        <v>59</v>
      </c>
    </row>
    <row r="2550" spans="1:5" x14ac:dyDescent="0.25">
      <c r="A2550" t="s">
        <v>40</v>
      </c>
      <c r="B2550">
        <v>2016</v>
      </c>
      <c r="C2550" t="s">
        <v>57</v>
      </c>
      <c r="D2550">
        <v>33826592.644000001</v>
      </c>
      <c r="E2550" t="s">
        <v>59</v>
      </c>
    </row>
    <row r="2551" spans="1:5" x14ac:dyDescent="0.25">
      <c r="A2551" t="s">
        <v>40</v>
      </c>
      <c r="B2551">
        <v>2017</v>
      </c>
      <c r="C2551" t="s">
        <v>57</v>
      </c>
      <c r="D2551">
        <v>39005590.472000003</v>
      </c>
      <c r="E2551" t="s">
        <v>59</v>
      </c>
    </row>
    <row r="2552" spans="1:5" x14ac:dyDescent="0.25">
      <c r="A2552" t="s">
        <v>40</v>
      </c>
      <c r="B2552">
        <v>2018</v>
      </c>
      <c r="C2552" t="s">
        <v>57</v>
      </c>
      <c r="D2552">
        <v>35217973.508000001</v>
      </c>
      <c r="E2552" t="s">
        <v>59</v>
      </c>
    </row>
    <row r="2553" spans="1:5" x14ac:dyDescent="0.25">
      <c r="A2553" t="s">
        <v>40</v>
      </c>
      <c r="B2553">
        <v>2019</v>
      </c>
      <c r="C2553" t="s">
        <v>57</v>
      </c>
      <c r="D2553">
        <v>32085922.131999999</v>
      </c>
      <c r="E2553" t="s">
        <v>59</v>
      </c>
    </row>
    <row r="2554" spans="1:5" x14ac:dyDescent="0.25">
      <c r="A2554" t="s">
        <v>40</v>
      </c>
      <c r="B2554">
        <v>2020</v>
      </c>
      <c r="C2554" t="s">
        <v>57</v>
      </c>
      <c r="D2554">
        <v>31543058.443999998</v>
      </c>
      <c r="E2554" t="s">
        <v>59</v>
      </c>
    </row>
    <row r="2555" spans="1:5" x14ac:dyDescent="0.25">
      <c r="A2555" t="s">
        <v>40</v>
      </c>
      <c r="B2555">
        <v>2021</v>
      </c>
      <c r="C2555" t="s">
        <v>57</v>
      </c>
      <c r="D2555">
        <v>39009084.567000002</v>
      </c>
      <c r="E2555" t="s">
        <v>59</v>
      </c>
    </row>
    <row r="2556" spans="1:5" x14ac:dyDescent="0.25">
      <c r="A2556" t="s">
        <v>40</v>
      </c>
      <c r="B2556">
        <v>2022</v>
      </c>
      <c r="C2556" t="s">
        <v>57</v>
      </c>
      <c r="D2556">
        <v>52690887.159000002</v>
      </c>
      <c r="E2556" t="s">
        <v>59</v>
      </c>
    </row>
    <row r="2557" spans="1:5" x14ac:dyDescent="0.25">
      <c r="A2557" t="s">
        <v>40</v>
      </c>
      <c r="B2557">
        <v>2023</v>
      </c>
      <c r="C2557" t="s">
        <v>57</v>
      </c>
      <c r="D2557">
        <v>47990782.122000001</v>
      </c>
      <c r="E2557" t="s">
        <v>59</v>
      </c>
    </row>
    <row r="2558" spans="1:5" x14ac:dyDescent="0.25">
      <c r="A2558" t="s">
        <v>40</v>
      </c>
      <c r="B2558">
        <v>2024</v>
      </c>
      <c r="C2558" t="s">
        <v>57</v>
      </c>
      <c r="D2558">
        <v>45520971.740999997</v>
      </c>
      <c r="E2558" t="s">
        <v>59</v>
      </c>
    </row>
    <row r="2559" spans="1:5" x14ac:dyDescent="0.25">
      <c r="A2559" t="s">
        <v>40</v>
      </c>
      <c r="B2559">
        <v>2025</v>
      </c>
      <c r="C2559" t="s">
        <v>57</v>
      </c>
      <c r="D2559">
        <v>35747670.489</v>
      </c>
      <c r="E2559" t="s">
        <v>59</v>
      </c>
    </row>
    <row r="2560" spans="1:5" x14ac:dyDescent="0.25">
      <c r="A2560" t="s">
        <v>67</v>
      </c>
      <c r="B2560">
        <v>2010</v>
      </c>
      <c r="C2560" t="s">
        <v>57</v>
      </c>
      <c r="D2560">
        <v>26347494.794</v>
      </c>
      <c r="E2560" t="s">
        <v>59</v>
      </c>
    </row>
    <row r="2561" spans="1:5" x14ac:dyDescent="0.25">
      <c r="A2561" t="s">
        <v>67</v>
      </c>
      <c r="B2561">
        <v>2011</v>
      </c>
      <c r="C2561" t="s">
        <v>57</v>
      </c>
      <c r="D2561">
        <v>43380751.291000001</v>
      </c>
      <c r="E2561" t="s">
        <v>59</v>
      </c>
    </row>
    <row r="2562" spans="1:5" x14ac:dyDescent="0.25">
      <c r="A2562" t="s">
        <v>67</v>
      </c>
      <c r="B2562">
        <v>2012</v>
      </c>
      <c r="C2562" t="s">
        <v>57</v>
      </c>
      <c r="D2562">
        <v>56893343.285999998</v>
      </c>
      <c r="E2562" t="s">
        <v>59</v>
      </c>
    </row>
    <row r="2563" spans="1:5" x14ac:dyDescent="0.25">
      <c r="A2563" t="s">
        <v>67</v>
      </c>
      <c r="B2563">
        <v>2013</v>
      </c>
      <c r="C2563" t="s">
        <v>57</v>
      </c>
      <c r="D2563">
        <v>52812134.317000002</v>
      </c>
      <c r="E2563" t="s">
        <v>59</v>
      </c>
    </row>
    <row r="2564" spans="1:5" x14ac:dyDescent="0.25">
      <c r="A2564" t="s">
        <v>67</v>
      </c>
      <c r="B2564">
        <v>2014</v>
      </c>
      <c r="C2564" t="s">
        <v>57</v>
      </c>
      <c r="D2564">
        <v>36588570.236000001</v>
      </c>
      <c r="E2564" t="s">
        <v>59</v>
      </c>
    </row>
    <row r="2565" spans="1:5" x14ac:dyDescent="0.25">
      <c r="A2565" t="s">
        <v>67</v>
      </c>
      <c r="B2565">
        <v>2015</v>
      </c>
      <c r="C2565" t="s">
        <v>57</v>
      </c>
      <c r="D2565">
        <v>33080081.322000001</v>
      </c>
      <c r="E2565" t="s">
        <v>59</v>
      </c>
    </row>
    <row r="2566" spans="1:5" x14ac:dyDescent="0.25">
      <c r="A2566" t="s">
        <v>67</v>
      </c>
      <c r="B2566">
        <v>2016</v>
      </c>
      <c r="C2566" t="s">
        <v>57</v>
      </c>
      <c r="D2566">
        <v>25842702.124000002</v>
      </c>
      <c r="E2566" t="s">
        <v>59</v>
      </c>
    </row>
    <row r="2567" spans="1:5" x14ac:dyDescent="0.25">
      <c r="A2567" t="s">
        <v>67</v>
      </c>
      <c r="B2567">
        <v>2017</v>
      </c>
      <c r="C2567" t="s">
        <v>57</v>
      </c>
      <c r="D2567">
        <v>25482222.256999999</v>
      </c>
      <c r="E2567" t="s">
        <v>59</v>
      </c>
    </row>
    <row r="2568" spans="1:5" x14ac:dyDescent="0.25">
      <c r="A2568" t="s">
        <v>67</v>
      </c>
      <c r="B2568">
        <v>2018</v>
      </c>
      <c r="C2568" t="s">
        <v>57</v>
      </c>
      <c r="D2568">
        <v>26271613.166999999</v>
      </c>
      <c r="E2568" t="s">
        <v>59</v>
      </c>
    </row>
    <row r="2569" spans="1:5" x14ac:dyDescent="0.25">
      <c r="A2569" t="s">
        <v>67</v>
      </c>
      <c r="B2569">
        <v>2019</v>
      </c>
      <c r="C2569" t="s">
        <v>57</v>
      </c>
      <c r="D2569">
        <v>28501868.701000001</v>
      </c>
      <c r="E2569" t="s">
        <v>59</v>
      </c>
    </row>
    <row r="2570" spans="1:5" x14ac:dyDescent="0.25">
      <c r="A2570" t="s">
        <v>67</v>
      </c>
      <c r="B2570">
        <v>2020</v>
      </c>
      <c r="C2570" t="s">
        <v>57</v>
      </c>
      <c r="D2570">
        <v>33854254.725000001</v>
      </c>
      <c r="E2570" t="s">
        <v>59</v>
      </c>
    </row>
    <row r="2571" spans="1:5" x14ac:dyDescent="0.25">
      <c r="A2571" t="s">
        <v>67</v>
      </c>
      <c r="B2571">
        <v>2021</v>
      </c>
      <c r="C2571" t="s">
        <v>57</v>
      </c>
      <c r="D2571">
        <v>25539172.259</v>
      </c>
      <c r="E2571" t="s">
        <v>59</v>
      </c>
    </row>
    <row r="2572" spans="1:5" x14ac:dyDescent="0.25">
      <c r="A2572" t="s">
        <v>67</v>
      </c>
      <c r="B2572">
        <v>2022</v>
      </c>
      <c r="C2572" t="s">
        <v>57</v>
      </c>
      <c r="D2572">
        <v>19400137.693999998</v>
      </c>
      <c r="E2572" t="s">
        <v>59</v>
      </c>
    </row>
    <row r="2573" spans="1:5" x14ac:dyDescent="0.25">
      <c r="A2573" t="s">
        <v>67</v>
      </c>
      <c r="B2573">
        <v>2023</v>
      </c>
      <c r="C2573" t="s">
        <v>57</v>
      </c>
      <c r="D2573">
        <v>13447409.223999999</v>
      </c>
      <c r="E2573" t="s">
        <v>59</v>
      </c>
    </row>
    <row r="2574" spans="1:5" x14ac:dyDescent="0.25">
      <c r="A2574" t="s">
        <v>67</v>
      </c>
      <c r="B2574">
        <v>2024</v>
      </c>
      <c r="C2574" t="s">
        <v>57</v>
      </c>
      <c r="D2574">
        <v>11097374.959000001</v>
      </c>
      <c r="E2574" t="s">
        <v>59</v>
      </c>
    </row>
    <row r="2575" spans="1:5" x14ac:dyDescent="0.25">
      <c r="A2575" t="s">
        <v>67</v>
      </c>
      <c r="B2575">
        <v>2025</v>
      </c>
      <c r="C2575" t="s">
        <v>57</v>
      </c>
      <c r="D2575">
        <v>10637961.823000001</v>
      </c>
      <c r="E2575" t="s">
        <v>59</v>
      </c>
    </row>
    <row r="2576" spans="1:5" x14ac:dyDescent="0.25">
      <c r="A2576" t="s">
        <v>66</v>
      </c>
      <c r="B2576">
        <v>2019</v>
      </c>
      <c r="C2576" t="s">
        <v>57</v>
      </c>
      <c r="D2576">
        <v>22231762.09</v>
      </c>
      <c r="E2576" t="s">
        <v>59</v>
      </c>
    </row>
    <row r="2577" spans="1:5" x14ac:dyDescent="0.25">
      <c r="A2577" t="s">
        <v>66</v>
      </c>
      <c r="B2577">
        <v>2020</v>
      </c>
      <c r="C2577" t="s">
        <v>57</v>
      </c>
      <c r="D2577">
        <v>27788222.329999998</v>
      </c>
      <c r="E2577" t="s">
        <v>59</v>
      </c>
    </row>
    <row r="2578" spans="1:5" x14ac:dyDescent="0.25">
      <c r="A2578" t="s">
        <v>66</v>
      </c>
      <c r="B2578">
        <v>2021</v>
      </c>
      <c r="C2578" t="s">
        <v>57</v>
      </c>
      <c r="D2578">
        <v>25214933.43</v>
      </c>
      <c r="E2578" t="s">
        <v>59</v>
      </c>
    </row>
    <row r="2579" spans="1:5" x14ac:dyDescent="0.25">
      <c r="A2579" t="s">
        <v>66</v>
      </c>
      <c r="B2579">
        <v>2022</v>
      </c>
      <c r="C2579" t="s">
        <v>57</v>
      </c>
      <c r="D2579">
        <v>34940084.329999998</v>
      </c>
      <c r="E2579" t="s">
        <v>59</v>
      </c>
    </row>
    <row r="2580" spans="1:5" x14ac:dyDescent="0.25">
      <c r="A2580" t="s">
        <v>66</v>
      </c>
      <c r="B2580">
        <v>2023</v>
      </c>
      <c r="C2580" t="s">
        <v>57</v>
      </c>
      <c r="D2580">
        <v>38919835.479999997</v>
      </c>
      <c r="E2580" t="s">
        <v>59</v>
      </c>
    </row>
    <row r="2581" spans="1:5" x14ac:dyDescent="0.25">
      <c r="A2581" t="s">
        <v>41</v>
      </c>
      <c r="B2581">
        <v>2015</v>
      </c>
      <c r="C2581" t="s">
        <v>57</v>
      </c>
      <c r="D2581">
        <v>2868340.4449999998</v>
      </c>
      <c r="E2581" t="s">
        <v>59</v>
      </c>
    </row>
    <row r="2582" spans="1:5" x14ac:dyDescent="0.25">
      <c r="A2582" t="s">
        <v>41</v>
      </c>
      <c r="B2582">
        <v>2016</v>
      </c>
      <c r="C2582" t="s">
        <v>57</v>
      </c>
      <c r="D2582">
        <v>8283362.0630000001</v>
      </c>
      <c r="E2582" t="s">
        <v>59</v>
      </c>
    </row>
    <row r="2583" spans="1:5" x14ac:dyDescent="0.25">
      <c r="A2583" t="s">
        <v>41</v>
      </c>
      <c r="B2583">
        <v>2018</v>
      </c>
      <c r="C2583" t="s">
        <v>57</v>
      </c>
      <c r="D2583">
        <v>27773838.850000001</v>
      </c>
      <c r="E2583" t="s">
        <v>59</v>
      </c>
    </row>
    <row r="2584" spans="1:5" x14ac:dyDescent="0.25">
      <c r="A2584" t="s">
        <v>41</v>
      </c>
      <c r="B2584">
        <v>2022</v>
      </c>
      <c r="C2584" t="s">
        <v>57</v>
      </c>
      <c r="D2584">
        <v>13855599.452</v>
      </c>
      <c r="E2584" t="s">
        <v>59</v>
      </c>
    </row>
    <row r="2585" spans="1:5" x14ac:dyDescent="0.25">
      <c r="A2585" t="s">
        <v>41</v>
      </c>
      <c r="B2585">
        <v>2023</v>
      </c>
      <c r="C2585" t="s">
        <v>57</v>
      </c>
      <c r="D2585">
        <v>10538475.929</v>
      </c>
      <c r="E2585" t="s">
        <v>59</v>
      </c>
    </row>
    <row r="2586" spans="1:5" x14ac:dyDescent="0.25">
      <c r="A2586" t="s">
        <v>65</v>
      </c>
      <c r="B2586">
        <v>2010</v>
      </c>
      <c r="C2586" t="s">
        <v>57</v>
      </c>
      <c r="D2586">
        <v>5405105.2759999996</v>
      </c>
      <c r="E2586" t="s">
        <v>59</v>
      </c>
    </row>
    <row r="2587" spans="1:5" x14ac:dyDescent="0.25">
      <c r="A2587" t="s">
        <v>65</v>
      </c>
      <c r="B2587">
        <v>2011</v>
      </c>
      <c r="C2587" t="s">
        <v>57</v>
      </c>
      <c r="D2587">
        <v>5305073.0290000001</v>
      </c>
      <c r="E2587" t="s">
        <v>59</v>
      </c>
    </row>
    <row r="2588" spans="1:5" x14ac:dyDescent="0.25">
      <c r="A2588" t="s">
        <v>65</v>
      </c>
      <c r="B2588">
        <v>2012</v>
      </c>
      <c r="C2588" t="s">
        <v>57</v>
      </c>
      <c r="D2588">
        <v>8935396.3829999994</v>
      </c>
      <c r="E2588" t="s">
        <v>59</v>
      </c>
    </row>
    <row r="2589" spans="1:5" x14ac:dyDescent="0.25">
      <c r="A2589" t="s">
        <v>65</v>
      </c>
      <c r="B2589">
        <v>2013</v>
      </c>
      <c r="C2589" t="s">
        <v>57</v>
      </c>
      <c r="D2589">
        <v>3255866.5950000002</v>
      </c>
      <c r="E2589" t="s">
        <v>59</v>
      </c>
    </row>
    <row r="2590" spans="1:5" x14ac:dyDescent="0.25">
      <c r="A2590" t="s">
        <v>65</v>
      </c>
      <c r="B2590">
        <v>2014</v>
      </c>
      <c r="C2590" t="s">
        <v>57</v>
      </c>
      <c r="D2590">
        <v>11436583.987</v>
      </c>
      <c r="E2590" t="s">
        <v>59</v>
      </c>
    </row>
    <row r="2591" spans="1:5" x14ac:dyDescent="0.25">
      <c r="A2591" t="s">
        <v>65</v>
      </c>
      <c r="B2591">
        <v>2015</v>
      </c>
      <c r="C2591" t="s">
        <v>57</v>
      </c>
      <c r="D2591">
        <v>5876263.4539999999</v>
      </c>
      <c r="E2591" t="s">
        <v>59</v>
      </c>
    </row>
    <row r="2592" spans="1:5" x14ac:dyDescent="0.25">
      <c r="A2592" t="s">
        <v>65</v>
      </c>
      <c r="B2592">
        <v>2016</v>
      </c>
      <c r="C2592" t="s">
        <v>57</v>
      </c>
      <c r="D2592">
        <v>7709067.7939999998</v>
      </c>
      <c r="E2592" t="s">
        <v>59</v>
      </c>
    </row>
    <row r="2593" spans="1:5" x14ac:dyDescent="0.25">
      <c r="A2593" t="s">
        <v>65</v>
      </c>
      <c r="B2593">
        <v>2019</v>
      </c>
      <c r="C2593" t="s">
        <v>57</v>
      </c>
      <c r="D2593">
        <v>9696908.8279999997</v>
      </c>
      <c r="E2593" t="s">
        <v>59</v>
      </c>
    </row>
    <row r="2594" spans="1:5" x14ac:dyDescent="0.25">
      <c r="A2594" t="s">
        <v>65</v>
      </c>
      <c r="B2594">
        <v>2020</v>
      </c>
      <c r="C2594" t="s">
        <v>57</v>
      </c>
      <c r="D2594">
        <v>3338643.3569999998</v>
      </c>
      <c r="E2594" t="s">
        <v>59</v>
      </c>
    </row>
    <row r="2595" spans="1:5" x14ac:dyDescent="0.25">
      <c r="A2595" t="s">
        <v>65</v>
      </c>
      <c r="B2595">
        <v>2023</v>
      </c>
      <c r="C2595" t="s">
        <v>57</v>
      </c>
      <c r="D2595">
        <v>12208681.499</v>
      </c>
      <c r="E2595" t="s">
        <v>59</v>
      </c>
    </row>
    <row r="2596" spans="1:5" x14ac:dyDescent="0.25">
      <c r="A2596" t="s">
        <v>65</v>
      </c>
      <c r="B2596">
        <v>2024</v>
      </c>
      <c r="C2596" t="s">
        <v>57</v>
      </c>
      <c r="D2596">
        <v>16997139.964000002</v>
      </c>
      <c r="E2596" t="s">
        <v>59</v>
      </c>
    </row>
    <row r="2597" spans="1:5" x14ac:dyDescent="0.25">
      <c r="A2597" t="s">
        <v>65</v>
      </c>
      <c r="B2597">
        <v>2025</v>
      </c>
      <c r="C2597" t="s">
        <v>57</v>
      </c>
      <c r="D2597">
        <v>10250815.347999999</v>
      </c>
      <c r="E2597" t="s">
        <v>59</v>
      </c>
    </row>
    <row r="2598" spans="1:5" x14ac:dyDescent="0.25">
      <c r="A2598" t="s">
        <v>64</v>
      </c>
      <c r="B2598">
        <v>2010</v>
      </c>
      <c r="C2598" t="s">
        <v>57</v>
      </c>
      <c r="D2598">
        <v>12953270</v>
      </c>
      <c r="E2598" t="s">
        <v>59</v>
      </c>
    </row>
    <row r="2599" spans="1:5" x14ac:dyDescent="0.25">
      <c r="A2599" t="s">
        <v>64</v>
      </c>
      <c r="B2599">
        <v>2011</v>
      </c>
      <c r="C2599" t="s">
        <v>57</v>
      </c>
      <c r="D2599">
        <v>5500141</v>
      </c>
      <c r="E2599" t="s">
        <v>59</v>
      </c>
    </row>
    <row r="2600" spans="1:5" x14ac:dyDescent="0.25">
      <c r="A2600" t="s">
        <v>64</v>
      </c>
      <c r="B2600">
        <v>2012</v>
      </c>
      <c r="C2600" t="s">
        <v>57</v>
      </c>
      <c r="D2600">
        <v>6997003</v>
      </c>
      <c r="E2600" t="s">
        <v>59</v>
      </c>
    </row>
    <row r="2601" spans="1:5" x14ac:dyDescent="0.25">
      <c r="A2601" t="s">
        <v>64</v>
      </c>
      <c r="B2601">
        <v>2013</v>
      </c>
      <c r="C2601" t="s">
        <v>57</v>
      </c>
      <c r="D2601">
        <v>6211250</v>
      </c>
      <c r="E2601" t="s">
        <v>59</v>
      </c>
    </row>
    <row r="2602" spans="1:5" x14ac:dyDescent="0.25">
      <c r="A2602" t="s">
        <v>64</v>
      </c>
      <c r="B2602">
        <v>2014</v>
      </c>
      <c r="C2602" t="s">
        <v>57</v>
      </c>
      <c r="D2602">
        <v>7217008</v>
      </c>
      <c r="E2602" t="s">
        <v>59</v>
      </c>
    </row>
    <row r="2603" spans="1:5" x14ac:dyDescent="0.25">
      <c r="A2603" t="s">
        <v>64</v>
      </c>
      <c r="B2603">
        <v>2015</v>
      </c>
      <c r="C2603" t="s">
        <v>57</v>
      </c>
      <c r="D2603">
        <v>6385054</v>
      </c>
      <c r="E2603" t="s">
        <v>59</v>
      </c>
    </row>
    <row r="2604" spans="1:5" x14ac:dyDescent="0.25">
      <c r="A2604" t="s">
        <v>64</v>
      </c>
      <c r="B2604">
        <v>2016</v>
      </c>
      <c r="C2604" t="s">
        <v>57</v>
      </c>
      <c r="D2604">
        <v>11229026</v>
      </c>
      <c r="E2604" t="s">
        <v>59</v>
      </c>
    </row>
    <row r="2605" spans="1:5" x14ac:dyDescent="0.25">
      <c r="A2605" t="s">
        <v>64</v>
      </c>
      <c r="B2605">
        <v>2017</v>
      </c>
      <c r="C2605" t="s">
        <v>57</v>
      </c>
      <c r="D2605">
        <v>6261956</v>
      </c>
      <c r="E2605" t="s">
        <v>59</v>
      </c>
    </row>
    <row r="2606" spans="1:5" x14ac:dyDescent="0.25">
      <c r="A2606" t="s">
        <v>64</v>
      </c>
      <c r="B2606">
        <v>2018</v>
      </c>
      <c r="C2606" t="s">
        <v>57</v>
      </c>
      <c r="D2606">
        <v>16163648</v>
      </c>
      <c r="E2606" t="s">
        <v>59</v>
      </c>
    </row>
    <row r="2607" spans="1:5" x14ac:dyDescent="0.25">
      <c r="A2607" t="s">
        <v>64</v>
      </c>
      <c r="B2607">
        <v>2019</v>
      </c>
      <c r="C2607" t="s">
        <v>57</v>
      </c>
      <c r="D2607">
        <v>10714054</v>
      </c>
      <c r="E2607" t="s">
        <v>59</v>
      </c>
    </row>
    <row r="2608" spans="1:5" x14ac:dyDescent="0.25">
      <c r="A2608" t="s">
        <v>64</v>
      </c>
      <c r="B2608">
        <v>2020</v>
      </c>
      <c r="C2608" t="s">
        <v>57</v>
      </c>
      <c r="D2608">
        <v>16043482</v>
      </c>
      <c r="E2608" t="s">
        <v>59</v>
      </c>
    </row>
    <row r="2609" spans="1:5" x14ac:dyDescent="0.25">
      <c r="A2609" t="s">
        <v>64</v>
      </c>
      <c r="B2609">
        <v>2021</v>
      </c>
      <c r="C2609" t="s">
        <v>57</v>
      </c>
      <c r="D2609">
        <v>13830475</v>
      </c>
      <c r="E2609" t="s">
        <v>59</v>
      </c>
    </row>
    <row r="2610" spans="1:5" x14ac:dyDescent="0.25">
      <c r="A2610" t="s">
        <v>64</v>
      </c>
      <c r="B2610">
        <v>2022</v>
      </c>
      <c r="C2610" t="s">
        <v>57</v>
      </c>
      <c r="D2610">
        <v>16115345</v>
      </c>
      <c r="E2610" t="s">
        <v>59</v>
      </c>
    </row>
    <row r="2611" spans="1:5" x14ac:dyDescent="0.25">
      <c r="A2611" t="s">
        <v>64</v>
      </c>
      <c r="B2611">
        <v>2023</v>
      </c>
      <c r="C2611" t="s">
        <v>57</v>
      </c>
      <c r="D2611">
        <v>14701272</v>
      </c>
      <c r="E2611" t="s">
        <v>59</v>
      </c>
    </row>
    <row r="2612" spans="1:5" x14ac:dyDescent="0.25">
      <c r="A2612" t="s">
        <v>64</v>
      </c>
      <c r="B2612">
        <v>2024</v>
      </c>
      <c r="C2612" t="s">
        <v>57</v>
      </c>
      <c r="D2612">
        <v>21979117</v>
      </c>
      <c r="E2612" t="s">
        <v>59</v>
      </c>
    </row>
    <row r="2613" spans="1:5" x14ac:dyDescent="0.25">
      <c r="A2613" t="s">
        <v>64</v>
      </c>
      <c r="B2613">
        <v>2025</v>
      </c>
      <c r="C2613" t="s">
        <v>57</v>
      </c>
      <c r="D2613">
        <v>36218865</v>
      </c>
      <c r="E2613" t="s">
        <v>59</v>
      </c>
    </row>
    <row r="2614" spans="1:5" x14ac:dyDescent="0.25">
      <c r="A2614" t="s">
        <v>42</v>
      </c>
      <c r="B2614">
        <v>2016</v>
      </c>
      <c r="C2614" t="s">
        <v>57</v>
      </c>
      <c r="D2614">
        <v>15080299.220000001</v>
      </c>
      <c r="E2614" t="s">
        <v>59</v>
      </c>
    </row>
    <row r="2615" spans="1:5" x14ac:dyDescent="0.25">
      <c r="A2615" t="s">
        <v>42</v>
      </c>
      <c r="B2615">
        <v>2017</v>
      </c>
      <c r="C2615" t="s">
        <v>57</v>
      </c>
      <c r="D2615">
        <v>14182672.619999999</v>
      </c>
      <c r="E2615" t="s">
        <v>59</v>
      </c>
    </row>
    <row r="2616" spans="1:5" x14ac:dyDescent="0.25">
      <c r="A2616" t="s">
        <v>42</v>
      </c>
      <c r="B2616">
        <v>2018</v>
      </c>
      <c r="C2616" t="s">
        <v>57</v>
      </c>
      <c r="D2616">
        <v>3118502.37</v>
      </c>
      <c r="E2616" t="s">
        <v>59</v>
      </c>
    </row>
    <row r="2617" spans="1:5" x14ac:dyDescent="0.25">
      <c r="A2617" t="s">
        <v>42</v>
      </c>
      <c r="B2617">
        <v>2024</v>
      </c>
      <c r="C2617" t="s">
        <v>57</v>
      </c>
      <c r="D2617">
        <v>3212743.96</v>
      </c>
      <c r="E2617" t="s">
        <v>59</v>
      </c>
    </row>
    <row r="2618" spans="1:5" x14ac:dyDescent="0.25">
      <c r="A2618" t="s">
        <v>42</v>
      </c>
      <c r="B2618">
        <v>2025</v>
      </c>
      <c r="C2618" t="s">
        <v>57</v>
      </c>
      <c r="D2618">
        <v>1568775.14</v>
      </c>
      <c r="E2618" t="s">
        <v>59</v>
      </c>
    </row>
    <row r="2619" spans="1:5" x14ac:dyDescent="0.25">
      <c r="A2619" t="s">
        <v>43</v>
      </c>
      <c r="B2619">
        <v>2010</v>
      </c>
      <c r="C2619" t="s">
        <v>57</v>
      </c>
      <c r="D2619">
        <v>104050419</v>
      </c>
      <c r="E2619" t="s">
        <v>59</v>
      </c>
    </row>
    <row r="2620" spans="1:5" x14ac:dyDescent="0.25">
      <c r="A2620" t="s">
        <v>43</v>
      </c>
      <c r="B2620">
        <v>2011</v>
      </c>
      <c r="C2620" t="s">
        <v>57</v>
      </c>
      <c r="D2620">
        <v>82632511</v>
      </c>
      <c r="E2620" t="s">
        <v>59</v>
      </c>
    </row>
    <row r="2621" spans="1:5" x14ac:dyDescent="0.25">
      <c r="A2621" t="s">
        <v>43</v>
      </c>
      <c r="B2621">
        <v>2012</v>
      </c>
      <c r="C2621" t="s">
        <v>57</v>
      </c>
      <c r="D2621">
        <v>106455739</v>
      </c>
      <c r="E2621" t="s">
        <v>59</v>
      </c>
    </row>
    <row r="2622" spans="1:5" x14ac:dyDescent="0.25">
      <c r="A2622" t="s">
        <v>43</v>
      </c>
      <c r="B2622">
        <v>2013</v>
      </c>
      <c r="C2622" t="s">
        <v>57</v>
      </c>
      <c r="D2622">
        <v>99249006</v>
      </c>
      <c r="E2622" t="s">
        <v>59</v>
      </c>
    </row>
    <row r="2623" spans="1:5" x14ac:dyDescent="0.25">
      <c r="A2623" t="s">
        <v>43</v>
      </c>
      <c r="B2623">
        <v>2014</v>
      </c>
      <c r="C2623" t="s">
        <v>57</v>
      </c>
      <c r="D2623">
        <v>89817526</v>
      </c>
      <c r="E2623" t="s">
        <v>59</v>
      </c>
    </row>
    <row r="2624" spans="1:5" x14ac:dyDescent="0.25">
      <c r="A2624" t="s">
        <v>43</v>
      </c>
      <c r="B2624">
        <v>2015</v>
      </c>
      <c r="C2624" t="s">
        <v>57</v>
      </c>
      <c r="D2624">
        <v>56902728</v>
      </c>
      <c r="E2624" t="s">
        <v>59</v>
      </c>
    </row>
    <row r="2625" spans="1:5" x14ac:dyDescent="0.25">
      <c r="A2625" t="s">
        <v>43</v>
      </c>
      <c r="B2625">
        <v>2016</v>
      </c>
      <c r="C2625" t="s">
        <v>57</v>
      </c>
      <c r="D2625">
        <v>66299911</v>
      </c>
      <c r="E2625" t="s">
        <v>59</v>
      </c>
    </row>
    <row r="2626" spans="1:5" x14ac:dyDescent="0.25">
      <c r="A2626" t="s">
        <v>43</v>
      </c>
      <c r="B2626">
        <v>2017</v>
      </c>
      <c r="C2626" t="s">
        <v>57</v>
      </c>
      <c r="D2626">
        <v>115074747</v>
      </c>
      <c r="E2626" t="s">
        <v>59</v>
      </c>
    </row>
    <row r="2627" spans="1:5" x14ac:dyDescent="0.25">
      <c r="A2627" t="s">
        <v>43</v>
      </c>
      <c r="B2627">
        <v>2018</v>
      </c>
      <c r="C2627" t="s">
        <v>57</v>
      </c>
      <c r="D2627">
        <v>125069271</v>
      </c>
      <c r="E2627" t="s">
        <v>59</v>
      </c>
    </row>
    <row r="2628" spans="1:5" x14ac:dyDescent="0.25">
      <c r="A2628" t="s">
        <v>43</v>
      </c>
      <c r="B2628">
        <v>2019</v>
      </c>
      <c r="C2628" t="s">
        <v>57</v>
      </c>
      <c r="D2628">
        <v>116237204</v>
      </c>
      <c r="E2628" t="s">
        <v>59</v>
      </c>
    </row>
    <row r="2629" spans="1:5" x14ac:dyDescent="0.25">
      <c r="A2629" t="s">
        <v>43</v>
      </c>
      <c r="B2629">
        <v>2021</v>
      </c>
      <c r="C2629" t="s">
        <v>57</v>
      </c>
      <c r="D2629">
        <v>41613587</v>
      </c>
      <c r="E2629" t="s">
        <v>59</v>
      </c>
    </row>
    <row r="2630" spans="1:5" x14ac:dyDescent="0.25">
      <c r="A2630" t="s">
        <v>43</v>
      </c>
      <c r="B2630">
        <v>2022</v>
      </c>
      <c r="C2630" t="s">
        <v>57</v>
      </c>
      <c r="D2630">
        <v>60505273</v>
      </c>
      <c r="E2630" t="s">
        <v>59</v>
      </c>
    </row>
    <row r="2631" spans="1:5" x14ac:dyDescent="0.25">
      <c r="A2631" t="s">
        <v>43</v>
      </c>
      <c r="B2631">
        <v>2023</v>
      </c>
      <c r="C2631" t="s">
        <v>57</v>
      </c>
      <c r="D2631">
        <v>75766709</v>
      </c>
      <c r="E2631" t="s">
        <v>59</v>
      </c>
    </row>
    <row r="2632" spans="1:5" x14ac:dyDescent="0.25">
      <c r="A2632" t="s">
        <v>43</v>
      </c>
      <c r="B2632">
        <v>2024</v>
      </c>
      <c r="C2632" t="s">
        <v>57</v>
      </c>
      <c r="D2632">
        <v>63306050</v>
      </c>
      <c r="E2632" t="s">
        <v>59</v>
      </c>
    </row>
    <row r="2633" spans="1:5" x14ac:dyDescent="0.25">
      <c r="A2633" t="s">
        <v>43</v>
      </c>
      <c r="B2633">
        <v>2025</v>
      </c>
      <c r="C2633" t="s">
        <v>57</v>
      </c>
      <c r="D2633">
        <v>43307931</v>
      </c>
      <c r="E2633" t="s">
        <v>59</v>
      </c>
    </row>
    <row r="2634" spans="1:5" x14ac:dyDescent="0.25">
      <c r="A2634" t="s">
        <v>44</v>
      </c>
      <c r="B2634">
        <v>2010</v>
      </c>
      <c r="C2634" t="s">
        <v>57</v>
      </c>
      <c r="D2634">
        <v>19900172.602000002</v>
      </c>
      <c r="E2634" t="s">
        <v>59</v>
      </c>
    </row>
    <row r="2635" spans="1:5" x14ac:dyDescent="0.25">
      <c r="A2635" t="s">
        <v>44</v>
      </c>
      <c r="B2635">
        <v>2011</v>
      </c>
      <c r="C2635" t="s">
        <v>57</v>
      </c>
      <c r="D2635">
        <v>27674479.568999998</v>
      </c>
      <c r="E2635" t="s">
        <v>59</v>
      </c>
    </row>
    <row r="2636" spans="1:5" x14ac:dyDescent="0.25">
      <c r="A2636" t="s">
        <v>44</v>
      </c>
      <c r="B2636">
        <v>2012</v>
      </c>
      <c r="C2636" t="s">
        <v>57</v>
      </c>
      <c r="D2636">
        <v>33231041.635000002</v>
      </c>
      <c r="E2636" t="s">
        <v>59</v>
      </c>
    </row>
    <row r="2637" spans="1:5" x14ac:dyDescent="0.25">
      <c r="A2637" t="s">
        <v>44</v>
      </c>
      <c r="B2637">
        <v>2013</v>
      </c>
      <c r="C2637" t="s">
        <v>57</v>
      </c>
      <c r="D2637">
        <v>46098513.969999999</v>
      </c>
      <c r="E2637" t="s">
        <v>59</v>
      </c>
    </row>
    <row r="2638" spans="1:5" x14ac:dyDescent="0.25">
      <c r="A2638" t="s">
        <v>44</v>
      </c>
      <c r="B2638">
        <v>2014</v>
      </c>
      <c r="C2638" t="s">
        <v>57</v>
      </c>
      <c r="D2638">
        <v>60045516.784000002</v>
      </c>
      <c r="E2638" t="s">
        <v>59</v>
      </c>
    </row>
    <row r="2639" spans="1:5" x14ac:dyDescent="0.25">
      <c r="A2639" t="s">
        <v>44</v>
      </c>
      <c r="B2639">
        <v>2015</v>
      </c>
      <c r="C2639" t="s">
        <v>57</v>
      </c>
      <c r="D2639">
        <v>38954647.579999998</v>
      </c>
      <c r="E2639" t="s">
        <v>59</v>
      </c>
    </row>
    <row r="2640" spans="1:5" x14ac:dyDescent="0.25">
      <c r="A2640" t="s">
        <v>44</v>
      </c>
      <c r="B2640">
        <v>2016</v>
      </c>
      <c r="C2640" t="s">
        <v>57</v>
      </c>
      <c r="D2640">
        <v>30698594.085000001</v>
      </c>
      <c r="E2640" t="s">
        <v>59</v>
      </c>
    </row>
    <row r="2641" spans="1:5" x14ac:dyDescent="0.25">
      <c r="A2641" t="s">
        <v>44</v>
      </c>
      <c r="B2641">
        <v>2017</v>
      </c>
      <c r="C2641" t="s">
        <v>57</v>
      </c>
      <c r="D2641">
        <v>35775176.538999997</v>
      </c>
      <c r="E2641" t="s">
        <v>59</v>
      </c>
    </row>
    <row r="2642" spans="1:5" x14ac:dyDescent="0.25">
      <c r="A2642" t="s">
        <v>44</v>
      </c>
      <c r="B2642">
        <v>2018</v>
      </c>
      <c r="C2642" t="s">
        <v>57</v>
      </c>
      <c r="D2642">
        <v>39915729.880999997</v>
      </c>
      <c r="E2642" t="s">
        <v>59</v>
      </c>
    </row>
    <row r="2643" spans="1:5" x14ac:dyDescent="0.25">
      <c r="A2643" t="s">
        <v>44</v>
      </c>
      <c r="B2643">
        <v>2019</v>
      </c>
      <c r="C2643" t="s">
        <v>57</v>
      </c>
      <c r="D2643">
        <v>37856235.717</v>
      </c>
      <c r="E2643" t="s">
        <v>59</v>
      </c>
    </row>
    <row r="2644" spans="1:5" x14ac:dyDescent="0.25">
      <c r="A2644" t="s">
        <v>44</v>
      </c>
      <c r="B2644">
        <v>2020</v>
      </c>
      <c r="C2644" t="s">
        <v>57</v>
      </c>
      <c r="D2644">
        <v>23759531.295000002</v>
      </c>
      <c r="E2644" t="s">
        <v>59</v>
      </c>
    </row>
    <row r="2645" spans="1:5" x14ac:dyDescent="0.25">
      <c r="A2645" t="s">
        <v>44</v>
      </c>
      <c r="B2645">
        <v>2021</v>
      </c>
      <c r="C2645" t="s">
        <v>57</v>
      </c>
      <c r="D2645">
        <v>42103849.340000004</v>
      </c>
      <c r="E2645" t="s">
        <v>59</v>
      </c>
    </row>
    <row r="2646" spans="1:5" x14ac:dyDescent="0.25">
      <c r="A2646" t="s">
        <v>44</v>
      </c>
      <c r="B2646">
        <v>2022</v>
      </c>
      <c r="C2646" t="s">
        <v>57</v>
      </c>
      <c r="D2646">
        <v>57026251.586999997</v>
      </c>
      <c r="E2646" t="s">
        <v>59</v>
      </c>
    </row>
    <row r="2647" spans="1:5" x14ac:dyDescent="0.25">
      <c r="A2647" t="s">
        <v>44</v>
      </c>
      <c r="B2647">
        <v>2023</v>
      </c>
      <c r="C2647" t="s">
        <v>57</v>
      </c>
      <c r="D2647">
        <v>74439443.638999999</v>
      </c>
      <c r="E2647" t="s">
        <v>59</v>
      </c>
    </row>
    <row r="2648" spans="1:5" x14ac:dyDescent="0.25">
      <c r="A2648" t="s">
        <v>44</v>
      </c>
      <c r="B2648">
        <v>2024</v>
      </c>
      <c r="C2648" t="s">
        <v>57</v>
      </c>
      <c r="D2648">
        <v>88065028.334000006</v>
      </c>
      <c r="E2648" t="s">
        <v>59</v>
      </c>
    </row>
    <row r="2649" spans="1:5" x14ac:dyDescent="0.25">
      <c r="A2649" t="s">
        <v>44</v>
      </c>
      <c r="B2649">
        <v>2025</v>
      </c>
      <c r="C2649" t="s">
        <v>57</v>
      </c>
      <c r="D2649">
        <v>102487638.465</v>
      </c>
      <c r="E2649" t="s">
        <v>59</v>
      </c>
    </row>
    <row r="2650" spans="1:5" x14ac:dyDescent="0.25">
      <c r="A2650" t="s">
        <v>45</v>
      </c>
      <c r="B2650">
        <v>2015</v>
      </c>
      <c r="C2650" t="s">
        <v>57</v>
      </c>
      <c r="D2650">
        <v>448401485</v>
      </c>
      <c r="E2650" t="s">
        <v>59</v>
      </c>
    </row>
    <row r="2651" spans="1:5" x14ac:dyDescent="0.25">
      <c r="A2651" t="s">
        <v>45</v>
      </c>
      <c r="B2651">
        <v>2016</v>
      </c>
      <c r="C2651" t="s">
        <v>57</v>
      </c>
      <c r="D2651">
        <v>530452203</v>
      </c>
      <c r="E2651" t="s">
        <v>59</v>
      </c>
    </row>
    <row r="2652" spans="1:5" x14ac:dyDescent="0.25">
      <c r="A2652" t="s">
        <v>45</v>
      </c>
      <c r="B2652">
        <v>2017</v>
      </c>
      <c r="C2652" t="s">
        <v>57</v>
      </c>
      <c r="D2652">
        <v>578813697</v>
      </c>
      <c r="E2652" t="s">
        <v>59</v>
      </c>
    </row>
    <row r="2653" spans="1:5" x14ac:dyDescent="0.25">
      <c r="A2653" t="s">
        <v>45</v>
      </c>
      <c r="B2653">
        <v>2018</v>
      </c>
      <c r="C2653" t="s">
        <v>57</v>
      </c>
      <c r="D2653">
        <v>567755169</v>
      </c>
      <c r="E2653" t="s">
        <v>59</v>
      </c>
    </row>
    <row r="2654" spans="1:5" x14ac:dyDescent="0.25">
      <c r="A2654" t="s">
        <v>45</v>
      </c>
      <c r="B2654">
        <v>2019</v>
      </c>
      <c r="C2654" t="s">
        <v>57</v>
      </c>
      <c r="D2654">
        <v>517276604</v>
      </c>
      <c r="E2654" t="s">
        <v>59</v>
      </c>
    </row>
    <row r="2655" spans="1:5" x14ac:dyDescent="0.25">
      <c r="A2655" t="s">
        <v>45</v>
      </c>
      <c r="B2655">
        <v>2020</v>
      </c>
      <c r="C2655" t="s">
        <v>57</v>
      </c>
      <c r="D2655">
        <v>475291067</v>
      </c>
      <c r="E2655" t="s">
        <v>59</v>
      </c>
    </row>
    <row r="2656" spans="1:5" x14ac:dyDescent="0.25">
      <c r="A2656" t="s">
        <v>45</v>
      </c>
      <c r="B2656">
        <v>2021</v>
      </c>
      <c r="C2656" t="s">
        <v>57</v>
      </c>
      <c r="D2656">
        <v>517799580</v>
      </c>
      <c r="E2656" t="s">
        <v>59</v>
      </c>
    </row>
    <row r="2657" spans="1:5" x14ac:dyDescent="0.25">
      <c r="A2657" t="s">
        <v>45</v>
      </c>
      <c r="B2657">
        <v>2022</v>
      </c>
      <c r="C2657" t="s">
        <v>57</v>
      </c>
      <c r="D2657">
        <v>544906966</v>
      </c>
      <c r="E2657" t="s">
        <v>59</v>
      </c>
    </row>
    <row r="2658" spans="1:5" x14ac:dyDescent="0.25">
      <c r="A2658" t="s">
        <v>45</v>
      </c>
      <c r="B2658">
        <v>2023</v>
      </c>
      <c r="C2658" t="s">
        <v>57</v>
      </c>
      <c r="D2658">
        <v>517083689</v>
      </c>
      <c r="E2658" t="s">
        <v>59</v>
      </c>
    </row>
    <row r="2659" spans="1:5" x14ac:dyDescent="0.25">
      <c r="A2659" t="s">
        <v>45</v>
      </c>
      <c r="B2659">
        <v>2024</v>
      </c>
      <c r="C2659" t="s">
        <v>57</v>
      </c>
      <c r="D2659">
        <v>543319746</v>
      </c>
      <c r="E2659" t="s">
        <v>59</v>
      </c>
    </row>
    <row r="2660" spans="1:5" x14ac:dyDescent="0.25">
      <c r="A2660" t="s">
        <v>63</v>
      </c>
      <c r="B2660">
        <v>2018</v>
      </c>
      <c r="C2660" t="s">
        <v>57</v>
      </c>
      <c r="D2660">
        <v>5846626.5209999997</v>
      </c>
      <c r="E2660" t="s">
        <v>59</v>
      </c>
    </row>
    <row r="2661" spans="1:5" x14ac:dyDescent="0.25">
      <c r="A2661" t="s">
        <v>46</v>
      </c>
      <c r="B2661">
        <v>2010</v>
      </c>
      <c r="C2661" t="s">
        <v>57</v>
      </c>
      <c r="D2661">
        <v>12039186.563999999</v>
      </c>
      <c r="E2661" t="s">
        <v>59</v>
      </c>
    </row>
    <row r="2662" spans="1:5" x14ac:dyDescent="0.25">
      <c r="A2662" t="s">
        <v>46</v>
      </c>
      <c r="B2662">
        <v>2011</v>
      </c>
      <c r="C2662" t="s">
        <v>57</v>
      </c>
      <c r="D2662">
        <v>19179579.833000001</v>
      </c>
      <c r="E2662" t="s">
        <v>59</v>
      </c>
    </row>
    <row r="2663" spans="1:5" x14ac:dyDescent="0.25">
      <c r="A2663" t="s">
        <v>46</v>
      </c>
      <c r="B2663">
        <v>2012</v>
      </c>
      <c r="C2663" t="s">
        <v>57</v>
      </c>
      <c r="D2663">
        <v>9485475.0879999995</v>
      </c>
      <c r="E2663" t="s">
        <v>59</v>
      </c>
    </row>
    <row r="2664" spans="1:5" x14ac:dyDescent="0.25">
      <c r="A2664" t="s">
        <v>46</v>
      </c>
      <c r="B2664">
        <v>2013</v>
      </c>
      <c r="C2664" t="s">
        <v>57</v>
      </c>
      <c r="D2664">
        <v>26127218.456</v>
      </c>
      <c r="E2664" t="s">
        <v>59</v>
      </c>
    </row>
    <row r="2665" spans="1:5" x14ac:dyDescent="0.25">
      <c r="A2665" t="s">
        <v>46</v>
      </c>
      <c r="B2665">
        <v>2014</v>
      </c>
      <c r="C2665" t="s">
        <v>57</v>
      </c>
      <c r="D2665">
        <v>6075378.2429999998</v>
      </c>
      <c r="E2665" t="s">
        <v>59</v>
      </c>
    </row>
    <row r="2666" spans="1:5" x14ac:dyDescent="0.25">
      <c r="A2666" t="s">
        <v>46</v>
      </c>
      <c r="B2666">
        <v>2015</v>
      </c>
      <c r="C2666" t="s">
        <v>57</v>
      </c>
      <c r="D2666">
        <v>7746930.9460000005</v>
      </c>
      <c r="E2666" t="s">
        <v>59</v>
      </c>
    </row>
    <row r="2667" spans="1:5" x14ac:dyDescent="0.25">
      <c r="A2667" t="s">
        <v>46</v>
      </c>
      <c r="B2667">
        <v>2016</v>
      </c>
      <c r="C2667" t="s">
        <v>57</v>
      </c>
      <c r="D2667">
        <v>28623256.811999999</v>
      </c>
      <c r="E2667" t="s">
        <v>59</v>
      </c>
    </row>
    <row r="2668" spans="1:5" x14ac:dyDescent="0.25">
      <c r="A2668" t="s">
        <v>46</v>
      </c>
      <c r="B2668">
        <v>2017</v>
      </c>
      <c r="C2668" t="s">
        <v>57</v>
      </c>
      <c r="D2668">
        <v>45369342.744999997</v>
      </c>
      <c r="E2668" t="s">
        <v>59</v>
      </c>
    </row>
    <row r="2669" spans="1:5" x14ac:dyDescent="0.25">
      <c r="A2669" t="s">
        <v>46</v>
      </c>
      <c r="B2669">
        <v>2018</v>
      </c>
      <c r="C2669" t="s">
        <v>57</v>
      </c>
      <c r="D2669">
        <v>60637151.542000003</v>
      </c>
      <c r="E2669" t="s">
        <v>59</v>
      </c>
    </row>
    <row r="2670" spans="1:5" x14ac:dyDescent="0.25">
      <c r="A2670" t="s">
        <v>46</v>
      </c>
      <c r="B2670">
        <v>2019</v>
      </c>
      <c r="C2670" t="s">
        <v>57</v>
      </c>
      <c r="D2670">
        <v>44900657.140000001</v>
      </c>
      <c r="E2670" t="s">
        <v>59</v>
      </c>
    </row>
    <row r="2671" spans="1:5" x14ac:dyDescent="0.25">
      <c r="A2671" t="s">
        <v>46</v>
      </c>
      <c r="B2671">
        <v>2020</v>
      </c>
      <c r="C2671" t="s">
        <v>57</v>
      </c>
      <c r="D2671">
        <v>40482798.825999998</v>
      </c>
      <c r="E2671" t="s">
        <v>59</v>
      </c>
    </row>
    <row r="2672" spans="1:5" x14ac:dyDescent="0.25">
      <c r="A2672" t="s">
        <v>46</v>
      </c>
      <c r="B2672">
        <v>2022</v>
      </c>
      <c r="C2672" t="s">
        <v>57</v>
      </c>
      <c r="D2672">
        <v>27286250.372000001</v>
      </c>
      <c r="E2672" t="s">
        <v>59</v>
      </c>
    </row>
    <row r="2673" spans="1:5" x14ac:dyDescent="0.25">
      <c r="A2673" t="s">
        <v>47</v>
      </c>
      <c r="B2673">
        <v>2009</v>
      </c>
      <c r="C2673" t="s">
        <v>57</v>
      </c>
      <c r="D2673">
        <v>166577728.16600001</v>
      </c>
      <c r="E2673" t="s">
        <v>59</v>
      </c>
    </row>
    <row r="2674" spans="1:5" x14ac:dyDescent="0.25">
      <c r="A2674" t="s">
        <v>47</v>
      </c>
      <c r="B2674">
        <v>2010</v>
      </c>
      <c r="C2674" t="s">
        <v>57</v>
      </c>
      <c r="D2674">
        <v>63607714.681000002</v>
      </c>
      <c r="E2674" t="s">
        <v>59</v>
      </c>
    </row>
    <row r="2675" spans="1:5" x14ac:dyDescent="0.25">
      <c r="A2675" t="s">
        <v>47</v>
      </c>
      <c r="B2675">
        <v>2011</v>
      </c>
      <c r="C2675" t="s">
        <v>57</v>
      </c>
      <c r="D2675">
        <v>20125073.936000001</v>
      </c>
      <c r="E2675" t="s">
        <v>59</v>
      </c>
    </row>
    <row r="2676" spans="1:5" x14ac:dyDescent="0.25">
      <c r="A2676" t="s">
        <v>47</v>
      </c>
      <c r="B2676">
        <v>2013</v>
      </c>
      <c r="C2676" t="s">
        <v>57</v>
      </c>
      <c r="D2676">
        <v>53212737.008000001</v>
      </c>
      <c r="E2676" t="s">
        <v>59</v>
      </c>
    </row>
    <row r="2677" spans="1:5" x14ac:dyDescent="0.25">
      <c r="A2677" t="s">
        <v>47</v>
      </c>
      <c r="B2677">
        <v>2016</v>
      </c>
      <c r="C2677" t="s">
        <v>57</v>
      </c>
      <c r="D2677">
        <v>16050915.709000001</v>
      </c>
      <c r="E2677" t="s">
        <v>59</v>
      </c>
    </row>
    <row r="2678" spans="1:5" x14ac:dyDescent="0.25">
      <c r="A2678" t="s">
        <v>47</v>
      </c>
      <c r="B2678">
        <v>2017</v>
      </c>
      <c r="C2678" t="s">
        <v>57</v>
      </c>
      <c r="D2678">
        <v>37149758.484999999</v>
      </c>
      <c r="E2678" t="s">
        <v>59</v>
      </c>
    </row>
    <row r="2679" spans="1:5" x14ac:dyDescent="0.25">
      <c r="A2679" t="s">
        <v>47</v>
      </c>
      <c r="B2679">
        <v>2018</v>
      </c>
      <c r="C2679" t="s">
        <v>57</v>
      </c>
      <c r="D2679">
        <v>75515465.318000004</v>
      </c>
      <c r="E2679" t="s">
        <v>59</v>
      </c>
    </row>
    <row r="2680" spans="1:5" x14ac:dyDescent="0.25">
      <c r="A2680" t="s">
        <v>47</v>
      </c>
      <c r="B2680">
        <v>2019</v>
      </c>
      <c r="C2680" t="s">
        <v>57</v>
      </c>
      <c r="D2680">
        <v>54445716.773999996</v>
      </c>
      <c r="E2680" t="s">
        <v>59</v>
      </c>
    </row>
    <row r="2681" spans="1:5" x14ac:dyDescent="0.25">
      <c r="A2681" t="s">
        <v>47</v>
      </c>
      <c r="B2681">
        <v>2020</v>
      </c>
      <c r="C2681" t="s">
        <v>57</v>
      </c>
      <c r="D2681">
        <v>64368619.773999996</v>
      </c>
      <c r="E2681" t="s">
        <v>59</v>
      </c>
    </row>
    <row r="2682" spans="1:5" x14ac:dyDescent="0.25">
      <c r="A2682" t="s">
        <v>47</v>
      </c>
      <c r="B2682">
        <v>2021</v>
      </c>
      <c r="C2682" t="s">
        <v>57</v>
      </c>
      <c r="D2682">
        <v>97152628.109999999</v>
      </c>
      <c r="E2682" t="s">
        <v>59</v>
      </c>
    </row>
    <row r="2683" spans="1:5" x14ac:dyDescent="0.25">
      <c r="A2683" t="s">
        <v>47</v>
      </c>
      <c r="B2683">
        <v>2022</v>
      </c>
      <c r="C2683" t="s">
        <v>57</v>
      </c>
      <c r="D2683">
        <v>59180453.626000002</v>
      </c>
      <c r="E2683" t="s">
        <v>59</v>
      </c>
    </row>
    <row r="2684" spans="1:5" x14ac:dyDescent="0.25">
      <c r="A2684" t="s">
        <v>62</v>
      </c>
      <c r="B2684">
        <v>2011</v>
      </c>
      <c r="C2684" t="s">
        <v>57</v>
      </c>
      <c r="D2684">
        <v>17480956</v>
      </c>
      <c r="E2684" t="s">
        <v>59</v>
      </c>
    </row>
    <row r="2685" spans="1:5" x14ac:dyDescent="0.25">
      <c r="A2685" t="s">
        <v>62</v>
      </c>
      <c r="B2685">
        <v>2012</v>
      </c>
      <c r="C2685" t="s">
        <v>57</v>
      </c>
      <c r="D2685">
        <v>36473537</v>
      </c>
      <c r="E2685" t="s">
        <v>59</v>
      </c>
    </row>
    <row r="2686" spans="1:5" x14ac:dyDescent="0.25">
      <c r="A2686" t="s">
        <v>62</v>
      </c>
      <c r="B2686">
        <v>2013</v>
      </c>
      <c r="C2686" t="s">
        <v>57</v>
      </c>
      <c r="D2686">
        <v>9189930.7899999991</v>
      </c>
      <c r="E2686" t="s">
        <v>59</v>
      </c>
    </row>
    <row r="2687" spans="1:5" x14ac:dyDescent="0.25">
      <c r="A2687" t="s">
        <v>62</v>
      </c>
      <c r="B2687">
        <v>2014</v>
      </c>
      <c r="C2687" t="s">
        <v>57</v>
      </c>
      <c r="D2687">
        <v>8948553.3340000007</v>
      </c>
      <c r="E2687" t="s">
        <v>59</v>
      </c>
    </row>
    <row r="2688" spans="1:5" x14ac:dyDescent="0.25">
      <c r="A2688" t="s">
        <v>62</v>
      </c>
      <c r="B2688">
        <v>2015</v>
      </c>
      <c r="C2688" t="s">
        <v>57</v>
      </c>
      <c r="D2688">
        <v>21664149.809999999</v>
      </c>
      <c r="E2688" t="s">
        <v>59</v>
      </c>
    </row>
    <row r="2689" spans="1:5" x14ac:dyDescent="0.25">
      <c r="A2689" t="s">
        <v>62</v>
      </c>
      <c r="B2689">
        <v>2016</v>
      </c>
      <c r="C2689" t="s">
        <v>57</v>
      </c>
      <c r="D2689">
        <v>6665392.0899999999</v>
      </c>
      <c r="E2689" t="s">
        <v>59</v>
      </c>
    </row>
    <row r="2690" spans="1:5" x14ac:dyDescent="0.25">
      <c r="A2690" t="s">
        <v>62</v>
      </c>
      <c r="B2690">
        <v>2019</v>
      </c>
      <c r="C2690" t="s">
        <v>57</v>
      </c>
      <c r="D2690">
        <v>6311843.7240000004</v>
      </c>
      <c r="E2690" t="s">
        <v>59</v>
      </c>
    </row>
    <row r="2691" spans="1:5" x14ac:dyDescent="0.25">
      <c r="A2691" t="s">
        <v>62</v>
      </c>
      <c r="B2691">
        <v>2020</v>
      </c>
      <c r="C2691" t="s">
        <v>57</v>
      </c>
      <c r="D2691">
        <v>7523662.8250000002</v>
      </c>
      <c r="E2691" t="s">
        <v>59</v>
      </c>
    </row>
    <row r="2692" spans="1:5" x14ac:dyDescent="0.25">
      <c r="A2692" t="s">
        <v>62</v>
      </c>
      <c r="B2692">
        <v>2023</v>
      </c>
      <c r="C2692" t="s">
        <v>57</v>
      </c>
      <c r="D2692">
        <v>6917568.1239999998</v>
      </c>
      <c r="E2692" t="s">
        <v>59</v>
      </c>
    </row>
    <row r="2693" spans="1:5" x14ac:dyDescent="0.25">
      <c r="A2693" t="s">
        <v>62</v>
      </c>
      <c r="B2693">
        <v>2024</v>
      </c>
      <c r="C2693" t="s">
        <v>57</v>
      </c>
      <c r="D2693">
        <v>19307684.395</v>
      </c>
      <c r="E2693" t="s">
        <v>59</v>
      </c>
    </row>
    <row r="2694" spans="1:5" x14ac:dyDescent="0.25">
      <c r="A2694" t="s">
        <v>62</v>
      </c>
      <c r="B2694">
        <v>2025</v>
      </c>
      <c r="C2694" t="s">
        <v>57</v>
      </c>
      <c r="D2694">
        <v>4623753.5549999997</v>
      </c>
      <c r="E2694" t="s">
        <v>59</v>
      </c>
    </row>
    <row r="2695" spans="1:5" x14ac:dyDescent="0.25">
      <c r="A2695" t="s">
        <v>48</v>
      </c>
      <c r="B2695">
        <v>2010</v>
      </c>
      <c r="C2695" t="s">
        <v>57</v>
      </c>
      <c r="D2695">
        <v>23475727.693</v>
      </c>
      <c r="E2695" t="s">
        <v>59</v>
      </c>
    </row>
    <row r="2696" spans="1:5" x14ac:dyDescent="0.25">
      <c r="A2696" t="s">
        <v>48</v>
      </c>
      <c r="B2696">
        <v>2011</v>
      </c>
      <c r="C2696" t="s">
        <v>57</v>
      </c>
      <c r="D2696">
        <v>19946202.072999999</v>
      </c>
      <c r="E2696" t="s">
        <v>59</v>
      </c>
    </row>
    <row r="2697" spans="1:5" x14ac:dyDescent="0.25">
      <c r="A2697" t="s">
        <v>48</v>
      </c>
      <c r="B2697">
        <v>2012</v>
      </c>
      <c r="C2697" t="s">
        <v>57</v>
      </c>
      <c r="D2697">
        <v>21004916.046</v>
      </c>
      <c r="E2697" t="s">
        <v>59</v>
      </c>
    </row>
    <row r="2698" spans="1:5" x14ac:dyDescent="0.25">
      <c r="A2698" t="s">
        <v>48</v>
      </c>
      <c r="B2698">
        <v>2013</v>
      </c>
      <c r="C2698" t="s">
        <v>57</v>
      </c>
      <c r="D2698">
        <v>13496316.804</v>
      </c>
      <c r="E2698" t="s">
        <v>59</v>
      </c>
    </row>
    <row r="2699" spans="1:5" x14ac:dyDescent="0.25">
      <c r="A2699" t="s">
        <v>48</v>
      </c>
      <c r="B2699">
        <v>2014</v>
      </c>
      <c r="C2699" t="s">
        <v>57</v>
      </c>
      <c r="D2699">
        <v>23084127.438999999</v>
      </c>
      <c r="E2699" t="s">
        <v>59</v>
      </c>
    </row>
    <row r="2700" spans="1:5" x14ac:dyDescent="0.25">
      <c r="A2700" t="s">
        <v>48</v>
      </c>
      <c r="B2700">
        <v>2015</v>
      </c>
      <c r="C2700" t="s">
        <v>57</v>
      </c>
      <c r="D2700">
        <v>19029320.295000002</v>
      </c>
      <c r="E2700" t="s">
        <v>59</v>
      </c>
    </row>
    <row r="2701" spans="1:5" x14ac:dyDescent="0.25">
      <c r="A2701" t="s">
        <v>48</v>
      </c>
      <c r="B2701">
        <v>2016</v>
      </c>
      <c r="C2701" t="s">
        <v>57</v>
      </c>
      <c r="D2701">
        <v>13123667.444</v>
      </c>
      <c r="E2701" t="s">
        <v>59</v>
      </c>
    </row>
    <row r="2702" spans="1:5" x14ac:dyDescent="0.25">
      <c r="A2702" t="s">
        <v>48</v>
      </c>
      <c r="B2702">
        <v>2017</v>
      </c>
      <c r="C2702" t="s">
        <v>57</v>
      </c>
      <c r="D2702">
        <v>10584489.143999999</v>
      </c>
      <c r="E2702" t="s">
        <v>59</v>
      </c>
    </row>
    <row r="2703" spans="1:5" x14ac:dyDescent="0.25">
      <c r="A2703" t="s">
        <v>48</v>
      </c>
      <c r="B2703">
        <v>2018</v>
      </c>
      <c r="C2703" t="s">
        <v>57</v>
      </c>
      <c r="D2703">
        <v>22025251.136</v>
      </c>
      <c r="E2703" t="s">
        <v>59</v>
      </c>
    </row>
    <row r="2704" spans="1:5" x14ac:dyDescent="0.25">
      <c r="A2704" t="s">
        <v>48</v>
      </c>
      <c r="B2704">
        <v>2019</v>
      </c>
      <c r="C2704" t="s">
        <v>57</v>
      </c>
      <c r="D2704">
        <v>28101521.482999999</v>
      </c>
      <c r="E2704" t="s">
        <v>59</v>
      </c>
    </row>
    <row r="2705" spans="1:5" x14ac:dyDescent="0.25">
      <c r="A2705" t="s">
        <v>48</v>
      </c>
      <c r="B2705">
        <v>2020</v>
      </c>
      <c r="C2705" t="s">
        <v>57</v>
      </c>
      <c r="D2705">
        <v>25890469.838</v>
      </c>
      <c r="E2705" t="s">
        <v>59</v>
      </c>
    </row>
    <row r="2706" spans="1:5" x14ac:dyDescent="0.25">
      <c r="A2706" t="s">
        <v>48</v>
      </c>
      <c r="B2706">
        <v>2021</v>
      </c>
      <c r="C2706" t="s">
        <v>57</v>
      </c>
      <c r="D2706">
        <v>37329188.044</v>
      </c>
      <c r="E2706" t="s">
        <v>59</v>
      </c>
    </row>
    <row r="2707" spans="1:5" x14ac:dyDescent="0.25">
      <c r="A2707" t="s">
        <v>48</v>
      </c>
      <c r="B2707">
        <v>2022</v>
      </c>
      <c r="C2707" t="s">
        <v>57</v>
      </c>
      <c r="D2707">
        <v>38660580.914999999</v>
      </c>
      <c r="E2707" t="s">
        <v>59</v>
      </c>
    </row>
    <row r="2708" spans="1:5" x14ac:dyDescent="0.25">
      <c r="A2708" t="s">
        <v>48</v>
      </c>
      <c r="B2708">
        <v>2023</v>
      </c>
      <c r="C2708" t="s">
        <v>57</v>
      </c>
      <c r="D2708">
        <v>38051205.792999998</v>
      </c>
      <c r="E2708" t="s">
        <v>59</v>
      </c>
    </row>
    <row r="2709" spans="1:5" x14ac:dyDescent="0.25">
      <c r="A2709" t="s">
        <v>48</v>
      </c>
      <c r="B2709">
        <v>2024</v>
      </c>
      <c r="C2709" t="s">
        <v>57</v>
      </c>
      <c r="D2709">
        <v>34028178.002999999</v>
      </c>
      <c r="E2709" t="s">
        <v>59</v>
      </c>
    </row>
    <row r="2710" spans="1:5" x14ac:dyDescent="0.25">
      <c r="A2710" t="s">
        <v>48</v>
      </c>
      <c r="B2710">
        <v>2025</v>
      </c>
      <c r="C2710" t="s">
        <v>57</v>
      </c>
      <c r="D2710">
        <v>34596298.163000003</v>
      </c>
      <c r="E2710" t="s">
        <v>59</v>
      </c>
    </row>
    <row r="2711" spans="1:5" x14ac:dyDescent="0.25">
      <c r="A2711" t="s">
        <v>49</v>
      </c>
      <c r="B2711">
        <v>2002</v>
      </c>
      <c r="C2711" t="s">
        <v>57</v>
      </c>
      <c r="D2711">
        <v>240306005.11399999</v>
      </c>
      <c r="E2711" t="s">
        <v>59</v>
      </c>
    </row>
    <row r="2712" spans="1:5" x14ac:dyDescent="0.25">
      <c r="A2712" t="s">
        <v>49</v>
      </c>
      <c r="B2712">
        <v>2003</v>
      </c>
      <c r="C2712" t="s">
        <v>57</v>
      </c>
      <c r="D2712">
        <v>207998869.097</v>
      </c>
      <c r="E2712" t="s">
        <v>59</v>
      </c>
    </row>
    <row r="2713" spans="1:5" x14ac:dyDescent="0.25">
      <c r="A2713" t="s">
        <v>49</v>
      </c>
      <c r="B2713">
        <v>2004</v>
      </c>
      <c r="C2713" t="s">
        <v>57</v>
      </c>
      <c r="D2713">
        <v>321061359.94199997</v>
      </c>
      <c r="E2713" t="s">
        <v>59</v>
      </c>
    </row>
    <row r="2714" spans="1:5" x14ac:dyDescent="0.25">
      <c r="A2714" t="s">
        <v>49</v>
      </c>
      <c r="B2714">
        <v>2005</v>
      </c>
      <c r="C2714" t="s">
        <v>57</v>
      </c>
      <c r="D2714">
        <v>258656536.06</v>
      </c>
      <c r="E2714" t="s">
        <v>59</v>
      </c>
    </row>
    <row r="2715" spans="1:5" x14ac:dyDescent="0.25">
      <c r="A2715" t="s">
        <v>49</v>
      </c>
      <c r="B2715">
        <v>2006</v>
      </c>
      <c r="C2715" t="s">
        <v>57</v>
      </c>
      <c r="D2715">
        <v>285186320.49299997</v>
      </c>
      <c r="E2715" t="s">
        <v>59</v>
      </c>
    </row>
    <row r="2716" spans="1:5" x14ac:dyDescent="0.25">
      <c r="A2716" t="s">
        <v>49</v>
      </c>
      <c r="B2716">
        <v>2007</v>
      </c>
      <c r="C2716" t="s">
        <v>57</v>
      </c>
      <c r="D2716">
        <v>366417696.47100002</v>
      </c>
      <c r="E2716" t="s">
        <v>59</v>
      </c>
    </row>
    <row r="2717" spans="1:5" x14ac:dyDescent="0.25">
      <c r="A2717" t="s">
        <v>49</v>
      </c>
      <c r="B2717">
        <v>2008</v>
      </c>
      <c r="C2717" t="s">
        <v>57</v>
      </c>
      <c r="D2717">
        <v>430442101.63200003</v>
      </c>
      <c r="E2717" t="s">
        <v>59</v>
      </c>
    </row>
    <row r="2718" spans="1:5" x14ac:dyDescent="0.25">
      <c r="A2718" t="s">
        <v>49</v>
      </c>
      <c r="B2718">
        <v>2009</v>
      </c>
      <c r="C2718" t="s">
        <v>57</v>
      </c>
      <c r="D2718">
        <v>305586580.77700001</v>
      </c>
      <c r="E2718" t="s">
        <v>59</v>
      </c>
    </row>
    <row r="2719" spans="1:5" x14ac:dyDescent="0.25">
      <c r="A2719" t="s">
        <v>49</v>
      </c>
      <c r="B2719">
        <v>2010</v>
      </c>
      <c r="C2719" t="s">
        <v>57</v>
      </c>
      <c r="D2719">
        <v>296126414.792</v>
      </c>
      <c r="E2719" t="s">
        <v>59</v>
      </c>
    </row>
    <row r="2720" spans="1:5" x14ac:dyDescent="0.25">
      <c r="A2720" t="s">
        <v>49</v>
      </c>
      <c r="B2720">
        <v>2011</v>
      </c>
      <c r="C2720" t="s">
        <v>57</v>
      </c>
      <c r="D2720">
        <v>430839470.236</v>
      </c>
      <c r="E2720" t="s">
        <v>59</v>
      </c>
    </row>
    <row r="2721" spans="1:5" x14ac:dyDescent="0.25">
      <c r="A2721" t="s">
        <v>49</v>
      </c>
      <c r="B2721">
        <v>2012</v>
      </c>
      <c r="C2721" t="s">
        <v>57</v>
      </c>
      <c r="D2721">
        <v>557663389.96500003</v>
      </c>
      <c r="E2721" t="s">
        <v>59</v>
      </c>
    </row>
    <row r="2722" spans="1:5" x14ac:dyDescent="0.25">
      <c r="A2722" t="s">
        <v>49</v>
      </c>
      <c r="B2722">
        <v>2013</v>
      </c>
      <c r="C2722" t="s">
        <v>57</v>
      </c>
      <c r="D2722">
        <v>614848049.98199999</v>
      </c>
      <c r="E2722" t="s">
        <v>59</v>
      </c>
    </row>
    <row r="2723" spans="1:5" x14ac:dyDescent="0.25">
      <c r="A2723" t="s">
        <v>49</v>
      </c>
      <c r="B2723">
        <v>2014</v>
      </c>
      <c r="C2723" t="s">
        <v>57</v>
      </c>
      <c r="D2723">
        <v>489514179.96200001</v>
      </c>
      <c r="E2723" t="s">
        <v>59</v>
      </c>
    </row>
    <row r="2724" spans="1:5" x14ac:dyDescent="0.25">
      <c r="A2724" t="s">
        <v>49</v>
      </c>
      <c r="B2724">
        <v>2015</v>
      </c>
      <c r="C2724" t="s">
        <v>57</v>
      </c>
      <c r="D2724">
        <v>391293522.85399997</v>
      </c>
      <c r="E2724" t="s">
        <v>59</v>
      </c>
    </row>
    <row r="2725" spans="1:5" x14ac:dyDescent="0.25">
      <c r="A2725" t="s">
        <v>49</v>
      </c>
      <c r="B2725">
        <v>2016</v>
      </c>
      <c r="C2725" t="s">
        <v>57</v>
      </c>
      <c r="D2725">
        <v>422138082.33899999</v>
      </c>
      <c r="E2725" t="s">
        <v>59</v>
      </c>
    </row>
    <row r="2726" spans="1:5" x14ac:dyDescent="0.25">
      <c r="A2726" t="s">
        <v>49</v>
      </c>
      <c r="B2726">
        <v>2017</v>
      </c>
      <c r="C2726" t="s">
        <v>57</v>
      </c>
      <c r="D2726">
        <v>536804936.301</v>
      </c>
      <c r="E2726" t="s">
        <v>59</v>
      </c>
    </row>
    <row r="2727" spans="1:5" x14ac:dyDescent="0.25">
      <c r="A2727" t="s">
        <v>49</v>
      </c>
      <c r="B2727">
        <v>2018</v>
      </c>
      <c r="C2727" t="s">
        <v>57</v>
      </c>
      <c r="D2727">
        <v>601119815.39499998</v>
      </c>
      <c r="E2727" t="s">
        <v>59</v>
      </c>
    </row>
    <row r="2728" spans="1:5" x14ac:dyDescent="0.25">
      <c r="A2728" t="s">
        <v>49</v>
      </c>
      <c r="B2728">
        <v>2019</v>
      </c>
      <c r="C2728" t="s">
        <v>57</v>
      </c>
      <c r="D2728">
        <v>513020338.58600003</v>
      </c>
      <c r="E2728" t="s">
        <v>59</v>
      </c>
    </row>
    <row r="2729" spans="1:5" x14ac:dyDescent="0.25">
      <c r="A2729" t="s">
        <v>49</v>
      </c>
      <c r="B2729">
        <v>2020</v>
      </c>
      <c r="C2729" t="s">
        <v>57</v>
      </c>
      <c r="D2729">
        <v>454098989.412</v>
      </c>
      <c r="E2729" t="s">
        <v>59</v>
      </c>
    </row>
    <row r="2730" spans="1:5" x14ac:dyDescent="0.25">
      <c r="A2730" t="s">
        <v>49</v>
      </c>
      <c r="B2730">
        <v>2021</v>
      </c>
      <c r="C2730" t="s">
        <v>57</v>
      </c>
      <c r="D2730">
        <v>566047606.31400001</v>
      </c>
      <c r="E2730" t="s">
        <v>59</v>
      </c>
    </row>
    <row r="2731" spans="1:5" x14ac:dyDescent="0.25">
      <c r="A2731" t="s">
        <v>49</v>
      </c>
      <c r="B2731">
        <v>2022</v>
      </c>
      <c r="C2731" t="s">
        <v>57</v>
      </c>
      <c r="D2731">
        <v>665065128.646999</v>
      </c>
      <c r="E2731" t="s">
        <v>59</v>
      </c>
    </row>
    <row r="2732" spans="1:5" x14ac:dyDescent="0.25">
      <c r="A2732" t="s">
        <v>49</v>
      </c>
      <c r="B2732">
        <v>2023</v>
      </c>
      <c r="C2732" t="s">
        <v>57</v>
      </c>
      <c r="D2732">
        <v>640632178.023</v>
      </c>
      <c r="E2732" t="s">
        <v>59</v>
      </c>
    </row>
    <row r="2733" spans="1:5" x14ac:dyDescent="0.25">
      <c r="A2733" t="s">
        <v>49</v>
      </c>
      <c r="B2733">
        <v>2024</v>
      </c>
      <c r="C2733" t="s">
        <v>57</v>
      </c>
      <c r="D2733">
        <v>547260170.18400002</v>
      </c>
      <c r="E2733" t="s">
        <v>59</v>
      </c>
    </row>
    <row r="2734" spans="1:5" x14ac:dyDescent="0.25">
      <c r="A2734" t="s">
        <v>49</v>
      </c>
      <c r="B2734">
        <v>2025</v>
      </c>
      <c r="C2734" t="s">
        <v>57</v>
      </c>
      <c r="D2734">
        <v>493763531.69599903</v>
      </c>
      <c r="E2734" t="s">
        <v>59</v>
      </c>
    </row>
    <row r="2735" spans="1:5" x14ac:dyDescent="0.25">
      <c r="A2735" t="s">
        <v>50</v>
      </c>
      <c r="B2735">
        <v>2010</v>
      </c>
      <c r="C2735" t="s">
        <v>57</v>
      </c>
      <c r="D2735">
        <v>33955547</v>
      </c>
      <c r="E2735" t="s">
        <v>59</v>
      </c>
    </row>
    <row r="2736" spans="1:5" x14ac:dyDescent="0.25">
      <c r="A2736" t="s">
        <v>50</v>
      </c>
      <c r="B2736">
        <v>2011</v>
      </c>
      <c r="C2736" t="s">
        <v>57</v>
      </c>
      <c r="D2736">
        <v>47658370</v>
      </c>
      <c r="E2736" t="s">
        <v>59</v>
      </c>
    </row>
    <row r="2737" spans="1:5" x14ac:dyDescent="0.25">
      <c r="A2737" t="s">
        <v>50</v>
      </c>
      <c r="B2737">
        <v>2012</v>
      </c>
      <c r="C2737" t="s">
        <v>57</v>
      </c>
      <c r="D2737">
        <v>91471176</v>
      </c>
      <c r="E2737" t="s">
        <v>59</v>
      </c>
    </row>
    <row r="2738" spans="1:5" x14ac:dyDescent="0.25">
      <c r="A2738" t="s">
        <v>50</v>
      </c>
      <c r="B2738">
        <v>2013</v>
      </c>
      <c r="C2738" t="s">
        <v>57</v>
      </c>
      <c r="D2738">
        <v>54667787</v>
      </c>
      <c r="E2738" t="s">
        <v>59</v>
      </c>
    </row>
    <row r="2739" spans="1:5" x14ac:dyDescent="0.25">
      <c r="A2739" t="s">
        <v>50</v>
      </c>
      <c r="B2739">
        <v>2014</v>
      </c>
      <c r="C2739" t="s">
        <v>57</v>
      </c>
      <c r="D2739">
        <v>75988600.518000007</v>
      </c>
      <c r="E2739" t="s">
        <v>59</v>
      </c>
    </row>
    <row r="2740" spans="1:5" x14ac:dyDescent="0.25">
      <c r="A2740" t="s">
        <v>50</v>
      </c>
      <c r="B2740">
        <v>2015</v>
      </c>
      <c r="C2740" t="s">
        <v>57</v>
      </c>
      <c r="D2740">
        <v>81012506.280000001</v>
      </c>
      <c r="E2740" t="s">
        <v>59</v>
      </c>
    </row>
    <row r="2741" spans="1:5" x14ac:dyDescent="0.25">
      <c r="A2741" t="s">
        <v>50</v>
      </c>
      <c r="B2741">
        <v>2016</v>
      </c>
      <c r="C2741" t="s">
        <v>57</v>
      </c>
      <c r="D2741">
        <v>86658488.299999997</v>
      </c>
      <c r="E2741" t="s">
        <v>59</v>
      </c>
    </row>
    <row r="2742" spans="1:5" x14ac:dyDescent="0.25">
      <c r="A2742" t="s">
        <v>50</v>
      </c>
      <c r="B2742">
        <v>2017</v>
      </c>
      <c r="C2742" t="s">
        <v>57</v>
      </c>
      <c r="D2742">
        <v>80224212.269999996</v>
      </c>
      <c r="E2742" t="s">
        <v>59</v>
      </c>
    </row>
    <row r="2743" spans="1:5" x14ac:dyDescent="0.25">
      <c r="A2743" t="s">
        <v>50</v>
      </c>
      <c r="B2743">
        <v>2018</v>
      </c>
      <c r="C2743" t="s">
        <v>57</v>
      </c>
      <c r="D2743">
        <v>74771306.620000005</v>
      </c>
      <c r="E2743" t="s">
        <v>59</v>
      </c>
    </row>
    <row r="2744" spans="1:5" x14ac:dyDescent="0.25">
      <c r="A2744" t="s">
        <v>50</v>
      </c>
      <c r="B2744">
        <v>2019</v>
      </c>
      <c r="C2744" t="s">
        <v>57</v>
      </c>
      <c r="D2744">
        <v>57753542.686999999</v>
      </c>
      <c r="E2744" t="s">
        <v>59</v>
      </c>
    </row>
    <row r="2745" spans="1:5" x14ac:dyDescent="0.25">
      <c r="A2745" t="s">
        <v>50</v>
      </c>
      <c r="B2745">
        <v>2020</v>
      </c>
      <c r="C2745" t="s">
        <v>57</v>
      </c>
      <c r="D2745">
        <v>50049451.229999997</v>
      </c>
      <c r="E2745" t="s">
        <v>59</v>
      </c>
    </row>
    <row r="2746" spans="1:5" x14ac:dyDescent="0.25">
      <c r="A2746" t="s">
        <v>50</v>
      </c>
      <c r="B2746">
        <v>2021</v>
      </c>
      <c r="C2746" t="s">
        <v>57</v>
      </c>
      <c r="D2746">
        <v>63375347.813000001</v>
      </c>
      <c r="E2746" t="s">
        <v>59</v>
      </c>
    </row>
    <row r="2747" spans="1:5" x14ac:dyDescent="0.25">
      <c r="A2747" t="s">
        <v>50</v>
      </c>
      <c r="B2747">
        <v>2022</v>
      </c>
      <c r="C2747" t="s">
        <v>57</v>
      </c>
      <c r="D2747">
        <v>102584879.442</v>
      </c>
      <c r="E2747" t="s">
        <v>59</v>
      </c>
    </row>
    <row r="2748" spans="1:5" x14ac:dyDescent="0.25">
      <c r="A2748" t="s">
        <v>50</v>
      </c>
      <c r="B2748">
        <v>2023</v>
      </c>
      <c r="C2748" t="s">
        <v>57</v>
      </c>
      <c r="D2748">
        <v>74526341.474999994</v>
      </c>
      <c r="E2748" t="s">
        <v>59</v>
      </c>
    </row>
    <row r="2749" spans="1:5" x14ac:dyDescent="0.25">
      <c r="A2749" t="s">
        <v>50</v>
      </c>
      <c r="B2749">
        <v>2024</v>
      </c>
      <c r="C2749" t="s">
        <v>57</v>
      </c>
      <c r="D2749">
        <v>92755585.702999994</v>
      </c>
      <c r="E2749" t="s">
        <v>59</v>
      </c>
    </row>
    <row r="2750" spans="1:5" x14ac:dyDescent="0.25">
      <c r="A2750" t="s">
        <v>50</v>
      </c>
      <c r="B2750">
        <v>2025</v>
      </c>
      <c r="C2750" t="s">
        <v>57</v>
      </c>
      <c r="D2750">
        <v>17194835.074999999</v>
      </c>
      <c r="E2750" t="s">
        <v>59</v>
      </c>
    </row>
    <row r="2751" spans="1:5" x14ac:dyDescent="0.25">
      <c r="A2751" t="s">
        <v>61</v>
      </c>
      <c r="B2751">
        <v>2012</v>
      </c>
      <c r="C2751" t="s">
        <v>57</v>
      </c>
      <c r="D2751">
        <v>5535834.4639999997</v>
      </c>
      <c r="E2751" t="s">
        <v>59</v>
      </c>
    </row>
    <row r="2752" spans="1:5" x14ac:dyDescent="0.25">
      <c r="A2752" t="s">
        <v>61</v>
      </c>
      <c r="B2752">
        <v>2013</v>
      </c>
      <c r="C2752" t="s">
        <v>57</v>
      </c>
      <c r="D2752">
        <v>3586599.2969999998</v>
      </c>
      <c r="E2752" t="s">
        <v>59</v>
      </c>
    </row>
    <row r="2753" spans="1:5" x14ac:dyDescent="0.25">
      <c r="A2753" t="s">
        <v>61</v>
      </c>
      <c r="B2753">
        <v>2014</v>
      </c>
      <c r="C2753" t="s">
        <v>57</v>
      </c>
      <c r="D2753">
        <v>2700992.693</v>
      </c>
      <c r="E2753" t="s">
        <v>59</v>
      </c>
    </row>
    <row r="2754" spans="1:5" x14ac:dyDescent="0.25">
      <c r="A2754" t="s">
        <v>51</v>
      </c>
      <c r="B2754">
        <v>2014</v>
      </c>
      <c r="C2754" t="s">
        <v>57</v>
      </c>
      <c r="D2754">
        <v>29833202.338</v>
      </c>
      <c r="E2754" t="s">
        <v>59</v>
      </c>
    </row>
    <row r="2755" spans="1:5" x14ac:dyDescent="0.25">
      <c r="A2755" t="s">
        <v>51</v>
      </c>
      <c r="B2755">
        <v>2021</v>
      </c>
      <c r="C2755" t="s">
        <v>57</v>
      </c>
      <c r="D2755">
        <v>62562975.115000002</v>
      </c>
      <c r="E2755" t="s">
        <v>59</v>
      </c>
    </row>
    <row r="2756" spans="1:5" x14ac:dyDescent="0.25">
      <c r="A2756" t="s">
        <v>51</v>
      </c>
      <c r="B2756">
        <v>2022</v>
      </c>
      <c r="C2756" t="s">
        <v>57</v>
      </c>
      <c r="D2756">
        <v>57994372.700999998</v>
      </c>
      <c r="E2756" t="s">
        <v>59</v>
      </c>
    </row>
    <row r="2757" spans="1:5" x14ac:dyDescent="0.25">
      <c r="A2757" t="s">
        <v>52</v>
      </c>
      <c r="B2757">
        <v>2003</v>
      </c>
      <c r="C2757" t="s">
        <v>57</v>
      </c>
      <c r="D2757">
        <v>25808363</v>
      </c>
      <c r="E2757" t="s">
        <v>59</v>
      </c>
    </row>
    <row r="2758" spans="1:5" x14ac:dyDescent="0.25">
      <c r="A2758" t="s">
        <v>52</v>
      </c>
      <c r="B2758">
        <v>2005</v>
      </c>
      <c r="C2758" t="s">
        <v>57</v>
      </c>
      <c r="D2758">
        <v>59861561</v>
      </c>
      <c r="E2758" t="s">
        <v>59</v>
      </c>
    </row>
    <row r="2759" spans="1:5" x14ac:dyDescent="0.25">
      <c r="A2759" t="s">
        <v>52</v>
      </c>
      <c r="B2759">
        <v>2008</v>
      </c>
      <c r="C2759" t="s">
        <v>57</v>
      </c>
      <c r="D2759">
        <v>107977722</v>
      </c>
      <c r="E2759" t="s">
        <v>59</v>
      </c>
    </row>
    <row r="2760" spans="1:5" x14ac:dyDescent="0.25">
      <c r="A2760" t="s">
        <v>52</v>
      </c>
      <c r="B2760">
        <v>2009</v>
      </c>
      <c r="C2760" t="s">
        <v>57</v>
      </c>
      <c r="D2760">
        <v>66501354</v>
      </c>
      <c r="E2760" t="s">
        <v>59</v>
      </c>
    </row>
    <row r="2761" spans="1:5" x14ac:dyDescent="0.25">
      <c r="A2761" t="s">
        <v>52</v>
      </c>
      <c r="B2761">
        <v>2010</v>
      </c>
      <c r="C2761" t="s">
        <v>57</v>
      </c>
      <c r="D2761">
        <v>40835585</v>
      </c>
      <c r="E2761" t="s">
        <v>59</v>
      </c>
    </row>
    <row r="2762" spans="1:5" x14ac:dyDescent="0.25">
      <c r="A2762" t="s">
        <v>52</v>
      </c>
      <c r="B2762">
        <v>2011</v>
      </c>
      <c r="C2762" t="s">
        <v>57</v>
      </c>
      <c r="D2762">
        <v>41352791</v>
      </c>
      <c r="E2762" t="s">
        <v>59</v>
      </c>
    </row>
    <row r="2763" spans="1:5" x14ac:dyDescent="0.25">
      <c r="A2763" t="s">
        <v>52</v>
      </c>
      <c r="B2763">
        <v>2012</v>
      </c>
      <c r="C2763" t="s">
        <v>57</v>
      </c>
      <c r="D2763">
        <v>40706115</v>
      </c>
      <c r="E2763" t="s">
        <v>59</v>
      </c>
    </row>
    <row r="2764" spans="1:5" x14ac:dyDescent="0.25">
      <c r="A2764" t="s">
        <v>52</v>
      </c>
      <c r="B2764">
        <v>2013</v>
      </c>
      <c r="C2764" t="s">
        <v>57</v>
      </c>
      <c r="D2764">
        <v>39471653</v>
      </c>
      <c r="E2764" t="s">
        <v>59</v>
      </c>
    </row>
    <row r="2765" spans="1:5" x14ac:dyDescent="0.25">
      <c r="A2765" t="s">
        <v>52</v>
      </c>
      <c r="B2765">
        <v>2014</v>
      </c>
      <c r="C2765" t="s">
        <v>57</v>
      </c>
      <c r="D2765">
        <v>37759983</v>
      </c>
      <c r="E2765" t="s">
        <v>59</v>
      </c>
    </row>
    <row r="2766" spans="1:5" x14ac:dyDescent="0.25">
      <c r="A2766" t="s">
        <v>52</v>
      </c>
      <c r="B2766">
        <v>2015</v>
      </c>
      <c r="C2766" t="s">
        <v>57</v>
      </c>
      <c r="D2766">
        <v>44532578</v>
      </c>
      <c r="E2766" t="s">
        <v>59</v>
      </c>
    </row>
    <row r="2767" spans="1:5" x14ac:dyDescent="0.25">
      <c r="A2767" t="s">
        <v>52</v>
      </c>
      <c r="B2767">
        <v>2016</v>
      </c>
      <c r="C2767" t="s">
        <v>57</v>
      </c>
      <c r="D2767">
        <v>42784415</v>
      </c>
      <c r="E2767" t="s">
        <v>59</v>
      </c>
    </row>
    <row r="2768" spans="1:5" x14ac:dyDescent="0.25">
      <c r="A2768" t="s">
        <v>52</v>
      </c>
      <c r="B2768">
        <v>2017</v>
      </c>
      <c r="C2768" t="s">
        <v>57</v>
      </c>
      <c r="D2768">
        <v>56997529</v>
      </c>
      <c r="E2768" t="s">
        <v>59</v>
      </c>
    </row>
    <row r="2769" spans="1:5" x14ac:dyDescent="0.25">
      <c r="A2769" t="s">
        <v>52</v>
      </c>
      <c r="B2769">
        <v>2018</v>
      </c>
      <c r="C2769" t="s">
        <v>57</v>
      </c>
      <c r="D2769">
        <v>77449928</v>
      </c>
      <c r="E2769" t="s">
        <v>59</v>
      </c>
    </row>
    <row r="2770" spans="1:5" x14ac:dyDescent="0.25">
      <c r="A2770" t="s">
        <v>52</v>
      </c>
      <c r="B2770">
        <v>2019</v>
      </c>
      <c r="C2770" t="s">
        <v>57</v>
      </c>
      <c r="D2770">
        <v>86704967</v>
      </c>
      <c r="E2770" t="s">
        <v>59</v>
      </c>
    </row>
    <row r="2771" spans="1:5" x14ac:dyDescent="0.25">
      <c r="A2771" t="s">
        <v>52</v>
      </c>
      <c r="B2771">
        <v>2020</v>
      </c>
      <c r="C2771" t="s">
        <v>57</v>
      </c>
      <c r="D2771">
        <v>77518404</v>
      </c>
      <c r="E2771" t="s">
        <v>59</v>
      </c>
    </row>
    <row r="2772" spans="1:5" x14ac:dyDescent="0.25">
      <c r="A2772" t="s">
        <v>52</v>
      </c>
      <c r="B2772">
        <v>2021</v>
      </c>
      <c r="C2772" t="s">
        <v>57</v>
      </c>
      <c r="D2772">
        <v>72195226</v>
      </c>
      <c r="E2772" t="s">
        <v>59</v>
      </c>
    </row>
    <row r="2773" spans="1:5" x14ac:dyDescent="0.25">
      <c r="A2773" t="s">
        <v>52</v>
      </c>
      <c r="B2773">
        <v>2022</v>
      </c>
      <c r="C2773" t="s">
        <v>57</v>
      </c>
      <c r="D2773">
        <v>103201174</v>
      </c>
      <c r="E2773" t="s">
        <v>59</v>
      </c>
    </row>
    <row r="2774" spans="1:5" x14ac:dyDescent="0.25">
      <c r="A2774" t="s">
        <v>52</v>
      </c>
      <c r="B2774">
        <v>2023</v>
      </c>
      <c r="C2774" t="s">
        <v>57</v>
      </c>
      <c r="D2774">
        <v>79385081</v>
      </c>
      <c r="E2774" t="s">
        <v>59</v>
      </c>
    </row>
    <row r="2775" spans="1:5" x14ac:dyDescent="0.25">
      <c r="A2775" t="s">
        <v>52</v>
      </c>
      <c r="B2775">
        <v>2024</v>
      </c>
      <c r="C2775" t="s">
        <v>57</v>
      </c>
      <c r="D2775">
        <v>128538991</v>
      </c>
      <c r="E2775" t="s">
        <v>59</v>
      </c>
    </row>
    <row r="2776" spans="1:5" x14ac:dyDescent="0.25">
      <c r="A2776" t="s">
        <v>52</v>
      </c>
      <c r="B2776">
        <v>2025</v>
      </c>
      <c r="C2776" t="s">
        <v>57</v>
      </c>
      <c r="D2776">
        <v>55607824</v>
      </c>
      <c r="E2776" t="s">
        <v>59</v>
      </c>
    </row>
    <row r="2777" spans="1:5" x14ac:dyDescent="0.25">
      <c r="A2777" t="s">
        <v>53</v>
      </c>
      <c r="B2777">
        <v>2016</v>
      </c>
      <c r="C2777" t="s">
        <v>57</v>
      </c>
      <c r="D2777">
        <v>72483797</v>
      </c>
      <c r="E2777" t="s">
        <v>59</v>
      </c>
    </row>
    <row r="2778" spans="1:5" x14ac:dyDescent="0.25">
      <c r="A2778" t="s">
        <v>53</v>
      </c>
      <c r="B2778">
        <v>2017</v>
      </c>
      <c r="C2778" t="s">
        <v>57</v>
      </c>
      <c r="D2778">
        <v>64366331</v>
      </c>
      <c r="E2778" t="s">
        <v>59</v>
      </c>
    </row>
    <row r="2779" spans="1:5" x14ac:dyDescent="0.25">
      <c r="A2779" t="s">
        <v>53</v>
      </c>
      <c r="B2779">
        <v>2018</v>
      </c>
      <c r="C2779" t="s">
        <v>57</v>
      </c>
      <c r="D2779">
        <v>70800008</v>
      </c>
      <c r="E2779" t="s">
        <v>59</v>
      </c>
    </row>
    <row r="2780" spans="1:5" x14ac:dyDescent="0.25">
      <c r="A2780" t="s">
        <v>53</v>
      </c>
      <c r="B2780">
        <v>2019</v>
      </c>
      <c r="C2780" t="s">
        <v>57</v>
      </c>
      <c r="D2780">
        <v>55081875</v>
      </c>
      <c r="E2780" t="s">
        <v>59</v>
      </c>
    </row>
    <row r="2781" spans="1:5" x14ac:dyDescent="0.25">
      <c r="A2781" t="s">
        <v>53</v>
      </c>
      <c r="B2781">
        <v>2020</v>
      </c>
      <c r="C2781" t="s">
        <v>57</v>
      </c>
      <c r="D2781">
        <v>50106255</v>
      </c>
      <c r="E2781" t="s">
        <v>59</v>
      </c>
    </row>
    <row r="2782" spans="1:5" x14ac:dyDescent="0.25">
      <c r="A2782" t="s">
        <v>53</v>
      </c>
      <c r="B2782">
        <v>2021</v>
      </c>
      <c r="C2782" t="s">
        <v>57</v>
      </c>
      <c r="D2782">
        <v>44848465</v>
      </c>
      <c r="E2782" t="s">
        <v>59</v>
      </c>
    </row>
    <row r="2783" spans="1:5" x14ac:dyDescent="0.25">
      <c r="A2783" t="s">
        <v>53</v>
      </c>
      <c r="B2783">
        <v>2022</v>
      </c>
      <c r="C2783" t="s">
        <v>57</v>
      </c>
      <c r="D2783">
        <v>68893394</v>
      </c>
      <c r="E2783" t="s">
        <v>59</v>
      </c>
    </row>
    <row r="2784" spans="1:5" x14ac:dyDescent="0.25">
      <c r="A2784" t="s">
        <v>53</v>
      </c>
      <c r="B2784">
        <v>2023</v>
      </c>
      <c r="C2784" t="s">
        <v>57</v>
      </c>
      <c r="D2784">
        <v>50853509</v>
      </c>
      <c r="E2784" t="s">
        <v>59</v>
      </c>
    </row>
    <row r="2785" spans="1:5" x14ac:dyDescent="0.25">
      <c r="A2785" t="s">
        <v>53</v>
      </c>
      <c r="B2785">
        <v>2024</v>
      </c>
      <c r="C2785" t="s">
        <v>57</v>
      </c>
      <c r="D2785">
        <v>42218683</v>
      </c>
      <c r="E2785" t="s">
        <v>59</v>
      </c>
    </row>
    <row r="2786" spans="1:5" x14ac:dyDescent="0.25">
      <c r="A2786" t="s">
        <v>53</v>
      </c>
      <c r="B2786">
        <v>2025</v>
      </c>
      <c r="C2786" t="s">
        <v>57</v>
      </c>
      <c r="D2786">
        <v>41213475</v>
      </c>
      <c r="E2786" t="s">
        <v>59</v>
      </c>
    </row>
    <row r="2787" spans="1:5" x14ac:dyDescent="0.25">
      <c r="A2787" t="s">
        <v>54</v>
      </c>
      <c r="B2787">
        <v>2018</v>
      </c>
      <c r="C2787" t="s">
        <v>57</v>
      </c>
      <c r="D2787">
        <v>6881750.7570000002</v>
      </c>
      <c r="E2787" t="s">
        <v>59</v>
      </c>
    </row>
    <row r="2788" spans="1:5" x14ac:dyDescent="0.25">
      <c r="A2788" t="s">
        <v>54</v>
      </c>
      <c r="B2788">
        <v>2019</v>
      </c>
      <c r="C2788" t="s">
        <v>57</v>
      </c>
      <c r="D2788">
        <v>38544160.335000001</v>
      </c>
      <c r="E2788" t="s">
        <v>59</v>
      </c>
    </row>
    <row r="2789" spans="1:5" x14ac:dyDescent="0.25">
      <c r="A2789" t="s">
        <v>55</v>
      </c>
      <c r="B2789">
        <v>2014</v>
      </c>
      <c r="C2789" t="s">
        <v>57</v>
      </c>
      <c r="D2789">
        <v>9455650.4849999901</v>
      </c>
      <c r="E2789" t="s">
        <v>59</v>
      </c>
    </row>
    <row r="2790" spans="1:5" x14ac:dyDescent="0.25">
      <c r="A2790" t="s">
        <v>55</v>
      </c>
      <c r="B2790">
        <v>2015</v>
      </c>
      <c r="C2790" t="s">
        <v>57</v>
      </c>
      <c r="D2790">
        <v>7725392.307</v>
      </c>
      <c r="E2790" t="s">
        <v>59</v>
      </c>
    </row>
    <row r="2791" spans="1:5" x14ac:dyDescent="0.25">
      <c r="A2791" t="s">
        <v>55</v>
      </c>
      <c r="B2791">
        <v>2016</v>
      </c>
      <c r="C2791" t="s">
        <v>57</v>
      </c>
      <c r="D2791">
        <v>7162167.4709999999</v>
      </c>
      <c r="E2791" t="s">
        <v>59</v>
      </c>
    </row>
    <row r="2792" spans="1:5" x14ac:dyDescent="0.25">
      <c r="A2792" t="s">
        <v>55</v>
      </c>
      <c r="B2792">
        <v>2018</v>
      </c>
      <c r="C2792" t="s">
        <v>57</v>
      </c>
      <c r="D2792">
        <v>7113151.8559999997</v>
      </c>
      <c r="E2792" t="s">
        <v>59</v>
      </c>
    </row>
    <row r="2793" spans="1:5" x14ac:dyDescent="0.25">
      <c r="A2793" t="s">
        <v>55</v>
      </c>
      <c r="B2793">
        <v>2022</v>
      </c>
      <c r="C2793" t="s">
        <v>57</v>
      </c>
      <c r="D2793">
        <v>1999235.477</v>
      </c>
      <c r="E2793" t="s">
        <v>59</v>
      </c>
    </row>
    <row r="2794" spans="1:5" x14ac:dyDescent="0.25">
      <c r="A2794" t="s">
        <v>56</v>
      </c>
      <c r="B2794">
        <v>2015</v>
      </c>
      <c r="C2794" t="s">
        <v>57</v>
      </c>
      <c r="D2794">
        <v>217825669.70300001</v>
      </c>
      <c r="E2794" t="s">
        <v>59</v>
      </c>
    </row>
    <row r="2795" spans="1:5" x14ac:dyDescent="0.25">
      <c r="A2795" t="s">
        <v>56</v>
      </c>
      <c r="B2795">
        <v>2016</v>
      </c>
      <c r="C2795" t="s">
        <v>57</v>
      </c>
      <c r="D2795">
        <v>246902091.11700001</v>
      </c>
      <c r="E2795" t="s">
        <v>59</v>
      </c>
    </row>
    <row r="2796" spans="1:5" x14ac:dyDescent="0.25">
      <c r="A2796" t="s">
        <v>56</v>
      </c>
      <c r="B2796">
        <v>2017</v>
      </c>
      <c r="C2796" t="s">
        <v>57</v>
      </c>
      <c r="D2796">
        <v>286571177.15700001</v>
      </c>
      <c r="E2796" t="s">
        <v>59</v>
      </c>
    </row>
    <row r="2797" spans="1:5" x14ac:dyDescent="0.25">
      <c r="A2797" t="s">
        <v>56</v>
      </c>
      <c r="B2797">
        <v>2018</v>
      </c>
      <c r="C2797" t="s">
        <v>57</v>
      </c>
      <c r="D2797">
        <v>308824720.89899999</v>
      </c>
      <c r="E2797" t="s">
        <v>59</v>
      </c>
    </row>
    <row r="2798" spans="1:5" x14ac:dyDescent="0.25">
      <c r="A2798" t="s">
        <v>56</v>
      </c>
      <c r="B2798">
        <v>2019</v>
      </c>
      <c r="C2798" t="s">
        <v>57</v>
      </c>
      <c r="D2798">
        <v>371558892.30599999</v>
      </c>
      <c r="E2798" t="s">
        <v>59</v>
      </c>
    </row>
    <row r="2799" spans="1:5" x14ac:dyDescent="0.25">
      <c r="A2799" t="s">
        <v>56</v>
      </c>
      <c r="B2799">
        <v>2020</v>
      </c>
      <c r="C2799" t="s">
        <v>57</v>
      </c>
      <c r="D2799">
        <v>265569217.06</v>
      </c>
      <c r="E2799" t="s">
        <v>59</v>
      </c>
    </row>
    <row r="2800" spans="1:5" x14ac:dyDescent="0.25">
      <c r="A2800" t="s">
        <v>56</v>
      </c>
      <c r="B2800">
        <v>2021</v>
      </c>
      <c r="C2800" t="s">
        <v>57</v>
      </c>
      <c r="D2800">
        <v>411662097.19099998</v>
      </c>
      <c r="E2800" t="s">
        <v>59</v>
      </c>
    </row>
    <row r="2801" spans="1:5" x14ac:dyDescent="0.25">
      <c r="A2801" t="s">
        <v>56</v>
      </c>
      <c r="B2801">
        <v>2022</v>
      </c>
      <c r="C2801" t="s">
        <v>57</v>
      </c>
      <c r="D2801">
        <v>591067067.83299994</v>
      </c>
      <c r="E2801" t="s">
        <v>59</v>
      </c>
    </row>
    <row r="2802" spans="1:5" x14ac:dyDescent="0.25">
      <c r="A2802" t="s">
        <v>56</v>
      </c>
      <c r="B2802">
        <v>2023</v>
      </c>
      <c r="C2802" t="s">
        <v>57</v>
      </c>
      <c r="D2802">
        <v>403289194.80400002</v>
      </c>
      <c r="E2802" t="s">
        <v>59</v>
      </c>
    </row>
    <row r="2803" spans="1:5" x14ac:dyDescent="0.25">
      <c r="A2803" t="s">
        <v>60</v>
      </c>
      <c r="B2803">
        <v>2012</v>
      </c>
      <c r="C2803" t="s">
        <v>57</v>
      </c>
      <c r="D2803">
        <v>5944190.4469999997</v>
      </c>
      <c r="E2803" t="s">
        <v>59</v>
      </c>
    </row>
    <row r="2804" spans="1:5" x14ac:dyDescent="0.25">
      <c r="A2804" t="s">
        <v>60</v>
      </c>
      <c r="B2804">
        <v>2015</v>
      </c>
      <c r="C2804" t="s">
        <v>57</v>
      </c>
      <c r="D2804">
        <v>5374972.75</v>
      </c>
      <c r="E2804" t="s">
        <v>59</v>
      </c>
    </row>
    <row r="2805" spans="1:5" x14ac:dyDescent="0.25">
      <c r="A2805" t="s">
        <v>5</v>
      </c>
      <c r="B2805">
        <v>2011</v>
      </c>
      <c r="C2805" t="s">
        <v>58</v>
      </c>
      <c r="D2805">
        <v>18.645376289007299</v>
      </c>
      <c r="E2805" t="s">
        <v>59</v>
      </c>
    </row>
    <row r="2806" spans="1:5" x14ac:dyDescent="0.25">
      <c r="A2806" t="s">
        <v>5</v>
      </c>
      <c r="B2806">
        <v>2012</v>
      </c>
      <c r="C2806" t="s">
        <v>58</v>
      </c>
      <c r="D2806">
        <v>19.4425883781999</v>
      </c>
      <c r="E2806" t="s">
        <v>59</v>
      </c>
    </row>
    <row r="2807" spans="1:5" x14ac:dyDescent="0.25">
      <c r="A2807" t="s">
        <v>5</v>
      </c>
      <c r="B2807">
        <v>2013</v>
      </c>
      <c r="C2807" t="s">
        <v>58</v>
      </c>
      <c r="D2807">
        <v>13.601570601209399</v>
      </c>
      <c r="E2807" t="s">
        <v>59</v>
      </c>
    </row>
    <row r="2808" spans="1:5" x14ac:dyDescent="0.25">
      <c r="A2808" t="s">
        <v>5</v>
      </c>
      <c r="B2808">
        <v>2014</v>
      </c>
      <c r="C2808" t="s">
        <v>58</v>
      </c>
      <c r="D2808">
        <v>13.2320073688474</v>
      </c>
      <c r="E2808" t="s">
        <v>59</v>
      </c>
    </row>
    <row r="2809" spans="1:5" x14ac:dyDescent="0.25">
      <c r="A2809" t="s">
        <v>5</v>
      </c>
      <c r="B2809">
        <v>2015</v>
      </c>
      <c r="C2809" t="s">
        <v>58</v>
      </c>
      <c r="D2809">
        <v>9.4813963516623296</v>
      </c>
      <c r="E2809" t="s">
        <v>59</v>
      </c>
    </row>
    <row r="2810" spans="1:5" x14ac:dyDescent="0.25">
      <c r="A2810" t="s">
        <v>5</v>
      </c>
      <c r="B2810">
        <v>2016</v>
      </c>
      <c r="C2810" t="s">
        <v>58</v>
      </c>
      <c r="D2810">
        <v>10.985336399595001</v>
      </c>
      <c r="E2810" t="s">
        <v>59</v>
      </c>
    </row>
    <row r="2811" spans="1:5" x14ac:dyDescent="0.25">
      <c r="A2811" t="s">
        <v>5</v>
      </c>
      <c r="B2811">
        <v>2017</v>
      </c>
      <c r="C2811" t="s">
        <v>58</v>
      </c>
      <c r="D2811">
        <v>10.849343259770301</v>
      </c>
      <c r="E2811" t="s">
        <v>59</v>
      </c>
    </row>
    <row r="2812" spans="1:5" x14ac:dyDescent="0.25">
      <c r="A2812" t="s">
        <v>5</v>
      </c>
      <c r="B2812">
        <v>2018</v>
      </c>
      <c r="C2812" t="s">
        <v>58</v>
      </c>
      <c r="D2812">
        <v>10.580779345310599</v>
      </c>
      <c r="E2812" t="s">
        <v>59</v>
      </c>
    </row>
    <row r="2813" spans="1:5" x14ac:dyDescent="0.25">
      <c r="A2813" t="s">
        <v>5</v>
      </c>
      <c r="B2813">
        <v>2019</v>
      </c>
      <c r="C2813" t="s">
        <v>58</v>
      </c>
      <c r="D2813">
        <v>10.8350362082661</v>
      </c>
      <c r="E2813" t="s">
        <v>59</v>
      </c>
    </row>
    <row r="2814" spans="1:5" x14ac:dyDescent="0.25">
      <c r="A2814" t="s">
        <v>5</v>
      </c>
      <c r="B2814">
        <v>2020</v>
      </c>
      <c r="C2814" t="s">
        <v>58</v>
      </c>
      <c r="D2814">
        <v>8.8758202990959205</v>
      </c>
      <c r="E2814" t="s">
        <v>59</v>
      </c>
    </row>
    <row r="2815" spans="1:5" x14ac:dyDescent="0.25">
      <c r="A2815" t="s">
        <v>5</v>
      </c>
      <c r="B2815">
        <v>2021</v>
      </c>
      <c r="C2815" t="s">
        <v>58</v>
      </c>
      <c r="D2815">
        <v>9.2698256150762894</v>
      </c>
      <c r="E2815" t="s">
        <v>59</v>
      </c>
    </row>
    <row r="2816" spans="1:5" x14ac:dyDescent="0.25">
      <c r="A2816" t="s">
        <v>5</v>
      </c>
      <c r="B2816">
        <v>2022</v>
      </c>
      <c r="C2816" t="s">
        <v>58</v>
      </c>
      <c r="D2816">
        <v>10.4520088166714</v>
      </c>
      <c r="E2816" t="s">
        <v>59</v>
      </c>
    </row>
    <row r="2817" spans="1:5" x14ac:dyDescent="0.25">
      <c r="A2817" t="s">
        <v>5</v>
      </c>
      <c r="B2817">
        <v>2023</v>
      </c>
      <c r="C2817" t="s">
        <v>58</v>
      </c>
      <c r="D2817">
        <v>9.9670485175849706</v>
      </c>
      <c r="E2817" t="s">
        <v>59</v>
      </c>
    </row>
    <row r="2818" spans="1:5" x14ac:dyDescent="0.25">
      <c r="A2818" t="s">
        <v>5</v>
      </c>
      <c r="B2818">
        <v>2024</v>
      </c>
      <c r="C2818" t="s">
        <v>58</v>
      </c>
      <c r="D2818">
        <v>8.4166376293906904</v>
      </c>
      <c r="E2818" t="s">
        <v>59</v>
      </c>
    </row>
    <row r="2819" spans="1:5" x14ac:dyDescent="0.25">
      <c r="A2819" t="s">
        <v>5</v>
      </c>
      <c r="B2819">
        <v>2025</v>
      </c>
      <c r="C2819" t="s">
        <v>58</v>
      </c>
      <c r="D2819">
        <v>8.8592404423686002</v>
      </c>
      <c r="E2819" t="s">
        <v>59</v>
      </c>
    </row>
    <row r="2820" spans="1:5" x14ac:dyDescent="0.25">
      <c r="A2820" t="s">
        <v>10</v>
      </c>
      <c r="B2820">
        <v>2000</v>
      </c>
      <c r="C2820" t="s">
        <v>58</v>
      </c>
      <c r="D2820">
        <v>1.2838446541236399</v>
      </c>
      <c r="E2820" t="s">
        <v>59</v>
      </c>
    </row>
    <row r="2821" spans="1:5" x14ac:dyDescent="0.25">
      <c r="A2821" t="s">
        <v>10</v>
      </c>
      <c r="B2821">
        <v>2001</v>
      </c>
      <c r="C2821" t="s">
        <v>58</v>
      </c>
      <c r="D2821">
        <v>1.3675473559394</v>
      </c>
      <c r="E2821" t="s">
        <v>59</v>
      </c>
    </row>
    <row r="2822" spans="1:5" x14ac:dyDescent="0.25">
      <c r="A2822" t="s">
        <v>10</v>
      </c>
      <c r="B2822">
        <v>2002</v>
      </c>
      <c r="C2822" t="s">
        <v>58</v>
      </c>
      <c r="D2822">
        <v>1.4814522084047901</v>
      </c>
      <c r="E2822" t="s">
        <v>59</v>
      </c>
    </row>
    <row r="2823" spans="1:5" x14ac:dyDescent="0.25">
      <c r="A2823" t="s">
        <v>10</v>
      </c>
      <c r="B2823">
        <v>2003</v>
      </c>
      <c r="C2823" t="s">
        <v>58</v>
      </c>
      <c r="D2823">
        <v>1.59907825156852</v>
      </c>
      <c r="E2823" t="s">
        <v>59</v>
      </c>
    </row>
    <row r="2824" spans="1:5" x14ac:dyDescent="0.25">
      <c r="A2824" t="s">
        <v>10</v>
      </c>
      <c r="B2824">
        <v>2004</v>
      </c>
      <c r="C2824" t="s">
        <v>58</v>
      </c>
      <c r="D2824">
        <v>1.6945969093934401</v>
      </c>
      <c r="E2824" t="s">
        <v>59</v>
      </c>
    </row>
    <row r="2825" spans="1:5" x14ac:dyDescent="0.25">
      <c r="A2825" t="s">
        <v>10</v>
      </c>
      <c r="B2825">
        <v>2005</v>
      </c>
      <c r="C2825" t="s">
        <v>58</v>
      </c>
      <c r="D2825">
        <v>1.6968171142536499</v>
      </c>
      <c r="E2825" t="s">
        <v>59</v>
      </c>
    </row>
    <row r="2826" spans="1:5" x14ac:dyDescent="0.25">
      <c r="A2826" t="s">
        <v>10</v>
      </c>
      <c r="B2826">
        <v>2006</v>
      </c>
      <c r="C2826" t="s">
        <v>58</v>
      </c>
      <c r="D2826">
        <v>2.0923052229257699</v>
      </c>
      <c r="E2826" t="s">
        <v>59</v>
      </c>
    </row>
    <row r="2827" spans="1:5" x14ac:dyDescent="0.25">
      <c r="A2827" t="s">
        <v>10</v>
      </c>
      <c r="B2827">
        <v>2007</v>
      </c>
      <c r="C2827" t="s">
        <v>58</v>
      </c>
      <c r="D2827">
        <v>2.0612066250293601</v>
      </c>
      <c r="E2827" t="s">
        <v>59</v>
      </c>
    </row>
    <row r="2828" spans="1:5" x14ac:dyDescent="0.25">
      <c r="A2828" t="s">
        <v>10</v>
      </c>
      <c r="B2828">
        <v>2009</v>
      </c>
      <c r="C2828" t="s">
        <v>58</v>
      </c>
      <c r="D2828">
        <v>2.3962875059823698</v>
      </c>
      <c r="E2828" t="s">
        <v>59</v>
      </c>
    </row>
    <row r="2829" spans="1:5" x14ac:dyDescent="0.25">
      <c r="A2829" t="s">
        <v>10</v>
      </c>
      <c r="B2829">
        <v>2010</v>
      </c>
      <c r="C2829" t="s">
        <v>58</v>
      </c>
      <c r="D2829">
        <v>2.2646617403549301</v>
      </c>
      <c r="E2829" t="s">
        <v>59</v>
      </c>
    </row>
    <row r="2830" spans="1:5" x14ac:dyDescent="0.25">
      <c r="A2830" t="s">
        <v>10</v>
      </c>
      <c r="B2830">
        <v>2011</v>
      </c>
      <c r="C2830" t="s">
        <v>58</v>
      </c>
      <c r="D2830">
        <v>2.4616484053021299</v>
      </c>
      <c r="E2830" t="s">
        <v>59</v>
      </c>
    </row>
    <row r="2831" spans="1:5" x14ac:dyDescent="0.25">
      <c r="A2831" t="s">
        <v>10</v>
      </c>
      <c r="B2831">
        <v>2012</v>
      </c>
      <c r="C2831" t="s">
        <v>58</v>
      </c>
      <c r="D2831">
        <v>2.4421523434277801</v>
      </c>
      <c r="E2831" t="s">
        <v>59</v>
      </c>
    </row>
    <row r="2832" spans="1:5" x14ac:dyDescent="0.25">
      <c r="A2832" t="s">
        <v>10</v>
      </c>
      <c r="B2832">
        <v>2013</v>
      </c>
      <c r="C2832" t="s">
        <v>58</v>
      </c>
      <c r="D2832">
        <v>2.67733127923713</v>
      </c>
      <c r="E2832" t="s">
        <v>59</v>
      </c>
    </row>
    <row r="2833" spans="1:5" x14ac:dyDescent="0.25">
      <c r="A2833" t="s">
        <v>10</v>
      </c>
      <c r="B2833">
        <v>2014</v>
      </c>
      <c r="C2833" t="s">
        <v>58</v>
      </c>
      <c r="D2833">
        <v>2.7397887532976899</v>
      </c>
      <c r="E2833" t="s">
        <v>59</v>
      </c>
    </row>
    <row r="2834" spans="1:5" x14ac:dyDescent="0.25">
      <c r="A2834" t="s">
        <v>10</v>
      </c>
      <c r="B2834">
        <v>2015</v>
      </c>
      <c r="C2834" t="s">
        <v>58</v>
      </c>
      <c r="D2834">
        <v>2.9195988186850701</v>
      </c>
      <c r="E2834" t="s">
        <v>59</v>
      </c>
    </row>
    <row r="2835" spans="1:5" x14ac:dyDescent="0.25">
      <c r="A2835" t="s">
        <v>10</v>
      </c>
      <c r="B2835">
        <v>2016</v>
      </c>
      <c r="C2835" t="s">
        <v>58</v>
      </c>
      <c r="D2835">
        <v>2.6666531493760899</v>
      </c>
      <c r="E2835" t="s">
        <v>59</v>
      </c>
    </row>
    <row r="2836" spans="1:5" x14ac:dyDescent="0.25">
      <c r="A2836" t="s">
        <v>10</v>
      </c>
      <c r="B2836">
        <v>2017</v>
      </c>
      <c r="C2836" t="s">
        <v>58</v>
      </c>
      <c r="D2836">
        <v>2.7503868924727</v>
      </c>
      <c r="E2836" t="s">
        <v>59</v>
      </c>
    </row>
    <row r="2837" spans="1:5" x14ac:dyDescent="0.25">
      <c r="A2837" t="s">
        <v>10</v>
      </c>
      <c r="B2837">
        <v>2018</v>
      </c>
      <c r="C2837" t="s">
        <v>58</v>
      </c>
      <c r="D2837">
        <v>3.2362145471333901</v>
      </c>
      <c r="E2837" t="s">
        <v>59</v>
      </c>
    </row>
    <row r="2838" spans="1:5" x14ac:dyDescent="0.25">
      <c r="A2838" t="s">
        <v>10</v>
      </c>
      <c r="B2838">
        <v>2019</v>
      </c>
      <c r="C2838" t="s">
        <v>58</v>
      </c>
      <c r="D2838">
        <v>2.9553222380156199</v>
      </c>
      <c r="E2838" t="s">
        <v>59</v>
      </c>
    </row>
    <row r="2839" spans="1:5" x14ac:dyDescent="0.25">
      <c r="A2839" t="s">
        <v>10</v>
      </c>
      <c r="B2839">
        <v>2020</v>
      </c>
      <c r="C2839" t="s">
        <v>58</v>
      </c>
      <c r="D2839">
        <v>2.1412674821692401</v>
      </c>
      <c r="E2839" t="s">
        <v>59</v>
      </c>
    </row>
    <row r="2840" spans="1:5" x14ac:dyDescent="0.25">
      <c r="A2840" t="s">
        <v>10</v>
      </c>
      <c r="B2840">
        <v>2021</v>
      </c>
      <c r="C2840" t="s">
        <v>58</v>
      </c>
      <c r="D2840">
        <v>4.7132520061116301</v>
      </c>
      <c r="E2840" t="s">
        <v>59</v>
      </c>
    </row>
    <row r="2841" spans="1:5" x14ac:dyDescent="0.25">
      <c r="A2841" t="s">
        <v>10</v>
      </c>
      <c r="B2841">
        <v>2022</v>
      </c>
      <c r="C2841" t="s">
        <v>58</v>
      </c>
      <c r="D2841">
        <v>6.0353739708434002</v>
      </c>
      <c r="E2841" t="s">
        <v>59</v>
      </c>
    </row>
    <row r="2842" spans="1:5" x14ac:dyDescent="0.25">
      <c r="A2842" t="s">
        <v>10</v>
      </c>
      <c r="B2842">
        <v>2023</v>
      </c>
      <c r="C2842" t="s">
        <v>58</v>
      </c>
      <c r="D2842">
        <v>5.4897038883983997</v>
      </c>
      <c r="E2842" t="s">
        <v>59</v>
      </c>
    </row>
    <row r="2843" spans="1:5" x14ac:dyDescent="0.25">
      <c r="A2843" t="s">
        <v>10</v>
      </c>
      <c r="B2843">
        <v>2025</v>
      </c>
      <c r="C2843" t="s">
        <v>58</v>
      </c>
      <c r="D2843">
        <v>6.4614619100353901</v>
      </c>
      <c r="E2843" t="s">
        <v>59</v>
      </c>
    </row>
    <row r="2844" spans="1:5" x14ac:dyDescent="0.25">
      <c r="A2844" t="s">
        <v>80</v>
      </c>
      <c r="B2844">
        <v>2019</v>
      </c>
      <c r="C2844" t="s">
        <v>58</v>
      </c>
      <c r="D2844">
        <v>1.19114838333196</v>
      </c>
      <c r="E2844" t="s">
        <v>59</v>
      </c>
    </row>
    <row r="2845" spans="1:5" x14ac:dyDescent="0.25">
      <c r="A2845" t="s">
        <v>79</v>
      </c>
      <c r="B2845">
        <v>2010</v>
      </c>
      <c r="C2845" t="s">
        <v>58</v>
      </c>
      <c r="D2845">
        <v>1.55516786046817</v>
      </c>
      <c r="E2845" t="s">
        <v>59</v>
      </c>
    </row>
    <row r="2846" spans="1:5" x14ac:dyDescent="0.25">
      <c r="A2846" t="s">
        <v>79</v>
      </c>
      <c r="B2846">
        <v>2011</v>
      </c>
      <c r="C2846" t="s">
        <v>58</v>
      </c>
      <c r="D2846">
        <v>1.7957047574735301</v>
      </c>
      <c r="E2846" t="s">
        <v>59</v>
      </c>
    </row>
    <row r="2847" spans="1:5" x14ac:dyDescent="0.25">
      <c r="A2847" t="s">
        <v>79</v>
      </c>
      <c r="B2847">
        <v>2012</v>
      </c>
      <c r="C2847" t="s">
        <v>58</v>
      </c>
      <c r="D2847">
        <v>1.92660998523418</v>
      </c>
      <c r="E2847" t="s">
        <v>59</v>
      </c>
    </row>
    <row r="2848" spans="1:5" x14ac:dyDescent="0.25">
      <c r="A2848" t="s">
        <v>79</v>
      </c>
      <c r="B2848">
        <v>2013</v>
      </c>
      <c r="C2848" t="s">
        <v>58</v>
      </c>
      <c r="D2848">
        <v>2.3064529426191598</v>
      </c>
      <c r="E2848" t="s">
        <v>59</v>
      </c>
    </row>
    <row r="2849" spans="1:5" x14ac:dyDescent="0.25">
      <c r="A2849" t="s">
        <v>79</v>
      </c>
      <c r="B2849">
        <v>2014</v>
      </c>
      <c r="C2849" t="s">
        <v>58</v>
      </c>
      <c r="D2849">
        <v>1.7116646283735399</v>
      </c>
      <c r="E2849" t="s">
        <v>59</v>
      </c>
    </row>
    <row r="2850" spans="1:5" x14ac:dyDescent="0.25">
      <c r="A2850" t="s">
        <v>79</v>
      </c>
      <c r="B2850">
        <v>2015</v>
      </c>
      <c r="C2850" t="s">
        <v>58</v>
      </c>
      <c r="D2850">
        <v>1.19915608740833</v>
      </c>
      <c r="E2850" t="s">
        <v>59</v>
      </c>
    </row>
    <row r="2851" spans="1:5" x14ac:dyDescent="0.25">
      <c r="A2851" t="s">
        <v>79</v>
      </c>
      <c r="B2851">
        <v>2019</v>
      </c>
      <c r="C2851" t="s">
        <v>58</v>
      </c>
      <c r="D2851">
        <v>0.86656032716606501</v>
      </c>
      <c r="E2851" t="s">
        <v>59</v>
      </c>
    </row>
    <row r="2852" spans="1:5" x14ac:dyDescent="0.25">
      <c r="A2852" t="s">
        <v>78</v>
      </c>
      <c r="B2852">
        <v>2012</v>
      </c>
      <c r="C2852" t="s">
        <v>58</v>
      </c>
      <c r="D2852">
        <v>0.74230950758307801</v>
      </c>
      <c r="E2852" t="s">
        <v>59</v>
      </c>
    </row>
    <row r="2853" spans="1:5" x14ac:dyDescent="0.25">
      <c r="A2853" t="s">
        <v>11</v>
      </c>
      <c r="B2853">
        <v>2010</v>
      </c>
      <c r="C2853" t="s">
        <v>58</v>
      </c>
      <c r="D2853">
        <v>4.9445903373615598</v>
      </c>
      <c r="E2853" t="s">
        <v>59</v>
      </c>
    </row>
    <row r="2854" spans="1:5" x14ac:dyDescent="0.25">
      <c r="A2854" t="s">
        <v>11</v>
      </c>
      <c r="B2854">
        <v>2011</v>
      </c>
      <c r="C2854" t="s">
        <v>58</v>
      </c>
      <c r="D2854">
        <v>4.5118524380454996</v>
      </c>
      <c r="E2854" t="s">
        <v>59</v>
      </c>
    </row>
    <row r="2855" spans="1:5" x14ac:dyDescent="0.25">
      <c r="A2855" t="s">
        <v>11</v>
      </c>
      <c r="B2855">
        <v>2012</v>
      </c>
      <c r="C2855" t="s">
        <v>58</v>
      </c>
      <c r="D2855">
        <v>7.7500091298979301</v>
      </c>
      <c r="E2855" t="s">
        <v>59</v>
      </c>
    </row>
    <row r="2856" spans="1:5" x14ac:dyDescent="0.25">
      <c r="A2856" t="s">
        <v>11</v>
      </c>
      <c r="B2856">
        <v>2013</v>
      </c>
      <c r="C2856" t="s">
        <v>58</v>
      </c>
      <c r="D2856">
        <v>7.3213858993430101</v>
      </c>
      <c r="E2856" t="s">
        <v>59</v>
      </c>
    </row>
    <row r="2857" spans="1:5" x14ac:dyDescent="0.25">
      <c r="A2857" t="s">
        <v>11</v>
      </c>
      <c r="B2857">
        <v>2014</v>
      </c>
      <c r="C2857" t="s">
        <v>58</v>
      </c>
      <c r="D2857">
        <v>8.4387961968310403</v>
      </c>
      <c r="E2857" t="s">
        <v>59</v>
      </c>
    </row>
    <row r="2858" spans="1:5" x14ac:dyDescent="0.25">
      <c r="A2858" t="s">
        <v>11</v>
      </c>
      <c r="B2858">
        <v>2015</v>
      </c>
      <c r="C2858" t="s">
        <v>58</v>
      </c>
      <c r="D2858">
        <v>8.2092953619045996</v>
      </c>
      <c r="E2858" t="s">
        <v>59</v>
      </c>
    </row>
    <row r="2859" spans="1:5" x14ac:dyDescent="0.25">
      <c r="A2859" t="s">
        <v>11</v>
      </c>
      <c r="B2859">
        <v>2016</v>
      </c>
      <c r="C2859" t="s">
        <v>58</v>
      </c>
      <c r="D2859">
        <v>10.0100703139189</v>
      </c>
      <c r="E2859" t="s">
        <v>59</v>
      </c>
    </row>
    <row r="2860" spans="1:5" x14ac:dyDescent="0.25">
      <c r="A2860" t="s">
        <v>11</v>
      </c>
      <c r="B2860">
        <v>2017</v>
      </c>
      <c r="C2860" t="s">
        <v>58</v>
      </c>
      <c r="D2860">
        <v>10.067506584291101</v>
      </c>
      <c r="E2860" t="s">
        <v>59</v>
      </c>
    </row>
    <row r="2861" spans="1:5" x14ac:dyDescent="0.25">
      <c r="A2861" t="s">
        <v>11</v>
      </c>
      <c r="B2861">
        <v>2018</v>
      </c>
      <c r="C2861" t="s">
        <v>58</v>
      </c>
      <c r="D2861">
        <v>11.914472326951801</v>
      </c>
      <c r="E2861" t="s">
        <v>59</v>
      </c>
    </row>
    <row r="2862" spans="1:5" x14ac:dyDescent="0.25">
      <c r="A2862" t="s">
        <v>11</v>
      </c>
      <c r="B2862">
        <v>2019</v>
      </c>
      <c r="C2862" t="s">
        <v>58</v>
      </c>
      <c r="D2862">
        <v>12.1959381525437</v>
      </c>
      <c r="E2862" t="s">
        <v>59</v>
      </c>
    </row>
    <row r="2863" spans="1:5" x14ac:dyDescent="0.25">
      <c r="A2863" t="s">
        <v>11</v>
      </c>
      <c r="B2863">
        <v>2020</v>
      </c>
      <c r="C2863" t="s">
        <v>58</v>
      </c>
      <c r="D2863">
        <v>9.7495988571717902</v>
      </c>
      <c r="E2863" t="s">
        <v>59</v>
      </c>
    </row>
    <row r="2864" spans="1:5" x14ac:dyDescent="0.25">
      <c r="A2864" t="s">
        <v>11</v>
      </c>
      <c r="B2864">
        <v>2021</v>
      </c>
      <c r="C2864" t="s">
        <v>58</v>
      </c>
      <c r="D2864">
        <v>14.5744234167824</v>
      </c>
      <c r="E2864" t="s">
        <v>59</v>
      </c>
    </row>
    <row r="2865" spans="1:5" x14ac:dyDescent="0.25">
      <c r="A2865" t="s">
        <v>11</v>
      </c>
      <c r="B2865">
        <v>2022</v>
      </c>
      <c r="C2865" t="s">
        <v>58</v>
      </c>
      <c r="D2865">
        <v>14.124346730811499</v>
      </c>
      <c r="E2865" t="s">
        <v>59</v>
      </c>
    </row>
    <row r="2866" spans="1:5" x14ac:dyDescent="0.25">
      <c r="A2866" t="s">
        <v>11</v>
      </c>
      <c r="B2866">
        <v>2023</v>
      </c>
      <c r="C2866" t="s">
        <v>58</v>
      </c>
      <c r="D2866">
        <v>13.1618620798985</v>
      </c>
      <c r="E2866" t="s">
        <v>59</v>
      </c>
    </row>
    <row r="2867" spans="1:5" x14ac:dyDescent="0.25">
      <c r="A2867" t="s">
        <v>11</v>
      </c>
      <c r="B2867">
        <v>2024</v>
      </c>
      <c r="C2867" t="s">
        <v>58</v>
      </c>
      <c r="D2867">
        <v>14.5099363829073</v>
      </c>
      <c r="E2867" t="s">
        <v>59</v>
      </c>
    </row>
    <row r="2868" spans="1:5" x14ac:dyDescent="0.25">
      <c r="A2868" t="s">
        <v>11</v>
      </c>
      <c r="B2868">
        <v>2025</v>
      </c>
      <c r="C2868" t="s">
        <v>58</v>
      </c>
      <c r="D2868">
        <v>15.632660121097</v>
      </c>
      <c r="E2868" t="s">
        <v>59</v>
      </c>
    </row>
    <row r="2869" spans="1:5" x14ac:dyDescent="0.25">
      <c r="A2869" t="s">
        <v>12</v>
      </c>
      <c r="B2869">
        <v>2010</v>
      </c>
      <c r="C2869" t="s">
        <v>58</v>
      </c>
      <c r="D2869">
        <v>2.7248738722143502</v>
      </c>
      <c r="E2869" t="s">
        <v>59</v>
      </c>
    </row>
    <row r="2870" spans="1:5" x14ac:dyDescent="0.25">
      <c r="A2870" t="s">
        <v>12</v>
      </c>
      <c r="B2870">
        <v>2011</v>
      </c>
      <c r="C2870" t="s">
        <v>58</v>
      </c>
      <c r="D2870">
        <v>3.0430285662781</v>
      </c>
      <c r="E2870" t="s">
        <v>59</v>
      </c>
    </row>
    <row r="2871" spans="1:5" x14ac:dyDescent="0.25">
      <c r="A2871" t="s">
        <v>12</v>
      </c>
      <c r="B2871">
        <v>2012</v>
      </c>
      <c r="C2871" t="s">
        <v>58</v>
      </c>
      <c r="D2871">
        <v>4.2577986729795896</v>
      </c>
      <c r="E2871" t="s">
        <v>59</v>
      </c>
    </row>
    <row r="2872" spans="1:5" x14ac:dyDescent="0.25">
      <c r="A2872" t="s">
        <v>12</v>
      </c>
      <c r="B2872">
        <v>2014</v>
      </c>
      <c r="C2872" t="s">
        <v>58</v>
      </c>
      <c r="D2872">
        <v>5.2994466819332899</v>
      </c>
      <c r="E2872" t="s">
        <v>59</v>
      </c>
    </row>
    <row r="2873" spans="1:5" x14ac:dyDescent="0.25">
      <c r="A2873" t="s">
        <v>12</v>
      </c>
      <c r="B2873">
        <v>2015</v>
      </c>
      <c r="C2873" t="s">
        <v>58</v>
      </c>
      <c r="D2873">
        <v>4.0770219348271697</v>
      </c>
      <c r="E2873" t="s">
        <v>59</v>
      </c>
    </row>
    <row r="2874" spans="1:5" x14ac:dyDescent="0.25">
      <c r="A2874" t="s">
        <v>12</v>
      </c>
      <c r="B2874">
        <v>2016</v>
      </c>
      <c r="C2874" t="s">
        <v>58</v>
      </c>
      <c r="D2874">
        <v>1.9193754824498099</v>
      </c>
      <c r="E2874" t="s">
        <v>59</v>
      </c>
    </row>
    <row r="2875" spans="1:5" x14ac:dyDescent="0.25">
      <c r="A2875" t="s">
        <v>12</v>
      </c>
      <c r="B2875">
        <v>2017</v>
      </c>
      <c r="C2875" t="s">
        <v>58</v>
      </c>
      <c r="D2875">
        <v>2.18270086529744</v>
      </c>
      <c r="E2875" t="s">
        <v>59</v>
      </c>
    </row>
    <row r="2876" spans="1:5" x14ac:dyDescent="0.25">
      <c r="A2876" t="s">
        <v>12</v>
      </c>
      <c r="B2876">
        <v>2018</v>
      </c>
      <c r="C2876" t="s">
        <v>58</v>
      </c>
      <c r="D2876">
        <v>4.2715790656379404</v>
      </c>
      <c r="E2876" t="s">
        <v>59</v>
      </c>
    </row>
    <row r="2877" spans="1:5" x14ac:dyDescent="0.25">
      <c r="A2877" t="s">
        <v>12</v>
      </c>
      <c r="B2877">
        <v>2019</v>
      </c>
      <c r="C2877" t="s">
        <v>58</v>
      </c>
      <c r="D2877">
        <v>4.1983813460451902</v>
      </c>
      <c r="E2877" t="s">
        <v>59</v>
      </c>
    </row>
    <row r="2878" spans="1:5" x14ac:dyDescent="0.25">
      <c r="A2878" t="s">
        <v>12</v>
      </c>
      <c r="B2878">
        <v>2020</v>
      </c>
      <c r="C2878" t="s">
        <v>58</v>
      </c>
      <c r="D2878">
        <v>4.2554064448974804</v>
      </c>
      <c r="E2878" t="s">
        <v>59</v>
      </c>
    </row>
    <row r="2879" spans="1:5" x14ac:dyDescent="0.25">
      <c r="A2879" t="s">
        <v>12</v>
      </c>
      <c r="B2879">
        <v>2021</v>
      </c>
      <c r="C2879" t="s">
        <v>58</v>
      </c>
      <c r="D2879">
        <v>5.43785265209178</v>
      </c>
      <c r="E2879" t="s">
        <v>59</v>
      </c>
    </row>
    <row r="2880" spans="1:5" x14ac:dyDescent="0.25">
      <c r="A2880" t="s">
        <v>12</v>
      </c>
      <c r="B2880">
        <v>2022</v>
      </c>
      <c r="C2880" t="s">
        <v>58</v>
      </c>
      <c r="D2880">
        <v>5.8377092165890101</v>
      </c>
      <c r="E2880" t="s">
        <v>59</v>
      </c>
    </row>
    <row r="2881" spans="1:5" x14ac:dyDescent="0.25">
      <c r="A2881" t="s">
        <v>12</v>
      </c>
      <c r="B2881">
        <v>2023</v>
      </c>
      <c r="C2881" t="s">
        <v>58</v>
      </c>
      <c r="D2881">
        <v>4.8330542299062804</v>
      </c>
      <c r="E2881" t="s">
        <v>59</v>
      </c>
    </row>
    <row r="2882" spans="1:5" x14ac:dyDescent="0.25">
      <c r="A2882" t="s">
        <v>12</v>
      </c>
      <c r="B2882">
        <v>2024</v>
      </c>
      <c r="C2882" t="s">
        <v>58</v>
      </c>
      <c r="D2882">
        <v>4.3286499352585901</v>
      </c>
      <c r="E2882" t="s">
        <v>59</v>
      </c>
    </row>
    <row r="2883" spans="1:5" x14ac:dyDescent="0.25">
      <c r="A2883" t="s">
        <v>13</v>
      </c>
      <c r="B2883">
        <v>2010</v>
      </c>
      <c r="C2883" t="s">
        <v>58</v>
      </c>
      <c r="D2883">
        <v>1.53843792038528</v>
      </c>
      <c r="E2883" t="s">
        <v>59</v>
      </c>
    </row>
    <row r="2884" spans="1:5" x14ac:dyDescent="0.25">
      <c r="A2884" t="s">
        <v>13</v>
      </c>
      <c r="B2884">
        <v>2014</v>
      </c>
      <c r="C2884" t="s">
        <v>58</v>
      </c>
      <c r="D2884">
        <v>1.87399853904391</v>
      </c>
      <c r="E2884" t="s">
        <v>59</v>
      </c>
    </row>
    <row r="2885" spans="1:5" x14ac:dyDescent="0.25">
      <c r="A2885" t="s">
        <v>13</v>
      </c>
      <c r="B2885">
        <v>2015</v>
      </c>
      <c r="C2885" t="s">
        <v>58</v>
      </c>
      <c r="D2885">
        <v>1.97805578899262</v>
      </c>
      <c r="E2885" t="s">
        <v>59</v>
      </c>
    </row>
    <row r="2886" spans="1:5" x14ac:dyDescent="0.25">
      <c r="A2886" t="s">
        <v>13</v>
      </c>
      <c r="B2886">
        <v>2016</v>
      </c>
      <c r="C2886" t="s">
        <v>58</v>
      </c>
      <c r="D2886">
        <v>1.60233757724463</v>
      </c>
      <c r="E2886" t="s">
        <v>59</v>
      </c>
    </row>
    <row r="2887" spans="1:5" x14ac:dyDescent="0.25">
      <c r="A2887" t="s">
        <v>13</v>
      </c>
      <c r="B2887">
        <v>2017</v>
      </c>
      <c r="C2887" t="s">
        <v>58</v>
      </c>
      <c r="D2887">
        <v>0.90746194409147296</v>
      </c>
      <c r="E2887" t="s">
        <v>59</v>
      </c>
    </row>
    <row r="2888" spans="1:5" x14ac:dyDescent="0.25">
      <c r="A2888" t="s">
        <v>13</v>
      </c>
      <c r="B2888">
        <v>2018</v>
      </c>
      <c r="C2888" t="s">
        <v>58</v>
      </c>
      <c r="D2888">
        <v>1.12551731995991</v>
      </c>
      <c r="E2888" t="s">
        <v>59</v>
      </c>
    </row>
    <row r="2889" spans="1:5" x14ac:dyDescent="0.25">
      <c r="A2889" t="s">
        <v>13</v>
      </c>
      <c r="B2889">
        <v>2019</v>
      </c>
      <c r="C2889" t="s">
        <v>58</v>
      </c>
      <c r="D2889">
        <v>1.24253707527924</v>
      </c>
      <c r="E2889" t="s">
        <v>59</v>
      </c>
    </row>
    <row r="2890" spans="1:5" x14ac:dyDescent="0.25">
      <c r="A2890" t="s">
        <v>13</v>
      </c>
      <c r="B2890">
        <v>2020</v>
      </c>
      <c r="C2890" t="s">
        <v>58</v>
      </c>
      <c r="D2890">
        <v>1.1050008428575999</v>
      </c>
      <c r="E2890" t="s">
        <v>59</v>
      </c>
    </row>
    <row r="2891" spans="1:5" x14ac:dyDescent="0.25">
      <c r="A2891" t="s">
        <v>13</v>
      </c>
      <c r="B2891">
        <v>2021</v>
      </c>
      <c r="C2891" t="s">
        <v>58</v>
      </c>
      <c r="D2891">
        <v>0.87231343101345205</v>
      </c>
      <c r="E2891" t="s">
        <v>59</v>
      </c>
    </row>
    <row r="2892" spans="1:5" x14ac:dyDescent="0.25">
      <c r="A2892" t="s">
        <v>13</v>
      </c>
      <c r="B2892">
        <v>2022</v>
      </c>
      <c r="C2892" t="s">
        <v>58</v>
      </c>
      <c r="D2892">
        <v>0.7518194773122</v>
      </c>
      <c r="E2892" t="s">
        <v>59</v>
      </c>
    </row>
    <row r="2893" spans="1:5" x14ac:dyDescent="0.25">
      <c r="A2893" t="s">
        <v>13</v>
      </c>
      <c r="B2893">
        <v>2023</v>
      </c>
      <c r="C2893" t="s">
        <v>58</v>
      </c>
      <c r="D2893">
        <v>1.14010527477144</v>
      </c>
      <c r="E2893" t="s">
        <v>59</v>
      </c>
    </row>
    <row r="2894" spans="1:5" x14ac:dyDescent="0.25">
      <c r="A2894" t="s">
        <v>13</v>
      </c>
      <c r="B2894">
        <v>2025</v>
      </c>
      <c r="C2894" t="s">
        <v>58</v>
      </c>
      <c r="D2894">
        <v>1.3761241499355099</v>
      </c>
      <c r="E2894" t="s">
        <v>59</v>
      </c>
    </row>
    <row r="2895" spans="1:5" x14ac:dyDescent="0.25">
      <c r="A2895" t="s">
        <v>14</v>
      </c>
      <c r="B2895">
        <v>2010</v>
      </c>
      <c r="C2895" t="s">
        <v>58</v>
      </c>
      <c r="D2895">
        <v>15.5592359405052</v>
      </c>
      <c r="E2895" t="s">
        <v>59</v>
      </c>
    </row>
    <row r="2896" spans="1:5" x14ac:dyDescent="0.25">
      <c r="A2896" t="s">
        <v>14</v>
      </c>
      <c r="B2896">
        <v>2011</v>
      </c>
      <c r="C2896" t="s">
        <v>58</v>
      </c>
      <c r="D2896">
        <v>21.1076811486687</v>
      </c>
      <c r="E2896" t="s">
        <v>59</v>
      </c>
    </row>
    <row r="2897" spans="1:5" x14ac:dyDescent="0.25">
      <c r="A2897" t="s">
        <v>14</v>
      </c>
      <c r="B2897">
        <v>2012</v>
      </c>
      <c r="C2897" t="s">
        <v>58</v>
      </c>
      <c r="D2897">
        <v>27.827500969957001</v>
      </c>
      <c r="E2897" t="s">
        <v>59</v>
      </c>
    </row>
    <row r="2898" spans="1:5" x14ac:dyDescent="0.25">
      <c r="A2898" t="s">
        <v>14</v>
      </c>
      <c r="B2898">
        <v>2013</v>
      </c>
      <c r="C2898" t="s">
        <v>58</v>
      </c>
      <c r="D2898">
        <v>20.042847240788198</v>
      </c>
      <c r="E2898" t="s">
        <v>59</v>
      </c>
    </row>
    <row r="2899" spans="1:5" x14ac:dyDescent="0.25">
      <c r="A2899" t="s">
        <v>14</v>
      </c>
      <c r="B2899">
        <v>2014</v>
      </c>
      <c r="C2899" t="s">
        <v>58</v>
      </c>
      <c r="D2899">
        <v>18.1383452624349</v>
      </c>
      <c r="E2899" t="s">
        <v>59</v>
      </c>
    </row>
    <row r="2900" spans="1:5" x14ac:dyDescent="0.25">
      <c r="A2900" t="s">
        <v>14</v>
      </c>
      <c r="B2900">
        <v>2015</v>
      </c>
      <c r="C2900" t="s">
        <v>58</v>
      </c>
      <c r="D2900">
        <v>9.5365090409834004</v>
      </c>
      <c r="E2900" t="s">
        <v>59</v>
      </c>
    </row>
    <row r="2901" spans="1:5" x14ac:dyDescent="0.25">
      <c r="A2901" t="s">
        <v>14</v>
      </c>
      <c r="B2901">
        <v>2016</v>
      </c>
      <c r="C2901" t="s">
        <v>58</v>
      </c>
      <c r="D2901">
        <v>13.1291878935409</v>
      </c>
      <c r="E2901" t="s">
        <v>59</v>
      </c>
    </row>
    <row r="2902" spans="1:5" x14ac:dyDescent="0.25">
      <c r="A2902" t="s">
        <v>14</v>
      </c>
      <c r="B2902">
        <v>2017</v>
      </c>
      <c r="C2902" t="s">
        <v>58</v>
      </c>
      <c r="D2902">
        <v>11.2919355677935</v>
      </c>
      <c r="E2902" t="s">
        <v>59</v>
      </c>
    </row>
    <row r="2903" spans="1:5" x14ac:dyDescent="0.25">
      <c r="A2903" t="s">
        <v>14</v>
      </c>
      <c r="B2903">
        <v>2018</v>
      </c>
      <c r="C2903" t="s">
        <v>58</v>
      </c>
      <c r="D2903">
        <v>13.5596612862388</v>
      </c>
      <c r="E2903" t="s">
        <v>59</v>
      </c>
    </row>
    <row r="2904" spans="1:5" x14ac:dyDescent="0.25">
      <c r="A2904" t="s">
        <v>14</v>
      </c>
      <c r="B2904">
        <v>2019</v>
      </c>
      <c r="C2904" t="s">
        <v>58</v>
      </c>
      <c r="D2904">
        <v>12.926379891936801</v>
      </c>
      <c r="E2904" t="s">
        <v>59</v>
      </c>
    </row>
    <row r="2905" spans="1:5" x14ac:dyDescent="0.25">
      <c r="A2905" t="s">
        <v>14</v>
      </c>
      <c r="B2905">
        <v>2020</v>
      </c>
      <c r="C2905" t="s">
        <v>58</v>
      </c>
      <c r="D2905">
        <v>12.1882336181556</v>
      </c>
      <c r="E2905" t="s">
        <v>59</v>
      </c>
    </row>
    <row r="2906" spans="1:5" x14ac:dyDescent="0.25">
      <c r="A2906" t="s">
        <v>14</v>
      </c>
      <c r="B2906">
        <v>2021</v>
      </c>
      <c r="C2906" t="s">
        <v>58</v>
      </c>
      <c r="D2906">
        <v>11.6858084307531</v>
      </c>
      <c r="E2906" t="s">
        <v>59</v>
      </c>
    </row>
    <row r="2907" spans="1:5" x14ac:dyDescent="0.25">
      <c r="A2907" t="s">
        <v>14</v>
      </c>
      <c r="B2907">
        <v>2022</v>
      </c>
      <c r="C2907" t="s">
        <v>58</v>
      </c>
      <c r="D2907">
        <v>14.122093846837201</v>
      </c>
      <c r="E2907" t="s">
        <v>59</v>
      </c>
    </row>
    <row r="2908" spans="1:5" x14ac:dyDescent="0.25">
      <c r="A2908" t="s">
        <v>14</v>
      </c>
      <c r="B2908">
        <v>2023</v>
      </c>
      <c r="C2908" t="s">
        <v>58</v>
      </c>
      <c r="D2908">
        <v>16.551152856921099</v>
      </c>
      <c r="E2908" t="s">
        <v>59</v>
      </c>
    </row>
    <row r="2909" spans="1:5" x14ac:dyDescent="0.25">
      <c r="A2909" t="s">
        <v>14</v>
      </c>
      <c r="B2909">
        <v>2024</v>
      </c>
      <c r="C2909" t="s">
        <v>58</v>
      </c>
      <c r="D2909">
        <v>8.5161931513498299</v>
      </c>
      <c r="E2909" t="s">
        <v>59</v>
      </c>
    </row>
    <row r="2910" spans="1:5" x14ac:dyDescent="0.25">
      <c r="A2910" t="s">
        <v>14</v>
      </c>
      <c r="B2910">
        <v>2025</v>
      </c>
      <c r="C2910" t="s">
        <v>58</v>
      </c>
      <c r="D2910">
        <v>10.410214067743</v>
      </c>
      <c r="E2910" t="s">
        <v>59</v>
      </c>
    </row>
    <row r="2911" spans="1:5" x14ac:dyDescent="0.25">
      <c r="A2911" t="s">
        <v>16</v>
      </c>
      <c r="B2911">
        <v>2008</v>
      </c>
      <c r="C2911" t="s">
        <v>58</v>
      </c>
      <c r="D2911">
        <v>1.9102507789890899</v>
      </c>
      <c r="E2911" t="s">
        <v>59</v>
      </c>
    </row>
    <row r="2912" spans="1:5" x14ac:dyDescent="0.25">
      <c r="A2912" t="s">
        <v>16</v>
      </c>
      <c r="B2912">
        <v>2009</v>
      </c>
      <c r="C2912" t="s">
        <v>58</v>
      </c>
      <c r="D2912">
        <v>1.3275412961841899</v>
      </c>
      <c r="E2912" t="s">
        <v>59</v>
      </c>
    </row>
    <row r="2913" spans="1:5" x14ac:dyDescent="0.25">
      <c r="A2913" t="s">
        <v>16</v>
      </c>
      <c r="B2913">
        <v>2010</v>
      </c>
      <c r="C2913" t="s">
        <v>58</v>
      </c>
      <c r="D2913">
        <v>1.06958308589999</v>
      </c>
      <c r="E2913" t="s">
        <v>59</v>
      </c>
    </row>
    <row r="2914" spans="1:5" x14ac:dyDescent="0.25">
      <c r="A2914" t="s">
        <v>16</v>
      </c>
      <c r="B2914">
        <v>2018</v>
      </c>
      <c r="C2914" t="s">
        <v>58</v>
      </c>
      <c r="D2914">
        <v>1.3086391198305201</v>
      </c>
      <c r="E2914" t="s">
        <v>59</v>
      </c>
    </row>
    <row r="2915" spans="1:5" x14ac:dyDescent="0.25">
      <c r="A2915" t="s">
        <v>16</v>
      </c>
      <c r="B2915">
        <v>2019</v>
      </c>
      <c r="C2915" t="s">
        <v>58</v>
      </c>
      <c r="D2915">
        <v>1.0218604353196299</v>
      </c>
      <c r="E2915" t="s">
        <v>59</v>
      </c>
    </row>
    <row r="2916" spans="1:5" x14ac:dyDescent="0.25">
      <c r="A2916" t="s">
        <v>77</v>
      </c>
      <c r="B2916">
        <v>2025</v>
      </c>
      <c r="C2916" t="s">
        <v>58</v>
      </c>
      <c r="D2916">
        <v>4.8371301844929597</v>
      </c>
      <c r="E2916" t="s">
        <v>59</v>
      </c>
    </row>
    <row r="2917" spans="1:5" x14ac:dyDescent="0.25">
      <c r="A2917" t="s">
        <v>17</v>
      </c>
      <c r="B2917">
        <v>2010</v>
      </c>
      <c r="C2917" t="s">
        <v>58</v>
      </c>
      <c r="D2917">
        <v>1.38829065031117</v>
      </c>
      <c r="E2917" t="s">
        <v>59</v>
      </c>
    </row>
    <row r="2918" spans="1:5" x14ac:dyDescent="0.25">
      <c r="A2918" t="s">
        <v>17</v>
      </c>
      <c r="B2918">
        <v>2011</v>
      </c>
      <c r="C2918" t="s">
        <v>58</v>
      </c>
      <c r="D2918">
        <v>4.1983501960215097</v>
      </c>
      <c r="E2918" t="s">
        <v>59</v>
      </c>
    </row>
    <row r="2919" spans="1:5" x14ac:dyDescent="0.25">
      <c r="A2919" t="s">
        <v>17</v>
      </c>
      <c r="B2919">
        <v>2012</v>
      </c>
      <c r="C2919" t="s">
        <v>58</v>
      </c>
      <c r="D2919">
        <v>5.2125273429492003</v>
      </c>
      <c r="E2919" t="s">
        <v>59</v>
      </c>
    </row>
    <row r="2920" spans="1:5" x14ac:dyDescent="0.25">
      <c r="A2920" t="s">
        <v>17</v>
      </c>
      <c r="B2920">
        <v>2013</v>
      </c>
      <c r="C2920" t="s">
        <v>58</v>
      </c>
      <c r="D2920">
        <v>5.0422423997162698</v>
      </c>
      <c r="E2920" t="s">
        <v>59</v>
      </c>
    </row>
    <row r="2921" spans="1:5" x14ac:dyDescent="0.25">
      <c r="A2921" t="s">
        <v>17</v>
      </c>
      <c r="B2921">
        <v>2014</v>
      </c>
      <c r="C2921" t="s">
        <v>58</v>
      </c>
      <c r="D2921">
        <v>3.3642341330112102</v>
      </c>
      <c r="E2921" t="s">
        <v>59</v>
      </c>
    </row>
    <row r="2922" spans="1:5" x14ac:dyDescent="0.25">
      <c r="A2922" t="s">
        <v>17</v>
      </c>
      <c r="B2922">
        <v>2016</v>
      </c>
      <c r="C2922" t="s">
        <v>58</v>
      </c>
      <c r="D2922">
        <v>4.4121435009090497</v>
      </c>
      <c r="E2922" t="s">
        <v>59</v>
      </c>
    </row>
    <row r="2923" spans="1:5" x14ac:dyDescent="0.25">
      <c r="A2923" t="s">
        <v>17</v>
      </c>
      <c r="B2923">
        <v>2017</v>
      </c>
      <c r="C2923" t="s">
        <v>58</v>
      </c>
      <c r="D2923">
        <v>3.0496702138334602</v>
      </c>
      <c r="E2923" t="s">
        <v>59</v>
      </c>
    </row>
    <row r="2924" spans="1:5" x14ac:dyDescent="0.25">
      <c r="A2924" t="s">
        <v>17</v>
      </c>
      <c r="B2924">
        <v>2018</v>
      </c>
      <c r="C2924" t="s">
        <v>58</v>
      </c>
      <c r="D2924">
        <v>2.9758222685234901</v>
      </c>
      <c r="E2924" t="s">
        <v>59</v>
      </c>
    </row>
    <row r="2925" spans="1:5" x14ac:dyDescent="0.25">
      <c r="A2925" t="s">
        <v>17</v>
      </c>
      <c r="B2925">
        <v>2019</v>
      </c>
      <c r="C2925" t="s">
        <v>58</v>
      </c>
      <c r="D2925">
        <v>4.8701739961266401</v>
      </c>
      <c r="E2925" t="s">
        <v>59</v>
      </c>
    </row>
    <row r="2926" spans="1:5" x14ac:dyDescent="0.25">
      <c r="A2926" t="s">
        <v>17</v>
      </c>
      <c r="B2926">
        <v>2020</v>
      </c>
      <c r="C2926" t="s">
        <v>58</v>
      </c>
      <c r="D2926">
        <v>5.1575810529985802</v>
      </c>
      <c r="E2926" t="s">
        <v>59</v>
      </c>
    </row>
    <row r="2927" spans="1:5" x14ac:dyDescent="0.25">
      <c r="A2927" t="s">
        <v>17</v>
      </c>
      <c r="B2927">
        <v>2021</v>
      </c>
      <c r="C2927" t="s">
        <v>58</v>
      </c>
      <c r="D2927">
        <v>6.9224032083460498</v>
      </c>
      <c r="E2927" t="s">
        <v>59</v>
      </c>
    </row>
    <row r="2928" spans="1:5" x14ac:dyDescent="0.25">
      <c r="A2928" t="s">
        <v>17</v>
      </c>
      <c r="B2928">
        <v>2024</v>
      </c>
      <c r="C2928" t="s">
        <v>58</v>
      </c>
      <c r="D2928">
        <v>4.3616125471225597</v>
      </c>
      <c r="E2928" t="s">
        <v>59</v>
      </c>
    </row>
    <row r="2929" spans="1:5" x14ac:dyDescent="0.25">
      <c r="A2929" t="s">
        <v>18</v>
      </c>
      <c r="B2929">
        <v>2002</v>
      </c>
      <c r="C2929" t="s">
        <v>58</v>
      </c>
      <c r="D2929">
        <v>0.834514491437928</v>
      </c>
      <c r="E2929" t="s">
        <v>59</v>
      </c>
    </row>
    <row r="2930" spans="1:5" x14ac:dyDescent="0.25">
      <c r="A2930" t="s">
        <v>18</v>
      </c>
      <c r="B2930">
        <v>2003</v>
      </c>
      <c r="C2930" t="s">
        <v>58</v>
      </c>
      <c r="D2930">
        <v>1.1157242117304</v>
      </c>
      <c r="E2930" t="s">
        <v>59</v>
      </c>
    </row>
    <row r="2931" spans="1:5" x14ac:dyDescent="0.25">
      <c r="A2931" t="s">
        <v>18</v>
      </c>
      <c r="B2931">
        <v>2016</v>
      </c>
      <c r="C2931" t="s">
        <v>58</v>
      </c>
      <c r="D2931">
        <v>1.97405991033336</v>
      </c>
      <c r="E2931" t="s">
        <v>59</v>
      </c>
    </row>
    <row r="2932" spans="1:5" x14ac:dyDescent="0.25">
      <c r="A2932" t="s">
        <v>18</v>
      </c>
      <c r="B2932">
        <v>2017</v>
      </c>
      <c r="C2932" t="s">
        <v>58</v>
      </c>
      <c r="D2932">
        <v>2.2572624499288798</v>
      </c>
      <c r="E2932" t="s">
        <v>59</v>
      </c>
    </row>
    <row r="2933" spans="1:5" x14ac:dyDescent="0.25">
      <c r="A2933" t="s">
        <v>18</v>
      </c>
      <c r="B2933">
        <v>2018</v>
      </c>
      <c r="C2933" t="s">
        <v>58</v>
      </c>
      <c r="D2933">
        <v>2.11813730295439</v>
      </c>
      <c r="E2933" t="s">
        <v>59</v>
      </c>
    </row>
    <row r="2934" spans="1:5" x14ac:dyDescent="0.25">
      <c r="A2934" t="s">
        <v>18</v>
      </c>
      <c r="B2934">
        <v>2019</v>
      </c>
      <c r="C2934" t="s">
        <v>58</v>
      </c>
      <c r="D2934">
        <v>1.71081938826555</v>
      </c>
      <c r="E2934" t="s">
        <v>59</v>
      </c>
    </row>
    <row r="2935" spans="1:5" x14ac:dyDescent="0.25">
      <c r="A2935" t="s">
        <v>18</v>
      </c>
      <c r="B2935">
        <v>2020</v>
      </c>
      <c r="C2935" t="s">
        <v>58</v>
      </c>
      <c r="D2935">
        <v>1.69653354710286</v>
      </c>
      <c r="E2935" t="s">
        <v>59</v>
      </c>
    </row>
    <row r="2936" spans="1:5" x14ac:dyDescent="0.25">
      <c r="A2936" t="s">
        <v>18</v>
      </c>
      <c r="B2936">
        <v>2021</v>
      </c>
      <c r="C2936" t="s">
        <v>58</v>
      </c>
      <c r="D2936">
        <v>2.0434232585574699</v>
      </c>
      <c r="E2936" t="s">
        <v>59</v>
      </c>
    </row>
    <row r="2937" spans="1:5" x14ac:dyDescent="0.25">
      <c r="A2937" t="s">
        <v>18</v>
      </c>
      <c r="B2937">
        <v>2022</v>
      </c>
      <c r="C2937" t="s">
        <v>58</v>
      </c>
      <c r="D2937">
        <v>2.2828388236771202</v>
      </c>
      <c r="E2937" t="s">
        <v>59</v>
      </c>
    </row>
    <row r="2938" spans="1:5" x14ac:dyDescent="0.25">
      <c r="A2938" t="s">
        <v>18</v>
      </c>
      <c r="B2938">
        <v>2023</v>
      </c>
      <c r="C2938" t="s">
        <v>58</v>
      </c>
      <c r="D2938">
        <v>2.3411091830567101</v>
      </c>
      <c r="E2938" t="s">
        <v>59</v>
      </c>
    </row>
    <row r="2939" spans="1:5" x14ac:dyDescent="0.25">
      <c r="A2939" t="s">
        <v>19</v>
      </c>
      <c r="B2939">
        <v>2014</v>
      </c>
      <c r="C2939" t="s">
        <v>58</v>
      </c>
      <c r="D2939">
        <v>0.14421281844349601</v>
      </c>
      <c r="E2939" t="s">
        <v>59</v>
      </c>
    </row>
    <row r="2940" spans="1:5" x14ac:dyDescent="0.25">
      <c r="A2940" t="s">
        <v>20</v>
      </c>
      <c r="B2940">
        <v>2014</v>
      </c>
      <c r="C2940" t="s">
        <v>58</v>
      </c>
      <c r="D2940">
        <v>2.9464102811942601</v>
      </c>
      <c r="E2940" t="s">
        <v>59</v>
      </c>
    </row>
    <row r="2941" spans="1:5" x14ac:dyDescent="0.25">
      <c r="A2941" t="s">
        <v>20</v>
      </c>
      <c r="B2941">
        <v>2015</v>
      </c>
      <c r="C2941" t="s">
        <v>58</v>
      </c>
      <c r="D2941">
        <v>3.1281315583752001</v>
      </c>
      <c r="E2941" t="s">
        <v>59</v>
      </c>
    </row>
    <row r="2942" spans="1:5" x14ac:dyDescent="0.25">
      <c r="A2942" t="s">
        <v>20</v>
      </c>
      <c r="B2942">
        <v>2016</v>
      </c>
      <c r="C2942" t="s">
        <v>58</v>
      </c>
      <c r="D2942">
        <v>2.5562524201546899</v>
      </c>
      <c r="E2942" t="s">
        <v>59</v>
      </c>
    </row>
    <row r="2943" spans="1:5" x14ac:dyDescent="0.25">
      <c r="A2943" t="s">
        <v>20</v>
      </c>
      <c r="B2943">
        <v>2017</v>
      </c>
      <c r="C2943" t="s">
        <v>58</v>
      </c>
      <c r="D2943">
        <v>2.75995567381384</v>
      </c>
      <c r="E2943" t="s">
        <v>59</v>
      </c>
    </row>
    <row r="2944" spans="1:5" x14ac:dyDescent="0.25">
      <c r="A2944" t="s">
        <v>20</v>
      </c>
      <c r="B2944">
        <v>2018</v>
      </c>
      <c r="C2944" t="s">
        <v>58</v>
      </c>
      <c r="D2944">
        <v>2.78334164412595</v>
      </c>
      <c r="E2944" t="s">
        <v>59</v>
      </c>
    </row>
    <row r="2945" spans="1:5" x14ac:dyDescent="0.25">
      <c r="A2945" t="s">
        <v>20</v>
      </c>
      <c r="B2945">
        <v>2019</v>
      </c>
      <c r="C2945" t="s">
        <v>58</v>
      </c>
      <c r="D2945">
        <v>3.4302321141858099</v>
      </c>
      <c r="E2945" t="s">
        <v>59</v>
      </c>
    </row>
    <row r="2946" spans="1:5" x14ac:dyDescent="0.25">
      <c r="A2946" t="s">
        <v>20</v>
      </c>
      <c r="B2946">
        <v>2020</v>
      </c>
      <c r="C2946" t="s">
        <v>58</v>
      </c>
      <c r="D2946">
        <v>3.12180145514612</v>
      </c>
      <c r="E2946" t="s">
        <v>59</v>
      </c>
    </row>
    <row r="2947" spans="1:5" x14ac:dyDescent="0.25">
      <c r="A2947" t="s">
        <v>20</v>
      </c>
      <c r="B2947">
        <v>2021</v>
      </c>
      <c r="C2947" t="s">
        <v>58</v>
      </c>
      <c r="D2947">
        <v>4.4803376580411003</v>
      </c>
      <c r="E2947" t="s">
        <v>59</v>
      </c>
    </row>
    <row r="2948" spans="1:5" x14ac:dyDescent="0.25">
      <c r="A2948" t="s">
        <v>20</v>
      </c>
      <c r="B2948">
        <v>2022</v>
      </c>
      <c r="C2948" t="s">
        <v>58</v>
      </c>
      <c r="D2948">
        <v>3.7165545772790098</v>
      </c>
      <c r="E2948" t="s">
        <v>59</v>
      </c>
    </row>
    <row r="2949" spans="1:5" x14ac:dyDescent="0.25">
      <c r="A2949" t="s">
        <v>20</v>
      </c>
      <c r="B2949">
        <v>2023</v>
      </c>
      <c r="C2949" t="s">
        <v>58</v>
      </c>
      <c r="D2949">
        <v>3.0934468154864301</v>
      </c>
      <c r="E2949" t="s">
        <v>59</v>
      </c>
    </row>
    <row r="2950" spans="1:5" x14ac:dyDescent="0.25">
      <c r="A2950" t="s">
        <v>20</v>
      </c>
      <c r="B2950">
        <v>2024</v>
      </c>
      <c r="C2950" t="s">
        <v>58</v>
      </c>
      <c r="D2950">
        <v>2.62384181021309</v>
      </c>
      <c r="E2950" t="s">
        <v>59</v>
      </c>
    </row>
    <row r="2951" spans="1:5" x14ac:dyDescent="0.25">
      <c r="A2951" t="s">
        <v>20</v>
      </c>
      <c r="B2951">
        <v>2025</v>
      </c>
      <c r="C2951" t="s">
        <v>58</v>
      </c>
      <c r="D2951">
        <v>2.6989064697910599</v>
      </c>
      <c r="E2951" t="s">
        <v>59</v>
      </c>
    </row>
    <row r="2952" spans="1:5" x14ac:dyDescent="0.25">
      <c r="A2952" t="s">
        <v>21</v>
      </c>
      <c r="B2952">
        <v>2000</v>
      </c>
      <c r="C2952" t="s">
        <v>58</v>
      </c>
      <c r="D2952">
        <v>0.690137471399909</v>
      </c>
      <c r="E2952" t="s">
        <v>59</v>
      </c>
    </row>
    <row r="2953" spans="1:5" x14ac:dyDescent="0.25">
      <c r="A2953" t="s">
        <v>21</v>
      </c>
      <c r="B2953">
        <v>2001</v>
      </c>
      <c r="C2953" t="s">
        <v>58</v>
      </c>
      <c r="D2953">
        <v>0.87650392866371096</v>
      </c>
      <c r="E2953" t="s">
        <v>59</v>
      </c>
    </row>
    <row r="2954" spans="1:5" x14ac:dyDescent="0.25">
      <c r="A2954" t="s">
        <v>21</v>
      </c>
      <c r="B2954">
        <v>2002</v>
      </c>
      <c r="C2954" t="s">
        <v>58</v>
      </c>
      <c r="D2954">
        <v>1.14350294491289</v>
      </c>
      <c r="E2954" t="s">
        <v>59</v>
      </c>
    </row>
    <row r="2955" spans="1:5" x14ac:dyDescent="0.25">
      <c r="A2955" t="s">
        <v>21</v>
      </c>
      <c r="B2955">
        <v>2003</v>
      </c>
      <c r="C2955" t="s">
        <v>58</v>
      </c>
      <c r="D2955">
        <v>0.94536730915173095</v>
      </c>
      <c r="E2955" t="s">
        <v>59</v>
      </c>
    </row>
    <row r="2956" spans="1:5" x14ac:dyDescent="0.25">
      <c r="A2956" t="s">
        <v>21</v>
      </c>
      <c r="B2956">
        <v>2004</v>
      </c>
      <c r="C2956" t="s">
        <v>58</v>
      </c>
      <c r="D2956">
        <v>1.0955154801067699</v>
      </c>
      <c r="E2956" t="s">
        <v>59</v>
      </c>
    </row>
    <row r="2957" spans="1:5" x14ac:dyDescent="0.25">
      <c r="A2957" t="s">
        <v>21</v>
      </c>
      <c r="B2957">
        <v>2005</v>
      </c>
      <c r="C2957" t="s">
        <v>58</v>
      </c>
      <c r="D2957">
        <v>1.2005983825458699</v>
      </c>
      <c r="E2957" t="s">
        <v>59</v>
      </c>
    </row>
    <row r="2958" spans="1:5" x14ac:dyDescent="0.25">
      <c r="A2958" t="s">
        <v>21</v>
      </c>
      <c r="B2958">
        <v>2006</v>
      </c>
      <c r="C2958" t="s">
        <v>58</v>
      </c>
      <c r="D2958">
        <v>1.42257256097358</v>
      </c>
      <c r="E2958" t="s">
        <v>59</v>
      </c>
    </row>
    <row r="2959" spans="1:5" x14ac:dyDescent="0.25">
      <c r="A2959" t="s">
        <v>21</v>
      </c>
      <c r="B2959">
        <v>2007</v>
      </c>
      <c r="C2959" t="s">
        <v>58</v>
      </c>
      <c r="D2959">
        <v>2.0346450835208101</v>
      </c>
      <c r="E2959" t="s">
        <v>59</v>
      </c>
    </row>
    <row r="2960" spans="1:5" x14ac:dyDescent="0.25">
      <c r="A2960" t="s">
        <v>21</v>
      </c>
      <c r="B2960">
        <v>2008</v>
      </c>
      <c r="C2960" t="s">
        <v>58</v>
      </c>
      <c r="D2960">
        <v>2.0478052448142599</v>
      </c>
      <c r="E2960" t="s">
        <v>59</v>
      </c>
    </row>
    <row r="2961" spans="1:5" x14ac:dyDescent="0.25">
      <c r="A2961" t="s">
        <v>21</v>
      </c>
      <c r="B2961">
        <v>2009</v>
      </c>
      <c r="C2961" t="s">
        <v>58</v>
      </c>
      <c r="D2961">
        <v>1.53132957404717</v>
      </c>
      <c r="E2961" t="s">
        <v>59</v>
      </c>
    </row>
    <row r="2962" spans="1:5" x14ac:dyDescent="0.25">
      <c r="A2962" t="s">
        <v>21</v>
      </c>
      <c r="B2962">
        <v>2010</v>
      </c>
      <c r="C2962" t="s">
        <v>58</v>
      </c>
      <c r="D2962">
        <v>1.7581083352976801</v>
      </c>
      <c r="E2962" t="s">
        <v>59</v>
      </c>
    </row>
    <row r="2963" spans="1:5" x14ac:dyDescent="0.25">
      <c r="A2963" t="s">
        <v>21</v>
      </c>
      <c r="B2963">
        <v>2011</v>
      </c>
      <c r="C2963" t="s">
        <v>58</v>
      </c>
      <c r="D2963">
        <v>2.0472206191671898</v>
      </c>
      <c r="E2963" t="s">
        <v>59</v>
      </c>
    </row>
    <row r="2964" spans="1:5" x14ac:dyDescent="0.25">
      <c r="A2964" t="s">
        <v>21</v>
      </c>
      <c r="B2964">
        <v>2012</v>
      </c>
      <c r="C2964" t="s">
        <v>58</v>
      </c>
      <c r="D2964">
        <v>2.40738962984181</v>
      </c>
      <c r="E2964" t="s">
        <v>59</v>
      </c>
    </row>
    <row r="2965" spans="1:5" x14ac:dyDescent="0.25">
      <c r="A2965" t="s">
        <v>21</v>
      </c>
      <c r="B2965">
        <v>2013</v>
      </c>
      <c r="C2965" t="s">
        <v>58</v>
      </c>
      <c r="D2965">
        <v>2.96319219021894</v>
      </c>
      <c r="E2965" t="s">
        <v>59</v>
      </c>
    </row>
    <row r="2966" spans="1:5" x14ac:dyDescent="0.25">
      <c r="A2966" t="s">
        <v>21</v>
      </c>
      <c r="B2966">
        <v>2014</v>
      </c>
      <c r="C2966" t="s">
        <v>58</v>
      </c>
      <c r="D2966">
        <v>2.6543538032227501</v>
      </c>
      <c r="E2966" t="s">
        <v>59</v>
      </c>
    </row>
    <row r="2967" spans="1:5" x14ac:dyDescent="0.25">
      <c r="A2967" t="s">
        <v>21</v>
      </c>
      <c r="B2967">
        <v>2015</v>
      </c>
      <c r="C2967" t="s">
        <v>58</v>
      </c>
      <c r="D2967">
        <v>1.9470934711757899</v>
      </c>
      <c r="E2967" t="s">
        <v>59</v>
      </c>
    </row>
    <row r="2968" spans="1:5" x14ac:dyDescent="0.25">
      <c r="A2968" t="s">
        <v>21</v>
      </c>
      <c r="B2968">
        <v>2016</v>
      </c>
      <c r="C2968" t="s">
        <v>58</v>
      </c>
      <c r="D2968">
        <v>2.1301227986789701</v>
      </c>
      <c r="E2968" t="s">
        <v>59</v>
      </c>
    </row>
    <row r="2969" spans="1:5" x14ac:dyDescent="0.25">
      <c r="A2969" t="s">
        <v>21</v>
      </c>
      <c r="B2969">
        <v>2017</v>
      </c>
      <c r="C2969" t="s">
        <v>58</v>
      </c>
      <c r="D2969">
        <v>2.71217304582995</v>
      </c>
      <c r="E2969" t="s">
        <v>59</v>
      </c>
    </row>
    <row r="2970" spans="1:5" x14ac:dyDescent="0.25">
      <c r="A2970" t="s">
        <v>21</v>
      </c>
      <c r="B2970">
        <v>2018</v>
      </c>
      <c r="C2970" t="s">
        <v>58</v>
      </c>
      <c r="D2970">
        <v>2.4374684725936002</v>
      </c>
      <c r="E2970" t="s">
        <v>59</v>
      </c>
    </row>
    <row r="2971" spans="1:5" x14ac:dyDescent="0.25">
      <c r="A2971" t="s">
        <v>21</v>
      </c>
      <c r="B2971">
        <v>2019</v>
      </c>
      <c r="C2971" t="s">
        <v>58</v>
      </c>
      <c r="D2971">
        <v>2.6066813149885699</v>
      </c>
      <c r="E2971" t="s">
        <v>59</v>
      </c>
    </row>
    <row r="2972" spans="1:5" x14ac:dyDescent="0.25">
      <c r="A2972" t="s">
        <v>21</v>
      </c>
      <c r="B2972">
        <v>2020</v>
      </c>
      <c r="C2972" t="s">
        <v>58</v>
      </c>
      <c r="D2972">
        <v>2.27418462365485</v>
      </c>
      <c r="E2972" t="s">
        <v>59</v>
      </c>
    </row>
    <row r="2973" spans="1:5" x14ac:dyDescent="0.25">
      <c r="A2973" t="s">
        <v>21</v>
      </c>
      <c r="B2973">
        <v>2021</v>
      </c>
      <c r="C2973" t="s">
        <v>58</v>
      </c>
      <c r="D2973">
        <v>2.9973972432255298</v>
      </c>
      <c r="E2973" t="s">
        <v>59</v>
      </c>
    </row>
    <row r="2974" spans="1:5" x14ac:dyDescent="0.25">
      <c r="A2974" t="s">
        <v>21</v>
      </c>
      <c r="B2974">
        <v>2022</v>
      </c>
      <c r="C2974" t="s">
        <v>58</v>
      </c>
      <c r="D2974">
        <v>3.6264232444984899</v>
      </c>
      <c r="E2974" t="s">
        <v>59</v>
      </c>
    </row>
    <row r="2975" spans="1:5" x14ac:dyDescent="0.25">
      <c r="A2975" t="s">
        <v>21</v>
      </c>
      <c r="B2975">
        <v>2023</v>
      </c>
      <c r="C2975" t="s">
        <v>58</v>
      </c>
      <c r="D2975">
        <v>4.0602400382930801</v>
      </c>
      <c r="E2975" t="s">
        <v>59</v>
      </c>
    </row>
    <row r="2976" spans="1:5" x14ac:dyDescent="0.25">
      <c r="A2976" t="s">
        <v>21</v>
      </c>
      <c r="B2976">
        <v>2024</v>
      </c>
      <c r="C2976" t="s">
        <v>58</v>
      </c>
      <c r="D2976">
        <v>4.2073579168921498</v>
      </c>
      <c r="E2976" t="s">
        <v>59</v>
      </c>
    </row>
    <row r="2977" spans="1:5" x14ac:dyDescent="0.25">
      <c r="A2977" t="s">
        <v>76</v>
      </c>
      <c r="B2977">
        <v>2015</v>
      </c>
      <c r="C2977" t="s">
        <v>58</v>
      </c>
      <c r="D2977">
        <v>7.8381232897297402</v>
      </c>
      <c r="E2977" t="s">
        <v>59</v>
      </c>
    </row>
    <row r="2978" spans="1:5" x14ac:dyDescent="0.25">
      <c r="A2978" t="s">
        <v>76</v>
      </c>
      <c r="B2978">
        <v>2021</v>
      </c>
      <c r="C2978" t="s">
        <v>58</v>
      </c>
      <c r="D2978">
        <v>9.0165165458919798</v>
      </c>
      <c r="E2978" t="s">
        <v>59</v>
      </c>
    </row>
    <row r="2979" spans="1:5" x14ac:dyDescent="0.25">
      <c r="A2979" t="s">
        <v>76</v>
      </c>
      <c r="B2979">
        <v>2022</v>
      </c>
      <c r="C2979" t="s">
        <v>58</v>
      </c>
      <c r="D2979">
        <v>12.509300014257899</v>
      </c>
      <c r="E2979" t="s">
        <v>59</v>
      </c>
    </row>
    <row r="2980" spans="1:5" x14ac:dyDescent="0.25">
      <c r="A2980" t="s">
        <v>22</v>
      </c>
      <c r="B2980">
        <v>2017</v>
      </c>
      <c r="C2980" t="s">
        <v>58</v>
      </c>
      <c r="D2980">
        <v>10.511290958410299</v>
      </c>
      <c r="E2980" t="s">
        <v>59</v>
      </c>
    </row>
    <row r="2981" spans="1:5" x14ac:dyDescent="0.25">
      <c r="A2981" t="s">
        <v>22</v>
      </c>
      <c r="B2981">
        <v>2019</v>
      </c>
      <c r="C2981" t="s">
        <v>58</v>
      </c>
      <c r="D2981">
        <v>12.9200979889705</v>
      </c>
      <c r="E2981" t="s">
        <v>59</v>
      </c>
    </row>
    <row r="2982" spans="1:5" x14ac:dyDescent="0.25">
      <c r="A2982" t="s">
        <v>22</v>
      </c>
      <c r="B2982">
        <v>2020</v>
      </c>
      <c r="C2982" t="s">
        <v>58</v>
      </c>
      <c r="D2982">
        <v>11.5477470420179</v>
      </c>
      <c r="E2982" t="s">
        <v>59</v>
      </c>
    </row>
    <row r="2983" spans="1:5" x14ac:dyDescent="0.25">
      <c r="A2983" t="s">
        <v>22</v>
      </c>
      <c r="B2983">
        <v>2025</v>
      </c>
      <c r="C2983" t="s">
        <v>58</v>
      </c>
      <c r="D2983">
        <v>10.884227758930001</v>
      </c>
      <c r="E2983" t="s">
        <v>59</v>
      </c>
    </row>
    <row r="2984" spans="1:5" x14ac:dyDescent="0.25">
      <c r="A2984" t="s">
        <v>23</v>
      </c>
      <c r="B2984">
        <v>2010</v>
      </c>
      <c r="C2984" t="s">
        <v>58</v>
      </c>
      <c r="D2984">
        <v>1.61003924417698</v>
      </c>
      <c r="E2984" t="s">
        <v>59</v>
      </c>
    </row>
    <row r="2985" spans="1:5" x14ac:dyDescent="0.25">
      <c r="A2985" t="s">
        <v>23</v>
      </c>
      <c r="B2985">
        <v>2011</v>
      </c>
      <c r="C2985" t="s">
        <v>58</v>
      </c>
      <c r="D2985">
        <v>2.82209439918224</v>
      </c>
      <c r="E2985" t="s">
        <v>59</v>
      </c>
    </row>
    <row r="2986" spans="1:5" x14ac:dyDescent="0.25">
      <c r="A2986" t="s">
        <v>23</v>
      </c>
      <c r="B2986">
        <v>2012</v>
      </c>
      <c r="C2986" t="s">
        <v>58</v>
      </c>
      <c r="D2986">
        <v>2.4766091928535601</v>
      </c>
      <c r="E2986" t="s">
        <v>59</v>
      </c>
    </row>
    <row r="2987" spans="1:5" x14ac:dyDescent="0.25">
      <c r="A2987" t="s">
        <v>23</v>
      </c>
      <c r="B2987">
        <v>2013</v>
      </c>
      <c r="C2987" t="s">
        <v>58</v>
      </c>
      <c r="D2987">
        <v>3.9809021148557902</v>
      </c>
      <c r="E2987" t="s">
        <v>59</v>
      </c>
    </row>
    <row r="2988" spans="1:5" x14ac:dyDescent="0.25">
      <c r="A2988" t="s">
        <v>23</v>
      </c>
      <c r="B2988">
        <v>2014</v>
      </c>
      <c r="C2988" t="s">
        <v>58</v>
      </c>
      <c r="D2988">
        <v>199.00412265322799</v>
      </c>
      <c r="E2988" t="s">
        <v>59</v>
      </c>
    </row>
    <row r="2989" spans="1:5" x14ac:dyDescent="0.25">
      <c r="A2989" t="s">
        <v>23</v>
      </c>
      <c r="B2989">
        <v>2015</v>
      </c>
      <c r="C2989" t="s">
        <v>58</v>
      </c>
      <c r="D2989">
        <v>2.1036785688379598</v>
      </c>
      <c r="E2989" t="s">
        <v>59</v>
      </c>
    </row>
    <row r="2990" spans="1:5" x14ac:dyDescent="0.25">
      <c r="A2990" t="s">
        <v>23</v>
      </c>
      <c r="B2990">
        <v>2016</v>
      </c>
      <c r="C2990" t="s">
        <v>58</v>
      </c>
      <c r="D2990">
        <v>1.4998576696869199</v>
      </c>
      <c r="E2990" t="s">
        <v>59</v>
      </c>
    </row>
    <row r="2991" spans="1:5" x14ac:dyDescent="0.25">
      <c r="A2991" t="s">
        <v>23</v>
      </c>
      <c r="B2991">
        <v>2017</v>
      </c>
      <c r="C2991" t="s">
        <v>58</v>
      </c>
      <c r="D2991">
        <v>1.69187899160991</v>
      </c>
      <c r="E2991" t="s">
        <v>59</v>
      </c>
    </row>
    <row r="2992" spans="1:5" x14ac:dyDescent="0.25">
      <c r="A2992" t="s">
        <v>23</v>
      </c>
      <c r="B2992">
        <v>2018</v>
      </c>
      <c r="C2992" t="s">
        <v>58</v>
      </c>
      <c r="D2992">
        <v>1.3277318724461999</v>
      </c>
      <c r="E2992" t="s">
        <v>59</v>
      </c>
    </row>
    <row r="2993" spans="1:5" x14ac:dyDescent="0.25">
      <c r="A2993" t="s">
        <v>23</v>
      </c>
      <c r="B2993">
        <v>2019</v>
      </c>
      <c r="C2993" t="s">
        <v>58</v>
      </c>
      <c r="D2993">
        <v>1.3215598461823099</v>
      </c>
      <c r="E2993" t="s">
        <v>59</v>
      </c>
    </row>
    <row r="2994" spans="1:5" x14ac:dyDescent="0.25">
      <c r="A2994" t="s">
        <v>23</v>
      </c>
      <c r="B2994">
        <v>2020</v>
      </c>
      <c r="C2994" t="s">
        <v>58</v>
      </c>
      <c r="D2994">
        <v>1.2563761636775601</v>
      </c>
      <c r="E2994" t="s">
        <v>59</v>
      </c>
    </row>
    <row r="2995" spans="1:5" x14ac:dyDescent="0.25">
      <c r="A2995" t="s">
        <v>23</v>
      </c>
      <c r="B2995">
        <v>2021</v>
      </c>
      <c r="C2995" t="s">
        <v>58</v>
      </c>
      <c r="D2995">
        <v>1.4924772933331401</v>
      </c>
      <c r="E2995" t="s">
        <v>59</v>
      </c>
    </row>
    <row r="2996" spans="1:5" x14ac:dyDescent="0.25">
      <c r="A2996" t="s">
        <v>23</v>
      </c>
      <c r="B2996">
        <v>2022</v>
      </c>
      <c r="C2996" t="s">
        <v>58</v>
      </c>
      <c r="D2996">
        <v>1.26822332517995</v>
      </c>
      <c r="E2996" t="s">
        <v>59</v>
      </c>
    </row>
    <row r="2997" spans="1:5" x14ac:dyDescent="0.25">
      <c r="A2997" t="s">
        <v>23</v>
      </c>
      <c r="B2997">
        <v>2023</v>
      </c>
      <c r="C2997" t="s">
        <v>58</v>
      </c>
      <c r="D2997">
        <v>1.3900174012194499</v>
      </c>
      <c r="E2997" t="s">
        <v>59</v>
      </c>
    </row>
    <row r="2998" spans="1:5" x14ac:dyDescent="0.25">
      <c r="A2998" t="s">
        <v>25</v>
      </c>
      <c r="B2998">
        <v>2020</v>
      </c>
      <c r="C2998" t="s">
        <v>58</v>
      </c>
      <c r="D2998">
        <v>2.3764737146407202</v>
      </c>
      <c r="E2998" t="s">
        <v>59</v>
      </c>
    </row>
    <row r="2999" spans="1:5" x14ac:dyDescent="0.25">
      <c r="A2999" t="s">
        <v>25</v>
      </c>
      <c r="B2999">
        <v>2021</v>
      </c>
      <c r="C2999" t="s">
        <v>58</v>
      </c>
      <c r="D2999">
        <v>2.3985146282179999</v>
      </c>
      <c r="E2999" t="s">
        <v>59</v>
      </c>
    </row>
    <row r="3000" spans="1:5" x14ac:dyDescent="0.25">
      <c r="A3000" t="s">
        <v>25</v>
      </c>
      <c r="B3000">
        <v>2022</v>
      </c>
      <c r="C3000" t="s">
        <v>58</v>
      </c>
      <c r="D3000">
        <v>2.85523149520224</v>
      </c>
      <c r="E3000" t="s">
        <v>59</v>
      </c>
    </row>
    <row r="3001" spans="1:5" x14ac:dyDescent="0.25">
      <c r="A3001" t="s">
        <v>25</v>
      </c>
      <c r="B3001">
        <v>2023</v>
      </c>
      <c r="C3001" t="s">
        <v>58</v>
      </c>
      <c r="D3001">
        <v>2.83860534838422</v>
      </c>
      <c r="E3001" t="s">
        <v>59</v>
      </c>
    </row>
    <row r="3002" spans="1:5" x14ac:dyDescent="0.25">
      <c r="A3002" t="s">
        <v>25</v>
      </c>
      <c r="B3002">
        <v>2024</v>
      </c>
      <c r="C3002" t="s">
        <v>58</v>
      </c>
      <c r="D3002">
        <v>2.5133544298495099</v>
      </c>
      <c r="E3002" t="s">
        <v>59</v>
      </c>
    </row>
    <row r="3003" spans="1:5" x14ac:dyDescent="0.25">
      <c r="A3003" t="s">
        <v>27</v>
      </c>
      <c r="B3003">
        <v>2011</v>
      </c>
      <c r="C3003" t="s">
        <v>58</v>
      </c>
      <c r="D3003">
        <v>1.54831717064727</v>
      </c>
      <c r="E3003" t="s">
        <v>59</v>
      </c>
    </row>
    <row r="3004" spans="1:5" x14ac:dyDescent="0.25">
      <c r="A3004" t="s">
        <v>27</v>
      </c>
      <c r="B3004">
        <v>2012</v>
      </c>
      <c r="C3004" t="s">
        <v>58</v>
      </c>
      <c r="D3004">
        <v>2.1681670257154102</v>
      </c>
      <c r="E3004" t="s">
        <v>59</v>
      </c>
    </row>
    <row r="3005" spans="1:5" x14ac:dyDescent="0.25">
      <c r="A3005" t="s">
        <v>27</v>
      </c>
      <c r="B3005">
        <v>2013</v>
      </c>
      <c r="C3005" t="s">
        <v>58</v>
      </c>
      <c r="D3005">
        <v>2.2172366922553901</v>
      </c>
      <c r="E3005" t="s">
        <v>59</v>
      </c>
    </row>
    <row r="3006" spans="1:5" x14ac:dyDescent="0.25">
      <c r="A3006" t="s">
        <v>27</v>
      </c>
      <c r="B3006">
        <v>2014</v>
      </c>
      <c r="C3006" t="s">
        <v>58</v>
      </c>
      <c r="D3006">
        <v>1.96504091653366</v>
      </c>
      <c r="E3006" t="s">
        <v>59</v>
      </c>
    </row>
    <row r="3007" spans="1:5" x14ac:dyDescent="0.25">
      <c r="A3007" t="s">
        <v>27</v>
      </c>
      <c r="B3007">
        <v>2015</v>
      </c>
      <c r="C3007" t="s">
        <v>58</v>
      </c>
      <c r="D3007">
        <v>2.0515745339753702</v>
      </c>
      <c r="E3007" t="s">
        <v>59</v>
      </c>
    </row>
    <row r="3008" spans="1:5" x14ac:dyDescent="0.25">
      <c r="A3008" t="s">
        <v>27</v>
      </c>
      <c r="B3008">
        <v>2016</v>
      </c>
      <c r="C3008" t="s">
        <v>58</v>
      </c>
      <c r="D3008">
        <v>2.0349931000232102</v>
      </c>
      <c r="E3008" t="s">
        <v>59</v>
      </c>
    </row>
    <row r="3009" spans="1:5" x14ac:dyDescent="0.25">
      <c r="A3009" t="s">
        <v>27</v>
      </c>
      <c r="B3009">
        <v>2017</v>
      </c>
      <c r="C3009" t="s">
        <v>58</v>
      </c>
      <c r="D3009">
        <v>1.54545928684759</v>
      </c>
      <c r="E3009" t="s">
        <v>59</v>
      </c>
    </row>
    <row r="3010" spans="1:5" x14ac:dyDescent="0.25">
      <c r="A3010" t="s">
        <v>27</v>
      </c>
      <c r="B3010">
        <v>2018</v>
      </c>
      <c r="C3010" t="s">
        <v>58</v>
      </c>
      <c r="D3010">
        <v>1.60754829691268</v>
      </c>
      <c r="E3010" t="s">
        <v>59</v>
      </c>
    </row>
    <row r="3011" spans="1:5" x14ac:dyDescent="0.25">
      <c r="A3011" t="s">
        <v>27</v>
      </c>
      <c r="B3011">
        <v>2019</v>
      </c>
      <c r="C3011" t="s">
        <v>58</v>
      </c>
      <c r="D3011">
        <v>1.5598634426382001</v>
      </c>
      <c r="E3011" t="s">
        <v>59</v>
      </c>
    </row>
    <row r="3012" spans="1:5" x14ac:dyDescent="0.25">
      <c r="A3012" t="s">
        <v>27</v>
      </c>
      <c r="B3012">
        <v>2020</v>
      </c>
      <c r="C3012" t="s">
        <v>58</v>
      </c>
      <c r="D3012">
        <v>1.30834203724813</v>
      </c>
      <c r="E3012" t="s">
        <v>59</v>
      </c>
    </row>
    <row r="3013" spans="1:5" x14ac:dyDescent="0.25">
      <c r="A3013" t="s">
        <v>27</v>
      </c>
      <c r="B3013">
        <v>2021</v>
      </c>
      <c r="C3013" t="s">
        <v>58</v>
      </c>
      <c r="D3013">
        <v>1.2560614314149701</v>
      </c>
      <c r="E3013" t="s">
        <v>59</v>
      </c>
    </row>
    <row r="3014" spans="1:5" x14ac:dyDescent="0.25">
      <c r="A3014" t="s">
        <v>27</v>
      </c>
      <c r="B3014">
        <v>2022</v>
      </c>
      <c r="C3014" t="s">
        <v>58</v>
      </c>
      <c r="D3014">
        <v>1.5658731004589601</v>
      </c>
      <c r="E3014" t="s">
        <v>59</v>
      </c>
    </row>
    <row r="3015" spans="1:5" x14ac:dyDescent="0.25">
      <c r="A3015" t="s">
        <v>27</v>
      </c>
      <c r="B3015">
        <v>2023</v>
      </c>
      <c r="C3015" t="s">
        <v>58</v>
      </c>
      <c r="D3015">
        <v>1.71235456260706</v>
      </c>
      <c r="E3015" t="s">
        <v>59</v>
      </c>
    </row>
    <row r="3016" spans="1:5" x14ac:dyDescent="0.25">
      <c r="A3016" t="s">
        <v>27</v>
      </c>
      <c r="B3016">
        <v>2024</v>
      </c>
      <c r="C3016" t="s">
        <v>58</v>
      </c>
      <c r="D3016">
        <v>1.5756001107458499</v>
      </c>
      <c r="E3016" t="s">
        <v>59</v>
      </c>
    </row>
    <row r="3017" spans="1:5" x14ac:dyDescent="0.25">
      <c r="A3017" t="s">
        <v>27</v>
      </c>
      <c r="B3017">
        <v>2025</v>
      </c>
      <c r="C3017" t="s">
        <v>58</v>
      </c>
      <c r="D3017">
        <v>1.4310997810425901</v>
      </c>
      <c r="E3017" t="s">
        <v>59</v>
      </c>
    </row>
    <row r="3018" spans="1:5" x14ac:dyDescent="0.25">
      <c r="A3018" t="s">
        <v>28</v>
      </c>
      <c r="B3018">
        <v>2012</v>
      </c>
      <c r="C3018" t="s">
        <v>58</v>
      </c>
      <c r="D3018">
        <v>2.9701229698732901</v>
      </c>
      <c r="E3018" t="s">
        <v>59</v>
      </c>
    </row>
    <row r="3019" spans="1:5" x14ac:dyDescent="0.25">
      <c r="A3019" t="s">
        <v>28</v>
      </c>
      <c r="B3019">
        <v>2013</v>
      </c>
      <c r="C3019" t="s">
        <v>58</v>
      </c>
      <c r="D3019">
        <v>0.82147126728514597</v>
      </c>
      <c r="E3019" t="s">
        <v>59</v>
      </c>
    </row>
    <row r="3020" spans="1:5" x14ac:dyDescent="0.25">
      <c r="A3020" t="s">
        <v>28</v>
      </c>
      <c r="B3020">
        <v>2014</v>
      </c>
      <c r="C3020" t="s">
        <v>58</v>
      </c>
      <c r="D3020">
        <v>2.4523878906774401</v>
      </c>
      <c r="E3020" t="s">
        <v>59</v>
      </c>
    </row>
    <row r="3021" spans="1:5" x14ac:dyDescent="0.25">
      <c r="A3021" t="s">
        <v>28</v>
      </c>
      <c r="B3021">
        <v>2015</v>
      </c>
      <c r="C3021" t="s">
        <v>58</v>
      </c>
      <c r="D3021">
        <v>2.63880870304305</v>
      </c>
      <c r="E3021" t="s">
        <v>59</v>
      </c>
    </row>
    <row r="3022" spans="1:5" x14ac:dyDescent="0.25">
      <c r="A3022" t="s">
        <v>28</v>
      </c>
      <c r="B3022">
        <v>2016</v>
      </c>
      <c r="C3022" t="s">
        <v>58</v>
      </c>
      <c r="D3022">
        <v>3.13115500855749</v>
      </c>
      <c r="E3022" t="s">
        <v>59</v>
      </c>
    </row>
    <row r="3023" spans="1:5" x14ac:dyDescent="0.25">
      <c r="A3023" t="s">
        <v>28</v>
      </c>
      <c r="B3023">
        <v>2017</v>
      </c>
      <c r="C3023" t="s">
        <v>58</v>
      </c>
      <c r="D3023">
        <v>2.4826779516673398</v>
      </c>
      <c r="E3023" t="s">
        <v>59</v>
      </c>
    </row>
    <row r="3024" spans="1:5" x14ac:dyDescent="0.25">
      <c r="A3024" t="s">
        <v>28</v>
      </c>
      <c r="B3024">
        <v>2018</v>
      </c>
      <c r="C3024" t="s">
        <v>58</v>
      </c>
      <c r="D3024">
        <v>3.7892119475857098</v>
      </c>
      <c r="E3024" t="s">
        <v>59</v>
      </c>
    </row>
    <row r="3025" spans="1:5" x14ac:dyDescent="0.25">
      <c r="A3025" t="s">
        <v>28</v>
      </c>
      <c r="B3025">
        <v>2019</v>
      </c>
      <c r="C3025" t="s">
        <v>58</v>
      </c>
      <c r="D3025">
        <v>3.8008894982915198</v>
      </c>
      <c r="E3025" t="s">
        <v>59</v>
      </c>
    </row>
    <row r="3026" spans="1:5" x14ac:dyDescent="0.25">
      <c r="A3026" t="s">
        <v>28</v>
      </c>
      <c r="B3026">
        <v>2020</v>
      </c>
      <c r="C3026" t="s">
        <v>58</v>
      </c>
      <c r="D3026">
        <v>3.37938528628308</v>
      </c>
      <c r="E3026" t="s">
        <v>59</v>
      </c>
    </row>
    <row r="3027" spans="1:5" x14ac:dyDescent="0.25">
      <c r="A3027" t="s">
        <v>28</v>
      </c>
      <c r="B3027">
        <v>2021</v>
      </c>
      <c r="C3027" t="s">
        <v>58</v>
      </c>
      <c r="D3027">
        <v>4.1675646202139998</v>
      </c>
      <c r="E3027" t="s">
        <v>59</v>
      </c>
    </row>
    <row r="3028" spans="1:5" x14ac:dyDescent="0.25">
      <c r="A3028" t="s">
        <v>28</v>
      </c>
      <c r="B3028">
        <v>2022</v>
      </c>
      <c r="C3028" t="s">
        <v>58</v>
      </c>
      <c r="D3028">
        <v>5.0782525031838501</v>
      </c>
      <c r="E3028" t="s">
        <v>59</v>
      </c>
    </row>
    <row r="3029" spans="1:5" x14ac:dyDescent="0.25">
      <c r="A3029" t="s">
        <v>28</v>
      </c>
      <c r="B3029">
        <v>2023</v>
      </c>
      <c r="C3029" t="s">
        <v>58</v>
      </c>
      <c r="D3029">
        <v>4.3538550793592501</v>
      </c>
      <c r="E3029" t="s">
        <v>59</v>
      </c>
    </row>
    <row r="3030" spans="1:5" x14ac:dyDescent="0.25">
      <c r="A3030" t="s">
        <v>28</v>
      </c>
      <c r="B3030">
        <v>2024</v>
      </c>
      <c r="C3030" t="s">
        <v>58</v>
      </c>
      <c r="D3030">
        <v>3.3768796305737698</v>
      </c>
      <c r="E3030" t="s">
        <v>59</v>
      </c>
    </row>
    <row r="3031" spans="1:5" x14ac:dyDescent="0.25">
      <c r="A3031" t="s">
        <v>75</v>
      </c>
      <c r="B3031">
        <v>2001</v>
      </c>
      <c r="C3031" t="s">
        <v>58</v>
      </c>
      <c r="D3031">
        <v>2.3209298484171801</v>
      </c>
      <c r="E3031" t="s">
        <v>59</v>
      </c>
    </row>
    <row r="3032" spans="1:5" x14ac:dyDescent="0.25">
      <c r="A3032" t="s">
        <v>75</v>
      </c>
      <c r="B3032">
        <v>2011</v>
      </c>
      <c r="C3032" t="s">
        <v>58</v>
      </c>
      <c r="D3032">
        <v>3.8647502698260099</v>
      </c>
      <c r="E3032" t="s">
        <v>59</v>
      </c>
    </row>
    <row r="3033" spans="1:5" x14ac:dyDescent="0.25">
      <c r="A3033" t="s">
        <v>75</v>
      </c>
      <c r="B3033">
        <v>2012</v>
      </c>
      <c r="C3033" t="s">
        <v>58</v>
      </c>
      <c r="D3033">
        <v>3.1812039685065501</v>
      </c>
      <c r="E3033" t="s">
        <v>59</v>
      </c>
    </row>
    <row r="3034" spans="1:5" x14ac:dyDescent="0.25">
      <c r="A3034" t="s">
        <v>75</v>
      </c>
      <c r="B3034">
        <v>2013</v>
      </c>
      <c r="C3034" t="s">
        <v>58</v>
      </c>
      <c r="D3034">
        <v>2.7744972086399602</v>
      </c>
      <c r="E3034" t="s">
        <v>59</v>
      </c>
    </row>
    <row r="3035" spans="1:5" x14ac:dyDescent="0.25">
      <c r="A3035" t="s">
        <v>75</v>
      </c>
      <c r="B3035">
        <v>2014</v>
      </c>
      <c r="C3035" t="s">
        <v>58</v>
      </c>
      <c r="D3035">
        <v>2.0101209689325099</v>
      </c>
      <c r="E3035" t="s">
        <v>59</v>
      </c>
    </row>
    <row r="3036" spans="1:5" x14ac:dyDescent="0.25">
      <c r="A3036" t="s">
        <v>75</v>
      </c>
      <c r="B3036">
        <v>2015</v>
      </c>
      <c r="C3036" t="s">
        <v>58</v>
      </c>
      <c r="D3036">
        <v>3.13046763367353</v>
      </c>
      <c r="E3036" t="s">
        <v>59</v>
      </c>
    </row>
    <row r="3037" spans="1:5" x14ac:dyDescent="0.25">
      <c r="A3037" t="s">
        <v>75</v>
      </c>
      <c r="B3037">
        <v>2016</v>
      </c>
      <c r="C3037" t="s">
        <v>58</v>
      </c>
      <c r="D3037">
        <v>3.1753416328871702</v>
      </c>
      <c r="E3037" t="s">
        <v>59</v>
      </c>
    </row>
    <row r="3038" spans="1:5" x14ac:dyDescent="0.25">
      <c r="A3038" t="s">
        <v>75</v>
      </c>
      <c r="B3038">
        <v>2017</v>
      </c>
      <c r="C3038" t="s">
        <v>58</v>
      </c>
      <c r="D3038">
        <v>3.4072676188234801</v>
      </c>
      <c r="E3038" t="s">
        <v>59</v>
      </c>
    </row>
    <row r="3039" spans="1:5" x14ac:dyDescent="0.25">
      <c r="A3039" t="s">
        <v>75</v>
      </c>
      <c r="B3039">
        <v>2018</v>
      </c>
      <c r="C3039" t="s">
        <v>58</v>
      </c>
      <c r="D3039">
        <v>2.8622215833842302</v>
      </c>
      <c r="E3039" t="s">
        <v>59</v>
      </c>
    </row>
    <row r="3040" spans="1:5" x14ac:dyDescent="0.25">
      <c r="A3040" t="s">
        <v>75</v>
      </c>
      <c r="B3040">
        <v>2019</v>
      </c>
      <c r="C3040" t="s">
        <v>58</v>
      </c>
      <c r="D3040">
        <v>2.6713244362946398</v>
      </c>
      <c r="E3040" t="s">
        <v>59</v>
      </c>
    </row>
    <row r="3041" spans="1:5" x14ac:dyDescent="0.25">
      <c r="A3041" t="s">
        <v>75</v>
      </c>
      <c r="B3041">
        <v>2020</v>
      </c>
      <c r="C3041" t="s">
        <v>58</v>
      </c>
      <c r="D3041">
        <v>2.9757140549197798</v>
      </c>
      <c r="E3041" t="s">
        <v>59</v>
      </c>
    </row>
    <row r="3042" spans="1:5" x14ac:dyDescent="0.25">
      <c r="A3042" t="s">
        <v>75</v>
      </c>
      <c r="B3042">
        <v>2021</v>
      </c>
      <c r="C3042" t="s">
        <v>58</v>
      </c>
      <c r="D3042">
        <v>3.2867455881192198</v>
      </c>
      <c r="E3042" t="s">
        <v>59</v>
      </c>
    </row>
    <row r="3043" spans="1:5" x14ac:dyDescent="0.25">
      <c r="A3043" t="s">
        <v>75</v>
      </c>
      <c r="B3043">
        <v>2022</v>
      </c>
      <c r="C3043" t="s">
        <v>58</v>
      </c>
      <c r="D3043">
        <v>2.6125058743985101</v>
      </c>
      <c r="E3043" t="s">
        <v>59</v>
      </c>
    </row>
    <row r="3044" spans="1:5" x14ac:dyDescent="0.25">
      <c r="A3044" t="s">
        <v>75</v>
      </c>
      <c r="B3044">
        <v>2023</v>
      </c>
      <c r="C3044" t="s">
        <v>58</v>
      </c>
      <c r="D3044">
        <v>2.0926405098602201</v>
      </c>
      <c r="E3044" t="s">
        <v>59</v>
      </c>
    </row>
    <row r="3045" spans="1:5" x14ac:dyDescent="0.25">
      <c r="A3045" t="s">
        <v>75</v>
      </c>
      <c r="B3045">
        <v>2024</v>
      </c>
      <c r="C3045" t="s">
        <v>58</v>
      </c>
      <c r="D3045">
        <v>2.7787723097832502</v>
      </c>
      <c r="E3045" t="s">
        <v>59</v>
      </c>
    </row>
    <row r="3046" spans="1:5" x14ac:dyDescent="0.25">
      <c r="A3046" t="s">
        <v>75</v>
      </c>
      <c r="B3046">
        <v>2025</v>
      </c>
      <c r="C3046" t="s">
        <v>58</v>
      </c>
      <c r="D3046">
        <v>3.00952421951038</v>
      </c>
      <c r="E3046" t="s">
        <v>59</v>
      </c>
    </row>
    <row r="3047" spans="1:5" x14ac:dyDescent="0.25">
      <c r="A3047" t="s">
        <v>29</v>
      </c>
      <c r="B3047">
        <v>2000</v>
      </c>
      <c r="C3047" t="s">
        <v>58</v>
      </c>
      <c r="D3047">
        <v>4.21339690857614</v>
      </c>
      <c r="E3047" t="s">
        <v>59</v>
      </c>
    </row>
    <row r="3048" spans="1:5" x14ac:dyDescent="0.25">
      <c r="A3048" t="s">
        <v>29</v>
      </c>
      <c r="B3048">
        <v>2001</v>
      </c>
      <c r="C3048" t="s">
        <v>58</v>
      </c>
      <c r="D3048">
        <v>3.7321197269840098</v>
      </c>
      <c r="E3048" t="s">
        <v>59</v>
      </c>
    </row>
    <row r="3049" spans="1:5" x14ac:dyDescent="0.25">
      <c r="A3049" t="s">
        <v>29</v>
      </c>
      <c r="B3049">
        <v>2002</v>
      </c>
      <c r="C3049" t="s">
        <v>58</v>
      </c>
      <c r="D3049">
        <v>5.7370159199682904</v>
      </c>
      <c r="E3049" t="s">
        <v>59</v>
      </c>
    </row>
    <row r="3050" spans="1:5" x14ac:dyDescent="0.25">
      <c r="A3050" t="s">
        <v>29</v>
      </c>
      <c r="B3050">
        <v>2003</v>
      </c>
      <c r="C3050" t="s">
        <v>58</v>
      </c>
      <c r="D3050">
        <v>6.0438143034128302</v>
      </c>
      <c r="E3050" t="s">
        <v>59</v>
      </c>
    </row>
    <row r="3051" spans="1:5" x14ac:dyDescent="0.25">
      <c r="A3051" t="s">
        <v>29</v>
      </c>
      <c r="B3051">
        <v>2004</v>
      </c>
      <c r="C3051" t="s">
        <v>58</v>
      </c>
      <c r="D3051">
        <v>6.0725162085037203</v>
      </c>
      <c r="E3051" t="s">
        <v>59</v>
      </c>
    </row>
    <row r="3052" spans="1:5" x14ac:dyDescent="0.25">
      <c r="A3052" t="s">
        <v>29</v>
      </c>
      <c r="B3052">
        <v>2005</v>
      </c>
      <c r="C3052" t="s">
        <v>58</v>
      </c>
      <c r="D3052">
        <v>6.8013381194323896</v>
      </c>
      <c r="E3052" t="s">
        <v>59</v>
      </c>
    </row>
    <row r="3053" spans="1:5" x14ac:dyDescent="0.25">
      <c r="A3053" t="s">
        <v>29</v>
      </c>
      <c r="B3053">
        <v>2006</v>
      </c>
      <c r="C3053" t="s">
        <v>58</v>
      </c>
      <c r="D3053">
        <v>7.8747810977287704</v>
      </c>
      <c r="E3053" t="s">
        <v>59</v>
      </c>
    </row>
    <row r="3054" spans="1:5" x14ac:dyDescent="0.25">
      <c r="A3054" t="s">
        <v>29</v>
      </c>
      <c r="B3054">
        <v>2007</v>
      </c>
      <c r="C3054" t="s">
        <v>58</v>
      </c>
      <c r="D3054">
        <v>10.8202193071112</v>
      </c>
      <c r="E3054" t="s">
        <v>59</v>
      </c>
    </row>
    <row r="3055" spans="1:5" x14ac:dyDescent="0.25">
      <c r="A3055" t="s">
        <v>29</v>
      </c>
      <c r="B3055">
        <v>2009</v>
      </c>
      <c r="C3055" t="s">
        <v>58</v>
      </c>
      <c r="D3055">
        <v>6.0374458481449302</v>
      </c>
      <c r="E3055" t="s">
        <v>59</v>
      </c>
    </row>
    <row r="3056" spans="1:5" x14ac:dyDescent="0.25">
      <c r="A3056" t="s">
        <v>29</v>
      </c>
      <c r="B3056">
        <v>2010</v>
      </c>
      <c r="C3056" t="s">
        <v>58</v>
      </c>
      <c r="D3056">
        <v>4.8220294929746998</v>
      </c>
      <c r="E3056" t="s">
        <v>59</v>
      </c>
    </row>
    <row r="3057" spans="1:5" x14ac:dyDescent="0.25">
      <c r="A3057" t="s">
        <v>29</v>
      </c>
      <c r="B3057">
        <v>2011</v>
      </c>
      <c r="C3057" t="s">
        <v>58</v>
      </c>
      <c r="D3057">
        <v>9.6250458119713294</v>
      </c>
      <c r="E3057" t="s">
        <v>59</v>
      </c>
    </row>
    <row r="3058" spans="1:5" x14ac:dyDescent="0.25">
      <c r="A3058" t="s">
        <v>29</v>
      </c>
      <c r="B3058">
        <v>2012</v>
      </c>
      <c r="C3058" t="s">
        <v>58</v>
      </c>
      <c r="D3058">
        <v>7.5258280583513297</v>
      </c>
      <c r="E3058" t="s">
        <v>59</v>
      </c>
    </row>
    <row r="3059" spans="1:5" x14ac:dyDescent="0.25">
      <c r="A3059" t="s">
        <v>29</v>
      </c>
      <c r="B3059">
        <v>2013</v>
      </c>
      <c r="C3059" t="s">
        <v>58</v>
      </c>
      <c r="D3059">
        <v>6.3351627236025703</v>
      </c>
      <c r="E3059" t="s">
        <v>59</v>
      </c>
    </row>
    <row r="3060" spans="1:5" x14ac:dyDescent="0.25">
      <c r="A3060" t="s">
        <v>29</v>
      </c>
      <c r="B3060">
        <v>2014</v>
      </c>
      <c r="C3060" t="s">
        <v>58</v>
      </c>
      <c r="D3060">
        <v>6.16945855775531</v>
      </c>
      <c r="E3060" t="s">
        <v>59</v>
      </c>
    </row>
    <row r="3061" spans="1:5" x14ac:dyDescent="0.25">
      <c r="A3061" t="s">
        <v>29</v>
      </c>
      <c r="B3061">
        <v>2015</v>
      </c>
      <c r="C3061" t="s">
        <v>58</v>
      </c>
      <c r="D3061">
        <v>5.8816878731652196</v>
      </c>
      <c r="E3061" t="s">
        <v>59</v>
      </c>
    </row>
    <row r="3062" spans="1:5" x14ac:dyDescent="0.25">
      <c r="A3062" t="s">
        <v>29</v>
      </c>
      <c r="B3062">
        <v>2016</v>
      </c>
      <c r="C3062" t="s">
        <v>58</v>
      </c>
      <c r="D3062">
        <v>5.8981930264292197</v>
      </c>
      <c r="E3062" t="s">
        <v>59</v>
      </c>
    </row>
    <row r="3063" spans="1:5" x14ac:dyDescent="0.25">
      <c r="A3063" t="s">
        <v>29</v>
      </c>
      <c r="B3063">
        <v>2017</v>
      </c>
      <c r="C3063" t="s">
        <v>58</v>
      </c>
      <c r="D3063">
        <v>6.9975989434599404</v>
      </c>
      <c r="E3063" t="s">
        <v>59</v>
      </c>
    </row>
    <row r="3064" spans="1:5" x14ac:dyDescent="0.25">
      <c r="A3064" t="s">
        <v>29</v>
      </c>
      <c r="B3064">
        <v>2018</v>
      </c>
      <c r="C3064" t="s">
        <v>58</v>
      </c>
      <c r="D3064">
        <v>7.9717047004986803</v>
      </c>
      <c r="E3064" t="s">
        <v>59</v>
      </c>
    </row>
    <row r="3065" spans="1:5" x14ac:dyDescent="0.25">
      <c r="A3065" t="s">
        <v>29</v>
      </c>
      <c r="B3065">
        <v>2019</v>
      </c>
      <c r="C3065" t="s">
        <v>58</v>
      </c>
      <c r="D3065">
        <v>6.6166790508225599</v>
      </c>
      <c r="E3065" t="s">
        <v>59</v>
      </c>
    </row>
    <row r="3066" spans="1:5" x14ac:dyDescent="0.25">
      <c r="A3066" t="s">
        <v>29</v>
      </c>
      <c r="B3066">
        <v>2020</v>
      </c>
      <c r="C3066" t="s">
        <v>58</v>
      </c>
      <c r="D3066">
        <v>5.9714457457697403</v>
      </c>
      <c r="E3066" t="s">
        <v>59</v>
      </c>
    </row>
    <row r="3067" spans="1:5" x14ac:dyDescent="0.25">
      <c r="A3067" t="s">
        <v>29</v>
      </c>
      <c r="B3067">
        <v>2021</v>
      </c>
      <c r="C3067" t="s">
        <v>58</v>
      </c>
      <c r="D3067">
        <v>5.8785944941816304</v>
      </c>
      <c r="E3067" t="s">
        <v>59</v>
      </c>
    </row>
    <row r="3068" spans="1:5" x14ac:dyDescent="0.25">
      <c r="A3068" t="s">
        <v>29</v>
      </c>
      <c r="B3068">
        <v>2022</v>
      </c>
      <c r="C3068" t="s">
        <v>58</v>
      </c>
      <c r="D3068">
        <v>10.030851359448301</v>
      </c>
      <c r="E3068" t="s">
        <v>59</v>
      </c>
    </row>
    <row r="3069" spans="1:5" x14ac:dyDescent="0.25">
      <c r="A3069" t="s">
        <v>29</v>
      </c>
      <c r="B3069">
        <v>2023</v>
      </c>
      <c r="C3069" t="s">
        <v>58</v>
      </c>
      <c r="D3069">
        <v>8.3939941243442995</v>
      </c>
      <c r="E3069" t="s">
        <v>59</v>
      </c>
    </row>
    <row r="3070" spans="1:5" x14ac:dyDescent="0.25">
      <c r="A3070" t="s">
        <v>29</v>
      </c>
      <c r="B3070">
        <v>2024</v>
      </c>
      <c r="C3070" t="s">
        <v>58</v>
      </c>
      <c r="D3070">
        <v>6.9731232933982898</v>
      </c>
      <c r="E3070" t="s">
        <v>59</v>
      </c>
    </row>
    <row r="3071" spans="1:5" x14ac:dyDescent="0.25">
      <c r="A3071" t="s">
        <v>29</v>
      </c>
      <c r="B3071">
        <v>2025</v>
      </c>
      <c r="C3071" t="s">
        <v>58</v>
      </c>
      <c r="D3071">
        <v>6.7309787950150897</v>
      </c>
      <c r="E3071" t="s">
        <v>59</v>
      </c>
    </row>
    <row r="3072" spans="1:5" x14ac:dyDescent="0.25">
      <c r="A3072" t="s">
        <v>74</v>
      </c>
      <c r="B3072">
        <v>2010</v>
      </c>
      <c r="C3072" t="s">
        <v>58</v>
      </c>
      <c r="D3072">
        <v>1.7320876522484701</v>
      </c>
      <c r="E3072" t="s">
        <v>59</v>
      </c>
    </row>
    <row r="3073" spans="1:5" x14ac:dyDescent="0.25">
      <c r="A3073" t="s">
        <v>74</v>
      </c>
      <c r="B3073">
        <v>2011</v>
      </c>
      <c r="C3073" t="s">
        <v>58</v>
      </c>
      <c r="D3073">
        <v>2.0958883794188701</v>
      </c>
      <c r="E3073" t="s">
        <v>59</v>
      </c>
    </row>
    <row r="3074" spans="1:5" x14ac:dyDescent="0.25">
      <c r="A3074" t="s">
        <v>74</v>
      </c>
      <c r="B3074">
        <v>2012</v>
      </c>
      <c r="C3074" t="s">
        <v>58</v>
      </c>
      <c r="D3074">
        <v>3.1547412759098599</v>
      </c>
      <c r="E3074" t="s">
        <v>59</v>
      </c>
    </row>
    <row r="3075" spans="1:5" x14ac:dyDescent="0.25">
      <c r="A3075" t="s">
        <v>74</v>
      </c>
      <c r="B3075">
        <v>2013</v>
      </c>
      <c r="C3075" t="s">
        <v>58</v>
      </c>
      <c r="D3075">
        <v>2.3686477087002902</v>
      </c>
      <c r="E3075" t="s">
        <v>59</v>
      </c>
    </row>
    <row r="3076" spans="1:5" x14ac:dyDescent="0.25">
      <c r="A3076" t="s">
        <v>74</v>
      </c>
      <c r="B3076">
        <v>2014</v>
      </c>
      <c r="C3076" t="s">
        <v>58</v>
      </c>
      <c r="D3076">
        <v>2.2651464377056998</v>
      </c>
      <c r="E3076" t="s">
        <v>59</v>
      </c>
    </row>
    <row r="3077" spans="1:5" x14ac:dyDescent="0.25">
      <c r="A3077" t="s">
        <v>74</v>
      </c>
      <c r="B3077">
        <v>2015</v>
      </c>
      <c r="C3077" t="s">
        <v>58</v>
      </c>
      <c r="D3077">
        <v>2.5657421647895902</v>
      </c>
      <c r="E3077" t="s">
        <v>59</v>
      </c>
    </row>
    <row r="3078" spans="1:5" x14ac:dyDescent="0.25">
      <c r="A3078" t="s">
        <v>74</v>
      </c>
      <c r="B3078">
        <v>2016</v>
      </c>
      <c r="C3078" t="s">
        <v>58</v>
      </c>
      <c r="D3078">
        <v>3.4415340839024902</v>
      </c>
      <c r="E3078" t="s">
        <v>59</v>
      </c>
    </row>
    <row r="3079" spans="1:5" x14ac:dyDescent="0.25">
      <c r="A3079" t="s">
        <v>74</v>
      </c>
      <c r="B3079">
        <v>2017</v>
      </c>
      <c r="C3079" t="s">
        <v>58</v>
      </c>
      <c r="D3079">
        <v>3.0728026553163401</v>
      </c>
      <c r="E3079" t="s">
        <v>59</v>
      </c>
    </row>
    <row r="3080" spans="1:5" x14ac:dyDescent="0.25">
      <c r="A3080" t="s">
        <v>74</v>
      </c>
      <c r="B3080">
        <v>2018</v>
      </c>
      <c r="C3080" t="s">
        <v>58</v>
      </c>
      <c r="D3080">
        <v>2.5782056216257399</v>
      </c>
      <c r="E3080" t="s">
        <v>59</v>
      </c>
    </row>
    <row r="3081" spans="1:5" x14ac:dyDescent="0.25">
      <c r="A3081" t="s">
        <v>74</v>
      </c>
      <c r="B3081">
        <v>2019</v>
      </c>
      <c r="C3081" t="s">
        <v>58</v>
      </c>
      <c r="D3081">
        <v>2.8616621788233401</v>
      </c>
      <c r="E3081" t="s">
        <v>59</v>
      </c>
    </row>
    <row r="3082" spans="1:5" x14ac:dyDescent="0.25">
      <c r="A3082" t="s">
        <v>74</v>
      </c>
      <c r="B3082">
        <v>2020</v>
      </c>
      <c r="C3082" t="s">
        <v>58</v>
      </c>
      <c r="D3082">
        <v>2.6820506538558702</v>
      </c>
      <c r="E3082" t="s">
        <v>59</v>
      </c>
    </row>
    <row r="3083" spans="1:5" x14ac:dyDescent="0.25">
      <c r="A3083" t="s">
        <v>74</v>
      </c>
      <c r="B3083">
        <v>2021</v>
      </c>
      <c r="C3083" t="s">
        <v>58</v>
      </c>
      <c r="D3083">
        <v>2.6308806965332998</v>
      </c>
      <c r="E3083" t="s">
        <v>59</v>
      </c>
    </row>
    <row r="3084" spans="1:5" x14ac:dyDescent="0.25">
      <c r="A3084" t="s">
        <v>74</v>
      </c>
      <c r="B3084">
        <v>2022</v>
      </c>
      <c r="C3084" t="s">
        <v>58</v>
      </c>
      <c r="D3084">
        <v>4.3402460923735697</v>
      </c>
      <c r="E3084" t="s">
        <v>59</v>
      </c>
    </row>
    <row r="3085" spans="1:5" x14ac:dyDescent="0.25">
      <c r="A3085" t="s">
        <v>74</v>
      </c>
      <c r="B3085">
        <v>2023</v>
      </c>
      <c r="C3085" t="s">
        <v>58</v>
      </c>
      <c r="D3085">
        <v>3.41614627423133</v>
      </c>
      <c r="E3085" t="s">
        <v>59</v>
      </c>
    </row>
    <row r="3086" spans="1:5" x14ac:dyDescent="0.25">
      <c r="A3086" t="s">
        <v>74</v>
      </c>
      <c r="B3086">
        <v>2024</v>
      </c>
      <c r="C3086" t="s">
        <v>58</v>
      </c>
      <c r="D3086">
        <v>2.1164381515903798</v>
      </c>
      <c r="E3086" t="s">
        <v>59</v>
      </c>
    </row>
    <row r="3087" spans="1:5" x14ac:dyDescent="0.25">
      <c r="A3087" t="s">
        <v>74</v>
      </c>
      <c r="B3087">
        <v>2025</v>
      </c>
      <c r="C3087" t="s">
        <v>58</v>
      </c>
      <c r="D3087">
        <v>3.0053249864859599</v>
      </c>
      <c r="E3087" t="s">
        <v>59</v>
      </c>
    </row>
    <row r="3088" spans="1:5" x14ac:dyDescent="0.25">
      <c r="A3088" t="s">
        <v>73</v>
      </c>
      <c r="B3088">
        <v>2017</v>
      </c>
      <c r="C3088" t="s">
        <v>58</v>
      </c>
      <c r="D3088">
        <v>1.8161301581093701</v>
      </c>
      <c r="E3088" t="s">
        <v>59</v>
      </c>
    </row>
    <row r="3089" spans="1:5" x14ac:dyDescent="0.25">
      <c r="A3089" t="s">
        <v>73</v>
      </c>
      <c r="B3089">
        <v>2018</v>
      </c>
      <c r="C3089" t="s">
        <v>58</v>
      </c>
      <c r="D3089">
        <v>1.9966785124594399</v>
      </c>
      <c r="E3089" t="s">
        <v>59</v>
      </c>
    </row>
    <row r="3090" spans="1:5" x14ac:dyDescent="0.25">
      <c r="A3090" t="s">
        <v>32</v>
      </c>
      <c r="B3090">
        <v>2013</v>
      </c>
      <c r="C3090" t="s">
        <v>58</v>
      </c>
      <c r="D3090">
        <v>0.16961695910059599</v>
      </c>
      <c r="E3090" t="s">
        <v>59</v>
      </c>
    </row>
    <row r="3091" spans="1:5" x14ac:dyDescent="0.25">
      <c r="A3091" t="s">
        <v>33</v>
      </c>
      <c r="B3091">
        <v>2015</v>
      </c>
      <c r="C3091" t="s">
        <v>58</v>
      </c>
      <c r="D3091">
        <v>2.1934051681490598</v>
      </c>
      <c r="E3091" t="s">
        <v>59</v>
      </c>
    </row>
    <row r="3092" spans="1:5" x14ac:dyDescent="0.25">
      <c r="A3092" t="s">
        <v>33</v>
      </c>
      <c r="B3092">
        <v>2016</v>
      </c>
      <c r="C3092" t="s">
        <v>58</v>
      </c>
      <c r="D3092">
        <v>2.3400626817230901</v>
      </c>
      <c r="E3092" t="s">
        <v>59</v>
      </c>
    </row>
    <row r="3093" spans="1:5" x14ac:dyDescent="0.25">
      <c r="A3093" t="s">
        <v>33</v>
      </c>
      <c r="B3093">
        <v>2017</v>
      </c>
      <c r="C3093" t="s">
        <v>58</v>
      </c>
      <c r="D3093">
        <v>2.4443935893749602</v>
      </c>
      <c r="E3093" t="s">
        <v>59</v>
      </c>
    </row>
    <row r="3094" spans="1:5" x14ac:dyDescent="0.25">
      <c r="A3094" t="s">
        <v>33</v>
      </c>
      <c r="B3094">
        <v>2019</v>
      </c>
      <c r="C3094" t="s">
        <v>58</v>
      </c>
      <c r="D3094">
        <v>2.0439209486774601</v>
      </c>
      <c r="E3094" t="s">
        <v>59</v>
      </c>
    </row>
    <row r="3095" spans="1:5" x14ac:dyDescent="0.25">
      <c r="A3095" t="s">
        <v>33</v>
      </c>
      <c r="B3095">
        <v>2020</v>
      </c>
      <c r="C3095" t="s">
        <v>58</v>
      </c>
      <c r="D3095">
        <v>2.12415248046005</v>
      </c>
      <c r="E3095" t="s">
        <v>59</v>
      </c>
    </row>
    <row r="3096" spans="1:5" x14ac:dyDescent="0.25">
      <c r="A3096" t="s">
        <v>33</v>
      </c>
      <c r="B3096">
        <v>2023</v>
      </c>
      <c r="C3096" t="s">
        <v>58</v>
      </c>
      <c r="D3096">
        <v>0.505539179244612</v>
      </c>
      <c r="E3096" t="s">
        <v>59</v>
      </c>
    </row>
    <row r="3097" spans="1:5" x14ac:dyDescent="0.25">
      <c r="A3097" t="s">
        <v>72</v>
      </c>
      <c r="B3097">
        <v>2010</v>
      </c>
      <c r="C3097" t="s">
        <v>58</v>
      </c>
      <c r="D3097">
        <v>6.1777787629998198</v>
      </c>
      <c r="E3097" t="s">
        <v>59</v>
      </c>
    </row>
    <row r="3098" spans="1:5" x14ac:dyDescent="0.25">
      <c r="A3098" t="s">
        <v>72</v>
      </c>
      <c r="B3098">
        <v>2017</v>
      </c>
      <c r="C3098" t="s">
        <v>58</v>
      </c>
      <c r="D3098">
        <v>2.6733582642613798</v>
      </c>
      <c r="E3098" t="s">
        <v>59</v>
      </c>
    </row>
    <row r="3099" spans="1:5" x14ac:dyDescent="0.25">
      <c r="A3099" t="s">
        <v>72</v>
      </c>
      <c r="B3099">
        <v>2018</v>
      </c>
      <c r="C3099" t="s">
        <v>58</v>
      </c>
      <c r="D3099">
        <v>2.2423820837744501</v>
      </c>
      <c r="E3099" t="s">
        <v>59</v>
      </c>
    </row>
    <row r="3100" spans="1:5" x14ac:dyDescent="0.25">
      <c r="A3100" t="s">
        <v>72</v>
      </c>
      <c r="B3100">
        <v>2019</v>
      </c>
      <c r="C3100" t="s">
        <v>58</v>
      </c>
      <c r="D3100">
        <v>2.2219915203799498</v>
      </c>
      <c r="E3100" t="s">
        <v>59</v>
      </c>
    </row>
    <row r="3101" spans="1:5" x14ac:dyDescent="0.25">
      <c r="A3101" t="s">
        <v>72</v>
      </c>
      <c r="B3101">
        <v>2020</v>
      </c>
      <c r="C3101" t="s">
        <v>58</v>
      </c>
      <c r="D3101">
        <v>1.7393109490434899</v>
      </c>
      <c r="E3101" t="s">
        <v>59</v>
      </c>
    </row>
    <row r="3102" spans="1:5" x14ac:dyDescent="0.25">
      <c r="A3102" t="s">
        <v>72</v>
      </c>
      <c r="B3102">
        <v>2021</v>
      </c>
      <c r="C3102" t="s">
        <v>58</v>
      </c>
      <c r="D3102">
        <v>2.2514781236458301</v>
      </c>
      <c r="E3102" t="s">
        <v>59</v>
      </c>
    </row>
    <row r="3103" spans="1:5" x14ac:dyDescent="0.25">
      <c r="A3103" t="s">
        <v>72</v>
      </c>
      <c r="B3103">
        <v>2022</v>
      </c>
      <c r="C3103" t="s">
        <v>58</v>
      </c>
      <c r="D3103">
        <v>2.33152829605263</v>
      </c>
      <c r="E3103" t="s">
        <v>59</v>
      </c>
    </row>
    <row r="3104" spans="1:5" x14ac:dyDescent="0.25">
      <c r="A3104" t="s">
        <v>72</v>
      </c>
      <c r="B3104">
        <v>2023</v>
      </c>
      <c r="C3104" t="s">
        <v>58</v>
      </c>
      <c r="D3104">
        <v>1.7642979463510899</v>
      </c>
      <c r="E3104" t="s">
        <v>59</v>
      </c>
    </row>
    <row r="3105" spans="1:5" x14ac:dyDescent="0.25">
      <c r="A3105" t="s">
        <v>72</v>
      </c>
      <c r="B3105">
        <v>2024</v>
      </c>
      <c r="C3105" t="s">
        <v>58</v>
      </c>
      <c r="D3105">
        <v>1.3303682438646001</v>
      </c>
      <c r="E3105" t="s">
        <v>59</v>
      </c>
    </row>
    <row r="3106" spans="1:5" x14ac:dyDescent="0.25">
      <c r="A3106" t="s">
        <v>72</v>
      </c>
      <c r="B3106">
        <v>2025</v>
      </c>
      <c r="C3106" t="s">
        <v>58</v>
      </c>
      <c r="D3106">
        <v>1.15854306867005</v>
      </c>
      <c r="E3106" t="s">
        <v>59</v>
      </c>
    </row>
    <row r="3107" spans="1:5" x14ac:dyDescent="0.25">
      <c r="A3107" t="s">
        <v>34</v>
      </c>
      <c r="B3107">
        <v>2018</v>
      </c>
      <c r="C3107" t="s">
        <v>58</v>
      </c>
      <c r="D3107">
        <v>1.9122118872271401</v>
      </c>
      <c r="E3107" t="s">
        <v>59</v>
      </c>
    </row>
    <row r="3108" spans="1:5" x14ac:dyDescent="0.25">
      <c r="A3108" t="s">
        <v>71</v>
      </c>
      <c r="B3108">
        <v>2010</v>
      </c>
      <c r="C3108" t="s">
        <v>58</v>
      </c>
      <c r="D3108">
        <v>15.4028895587563</v>
      </c>
      <c r="E3108" t="s">
        <v>59</v>
      </c>
    </row>
    <row r="3109" spans="1:5" x14ac:dyDescent="0.25">
      <c r="A3109" t="s">
        <v>71</v>
      </c>
      <c r="B3109">
        <v>2011</v>
      </c>
      <c r="C3109" t="s">
        <v>58</v>
      </c>
      <c r="D3109">
        <v>27.692684982609101</v>
      </c>
      <c r="E3109" t="s">
        <v>59</v>
      </c>
    </row>
    <row r="3110" spans="1:5" x14ac:dyDescent="0.25">
      <c r="A3110" t="s">
        <v>71</v>
      </c>
      <c r="B3110">
        <v>2012</v>
      </c>
      <c r="C3110" t="s">
        <v>58</v>
      </c>
      <c r="D3110">
        <v>26.444278264217999</v>
      </c>
      <c r="E3110" t="s">
        <v>59</v>
      </c>
    </row>
    <row r="3111" spans="1:5" x14ac:dyDescent="0.25">
      <c r="A3111" t="s">
        <v>71</v>
      </c>
      <c r="B3111">
        <v>2013</v>
      </c>
      <c r="C3111" t="s">
        <v>58</v>
      </c>
      <c r="D3111">
        <v>22.523061476684401</v>
      </c>
      <c r="E3111" t="s">
        <v>59</v>
      </c>
    </row>
    <row r="3112" spans="1:5" x14ac:dyDescent="0.25">
      <c r="A3112" t="s">
        <v>71</v>
      </c>
      <c r="B3112">
        <v>2014</v>
      </c>
      <c r="C3112" t="s">
        <v>58</v>
      </c>
      <c r="D3112">
        <v>17.4757902181303</v>
      </c>
      <c r="E3112" t="s">
        <v>59</v>
      </c>
    </row>
    <row r="3113" spans="1:5" x14ac:dyDescent="0.25">
      <c r="A3113" t="s">
        <v>71</v>
      </c>
      <c r="B3113">
        <v>2015</v>
      </c>
      <c r="C3113" t="s">
        <v>58</v>
      </c>
      <c r="D3113">
        <v>14.712145302245601</v>
      </c>
      <c r="E3113" t="s">
        <v>59</v>
      </c>
    </row>
    <row r="3114" spans="1:5" x14ac:dyDescent="0.25">
      <c r="A3114" t="s">
        <v>71</v>
      </c>
      <c r="B3114">
        <v>2016</v>
      </c>
      <c r="C3114" t="s">
        <v>58</v>
      </c>
      <c r="D3114">
        <v>14.289835072751901</v>
      </c>
      <c r="E3114" t="s">
        <v>59</v>
      </c>
    </row>
    <row r="3115" spans="1:5" x14ac:dyDescent="0.25">
      <c r="A3115" t="s">
        <v>71</v>
      </c>
      <c r="B3115">
        <v>2019</v>
      </c>
      <c r="C3115" t="s">
        <v>58</v>
      </c>
      <c r="D3115">
        <v>15.241925970621301</v>
      </c>
      <c r="E3115" t="s">
        <v>59</v>
      </c>
    </row>
    <row r="3116" spans="1:5" x14ac:dyDescent="0.25">
      <c r="A3116" t="s">
        <v>71</v>
      </c>
      <c r="B3116">
        <v>2020</v>
      </c>
      <c r="C3116" t="s">
        <v>58</v>
      </c>
      <c r="D3116">
        <v>15.464487845893901</v>
      </c>
      <c r="E3116" t="s">
        <v>59</v>
      </c>
    </row>
    <row r="3117" spans="1:5" x14ac:dyDescent="0.25">
      <c r="A3117" t="s">
        <v>71</v>
      </c>
      <c r="B3117">
        <v>2021</v>
      </c>
      <c r="C3117" t="s">
        <v>58</v>
      </c>
      <c r="D3117">
        <v>17.759260365819301</v>
      </c>
      <c r="E3117" t="s">
        <v>59</v>
      </c>
    </row>
    <row r="3118" spans="1:5" x14ac:dyDescent="0.25">
      <c r="A3118" t="s">
        <v>71</v>
      </c>
      <c r="B3118">
        <v>2022</v>
      </c>
      <c r="C3118" t="s">
        <v>58</v>
      </c>
      <c r="D3118">
        <v>22.411618968966899</v>
      </c>
      <c r="E3118" t="s">
        <v>59</v>
      </c>
    </row>
    <row r="3119" spans="1:5" x14ac:dyDescent="0.25">
      <c r="A3119" t="s">
        <v>71</v>
      </c>
      <c r="B3119">
        <v>2023</v>
      </c>
      <c r="C3119" t="s">
        <v>58</v>
      </c>
      <c r="D3119">
        <v>12.7898748157507</v>
      </c>
      <c r="E3119" t="s">
        <v>59</v>
      </c>
    </row>
    <row r="3120" spans="1:5" x14ac:dyDescent="0.25">
      <c r="A3120" t="s">
        <v>71</v>
      </c>
      <c r="B3120">
        <v>2024</v>
      </c>
      <c r="C3120" t="s">
        <v>58</v>
      </c>
      <c r="D3120">
        <v>13.588327043460501</v>
      </c>
      <c r="E3120" t="s">
        <v>59</v>
      </c>
    </row>
    <row r="3121" spans="1:5" x14ac:dyDescent="0.25">
      <c r="A3121" t="s">
        <v>35</v>
      </c>
      <c r="B3121">
        <v>2010</v>
      </c>
      <c r="C3121" t="s">
        <v>58</v>
      </c>
      <c r="D3121">
        <v>2.3847132586011099</v>
      </c>
      <c r="E3121" t="s">
        <v>59</v>
      </c>
    </row>
    <row r="3122" spans="1:5" x14ac:dyDescent="0.25">
      <c r="A3122" t="s">
        <v>35</v>
      </c>
      <c r="B3122">
        <v>2011</v>
      </c>
      <c r="C3122" t="s">
        <v>58</v>
      </c>
      <c r="D3122">
        <v>2.0312319405897701</v>
      </c>
      <c r="E3122" t="s">
        <v>59</v>
      </c>
    </row>
    <row r="3123" spans="1:5" x14ac:dyDescent="0.25">
      <c r="A3123" t="s">
        <v>35</v>
      </c>
      <c r="B3123">
        <v>2012</v>
      </c>
      <c r="C3123" t="s">
        <v>58</v>
      </c>
      <c r="D3123">
        <v>2.01693996395925</v>
      </c>
      <c r="E3123" t="s">
        <v>59</v>
      </c>
    </row>
    <row r="3124" spans="1:5" x14ac:dyDescent="0.25">
      <c r="A3124" t="s">
        <v>35</v>
      </c>
      <c r="B3124">
        <v>2013</v>
      </c>
      <c r="C3124" t="s">
        <v>58</v>
      </c>
      <c r="D3124">
        <v>2.5596819976719698</v>
      </c>
      <c r="E3124" t="s">
        <v>59</v>
      </c>
    </row>
    <row r="3125" spans="1:5" x14ac:dyDescent="0.25">
      <c r="A3125" t="s">
        <v>35</v>
      </c>
      <c r="B3125">
        <v>2014</v>
      </c>
      <c r="C3125" t="s">
        <v>58</v>
      </c>
      <c r="D3125">
        <v>3.9144713308499299</v>
      </c>
      <c r="E3125" t="s">
        <v>59</v>
      </c>
    </row>
    <row r="3126" spans="1:5" x14ac:dyDescent="0.25">
      <c r="A3126" t="s">
        <v>35</v>
      </c>
      <c r="B3126">
        <v>2015</v>
      </c>
      <c r="C3126" t="s">
        <v>58</v>
      </c>
      <c r="D3126">
        <v>2.9549595231964498</v>
      </c>
      <c r="E3126" t="s">
        <v>59</v>
      </c>
    </row>
    <row r="3127" spans="1:5" x14ac:dyDescent="0.25">
      <c r="A3127" t="s">
        <v>35</v>
      </c>
      <c r="B3127">
        <v>2016</v>
      </c>
      <c r="C3127" t="s">
        <v>58</v>
      </c>
      <c r="D3127">
        <v>2.9332026437642398</v>
      </c>
      <c r="E3127" t="s">
        <v>59</v>
      </c>
    </row>
    <row r="3128" spans="1:5" x14ac:dyDescent="0.25">
      <c r="A3128" t="s">
        <v>35</v>
      </c>
      <c r="B3128">
        <v>2017</v>
      </c>
      <c r="C3128" t="s">
        <v>58</v>
      </c>
      <c r="D3128">
        <v>3.4636832370291399</v>
      </c>
      <c r="E3128" t="s">
        <v>59</v>
      </c>
    </row>
    <row r="3129" spans="1:5" x14ac:dyDescent="0.25">
      <c r="A3129" t="s">
        <v>35</v>
      </c>
      <c r="B3129">
        <v>2018</v>
      </c>
      <c r="C3129" t="s">
        <v>58</v>
      </c>
      <c r="D3129">
        <v>3.3065844121640602</v>
      </c>
      <c r="E3129" t="s">
        <v>59</v>
      </c>
    </row>
    <row r="3130" spans="1:5" x14ac:dyDescent="0.25">
      <c r="A3130" t="s">
        <v>35</v>
      </c>
      <c r="B3130">
        <v>2019</v>
      </c>
      <c r="C3130" t="s">
        <v>58</v>
      </c>
      <c r="D3130">
        <v>2.9296915647319302</v>
      </c>
      <c r="E3130" t="s">
        <v>59</v>
      </c>
    </row>
    <row r="3131" spans="1:5" x14ac:dyDescent="0.25">
      <c r="A3131" t="s">
        <v>35</v>
      </c>
      <c r="B3131">
        <v>2020</v>
      </c>
      <c r="C3131" t="s">
        <v>58</v>
      </c>
      <c r="D3131">
        <v>2.43635452070771</v>
      </c>
      <c r="E3131" t="s">
        <v>59</v>
      </c>
    </row>
    <row r="3132" spans="1:5" x14ac:dyDescent="0.25">
      <c r="A3132" t="s">
        <v>35</v>
      </c>
      <c r="B3132">
        <v>2021</v>
      </c>
      <c r="C3132" t="s">
        <v>58</v>
      </c>
      <c r="D3132">
        <v>2.3665353837890502</v>
      </c>
      <c r="E3132" t="s">
        <v>59</v>
      </c>
    </row>
    <row r="3133" spans="1:5" x14ac:dyDescent="0.25">
      <c r="A3133" t="s">
        <v>35</v>
      </c>
      <c r="B3133">
        <v>2022</v>
      </c>
      <c r="C3133" t="s">
        <v>58</v>
      </c>
      <c r="D3133">
        <v>2.1439510898393301</v>
      </c>
      <c r="E3133" t="s">
        <v>59</v>
      </c>
    </row>
    <row r="3134" spans="1:5" x14ac:dyDescent="0.25">
      <c r="A3134" t="s">
        <v>35</v>
      </c>
      <c r="B3134">
        <v>2023</v>
      </c>
      <c r="C3134" t="s">
        <v>58</v>
      </c>
      <c r="D3134">
        <v>2.17192547952749</v>
      </c>
      <c r="E3134" t="s">
        <v>59</v>
      </c>
    </row>
    <row r="3135" spans="1:5" x14ac:dyDescent="0.25">
      <c r="A3135" t="s">
        <v>35</v>
      </c>
      <c r="B3135">
        <v>2024</v>
      </c>
      <c r="C3135" t="s">
        <v>58</v>
      </c>
      <c r="D3135">
        <v>2.4546350252986402</v>
      </c>
      <c r="E3135" t="s">
        <v>59</v>
      </c>
    </row>
    <row r="3136" spans="1:5" x14ac:dyDescent="0.25">
      <c r="A3136" t="s">
        <v>35</v>
      </c>
      <c r="B3136">
        <v>2025</v>
      </c>
      <c r="C3136" t="s">
        <v>58</v>
      </c>
      <c r="D3136">
        <v>4.2433431848714003</v>
      </c>
      <c r="E3136" t="s">
        <v>59</v>
      </c>
    </row>
    <row r="3137" spans="1:5" x14ac:dyDescent="0.25">
      <c r="A3137" t="s">
        <v>36</v>
      </c>
      <c r="B3137">
        <v>2010</v>
      </c>
      <c r="C3137" t="s">
        <v>58</v>
      </c>
      <c r="D3137">
        <v>3.0035843088790499</v>
      </c>
      <c r="E3137" t="s">
        <v>59</v>
      </c>
    </row>
    <row r="3138" spans="1:5" x14ac:dyDescent="0.25">
      <c r="A3138" t="s">
        <v>36</v>
      </c>
      <c r="B3138">
        <v>2011</v>
      </c>
      <c r="C3138" t="s">
        <v>58</v>
      </c>
      <c r="D3138">
        <v>4.6744099198179301</v>
      </c>
      <c r="E3138" t="s">
        <v>59</v>
      </c>
    </row>
    <row r="3139" spans="1:5" x14ac:dyDescent="0.25">
      <c r="A3139" t="s">
        <v>36</v>
      </c>
      <c r="B3139">
        <v>2012</v>
      </c>
      <c r="C3139" t="s">
        <v>58</v>
      </c>
      <c r="D3139">
        <v>4.2018190877063404</v>
      </c>
      <c r="E3139" t="s">
        <v>59</v>
      </c>
    </row>
    <row r="3140" spans="1:5" x14ac:dyDescent="0.25">
      <c r="A3140" t="s">
        <v>36</v>
      </c>
      <c r="B3140">
        <v>2013</v>
      </c>
      <c r="C3140" t="s">
        <v>58</v>
      </c>
      <c r="D3140">
        <v>6.7618654990985396</v>
      </c>
      <c r="E3140" t="s">
        <v>59</v>
      </c>
    </row>
    <row r="3141" spans="1:5" x14ac:dyDescent="0.25">
      <c r="A3141" t="s">
        <v>36</v>
      </c>
      <c r="B3141">
        <v>2014</v>
      </c>
      <c r="C3141" t="s">
        <v>58</v>
      </c>
      <c r="D3141">
        <v>6.9489469639633503</v>
      </c>
      <c r="E3141" t="s">
        <v>59</v>
      </c>
    </row>
    <row r="3142" spans="1:5" x14ac:dyDescent="0.25">
      <c r="A3142" t="s">
        <v>36</v>
      </c>
      <c r="B3142">
        <v>2015</v>
      </c>
      <c r="C3142" t="s">
        <v>58</v>
      </c>
      <c r="D3142">
        <v>9.8500128499008603</v>
      </c>
      <c r="E3142" t="s">
        <v>59</v>
      </c>
    </row>
    <row r="3143" spans="1:5" x14ac:dyDescent="0.25">
      <c r="A3143" t="s">
        <v>36</v>
      </c>
      <c r="B3143">
        <v>2016</v>
      </c>
      <c r="C3143" t="s">
        <v>58</v>
      </c>
      <c r="D3143">
        <v>9.2901001368571006</v>
      </c>
      <c r="E3143" t="s">
        <v>59</v>
      </c>
    </row>
    <row r="3144" spans="1:5" x14ac:dyDescent="0.25">
      <c r="A3144" t="s">
        <v>36</v>
      </c>
      <c r="B3144">
        <v>2017</v>
      </c>
      <c r="C3144" t="s">
        <v>58</v>
      </c>
      <c r="D3144">
        <v>11.431546000942401</v>
      </c>
      <c r="E3144" t="s">
        <v>59</v>
      </c>
    </row>
    <row r="3145" spans="1:5" x14ac:dyDescent="0.25">
      <c r="A3145" t="s">
        <v>36</v>
      </c>
      <c r="B3145">
        <v>2018</v>
      </c>
      <c r="C3145" t="s">
        <v>58</v>
      </c>
      <c r="D3145">
        <v>13.1443494559122</v>
      </c>
      <c r="E3145" t="s">
        <v>59</v>
      </c>
    </row>
    <row r="3146" spans="1:5" x14ac:dyDescent="0.25">
      <c r="A3146" t="s">
        <v>36</v>
      </c>
      <c r="B3146">
        <v>2019</v>
      </c>
      <c r="C3146" t="s">
        <v>58</v>
      </c>
      <c r="D3146">
        <v>14.721090929301401</v>
      </c>
      <c r="E3146" t="s">
        <v>59</v>
      </c>
    </row>
    <row r="3147" spans="1:5" x14ac:dyDescent="0.25">
      <c r="A3147" t="s">
        <v>36</v>
      </c>
      <c r="B3147">
        <v>2021</v>
      </c>
      <c r="C3147" t="s">
        <v>58</v>
      </c>
      <c r="D3147">
        <v>14.056897171357701</v>
      </c>
      <c r="E3147" t="s">
        <v>59</v>
      </c>
    </row>
    <row r="3148" spans="1:5" x14ac:dyDescent="0.25">
      <c r="A3148" t="s">
        <v>36</v>
      </c>
      <c r="B3148">
        <v>2022</v>
      </c>
      <c r="C3148" t="s">
        <v>58</v>
      </c>
      <c r="D3148">
        <v>18.4281541366861</v>
      </c>
      <c r="E3148" t="s">
        <v>59</v>
      </c>
    </row>
    <row r="3149" spans="1:5" x14ac:dyDescent="0.25">
      <c r="A3149" t="s">
        <v>36</v>
      </c>
      <c r="B3149">
        <v>2023</v>
      </c>
      <c r="C3149" t="s">
        <v>58</v>
      </c>
      <c r="D3149">
        <v>19.6860113624927</v>
      </c>
      <c r="E3149" t="s">
        <v>59</v>
      </c>
    </row>
    <row r="3150" spans="1:5" x14ac:dyDescent="0.25">
      <c r="A3150" t="s">
        <v>36</v>
      </c>
      <c r="B3150">
        <v>2024</v>
      </c>
      <c r="C3150" t="s">
        <v>58</v>
      </c>
      <c r="D3150">
        <v>20.335677176623001</v>
      </c>
      <c r="E3150" t="s">
        <v>59</v>
      </c>
    </row>
    <row r="3151" spans="1:5" x14ac:dyDescent="0.25">
      <c r="A3151" t="s">
        <v>36</v>
      </c>
      <c r="B3151">
        <v>2025</v>
      </c>
      <c r="C3151" t="s">
        <v>58</v>
      </c>
      <c r="D3151">
        <v>15.497991693771</v>
      </c>
      <c r="E3151" t="s">
        <v>59</v>
      </c>
    </row>
    <row r="3152" spans="1:5" x14ac:dyDescent="0.25">
      <c r="A3152" t="s">
        <v>37</v>
      </c>
      <c r="B3152">
        <v>2000</v>
      </c>
      <c r="C3152" t="s">
        <v>58</v>
      </c>
      <c r="D3152">
        <v>2.9238604111197501</v>
      </c>
      <c r="E3152" t="s">
        <v>59</v>
      </c>
    </row>
    <row r="3153" spans="1:5" x14ac:dyDescent="0.25">
      <c r="A3153" t="s">
        <v>37</v>
      </c>
      <c r="B3153">
        <v>2001</v>
      </c>
      <c r="C3153" t="s">
        <v>58</v>
      </c>
      <c r="D3153">
        <v>1.77444745445416</v>
      </c>
      <c r="E3153" t="s">
        <v>59</v>
      </c>
    </row>
    <row r="3154" spans="1:5" x14ac:dyDescent="0.25">
      <c r="A3154" t="s">
        <v>37</v>
      </c>
      <c r="B3154">
        <v>2002</v>
      </c>
      <c r="C3154" t="s">
        <v>58</v>
      </c>
      <c r="D3154">
        <v>7.2338345757308504</v>
      </c>
      <c r="E3154" t="s">
        <v>59</v>
      </c>
    </row>
    <row r="3155" spans="1:5" x14ac:dyDescent="0.25">
      <c r="A3155" t="s">
        <v>37</v>
      </c>
      <c r="B3155">
        <v>2003</v>
      </c>
      <c r="C3155" t="s">
        <v>58</v>
      </c>
      <c r="D3155">
        <v>2.8003491033082599</v>
      </c>
      <c r="E3155" t="s">
        <v>59</v>
      </c>
    </row>
    <row r="3156" spans="1:5" x14ac:dyDescent="0.25">
      <c r="A3156" t="s">
        <v>37</v>
      </c>
      <c r="B3156">
        <v>2004</v>
      </c>
      <c r="C3156" t="s">
        <v>58</v>
      </c>
      <c r="D3156">
        <v>11.927805706163801</v>
      </c>
      <c r="E3156" t="s">
        <v>59</v>
      </c>
    </row>
    <row r="3157" spans="1:5" x14ac:dyDescent="0.25">
      <c r="A3157" t="s">
        <v>37</v>
      </c>
      <c r="B3157">
        <v>2005</v>
      </c>
      <c r="C3157" t="s">
        <v>58</v>
      </c>
      <c r="D3157">
        <v>2.0953488328470602</v>
      </c>
      <c r="E3157" t="s">
        <v>59</v>
      </c>
    </row>
    <row r="3158" spans="1:5" x14ac:dyDescent="0.25">
      <c r="A3158" t="s">
        <v>37</v>
      </c>
      <c r="B3158">
        <v>2006</v>
      </c>
      <c r="C3158" t="s">
        <v>58</v>
      </c>
      <c r="D3158">
        <v>9.7342681720056294</v>
      </c>
      <c r="E3158" t="s">
        <v>59</v>
      </c>
    </row>
    <row r="3159" spans="1:5" x14ac:dyDescent="0.25">
      <c r="A3159" t="s">
        <v>37</v>
      </c>
      <c r="B3159">
        <v>2007</v>
      </c>
      <c r="C3159" t="s">
        <v>58</v>
      </c>
      <c r="D3159">
        <v>12.470951928672701</v>
      </c>
      <c r="E3159" t="s">
        <v>59</v>
      </c>
    </row>
    <row r="3160" spans="1:5" x14ac:dyDescent="0.25">
      <c r="A3160" t="s">
        <v>37</v>
      </c>
      <c r="B3160">
        <v>2008</v>
      </c>
      <c r="C3160" t="s">
        <v>58</v>
      </c>
      <c r="D3160">
        <v>7.7046027837328497</v>
      </c>
      <c r="E3160" t="s">
        <v>59</v>
      </c>
    </row>
    <row r="3161" spans="1:5" x14ac:dyDescent="0.25">
      <c r="A3161" t="s">
        <v>37</v>
      </c>
      <c r="B3161">
        <v>2009</v>
      </c>
      <c r="C3161" t="s">
        <v>58</v>
      </c>
      <c r="D3161">
        <v>3.90822035032068</v>
      </c>
      <c r="E3161" t="s">
        <v>59</v>
      </c>
    </row>
    <row r="3162" spans="1:5" x14ac:dyDescent="0.25">
      <c r="A3162" t="s">
        <v>37</v>
      </c>
      <c r="B3162">
        <v>2010</v>
      </c>
      <c r="C3162" t="s">
        <v>58</v>
      </c>
      <c r="D3162">
        <v>39.703639243303002</v>
      </c>
      <c r="E3162" t="s">
        <v>59</v>
      </c>
    </row>
    <row r="3163" spans="1:5" x14ac:dyDescent="0.25">
      <c r="A3163" t="s">
        <v>37</v>
      </c>
      <c r="B3163">
        <v>2011</v>
      </c>
      <c r="C3163" t="s">
        <v>58</v>
      </c>
      <c r="D3163">
        <v>16.609646902026501</v>
      </c>
      <c r="E3163" t="s">
        <v>59</v>
      </c>
    </row>
    <row r="3164" spans="1:5" x14ac:dyDescent="0.25">
      <c r="A3164" t="s">
        <v>37</v>
      </c>
      <c r="B3164">
        <v>2012</v>
      </c>
      <c r="C3164" t="s">
        <v>58</v>
      </c>
      <c r="D3164">
        <v>19.040354949554501</v>
      </c>
      <c r="E3164" t="s">
        <v>59</v>
      </c>
    </row>
    <row r="3165" spans="1:5" x14ac:dyDescent="0.25">
      <c r="A3165" t="s">
        <v>37</v>
      </c>
      <c r="B3165">
        <v>2013</v>
      </c>
      <c r="C3165" t="s">
        <v>58</v>
      </c>
      <c r="D3165">
        <v>61.378446055580902</v>
      </c>
      <c r="E3165" t="s">
        <v>59</v>
      </c>
    </row>
    <row r="3166" spans="1:5" x14ac:dyDescent="0.25">
      <c r="A3166" t="s">
        <v>37</v>
      </c>
      <c r="B3166">
        <v>2014</v>
      </c>
      <c r="C3166" t="s">
        <v>58</v>
      </c>
      <c r="D3166">
        <v>12.7438156920623</v>
      </c>
      <c r="E3166" t="s">
        <v>59</v>
      </c>
    </row>
    <row r="3167" spans="1:5" x14ac:dyDescent="0.25">
      <c r="A3167" t="s">
        <v>37</v>
      </c>
      <c r="B3167">
        <v>2015</v>
      </c>
      <c r="C3167" t="s">
        <v>58</v>
      </c>
      <c r="D3167">
        <v>10.263895654980301</v>
      </c>
      <c r="E3167" t="s">
        <v>59</v>
      </c>
    </row>
    <row r="3168" spans="1:5" x14ac:dyDescent="0.25">
      <c r="A3168" t="s">
        <v>37</v>
      </c>
      <c r="B3168">
        <v>2016</v>
      </c>
      <c r="C3168" t="s">
        <v>58</v>
      </c>
      <c r="D3168">
        <v>5.2393183650148201</v>
      </c>
      <c r="E3168" t="s">
        <v>59</v>
      </c>
    </row>
    <row r="3169" spans="1:5" x14ac:dyDescent="0.25">
      <c r="A3169" t="s">
        <v>37</v>
      </c>
      <c r="B3169">
        <v>2017</v>
      </c>
      <c r="C3169" t="s">
        <v>58</v>
      </c>
      <c r="D3169">
        <v>5.8925796851729704</v>
      </c>
      <c r="E3169" t="s">
        <v>59</v>
      </c>
    </row>
    <row r="3170" spans="1:5" x14ac:dyDescent="0.25">
      <c r="A3170" t="s">
        <v>37</v>
      </c>
      <c r="B3170">
        <v>2018</v>
      </c>
      <c r="C3170" t="s">
        <v>58</v>
      </c>
      <c r="D3170">
        <v>6.1681112971865097</v>
      </c>
      <c r="E3170" t="s">
        <v>59</v>
      </c>
    </row>
    <row r="3171" spans="1:5" x14ac:dyDescent="0.25">
      <c r="A3171" t="s">
        <v>37</v>
      </c>
      <c r="B3171">
        <v>2019</v>
      </c>
      <c r="C3171" t="s">
        <v>58</v>
      </c>
      <c r="D3171">
        <v>6.4386290685476499</v>
      </c>
      <c r="E3171" t="s">
        <v>59</v>
      </c>
    </row>
    <row r="3172" spans="1:5" x14ac:dyDescent="0.25">
      <c r="A3172" t="s">
        <v>37</v>
      </c>
      <c r="B3172">
        <v>2020</v>
      </c>
      <c r="C3172" t="s">
        <v>58</v>
      </c>
      <c r="D3172">
        <v>6.8552936390057502</v>
      </c>
      <c r="E3172" t="s">
        <v>59</v>
      </c>
    </row>
    <row r="3173" spans="1:5" x14ac:dyDescent="0.25">
      <c r="A3173" t="s">
        <v>37</v>
      </c>
      <c r="B3173">
        <v>2021</v>
      </c>
      <c r="C3173" t="s">
        <v>58</v>
      </c>
      <c r="D3173">
        <v>6.1214229384159902</v>
      </c>
      <c r="E3173" t="s">
        <v>59</v>
      </c>
    </row>
    <row r="3174" spans="1:5" x14ac:dyDescent="0.25">
      <c r="A3174" t="s">
        <v>37</v>
      </c>
      <c r="B3174">
        <v>2022</v>
      </c>
      <c r="C3174" t="s">
        <v>58</v>
      </c>
      <c r="D3174">
        <v>6.9989677467459899</v>
      </c>
      <c r="E3174" t="s">
        <v>59</v>
      </c>
    </row>
    <row r="3175" spans="1:5" x14ac:dyDescent="0.25">
      <c r="A3175" t="s">
        <v>37</v>
      </c>
      <c r="B3175">
        <v>2023</v>
      </c>
      <c r="C3175" t="s">
        <v>58</v>
      </c>
      <c r="D3175">
        <v>7.2249973083634096</v>
      </c>
      <c r="E3175" t="s">
        <v>59</v>
      </c>
    </row>
    <row r="3176" spans="1:5" x14ac:dyDescent="0.25">
      <c r="A3176" t="s">
        <v>37</v>
      </c>
      <c r="B3176">
        <v>2024</v>
      </c>
      <c r="C3176" t="s">
        <v>58</v>
      </c>
      <c r="D3176">
        <v>7.7382904747983199</v>
      </c>
      <c r="E3176" t="s">
        <v>59</v>
      </c>
    </row>
    <row r="3177" spans="1:5" x14ac:dyDescent="0.25">
      <c r="A3177" t="s">
        <v>37</v>
      </c>
      <c r="B3177">
        <v>2025</v>
      </c>
      <c r="C3177" t="s">
        <v>58</v>
      </c>
      <c r="D3177">
        <v>7.8945520665940396</v>
      </c>
      <c r="E3177" t="s">
        <v>59</v>
      </c>
    </row>
    <row r="3178" spans="1:5" x14ac:dyDescent="0.25">
      <c r="A3178" t="s">
        <v>38</v>
      </c>
      <c r="B3178">
        <v>2003</v>
      </c>
      <c r="C3178" t="s">
        <v>58</v>
      </c>
      <c r="D3178" t="s">
        <v>39</v>
      </c>
      <c r="E3178" t="s">
        <v>59</v>
      </c>
    </row>
    <row r="3179" spans="1:5" x14ac:dyDescent="0.25">
      <c r="A3179" t="s">
        <v>38</v>
      </c>
      <c r="B3179">
        <v>2005</v>
      </c>
      <c r="C3179" t="s">
        <v>58</v>
      </c>
      <c r="D3179" t="s">
        <v>39</v>
      </c>
      <c r="E3179" t="s">
        <v>59</v>
      </c>
    </row>
    <row r="3180" spans="1:5" x14ac:dyDescent="0.25">
      <c r="A3180" t="s">
        <v>38</v>
      </c>
      <c r="B3180">
        <v>2006</v>
      </c>
      <c r="C3180" t="s">
        <v>58</v>
      </c>
      <c r="D3180" t="s">
        <v>39</v>
      </c>
      <c r="E3180" t="s">
        <v>59</v>
      </c>
    </row>
    <row r="3181" spans="1:5" x14ac:dyDescent="0.25">
      <c r="A3181" t="s">
        <v>38</v>
      </c>
      <c r="B3181">
        <v>2007</v>
      </c>
      <c r="C3181" t="s">
        <v>58</v>
      </c>
      <c r="D3181">
        <v>1.26497657055587</v>
      </c>
      <c r="E3181" t="s">
        <v>59</v>
      </c>
    </row>
    <row r="3182" spans="1:5" x14ac:dyDescent="0.25">
      <c r="A3182" t="s">
        <v>38</v>
      </c>
      <c r="B3182">
        <v>2010</v>
      </c>
      <c r="C3182" t="s">
        <v>58</v>
      </c>
      <c r="D3182">
        <v>4.2342354390277599</v>
      </c>
      <c r="E3182" t="s">
        <v>59</v>
      </c>
    </row>
    <row r="3183" spans="1:5" x14ac:dyDescent="0.25">
      <c r="A3183" t="s">
        <v>38</v>
      </c>
      <c r="B3183">
        <v>2011</v>
      </c>
      <c r="C3183" t="s">
        <v>58</v>
      </c>
      <c r="D3183">
        <v>3.8354971133098599</v>
      </c>
      <c r="E3183" t="s">
        <v>59</v>
      </c>
    </row>
    <row r="3184" spans="1:5" x14ac:dyDescent="0.25">
      <c r="A3184" t="s">
        <v>38</v>
      </c>
      <c r="B3184">
        <v>2012</v>
      </c>
      <c r="C3184" t="s">
        <v>58</v>
      </c>
      <c r="D3184">
        <v>4.1479247166027502</v>
      </c>
      <c r="E3184" t="s">
        <v>59</v>
      </c>
    </row>
    <row r="3185" spans="1:5" x14ac:dyDescent="0.25">
      <c r="A3185" t="s">
        <v>38</v>
      </c>
      <c r="B3185">
        <v>2013</v>
      </c>
      <c r="C3185" t="s">
        <v>58</v>
      </c>
      <c r="D3185">
        <v>4.6014166552010503</v>
      </c>
      <c r="E3185" t="s">
        <v>59</v>
      </c>
    </row>
    <row r="3186" spans="1:5" x14ac:dyDescent="0.25">
      <c r="A3186" t="s">
        <v>38</v>
      </c>
      <c r="B3186">
        <v>2014</v>
      </c>
      <c r="C3186" t="s">
        <v>58</v>
      </c>
      <c r="D3186">
        <v>2.8965673872664999</v>
      </c>
      <c r="E3186" t="s">
        <v>59</v>
      </c>
    </row>
    <row r="3187" spans="1:5" x14ac:dyDescent="0.25">
      <c r="A3187" t="s">
        <v>38</v>
      </c>
      <c r="B3187">
        <v>2015</v>
      </c>
      <c r="C3187" t="s">
        <v>58</v>
      </c>
      <c r="D3187">
        <v>2.66371872443225</v>
      </c>
      <c r="E3187" t="s">
        <v>59</v>
      </c>
    </row>
    <row r="3188" spans="1:5" x14ac:dyDescent="0.25">
      <c r="A3188" t="s">
        <v>38</v>
      </c>
      <c r="B3188">
        <v>2016</v>
      </c>
      <c r="C3188" t="s">
        <v>58</v>
      </c>
      <c r="D3188">
        <v>1.74191616821877</v>
      </c>
      <c r="E3188" t="s">
        <v>59</v>
      </c>
    </row>
    <row r="3189" spans="1:5" x14ac:dyDescent="0.25">
      <c r="A3189" t="s">
        <v>38</v>
      </c>
      <c r="B3189">
        <v>2017</v>
      </c>
      <c r="C3189" t="s">
        <v>58</v>
      </c>
      <c r="D3189">
        <v>3.7869230780492602</v>
      </c>
      <c r="E3189" t="s">
        <v>59</v>
      </c>
    </row>
    <row r="3190" spans="1:5" x14ac:dyDescent="0.25">
      <c r="A3190" t="s">
        <v>38</v>
      </c>
      <c r="B3190">
        <v>2018</v>
      </c>
      <c r="C3190" t="s">
        <v>58</v>
      </c>
      <c r="D3190">
        <v>2.8133225833503799</v>
      </c>
      <c r="E3190" t="s">
        <v>59</v>
      </c>
    </row>
    <row r="3191" spans="1:5" x14ac:dyDescent="0.25">
      <c r="A3191" t="s">
        <v>38</v>
      </c>
      <c r="B3191">
        <v>2019</v>
      </c>
      <c r="C3191" t="s">
        <v>58</v>
      </c>
      <c r="D3191">
        <v>2.7103172687558699</v>
      </c>
      <c r="E3191" t="s">
        <v>59</v>
      </c>
    </row>
    <row r="3192" spans="1:5" x14ac:dyDescent="0.25">
      <c r="A3192" t="s">
        <v>38</v>
      </c>
      <c r="B3192">
        <v>2020</v>
      </c>
      <c r="C3192" t="s">
        <v>58</v>
      </c>
      <c r="D3192">
        <v>2.4976600599705199</v>
      </c>
      <c r="E3192" t="s">
        <v>59</v>
      </c>
    </row>
    <row r="3193" spans="1:5" x14ac:dyDescent="0.25">
      <c r="A3193" t="s">
        <v>38</v>
      </c>
      <c r="B3193">
        <v>2021</v>
      </c>
      <c r="C3193" t="s">
        <v>58</v>
      </c>
      <c r="D3193">
        <v>2.6854592280141598</v>
      </c>
      <c r="E3193" t="s">
        <v>59</v>
      </c>
    </row>
    <row r="3194" spans="1:5" x14ac:dyDescent="0.25">
      <c r="A3194" t="s">
        <v>38</v>
      </c>
      <c r="B3194">
        <v>2022</v>
      </c>
      <c r="C3194" t="s">
        <v>58</v>
      </c>
      <c r="D3194">
        <v>3.0427007152402301</v>
      </c>
      <c r="E3194" t="s">
        <v>59</v>
      </c>
    </row>
    <row r="3195" spans="1:5" x14ac:dyDescent="0.25">
      <c r="A3195" t="s">
        <v>38</v>
      </c>
      <c r="B3195">
        <v>2023</v>
      </c>
      <c r="C3195" t="s">
        <v>58</v>
      </c>
      <c r="D3195">
        <v>4.0304388758241201</v>
      </c>
      <c r="E3195" t="s">
        <v>59</v>
      </c>
    </row>
    <row r="3196" spans="1:5" x14ac:dyDescent="0.25">
      <c r="A3196" t="s">
        <v>38</v>
      </c>
      <c r="B3196">
        <v>2024</v>
      </c>
      <c r="C3196" t="s">
        <v>58</v>
      </c>
      <c r="D3196">
        <v>2.6696558162687398</v>
      </c>
      <c r="E3196" t="s">
        <v>59</v>
      </c>
    </row>
    <row r="3197" spans="1:5" x14ac:dyDescent="0.25">
      <c r="A3197" t="s">
        <v>38</v>
      </c>
      <c r="B3197">
        <v>2025</v>
      </c>
      <c r="C3197" t="s">
        <v>58</v>
      </c>
      <c r="D3197">
        <v>4.6675669072482604</v>
      </c>
      <c r="E3197" t="s">
        <v>59</v>
      </c>
    </row>
    <row r="3198" spans="1:5" x14ac:dyDescent="0.25">
      <c r="A3198" t="s">
        <v>70</v>
      </c>
      <c r="B3198">
        <v>2000</v>
      </c>
      <c r="C3198" t="s">
        <v>58</v>
      </c>
      <c r="D3198">
        <v>4.8440015421914104</v>
      </c>
      <c r="E3198" t="s">
        <v>59</v>
      </c>
    </row>
    <row r="3199" spans="1:5" x14ac:dyDescent="0.25">
      <c r="A3199" t="s">
        <v>70</v>
      </c>
      <c r="B3199">
        <v>2001</v>
      </c>
      <c r="C3199" t="s">
        <v>58</v>
      </c>
      <c r="D3199">
        <v>6.60239630495514</v>
      </c>
      <c r="E3199" t="s">
        <v>59</v>
      </c>
    </row>
    <row r="3200" spans="1:5" x14ac:dyDescent="0.25">
      <c r="A3200" t="s">
        <v>70</v>
      </c>
      <c r="B3200">
        <v>2007</v>
      </c>
      <c r="C3200" t="s">
        <v>58</v>
      </c>
      <c r="D3200">
        <v>9.5184962762065002</v>
      </c>
      <c r="E3200" t="s">
        <v>59</v>
      </c>
    </row>
    <row r="3201" spans="1:5" x14ac:dyDescent="0.25">
      <c r="A3201" t="s">
        <v>70</v>
      </c>
      <c r="B3201">
        <v>2008</v>
      </c>
      <c r="C3201" t="s">
        <v>58</v>
      </c>
      <c r="D3201">
        <v>8.5241601477508802</v>
      </c>
      <c r="E3201" t="s">
        <v>59</v>
      </c>
    </row>
    <row r="3202" spans="1:5" x14ac:dyDescent="0.25">
      <c r="A3202" t="s">
        <v>70</v>
      </c>
      <c r="B3202">
        <v>2021</v>
      </c>
      <c r="C3202" t="s">
        <v>58</v>
      </c>
      <c r="D3202">
        <v>7.2678527607341099</v>
      </c>
      <c r="E3202" t="s">
        <v>59</v>
      </c>
    </row>
    <row r="3203" spans="1:5" x14ac:dyDescent="0.25">
      <c r="A3203" t="s">
        <v>70</v>
      </c>
      <c r="B3203">
        <v>2022</v>
      </c>
      <c r="C3203" t="s">
        <v>58</v>
      </c>
      <c r="D3203">
        <v>8.2559396371089395</v>
      </c>
      <c r="E3203" t="s">
        <v>59</v>
      </c>
    </row>
    <row r="3204" spans="1:5" x14ac:dyDescent="0.25">
      <c r="A3204" t="s">
        <v>70</v>
      </c>
      <c r="B3204">
        <v>2023</v>
      </c>
      <c r="C3204" t="s">
        <v>58</v>
      </c>
      <c r="D3204">
        <v>10.0331998055458</v>
      </c>
      <c r="E3204" t="s">
        <v>59</v>
      </c>
    </row>
    <row r="3205" spans="1:5" x14ac:dyDescent="0.25">
      <c r="A3205" t="s">
        <v>69</v>
      </c>
      <c r="B3205">
        <v>2011</v>
      </c>
      <c r="C3205" t="s">
        <v>58</v>
      </c>
      <c r="D3205">
        <v>5.29738493665098</v>
      </c>
      <c r="E3205" t="s">
        <v>59</v>
      </c>
    </row>
    <row r="3206" spans="1:5" x14ac:dyDescent="0.25">
      <c r="A3206" t="s">
        <v>69</v>
      </c>
      <c r="B3206">
        <v>2012</v>
      </c>
      <c r="C3206" t="s">
        <v>58</v>
      </c>
      <c r="D3206">
        <v>5.2741698552558303</v>
      </c>
      <c r="E3206" t="s">
        <v>59</v>
      </c>
    </row>
    <row r="3207" spans="1:5" x14ac:dyDescent="0.25">
      <c r="A3207" t="s">
        <v>69</v>
      </c>
      <c r="B3207">
        <v>2013</v>
      </c>
      <c r="C3207" t="s">
        <v>58</v>
      </c>
      <c r="D3207">
        <v>2.3103608699423202</v>
      </c>
      <c r="E3207" t="s">
        <v>59</v>
      </c>
    </row>
    <row r="3208" spans="1:5" x14ac:dyDescent="0.25">
      <c r="A3208" t="s">
        <v>69</v>
      </c>
      <c r="B3208">
        <v>2014</v>
      </c>
      <c r="C3208" t="s">
        <v>58</v>
      </c>
      <c r="D3208">
        <v>1.4204887225481599</v>
      </c>
      <c r="E3208" t="s">
        <v>59</v>
      </c>
    </row>
    <row r="3209" spans="1:5" x14ac:dyDescent="0.25">
      <c r="A3209" t="s">
        <v>69</v>
      </c>
      <c r="B3209">
        <v>2015</v>
      </c>
      <c r="C3209" t="s">
        <v>58</v>
      </c>
      <c r="D3209">
        <v>1.8883714177629201</v>
      </c>
      <c r="E3209" t="s">
        <v>59</v>
      </c>
    </row>
    <row r="3210" spans="1:5" x14ac:dyDescent="0.25">
      <c r="A3210" t="s">
        <v>69</v>
      </c>
      <c r="B3210">
        <v>2016</v>
      </c>
      <c r="C3210" t="s">
        <v>58</v>
      </c>
      <c r="D3210">
        <v>2.1304092979322098</v>
      </c>
      <c r="E3210" t="s">
        <v>59</v>
      </c>
    </row>
    <row r="3211" spans="1:5" x14ac:dyDescent="0.25">
      <c r="A3211" t="s">
        <v>69</v>
      </c>
      <c r="B3211">
        <v>2017</v>
      </c>
      <c r="C3211" t="s">
        <v>58</v>
      </c>
      <c r="D3211">
        <v>1.61787709990341</v>
      </c>
      <c r="E3211" t="s">
        <v>59</v>
      </c>
    </row>
    <row r="3212" spans="1:5" x14ac:dyDescent="0.25">
      <c r="A3212" t="s">
        <v>69</v>
      </c>
      <c r="B3212">
        <v>2018</v>
      </c>
      <c r="C3212" t="s">
        <v>58</v>
      </c>
      <c r="D3212">
        <v>1.3831793340515199</v>
      </c>
      <c r="E3212" t="s">
        <v>59</v>
      </c>
    </row>
    <row r="3213" spans="1:5" x14ac:dyDescent="0.25">
      <c r="A3213" t="s">
        <v>69</v>
      </c>
      <c r="B3213">
        <v>2019</v>
      </c>
      <c r="C3213" t="s">
        <v>58</v>
      </c>
      <c r="D3213">
        <v>1.2341290222749399</v>
      </c>
      <c r="E3213" t="s">
        <v>59</v>
      </c>
    </row>
    <row r="3214" spans="1:5" x14ac:dyDescent="0.25">
      <c r="A3214" t="s">
        <v>69</v>
      </c>
      <c r="B3214">
        <v>2020</v>
      </c>
      <c r="C3214" t="s">
        <v>58</v>
      </c>
      <c r="D3214">
        <v>1.0047179475149799</v>
      </c>
      <c r="E3214" t="s">
        <v>59</v>
      </c>
    </row>
    <row r="3215" spans="1:5" x14ac:dyDescent="0.25">
      <c r="A3215" t="s">
        <v>69</v>
      </c>
      <c r="B3215">
        <v>2021</v>
      </c>
      <c r="C3215" t="s">
        <v>58</v>
      </c>
      <c r="D3215">
        <v>1.2356569215844999</v>
      </c>
      <c r="E3215" t="s">
        <v>59</v>
      </c>
    </row>
    <row r="3216" spans="1:5" x14ac:dyDescent="0.25">
      <c r="A3216" t="s">
        <v>69</v>
      </c>
      <c r="B3216">
        <v>2022</v>
      </c>
      <c r="C3216" t="s">
        <v>58</v>
      </c>
      <c r="D3216">
        <v>1.1679745712532601</v>
      </c>
      <c r="E3216" t="s">
        <v>59</v>
      </c>
    </row>
    <row r="3217" spans="1:5" x14ac:dyDescent="0.25">
      <c r="A3217" t="s">
        <v>69</v>
      </c>
      <c r="B3217">
        <v>2023</v>
      </c>
      <c r="C3217" t="s">
        <v>58</v>
      </c>
      <c r="D3217">
        <v>1.2615739726666699</v>
      </c>
      <c r="E3217" t="s">
        <v>59</v>
      </c>
    </row>
    <row r="3218" spans="1:5" x14ac:dyDescent="0.25">
      <c r="A3218" t="s">
        <v>69</v>
      </c>
      <c r="B3218">
        <v>2024</v>
      </c>
      <c r="C3218" t="s">
        <v>58</v>
      </c>
      <c r="D3218">
        <v>1.38525321837968</v>
      </c>
      <c r="E3218" t="s">
        <v>59</v>
      </c>
    </row>
    <row r="3219" spans="1:5" x14ac:dyDescent="0.25">
      <c r="A3219" t="s">
        <v>68</v>
      </c>
      <c r="B3219">
        <v>2020</v>
      </c>
      <c r="C3219" t="s">
        <v>58</v>
      </c>
      <c r="D3219">
        <v>2.85847002930843</v>
      </c>
      <c r="E3219" t="s">
        <v>59</v>
      </c>
    </row>
    <row r="3220" spans="1:5" x14ac:dyDescent="0.25">
      <c r="A3220" t="s">
        <v>68</v>
      </c>
      <c r="B3220">
        <v>2021</v>
      </c>
      <c r="C3220" t="s">
        <v>58</v>
      </c>
      <c r="D3220">
        <v>3.2758970869429298</v>
      </c>
      <c r="E3220" t="s">
        <v>59</v>
      </c>
    </row>
    <row r="3221" spans="1:5" x14ac:dyDescent="0.25">
      <c r="A3221" t="s">
        <v>68</v>
      </c>
      <c r="B3221">
        <v>2022</v>
      </c>
      <c r="C3221" t="s">
        <v>58</v>
      </c>
      <c r="D3221">
        <v>3.7187054115450602</v>
      </c>
      <c r="E3221" t="s">
        <v>59</v>
      </c>
    </row>
    <row r="3222" spans="1:5" x14ac:dyDescent="0.25">
      <c r="A3222" t="s">
        <v>40</v>
      </c>
      <c r="B3222">
        <v>2011</v>
      </c>
      <c r="C3222" t="s">
        <v>58</v>
      </c>
      <c r="D3222">
        <v>7.5987384642269999</v>
      </c>
      <c r="E3222" t="s">
        <v>59</v>
      </c>
    </row>
    <row r="3223" spans="1:5" x14ac:dyDescent="0.25">
      <c r="A3223" t="s">
        <v>40</v>
      </c>
      <c r="B3223">
        <v>2012</v>
      </c>
      <c r="C3223" t="s">
        <v>58</v>
      </c>
      <c r="D3223">
        <v>13.0153637301255</v>
      </c>
      <c r="E3223" t="s">
        <v>59</v>
      </c>
    </row>
    <row r="3224" spans="1:5" x14ac:dyDescent="0.25">
      <c r="A3224" t="s">
        <v>40</v>
      </c>
      <c r="B3224">
        <v>2013</v>
      </c>
      <c r="C3224" t="s">
        <v>58</v>
      </c>
      <c r="D3224">
        <v>9.1879144071521406</v>
      </c>
      <c r="E3224" t="s">
        <v>59</v>
      </c>
    </row>
    <row r="3225" spans="1:5" x14ac:dyDescent="0.25">
      <c r="A3225" t="s">
        <v>40</v>
      </c>
      <c r="B3225">
        <v>2014</v>
      </c>
      <c r="C3225" t="s">
        <v>58</v>
      </c>
      <c r="D3225">
        <v>8.0408401216192509</v>
      </c>
      <c r="E3225" t="s">
        <v>59</v>
      </c>
    </row>
    <row r="3226" spans="1:5" x14ac:dyDescent="0.25">
      <c r="A3226" t="s">
        <v>40</v>
      </c>
      <c r="B3226">
        <v>2015</v>
      </c>
      <c r="C3226" t="s">
        <v>58</v>
      </c>
      <c r="D3226">
        <v>7.9365335055504103</v>
      </c>
      <c r="E3226" t="s">
        <v>59</v>
      </c>
    </row>
    <row r="3227" spans="1:5" x14ac:dyDescent="0.25">
      <c r="A3227" t="s">
        <v>40</v>
      </c>
      <c r="B3227">
        <v>2016</v>
      </c>
      <c r="C3227" t="s">
        <v>58</v>
      </c>
      <c r="D3227">
        <v>6.5255417731844201</v>
      </c>
      <c r="E3227" t="s">
        <v>59</v>
      </c>
    </row>
    <row r="3228" spans="1:5" x14ac:dyDescent="0.25">
      <c r="A3228" t="s">
        <v>40</v>
      </c>
      <c r="B3228">
        <v>2017</v>
      </c>
      <c r="C3228" t="s">
        <v>58</v>
      </c>
      <c r="D3228">
        <v>4.7477832591371296</v>
      </c>
      <c r="E3228" t="s">
        <v>59</v>
      </c>
    </row>
    <row r="3229" spans="1:5" x14ac:dyDescent="0.25">
      <c r="A3229" t="s">
        <v>40</v>
      </c>
      <c r="B3229">
        <v>2018</v>
      </c>
      <c r="C3229" t="s">
        <v>58</v>
      </c>
      <c r="D3229">
        <v>7.9045860638058896</v>
      </c>
      <c r="E3229" t="s">
        <v>59</v>
      </c>
    </row>
    <row r="3230" spans="1:5" x14ac:dyDescent="0.25">
      <c r="A3230" t="s">
        <v>40</v>
      </c>
      <c r="B3230">
        <v>2019</v>
      </c>
      <c r="C3230" t="s">
        <v>58</v>
      </c>
      <c r="D3230">
        <v>12.0227603673932</v>
      </c>
      <c r="E3230" t="s">
        <v>59</v>
      </c>
    </row>
    <row r="3231" spans="1:5" x14ac:dyDescent="0.25">
      <c r="A3231" t="s">
        <v>40</v>
      </c>
      <c r="B3231">
        <v>2020</v>
      </c>
      <c r="C3231" t="s">
        <v>58</v>
      </c>
      <c r="D3231">
        <v>13.1113440340502</v>
      </c>
      <c r="E3231" t="s">
        <v>59</v>
      </c>
    </row>
    <row r="3232" spans="1:5" x14ac:dyDescent="0.25">
      <c r="A3232" t="s">
        <v>40</v>
      </c>
      <c r="B3232">
        <v>2021</v>
      </c>
      <c r="C3232" t="s">
        <v>58</v>
      </c>
      <c r="D3232">
        <v>14.210534488740199</v>
      </c>
      <c r="E3232" t="s">
        <v>59</v>
      </c>
    </row>
    <row r="3233" spans="1:5" x14ac:dyDescent="0.25">
      <c r="A3233" t="s">
        <v>40</v>
      </c>
      <c r="B3233">
        <v>2022</v>
      </c>
      <c r="C3233" t="s">
        <v>58</v>
      </c>
      <c r="D3233">
        <v>15.592120413414399</v>
      </c>
      <c r="E3233" t="s">
        <v>59</v>
      </c>
    </row>
    <row r="3234" spans="1:5" x14ac:dyDescent="0.25">
      <c r="A3234" t="s">
        <v>40</v>
      </c>
      <c r="B3234">
        <v>2023</v>
      </c>
      <c r="C3234" t="s">
        <v>58</v>
      </c>
      <c r="D3234">
        <v>14.997964539052999</v>
      </c>
      <c r="E3234" t="s">
        <v>59</v>
      </c>
    </row>
    <row r="3235" spans="1:5" x14ac:dyDescent="0.25">
      <c r="A3235" t="s">
        <v>40</v>
      </c>
      <c r="B3235">
        <v>2024</v>
      </c>
      <c r="C3235" t="s">
        <v>58</v>
      </c>
      <c r="D3235">
        <v>13.603163317798099</v>
      </c>
      <c r="E3235" t="s">
        <v>59</v>
      </c>
    </row>
    <row r="3236" spans="1:5" x14ac:dyDescent="0.25">
      <c r="A3236" t="s">
        <v>40</v>
      </c>
      <c r="B3236">
        <v>2025</v>
      </c>
      <c r="C3236" t="s">
        <v>58</v>
      </c>
      <c r="D3236">
        <v>13.828964506490401</v>
      </c>
      <c r="E3236" t="s">
        <v>59</v>
      </c>
    </row>
    <row r="3237" spans="1:5" x14ac:dyDescent="0.25">
      <c r="A3237" t="s">
        <v>67</v>
      </c>
      <c r="B3237">
        <v>2010</v>
      </c>
      <c r="C3237" t="s">
        <v>58</v>
      </c>
      <c r="D3237">
        <v>1.9842651111260201</v>
      </c>
      <c r="E3237" t="s">
        <v>59</v>
      </c>
    </row>
    <row r="3238" spans="1:5" x14ac:dyDescent="0.25">
      <c r="A3238" t="s">
        <v>67</v>
      </c>
      <c r="B3238">
        <v>2011</v>
      </c>
      <c r="C3238" t="s">
        <v>58</v>
      </c>
      <c r="D3238">
        <v>2.3107868940595</v>
      </c>
      <c r="E3238" t="s">
        <v>59</v>
      </c>
    </row>
    <row r="3239" spans="1:5" x14ac:dyDescent="0.25">
      <c r="A3239" t="s">
        <v>67</v>
      </c>
      <c r="B3239">
        <v>2012</v>
      </c>
      <c r="C3239" t="s">
        <v>58</v>
      </c>
      <c r="D3239">
        <v>3.2554473202416601</v>
      </c>
      <c r="E3239" t="s">
        <v>59</v>
      </c>
    </row>
    <row r="3240" spans="1:5" x14ac:dyDescent="0.25">
      <c r="A3240" t="s">
        <v>67</v>
      </c>
      <c r="B3240">
        <v>2013</v>
      </c>
      <c r="C3240" t="s">
        <v>58</v>
      </c>
      <c r="D3240">
        <v>2.73411664949694</v>
      </c>
      <c r="E3240" t="s">
        <v>59</v>
      </c>
    </row>
    <row r="3241" spans="1:5" x14ac:dyDescent="0.25">
      <c r="A3241" t="s">
        <v>67</v>
      </c>
      <c r="B3241">
        <v>2014</v>
      </c>
      <c r="C3241" t="s">
        <v>58</v>
      </c>
      <c r="D3241">
        <v>1.9523812851365001</v>
      </c>
      <c r="E3241" t="s">
        <v>59</v>
      </c>
    </row>
    <row r="3242" spans="1:5" x14ac:dyDescent="0.25">
      <c r="A3242" t="s">
        <v>67</v>
      </c>
      <c r="B3242">
        <v>2015</v>
      </c>
      <c r="C3242" t="s">
        <v>58</v>
      </c>
      <c r="D3242">
        <v>1.6885310648882801</v>
      </c>
      <c r="E3242" t="s">
        <v>59</v>
      </c>
    </row>
    <row r="3243" spans="1:5" x14ac:dyDescent="0.25">
      <c r="A3243" t="s">
        <v>67</v>
      </c>
      <c r="B3243">
        <v>2016</v>
      </c>
      <c r="C3243" t="s">
        <v>58</v>
      </c>
      <c r="D3243">
        <v>2.8216056187754299</v>
      </c>
      <c r="E3243" t="s">
        <v>59</v>
      </c>
    </row>
    <row r="3244" spans="1:5" x14ac:dyDescent="0.25">
      <c r="A3244" t="s">
        <v>67</v>
      </c>
      <c r="B3244">
        <v>2017</v>
      </c>
      <c r="C3244" t="s">
        <v>58</v>
      </c>
      <c r="D3244">
        <v>2.8358705287602599</v>
      </c>
      <c r="E3244" t="s">
        <v>59</v>
      </c>
    </row>
    <row r="3245" spans="1:5" x14ac:dyDescent="0.25">
      <c r="A3245" t="s">
        <v>67</v>
      </c>
      <c r="B3245">
        <v>2018</v>
      </c>
      <c r="C3245" t="s">
        <v>58</v>
      </c>
      <c r="D3245">
        <v>3.2105072787397302</v>
      </c>
      <c r="E3245" t="s">
        <v>59</v>
      </c>
    </row>
    <row r="3246" spans="1:5" x14ac:dyDescent="0.25">
      <c r="A3246" t="s">
        <v>67</v>
      </c>
      <c r="B3246">
        <v>2019</v>
      </c>
      <c r="C3246" t="s">
        <v>58</v>
      </c>
      <c r="D3246">
        <v>2.7571490801109202</v>
      </c>
      <c r="E3246" t="s">
        <v>59</v>
      </c>
    </row>
    <row r="3247" spans="1:5" x14ac:dyDescent="0.25">
      <c r="A3247" t="s">
        <v>67</v>
      </c>
      <c r="B3247">
        <v>2020</v>
      </c>
      <c r="C3247" t="s">
        <v>58</v>
      </c>
      <c r="D3247">
        <v>3.0068362266238999</v>
      </c>
      <c r="E3247" t="s">
        <v>59</v>
      </c>
    </row>
    <row r="3248" spans="1:5" x14ac:dyDescent="0.25">
      <c r="A3248" t="s">
        <v>67</v>
      </c>
      <c r="B3248">
        <v>2021</v>
      </c>
      <c r="C3248" t="s">
        <v>58</v>
      </c>
      <c r="D3248">
        <v>2.7314643186363901</v>
      </c>
      <c r="E3248" t="s">
        <v>59</v>
      </c>
    </row>
    <row r="3249" spans="1:5" x14ac:dyDescent="0.25">
      <c r="A3249" t="s">
        <v>67</v>
      </c>
      <c r="B3249">
        <v>2022</v>
      </c>
      <c r="C3249" t="s">
        <v>58</v>
      </c>
      <c r="D3249">
        <v>4.0717704675324802</v>
      </c>
      <c r="E3249" t="s">
        <v>59</v>
      </c>
    </row>
    <row r="3250" spans="1:5" x14ac:dyDescent="0.25">
      <c r="A3250" t="s">
        <v>67</v>
      </c>
      <c r="B3250">
        <v>2023</v>
      </c>
      <c r="C3250" t="s">
        <v>58</v>
      </c>
      <c r="D3250">
        <v>6.3007302870968998</v>
      </c>
      <c r="E3250" t="s">
        <v>59</v>
      </c>
    </row>
    <row r="3251" spans="1:5" x14ac:dyDescent="0.25">
      <c r="A3251" t="s">
        <v>67</v>
      </c>
      <c r="B3251">
        <v>2024</v>
      </c>
      <c r="C3251" t="s">
        <v>58</v>
      </c>
      <c r="D3251">
        <v>3.7778310593467399</v>
      </c>
      <c r="E3251" t="s">
        <v>59</v>
      </c>
    </row>
    <row r="3252" spans="1:5" x14ac:dyDescent="0.25">
      <c r="A3252" t="s">
        <v>67</v>
      </c>
      <c r="B3252">
        <v>2025</v>
      </c>
      <c r="C3252" t="s">
        <v>58</v>
      </c>
      <c r="D3252">
        <v>5.40331037654677</v>
      </c>
      <c r="E3252" t="s">
        <v>59</v>
      </c>
    </row>
    <row r="3253" spans="1:5" x14ac:dyDescent="0.25">
      <c r="A3253" t="s">
        <v>66</v>
      </c>
      <c r="B3253">
        <v>2019</v>
      </c>
      <c r="C3253" t="s">
        <v>58</v>
      </c>
      <c r="D3253">
        <v>1.8569176620144301</v>
      </c>
      <c r="E3253" t="s">
        <v>59</v>
      </c>
    </row>
    <row r="3254" spans="1:5" x14ac:dyDescent="0.25">
      <c r="A3254" t="s">
        <v>66</v>
      </c>
      <c r="B3254">
        <v>2020</v>
      </c>
      <c r="C3254" t="s">
        <v>58</v>
      </c>
      <c r="D3254">
        <v>1.53896772108155</v>
      </c>
      <c r="E3254" t="s">
        <v>59</v>
      </c>
    </row>
    <row r="3255" spans="1:5" x14ac:dyDescent="0.25">
      <c r="A3255" t="s">
        <v>66</v>
      </c>
      <c r="B3255">
        <v>2021</v>
      </c>
      <c r="C3255" t="s">
        <v>58</v>
      </c>
      <c r="D3255">
        <v>1.77161872338508</v>
      </c>
      <c r="E3255" t="s">
        <v>59</v>
      </c>
    </row>
    <row r="3256" spans="1:5" x14ac:dyDescent="0.25">
      <c r="A3256" t="s">
        <v>66</v>
      </c>
      <c r="B3256">
        <v>2022</v>
      </c>
      <c r="C3256" t="s">
        <v>58</v>
      </c>
      <c r="D3256">
        <v>1.7233644710376901</v>
      </c>
      <c r="E3256" t="s">
        <v>59</v>
      </c>
    </row>
    <row r="3257" spans="1:5" x14ac:dyDescent="0.25">
      <c r="A3257" t="s">
        <v>66</v>
      </c>
      <c r="B3257">
        <v>2023</v>
      </c>
      <c r="C3257" t="s">
        <v>58</v>
      </c>
      <c r="D3257">
        <v>1.85957484738004</v>
      </c>
      <c r="E3257" t="s">
        <v>59</v>
      </c>
    </row>
    <row r="3258" spans="1:5" x14ac:dyDescent="0.25">
      <c r="A3258" t="s">
        <v>41</v>
      </c>
      <c r="B3258">
        <v>2015</v>
      </c>
      <c r="C3258" t="s">
        <v>58</v>
      </c>
      <c r="D3258">
        <v>0.20459982869294699</v>
      </c>
      <c r="E3258" t="s">
        <v>59</v>
      </c>
    </row>
    <row r="3259" spans="1:5" x14ac:dyDescent="0.25">
      <c r="A3259" t="s">
        <v>41</v>
      </c>
      <c r="B3259">
        <v>2016</v>
      </c>
      <c r="C3259" t="s">
        <v>58</v>
      </c>
      <c r="D3259">
        <v>3.26319217206904</v>
      </c>
      <c r="E3259" t="s">
        <v>59</v>
      </c>
    </row>
    <row r="3260" spans="1:5" x14ac:dyDescent="0.25">
      <c r="A3260" t="s">
        <v>41</v>
      </c>
      <c r="B3260">
        <v>2018</v>
      </c>
      <c r="C3260" t="s">
        <v>58</v>
      </c>
      <c r="D3260">
        <v>1.5383679950025699</v>
      </c>
      <c r="E3260" t="s">
        <v>59</v>
      </c>
    </row>
    <row r="3261" spans="1:5" x14ac:dyDescent="0.25">
      <c r="A3261" t="s">
        <v>41</v>
      </c>
      <c r="B3261">
        <v>2022</v>
      </c>
      <c r="C3261" t="s">
        <v>58</v>
      </c>
      <c r="D3261">
        <v>6.3415379138284802</v>
      </c>
      <c r="E3261" t="s">
        <v>59</v>
      </c>
    </row>
    <row r="3262" spans="1:5" x14ac:dyDescent="0.25">
      <c r="A3262" t="s">
        <v>41</v>
      </c>
      <c r="B3262">
        <v>2023</v>
      </c>
      <c r="C3262" t="s">
        <v>58</v>
      </c>
      <c r="D3262">
        <v>3.2312678832869</v>
      </c>
      <c r="E3262" t="s">
        <v>59</v>
      </c>
    </row>
    <row r="3263" spans="1:5" x14ac:dyDescent="0.25">
      <c r="A3263" t="s">
        <v>65</v>
      </c>
      <c r="B3263">
        <v>2010</v>
      </c>
      <c r="C3263" t="s">
        <v>58</v>
      </c>
      <c r="D3263">
        <v>1.86534998736901</v>
      </c>
      <c r="E3263" t="s">
        <v>59</v>
      </c>
    </row>
    <row r="3264" spans="1:5" x14ac:dyDescent="0.25">
      <c r="A3264" t="s">
        <v>65</v>
      </c>
      <c r="B3264">
        <v>2011</v>
      </c>
      <c r="C3264" t="s">
        <v>58</v>
      </c>
      <c r="D3264">
        <v>1.9107010858251301</v>
      </c>
      <c r="E3264" t="s">
        <v>59</v>
      </c>
    </row>
    <row r="3265" spans="1:5" x14ac:dyDescent="0.25">
      <c r="A3265" t="s">
        <v>65</v>
      </c>
      <c r="B3265">
        <v>2012</v>
      </c>
      <c r="C3265" t="s">
        <v>58</v>
      </c>
      <c r="D3265">
        <v>2.0395419355501399</v>
      </c>
      <c r="E3265" t="s">
        <v>59</v>
      </c>
    </row>
    <row r="3266" spans="1:5" x14ac:dyDescent="0.25">
      <c r="A3266" t="s">
        <v>65</v>
      </c>
      <c r="B3266">
        <v>2013</v>
      </c>
      <c r="C3266" t="s">
        <v>58</v>
      </c>
      <c r="D3266">
        <v>2.1473576360950299</v>
      </c>
      <c r="E3266" t="s">
        <v>59</v>
      </c>
    </row>
    <row r="3267" spans="1:5" x14ac:dyDescent="0.25">
      <c r="A3267" t="s">
        <v>65</v>
      </c>
      <c r="B3267">
        <v>2014</v>
      </c>
      <c r="C3267" t="s">
        <v>58</v>
      </c>
      <c r="D3267">
        <v>2.2674678374445798</v>
      </c>
      <c r="E3267" t="s">
        <v>59</v>
      </c>
    </row>
    <row r="3268" spans="1:5" x14ac:dyDescent="0.25">
      <c r="A3268" t="s">
        <v>65</v>
      </c>
      <c r="B3268">
        <v>2015</v>
      </c>
      <c r="C3268" t="s">
        <v>58</v>
      </c>
      <c r="D3268">
        <v>3.4747987586843898</v>
      </c>
      <c r="E3268" t="s">
        <v>59</v>
      </c>
    </row>
    <row r="3269" spans="1:5" x14ac:dyDescent="0.25">
      <c r="A3269" t="s">
        <v>65</v>
      </c>
      <c r="B3269">
        <v>2016</v>
      </c>
      <c r="C3269" t="s">
        <v>58</v>
      </c>
      <c r="D3269">
        <v>3.2920001955795599</v>
      </c>
      <c r="E3269" t="s">
        <v>59</v>
      </c>
    </row>
    <row r="3270" spans="1:5" x14ac:dyDescent="0.25">
      <c r="A3270" t="s">
        <v>65</v>
      </c>
      <c r="B3270">
        <v>2019</v>
      </c>
      <c r="C3270" t="s">
        <v>58</v>
      </c>
      <c r="D3270">
        <v>2.2268539078702601</v>
      </c>
      <c r="E3270" t="s">
        <v>59</v>
      </c>
    </row>
    <row r="3271" spans="1:5" x14ac:dyDescent="0.25">
      <c r="A3271" t="s">
        <v>65</v>
      </c>
      <c r="B3271">
        <v>2020</v>
      </c>
      <c r="C3271" t="s">
        <v>58</v>
      </c>
      <c r="D3271">
        <v>1.9611933347549</v>
      </c>
      <c r="E3271" t="s">
        <v>59</v>
      </c>
    </row>
    <row r="3272" spans="1:5" x14ac:dyDescent="0.25">
      <c r="A3272" t="s">
        <v>65</v>
      </c>
      <c r="B3272">
        <v>2023</v>
      </c>
      <c r="C3272" t="s">
        <v>58</v>
      </c>
      <c r="D3272">
        <v>1.6420089680049399</v>
      </c>
      <c r="E3272" t="s">
        <v>59</v>
      </c>
    </row>
    <row r="3273" spans="1:5" x14ac:dyDescent="0.25">
      <c r="A3273" t="s">
        <v>65</v>
      </c>
      <c r="B3273">
        <v>2024</v>
      </c>
      <c r="C3273" t="s">
        <v>58</v>
      </c>
      <c r="D3273">
        <v>1.7282354110353999</v>
      </c>
      <c r="E3273" t="s">
        <v>59</v>
      </c>
    </row>
    <row r="3274" spans="1:5" x14ac:dyDescent="0.25">
      <c r="A3274" t="s">
        <v>65</v>
      </c>
      <c r="B3274">
        <v>2025</v>
      </c>
      <c r="C3274" t="s">
        <v>58</v>
      </c>
      <c r="D3274">
        <v>1.78455864115537</v>
      </c>
      <c r="E3274" t="s">
        <v>59</v>
      </c>
    </row>
    <row r="3275" spans="1:5" x14ac:dyDescent="0.25">
      <c r="A3275" t="s">
        <v>64</v>
      </c>
      <c r="B3275">
        <v>2010</v>
      </c>
      <c r="C3275" t="s">
        <v>58</v>
      </c>
      <c r="D3275">
        <v>3.06843294300243</v>
      </c>
      <c r="E3275" t="s">
        <v>59</v>
      </c>
    </row>
    <row r="3276" spans="1:5" x14ac:dyDescent="0.25">
      <c r="A3276" t="s">
        <v>64</v>
      </c>
      <c r="B3276">
        <v>2011</v>
      </c>
      <c r="C3276" t="s">
        <v>58</v>
      </c>
      <c r="D3276">
        <v>3.2485048401481298</v>
      </c>
      <c r="E3276" t="s">
        <v>59</v>
      </c>
    </row>
    <row r="3277" spans="1:5" x14ac:dyDescent="0.25">
      <c r="A3277" t="s">
        <v>64</v>
      </c>
      <c r="B3277">
        <v>2012</v>
      </c>
      <c r="C3277" t="s">
        <v>58</v>
      </c>
      <c r="D3277">
        <v>2.9361126170961702</v>
      </c>
      <c r="E3277" t="s">
        <v>59</v>
      </c>
    </row>
    <row r="3278" spans="1:5" x14ac:dyDescent="0.25">
      <c r="A3278" t="s">
        <v>64</v>
      </c>
      <c r="B3278">
        <v>2013</v>
      </c>
      <c r="C3278" t="s">
        <v>58</v>
      </c>
      <c r="D3278">
        <v>2.9480600352936599</v>
      </c>
      <c r="E3278" t="s">
        <v>59</v>
      </c>
    </row>
    <row r="3279" spans="1:5" x14ac:dyDescent="0.25">
      <c r="A3279" t="s">
        <v>64</v>
      </c>
      <c r="B3279">
        <v>2014</v>
      </c>
      <c r="C3279" t="s">
        <v>58</v>
      </c>
      <c r="D3279">
        <v>2.5850817629256602</v>
      </c>
      <c r="E3279" t="s">
        <v>59</v>
      </c>
    </row>
    <row r="3280" spans="1:5" x14ac:dyDescent="0.25">
      <c r="A3280" t="s">
        <v>64</v>
      </c>
      <c r="B3280">
        <v>2015</v>
      </c>
      <c r="C3280" t="s">
        <v>58</v>
      </c>
      <c r="D3280">
        <v>1.7602079481331601</v>
      </c>
      <c r="E3280" t="s">
        <v>59</v>
      </c>
    </row>
    <row r="3281" spans="1:5" x14ac:dyDescent="0.25">
      <c r="A3281" t="s">
        <v>64</v>
      </c>
      <c r="B3281">
        <v>2016</v>
      </c>
      <c r="C3281" t="s">
        <v>58</v>
      </c>
      <c r="D3281">
        <v>2.0043574905837902</v>
      </c>
      <c r="E3281" t="s">
        <v>59</v>
      </c>
    </row>
    <row r="3282" spans="1:5" x14ac:dyDescent="0.25">
      <c r="A3282" t="s">
        <v>64</v>
      </c>
      <c r="B3282">
        <v>2017</v>
      </c>
      <c r="C3282" t="s">
        <v>58</v>
      </c>
      <c r="D3282">
        <v>2.3956032605223498</v>
      </c>
      <c r="E3282" t="s">
        <v>59</v>
      </c>
    </row>
    <row r="3283" spans="1:5" x14ac:dyDescent="0.25">
      <c r="A3283" t="s">
        <v>64</v>
      </c>
      <c r="B3283">
        <v>2018</v>
      </c>
      <c r="C3283" t="s">
        <v>58</v>
      </c>
      <c r="D3283">
        <v>2.1548982140378898</v>
      </c>
      <c r="E3283" t="s">
        <v>59</v>
      </c>
    </row>
    <row r="3284" spans="1:5" x14ac:dyDescent="0.25">
      <c r="A3284" t="s">
        <v>64</v>
      </c>
      <c r="B3284">
        <v>2019</v>
      </c>
      <c r="C3284" t="s">
        <v>58</v>
      </c>
      <c r="D3284">
        <v>2.5193580912984102</v>
      </c>
      <c r="E3284" t="s">
        <v>59</v>
      </c>
    </row>
    <row r="3285" spans="1:5" x14ac:dyDescent="0.25">
      <c r="A3285" t="s">
        <v>64</v>
      </c>
      <c r="B3285">
        <v>2020</v>
      </c>
      <c r="C3285" t="s">
        <v>58</v>
      </c>
      <c r="D3285">
        <v>2.51394742132653</v>
      </c>
      <c r="E3285" t="s">
        <v>59</v>
      </c>
    </row>
    <row r="3286" spans="1:5" x14ac:dyDescent="0.25">
      <c r="A3286" t="s">
        <v>64</v>
      </c>
      <c r="B3286">
        <v>2021</v>
      </c>
      <c r="C3286" t="s">
        <v>58</v>
      </c>
      <c r="D3286">
        <v>2.4513756300155798</v>
      </c>
      <c r="E3286" t="s">
        <v>59</v>
      </c>
    </row>
    <row r="3287" spans="1:5" x14ac:dyDescent="0.25">
      <c r="A3287" t="s">
        <v>64</v>
      </c>
      <c r="B3287">
        <v>2022</v>
      </c>
      <c r="C3287" t="s">
        <v>58</v>
      </c>
      <c r="D3287">
        <v>3.30369095252914</v>
      </c>
      <c r="E3287" t="s">
        <v>59</v>
      </c>
    </row>
    <row r="3288" spans="1:5" x14ac:dyDescent="0.25">
      <c r="A3288" t="s">
        <v>64</v>
      </c>
      <c r="B3288">
        <v>2023</v>
      </c>
      <c r="C3288" t="s">
        <v>58</v>
      </c>
      <c r="D3288">
        <v>2.8680400203281602</v>
      </c>
      <c r="E3288" t="s">
        <v>59</v>
      </c>
    </row>
    <row r="3289" spans="1:5" x14ac:dyDescent="0.25">
      <c r="A3289" t="s">
        <v>64</v>
      </c>
      <c r="B3289">
        <v>2024</v>
      </c>
      <c r="C3289" t="s">
        <v>58</v>
      </c>
      <c r="D3289">
        <v>3.12796435628234</v>
      </c>
      <c r="E3289" t="s">
        <v>59</v>
      </c>
    </row>
    <row r="3290" spans="1:5" x14ac:dyDescent="0.25">
      <c r="A3290" t="s">
        <v>64</v>
      </c>
      <c r="B3290">
        <v>2025</v>
      </c>
      <c r="C3290" t="s">
        <v>58</v>
      </c>
      <c r="D3290">
        <v>3.4053959446875699</v>
      </c>
      <c r="E3290" t="s">
        <v>59</v>
      </c>
    </row>
    <row r="3291" spans="1:5" x14ac:dyDescent="0.25">
      <c r="A3291" t="s">
        <v>42</v>
      </c>
      <c r="B3291">
        <v>2016</v>
      </c>
      <c r="C3291" t="s">
        <v>58</v>
      </c>
      <c r="D3291">
        <v>1.44333895891925</v>
      </c>
      <c r="E3291" t="s">
        <v>59</v>
      </c>
    </row>
    <row r="3292" spans="1:5" x14ac:dyDescent="0.25">
      <c r="A3292" t="s">
        <v>42</v>
      </c>
      <c r="B3292">
        <v>2017</v>
      </c>
      <c r="C3292" t="s">
        <v>58</v>
      </c>
      <c r="D3292">
        <v>1.7078678662298801</v>
      </c>
      <c r="E3292" t="s">
        <v>59</v>
      </c>
    </row>
    <row r="3293" spans="1:5" x14ac:dyDescent="0.25">
      <c r="A3293" t="s">
        <v>42</v>
      </c>
      <c r="B3293">
        <v>2018</v>
      </c>
      <c r="C3293" t="s">
        <v>58</v>
      </c>
      <c r="D3293">
        <v>2.0554062019371599</v>
      </c>
      <c r="E3293" t="s">
        <v>59</v>
      </c>
    </row>
    <row r="3294" spans="1:5" x14ac:dyDescent="0.25">
      <c r="A3294" t="s">
        <v>42</v>
      </c>
      <c r="B3294">
        <v>2024</v>
      </c>
      <c r="C3294" t="s">
        <v>58</v>
      </c>
      <c r="D3294">
        <v>1.37074792421196</v>
      </c>
      <c r="E3294" t="s">
        <v>59</v>
      </c>
    </row>
    <row r="3295" spans="1:5" x14ac:dyDescent="0.25">
      <c r="A3295" t="s">
        <v>42</v>
      </c>
      <c r="B3295">
        <v>2025</v>
      </c>
      <c r="C3295" t="s">
        <v>58</v>
      </c>
      <c r="D3295">
        <v>1.1263632762073099</v>
      </c>
      <c r="E3295" t="s">
        <v>59</v>
      </c>
    </row>
    <row r="3296" spans="1:5" x14ac:dyDescent="0.25">
      <c r="A3296" t="s">
        <v>43</v>
      </c>
      <c r="B3296">
        <v>2010</v>
      </c>
      <c r="C3296" t="s">
        <v>58</v>
      </c>
      <c r="D3296">
        <v>3.5099911216641702</v>
      </c>
      <c r="E3296" t="s">
        <v>59</v>
      </c>
    </row>
    <row r="3297" spans="1:5" x14ac:dyDescent="0.25">
      <c r="A3297" t="s">
        <v>43</v>
      </c>
      <c r="B3297">
        <v>2011</v>
      </c>
      <c r="C3297" t="s">
        <v>58</v>
      </c>
      <c r="D3297">
        <v>4.9026303595489198</v>
      </c>
      <c r="E3297" t="s">
        <v>59</v>
      </c>
    </row>
    <row r="3298" spans="1:5" x14ac:dyDescent="0.25">
      <c r="A3298" t="s">
        <v>43</v>
      </c>
      <c r="B3298">
        <v>2012</v>
      </c>
      <c r="C3298" t="s">
        <v>58</v>
      </c>
      <c r="D3298">
        <v>5.9430732288949697</v>
      </c>
      <c r="E3298" t="s">
        <v>59</v>
      </c>
    </row>
    <row r="3299" spans="1:5" x14ac:dyDescent="0.25">
      <c r="A3299" t="s">
        <v>43</v>
      </c>
      <c r="B3299">
        <v>2013</v>
      </c>
      <c r="C3299" t="s">
        <v>58</v>
      </c>
      <c r="D3299">
        <v>5.47759451001005</v>
      </c>
      <c r="E3299" t="s">
        <v>59</v>
      </c>
    </row>
    <row r="3300" spans="1:5" x14ac:dyDescent="0.25">
      <c r="A3300" t="s">
        <v>43</v>
      </c>
      <c r="B3300">
        <v>2014</v>
      </c>
      <c r="C3300" t="s">
        <v>58</v>
      </c>
      <c r="D3300">
        <v>3.9459315066024598</v>
      </c>
      <c r="E3300" t="s">
        <v>59</v>
      </c>
    </row>
    <row r="3301" spans="1:5" x14ac:dyDescent="0.25">
      <c r="A3301" t="s">
        <v>43</v>
      </c>
      <c r="B3301">
        <v>2015</v>
      </c>
      <c r="C3301" t="s">
        <v>58</v>
      </c>
      <c r="D3301">
        <v>2.9312231663408799</v>
      </c>
      <c r="E3301" t="s">
        <v>59</v>
      </c>
    </row>
    <row r="3302" spans="1:5" x14ac:dyDescent="0.25">
      <c r="A3302" t="s">
        <v>43</v>
      </c>
      <c r="B3302">
        <v>2016</v>
      </c>
      <c r="C3302" t="s">
        <v>58</v>
      </c>
      <c r="D3302">
        <v>3.6578411088471401</v>
      </c>
      <c r="E3302" t="s">
        <v>59</v>
      </c>
    </row>
    <row r="3303" spans="1:5" x14ac:dyDescent="0.25">
      <c r="A3303" t="s">
        <v>43</v>
      </c>
      <c r="B3303">
        <v>2017</v>
      </c>
      <c r="C3303" t="s">
        <v>58</v>
      </c>
      <c r="D3303">
        <v>3.8295629438147101</v>
      </c>
      <c r="E3303" t="s">
        <v>59</v>
      </c>
    </row>
    <row r="3304" spans="1:5" x14ac:dyDescent="0.25">
      <c r="A3304" t="s">
        <v>43</v>
      </c>
      <c r="B3304">
        <v>2018</v>
      </c>
      <c r="C3304" t="s">
        <v>58</v>
      </c>
      <c r="D3304">
        <v>4.0915842365785</v>
      </c>
      <c r="E3304" t="s">
        <v>59</v>
      </c>
    </row>
    <row r="3305" spans="1:5" x14ac:dyDescent="0.25">
      <c r="A3305" t="s">
        <v>43</v>
      </c>
      <c r="B3305">
        <v>2019</v>
      </c>
      <c r="C3305" t="s">
        <v>58</v>
      </c>
      <c r="D3305">
        <v>2.3900744649573298</v>
      </c>
      <c r="E3305" t="s">
        <v>59</v>
      </c>
    </row>
    <row r="3306" spans="1:5" x14ac:dyDescent="0.25">
      <c r="A3306" t="s">
        <v>43</v>
      </c>
      <c r="B3306">
        <v>2021</v>
      </c>
      <c r="C3306" t="s">
        <v>58</v>
      </c>
      <c r="D3306">
        <v>3.73195785937867</v>
      </c>
      <c r="E3306" t="s">
        <v>59</v>
      </c>
    </row>
    <row r="3307" spans="1:5" x14ac:dyDescent="0.25">
      <c r="A3307" t="s">
        <v>43</v>
      </c>
      <c r="B3307">
        <v>2022</v>
      </c>
      <c r="C3307" t="s">
        <v>58</v>
      </c>
      <c r="D3307">
        <v>4.4318505315242103</v>
      </c>
      <c r="E3307" t="s">
        <v>59</v>
      </c>
    </row>
    <row r="3308" spans="1:5" x14ac:dyDescent="0.25">
      <c r="A3308" t="s">
        <v>43</v>
      </c>
      <c r="B3308">
        <v>2023</v>
      </c>
      <c r="C3308" t="s">
        <v>58</v>
      </c>
      <c r="D3308">
        <v>3.9454721046525898</v>
      </c>
      <c r="E3308" t="s">
        <v>59</v>
      </c>
    </row>
    <row r="3309" spans="1:5" x14ac:dyDescent="0.25">
      <c r="A3309" t="s">
        <v>43</v>
      </c>
      <c r="B3309">
        <v>2024</v>
      </c>
      <c r="C3309" t="s">
        <v>58</v>
      </c>
      <c r="D3309">
        <v>3.1212615033095599</v>
      </c>
      <c r="E3309" t="s">
        <v>59</v>
      </c>
    </row>
    <row r="3310" spans="1:5" x14ac:dyDescent="0.25">
      <c r="A3310" t="s">
        <v>43</v>
      </c>
      <c r="B3310">
        <v>2025</v>
      </c>
      <c r="C3310" t="s">
        <v>58</v>
      </c>
      <c r="D3310">
        <v>2.9339447584229199</v>
      </c>
      <c r="E3310" t="s">
        <v>59</v>
      </c>
    </row>
    <row r="3311" spans="1:5" x14ac:dyDescent="0.25">
      <c r="A3311" t="s">
        <v>44</v>
      </c>
      <c r="B3311">
        <v>2010</v>
      </c>
      <c r="C3311" t="s">
        <v>58</v>
      </c>
      <c r="D3311">
        <v>3.6890359839166802</v>
      </c>
      <c r="E3311" t="s">
        <v>59</v>
      </c>
    </row>
    <row r="3312" spans="1:5" x14ac:dyDescent="0.25">
      <c r="A3312" t="s">
        <v>44</v>
      </c>
      <c r="B3312">
        <v>2011</v>
      </c>
      <c r="C3312" t="s">
        <v>58</v>
      </c>
      <c r="D3312">
        <v>5.2209576423805997</v>
      </c>
      <c r="E3312" t="s">
        <v>59</v>
      </c>
    </row>
    <row r="3313" spans="1:5" x14ac:dyDescent="0.25">
      <c r="A3313" t="s">
        <v>44</v>
      </c>
      <c r="B3313">
        <v>2012</v>
      </c>
      <c r="C3313" t="s">
        <v>58</v>
      </c>
      <c r="D3313">
        <v>5.3654098742728404</v>
      </c>
      <c r="E3313" t="s">
        <v>59</v>
      </c>
    </row>
    <row r="3314" spans="1:5" x14ac:dyDescent="0.25">
      <c r="A3314" t="s">
        <v>44</v>
      </c>
      <c r="B3314">
        <v>2013</v>
      </c>
      <c r="C3314" t="s">
        <v>58</v>
      </c>
      <c r="D3314">
        <v>4.3665804660740797</v>
      </c>
      <c r="E3314" t="s">
        <v>59</v>
      </c>
    </row>
    <row r="3315" spans="1:5" x14ac:dyDescent="0.25">
      <c r="A3315" t="s">
        <v>44</v>
      </c>
      <c r="B3315">
        <v>2014</v>
      </c>
      <c r="C3315" t="s">
        <v>58</v>
      </c>
      <c r="D3315">
        <v>3.6787195203449299</v>
      </c>
      <c r="E3315" t="s">
        <v>59</v>
      </c>
    </row>
    <row r="3316" spans="1:5" x14ac:dyDescent="0.25">
      <c r="A3316" t="s">
        <v>44</v>
      </c>
      <c r="B3316">
        <v>2015</v>
      </c>
      <c r="C3316" t="s">
        <v>58</v>
      </c>
      <c r="D3316">
        <v>3.9948694951343802</v>
      </c>
      <c r="E3316" t="s">
        <v>59</v>
      </c>
    </row>
    <row r="3317" spans="1:5" x14ac:dyDescent="0.25">
      <c r="A3317" t="s">
        <v>44</v>
      </c>
      <c r="B3317">
        <v>2016</v>
      </c>
      <c r="C3317" t="s">
        <v>58</v>
      </c>
      <c r="D3317">
        <v>4.4988539157695797</v>
      </c>
      <c r="E3317" t="s">
        <v>59</v>
      </c>
    </row>
    <row r="3318" spans="1:5" x14ac:dyDescent="0.25">
      <c r="A3318" t="s">
        <v>44</v>
      </c>
      <c r="B3318">
        <v>2017</v>
      </c>
      <c r="C3318" t="s">
        <v>58</v>
      </c>
      <c r="D3318">
        <v>4.9398167140887104</v>
      </c>
      <c r="E3318" t="s">
        <v>59</v>
      </c>
    </row>
    <row r="3319" spans="1:5" x14ac:dyDescent="0.25">
      <c r="A3319" t="s">
        <v>44</v>
      </c>
      <c r="B3319">
        <v>2018</v>
      </c>
      <c r="C3319" t="s">
        <v>58</v>
      </c>
      <c r="D3319">
        <v>4.5908160522024204</v>
      </c>
      <c r="E3319" t="s">
        <v>59</v>
      </c>
    </row>
    <row r="3320" spans="1:5" x14ac:dyDescent="0.25">
      <c r="A3320" t="s">
        <v>44</v>
      </c>
      <c r="B3320">
        <v>2019</v>
      </c>
      <c r="C3320" t="s">
        <v>58</v>
      </c>
      <c r="D3320">
        <v>4.5669076594050404</v>
      </c>
      <c r="E3320" t="s">
        <v>59</v>
      </c>
    </row>
    <row r="3321" spans="1:5" x14ac:dyDescent="0.25">
      <c r="A3321" t="s">
        <v>44</v>
      </c>
      <c r="B3321">
        <v>2020</v>
      </c>
      <c r="C3321" t="s">
        <v>58</v>
      </c>
      <c r="D3321">
        <v>5.1409148523525499</v>
      </c>
      <c r="E3321" t="s">
        <v>59</v>
      </c>
    </row>
    <row r="3322" spans="1:5" x14ac:dyDescent="0.25">
      <c r="A3322" t="s">
        <v>44</v>
      </c>
      <c r="B3322">
        <v>2021</v>
      </c>
      <c r="C3322" t="s">
        <v>58</v>
      </c>
      <c r="D3322">
        <v>4.9610799493372797</v>
      </c>
      <c r="E3322" t="s">
        <v>59</v>
      </c>
    </row>
    <row r="3323" spans="1:5" x14ac:dyDescent="0.25">
      <c r="A3323" t="s">
        <v>44</v>
      </c>
      <c r="B3323">
        <v>2022</v>
      </c>
      <c r="C3323" t="s">
        <v>58</v>
      </c>
      <c r="D3323">
        <v>6.77616836731079</v>
      </c>
      <c r="E3323" t="s">
        <v>59</v>
      </c>
    </row>
    <row r="3324" spans="1:5" x14ac:dyDescent="0.25">
      <c r="A3324" t="s">
        <v>44</v>
      </c>
      <c r="B3324">
        <v>2023</v>
      </c>
      <c r="C3324" t="s">
        <v>58</v>
      </c>
      <c r="D3324">
        <v>6.8484276916458597</v>
      </c>
      <c r="E3324" t="s">
        <v>59</v>
      </c>
    </row>
    <row r="3325" spans="1:5" x14ac:dyDescent="0.25">
      <c r="A3325" t="s">
        <v>44</v>
      </c>
      <c r="B3325">
        <v>2024</v>
      </c>
      <c r="C3325" t="s">
        <v>58</v>
      </c>
      <c r="D3325">
        <v>6.3187395452697599</v>
      </c>
      <c r="E3325" t="s">
        <v>59</v>
      </c>
    </row>
    <row r="3326" spans="1:5" x14ac:dyDescent="0.25">
      <c r="A3326" t="s">
        <v>44</v>
      </c>
      <c r="B3326">
        <v>2025</v>
      </c>
      <c r="C3326" t="s">
        <v>58</v>
      </c>
      <c r="D3326">
        <v>6.1288817373654103</v>
      </c>
      <c r="E3326" t="s">
        <v>59</v>
      </c>
    </row>
    <row r="3327" spans="1:5" x14ac:dyDescent="0.25">
      <c r="A3327" t="s">
        <v>45</v>
      </c>
      <c r="B3327">
        <v>2015</v>
      </c>
      <c r="C3327" t="s">
        <v>58</v>
      </c>
      <c r="D3327">
        <v>2.0762079003951399</v>
      </c>
      <c r="E3327" t="s">
        <v>59</v>
      </c>
    </row>
    <row r="3328" spans="1:5" x14ac:dyDescent="0.25">
      <c r="A3328" t="s">
        <v>45</v>
      </c>
      <c r="B3328">
        <v>2016</v>
      </c>
      <c r="C3328" t="s">
        <v>58</v>
      </c>
      <c r="D3328">
        <v>2.4416330318192201</v>
      </c>
      <c r="E3328" t="s">
        <v>59</v>
      </c>
    </row>
    <row r="3329" spans="1:5" x14ac:dyDescent="0.25">
      <c r="A3329" t="s">
        <v>45</v>
      </c>
      <c r="B3329">
        <v>2017</v>
      </c>
      <c r="C3329" t="s">
        <v>58</v>
      </c>
      <c r="D3329">
        <v>3.1097887912220701</v>
      </c>
      <c r="E3329" t="s">
        <v>59</v>
      </c>
    </row>
    <row r="3330" spans="1:5" x14ac:dyDescent="0.25">
      <c r="A3330" t="s">
        <v>45</v>
      </c>
      <c r="B3330">
        <v>2018</v>
      </c>
      <c r="C3330" t="s">
        <v>58</v>
      </c>
      <c r="D3330">
        <v>2.7180808524625801</v>
      </c>
      <c r="E3330" t="s">
        <v>59</v>
      </c>
    </row>
    <row r="3331" spans="1:5" x14ac:dyDescent="0.25">
      <c r="A3331" t="s">
        <v>45</v>
      </c>
      <c r="B3331">
        <v>2019</v>
      </c>
      <c r="C3331" t="s">
        <v>58</v>
      </c>
      <c r="D3331">
        <v>2.2460569344107699</v>
      </c>
      <c r="E3331" t="s">
        <v>59</v>
      </c>
    </row>
    <row r="3332" spans="1:5" x14ac:dyDescent="0.25">
      <c r="A3332" t="s">
        <v>45</v>
      </c>
      <c r="B3332">
        <v>2020</v>
      </c>
      <c r="C3332" t="s">
        <v>58</v>
      </c>
      <c r="D3332">
        <v>2.3007587653899502</v>
      </c>
      <c r="E3332" t="s">
        <v>59</v>
      </c>
    </row>
    <row r="3333" spans="1:5" x14ac:dyDescent="0.25">
      <c r="A3333" t="s">
        <v>45</v>
      </c>
      <c r="B3333">
        <v>2021</v>
      </c>
      <c r="C3333" t="s">
        <v>58</v>
      </c>
      <c r="D3333">
        <v>3.0943467957557398</v>
      </c>
      <c r="E3333" t="s">
        <v>59</v>
      </c>
    </row>
    <row r="3334" spans="1:5" x14ac:dyDescent="0.25">
      <c r="A3334" t="s">
        <v>45</v>
      </c>
      <c r="B3334">
        <v>2022</v>
      </c>
      <c r="C3334" t="s">
        <v>58</v>
      </c>
      <c r="D3334">
        <v>3.3052694887870899</v>
      </c>
      <c r="E3334" t="s">
        <v>59</v>
      </c>
    </row>
    <row r="3335" spans="1:5" x14ac:dyDescent="0.25">
      <c r="A3335" t="s">
        <v>45</v>
      </c>
      <c r="B3335">
        <v>2023</v>
      </c>
      <c r="C3335" t="s">
        <v>58</v>
      </c>
      <c r="D3335">
        <v>2.9394947167194601</v>
      </c>
      <c r="E3335" t="s">
        <v>59</v>
      </c>
    </row>
    <row r="3336" spans="1:5" x14ac:dyDescent="0.25">
      <c r="A3336" t="s">
        <v>45</v>
      </c>
      <c r="B3336">
        <v>2024</v>
      </c>
      <c r="C3336" t="s">
        <v>58</v>
      </c>
      <c r="D3336">
        <v>2.4099148462546198</v>
      </c>
      <c r="E3336" t="s">
        <v>59</v>
      </c>
    </row>
    <row r="3337" spans="1:5" x14ac:dyDescent="0.25">
      <c r="A3337" t="s">
        <v>63</v>
      </c>
      <c r="B3337">
        <v>2018</v>
      </c>
      <c r="C3337" t="s">
        <v>58</v>
      </c>
      <c r="D3337">
        <v>2.82124356026429</v>
      </c>
      <c r="E3337" t="s">
        <v>59</v>
      </c>
    </row>
    <row r="3338" spans="1:5" x14ac:dyDescent="0.25">
      <c r="A3338" t="s">
        <v>46</v>
      </c>
      <c r="B3338">
        <v>2010</v>
      </c>
      <c r="C3338" t="s">
        <v>58</v>
      </c>
      <c r="D3338">
        <v>1.3541382193881399</v>
      </c>
      <c r="E3338" t="s">
        <v>59</v>
      </c>
    </row>
    <row r="3339" spans="1:5" x14ac:dyDescent="0.25">
      <c r="A3339" t="s">
        <v>46</v>
      </c>
      <c r="B3339">
        <v>2011</v>
      </c>
      <c r="C3339" t="s">
        <v>58</v>
      </c>
      <c r="D3339">
        <v>1.3890580265992301</v>
      </c>
      <c r="E3339" t="s">
        <v>59</v>
      </c>
    </row>
    <row r="3340" spans="1:5" x14ac:dyDescent="0.25">
      <c r="A3340" t="s">
        <v>46</v>
      </c>
      <c r="B3340">
        <v>2012</v>
      </c>
      <c r="C3340" t="s">
        <v>58</v>
      </c>
      <c r="D3340">
        <v>1.4589162368705999</v>
      </c>
      <c r="E3340" t="s">
        <v>59</v>
      </c>
    </row>
    <row r="3341" spans="1:5" x14ac:dyDescent="0.25">
      <c r="A3341" t="s">
        <v>46</v>
      </c>
      <c r="B3341">
        <v>2013</v>
      </c>
      <c r="C3341" t="s">
        <v>58</v>
      </c>
      <c r="D3341">
        <v>0.97491818308143996</v>
      </c>
      <c r="E3341" t="s">
        <v>59</v>
      </c>
    </row>
    <row r="3342" spans="1:5" x14ac:dyDescent="0.25">
      <c r="A3342" t="s">
        <v>46</v>
      </c>
      <c r="B3342">
        <v>2014</v>
      </c>
      <c r="C3342" t="s">
        <v>58</v>
      </c>
      <c r="D3342">
        <v>1.19578853614285</v>
      </c>
      <c r="E3342" t="s">
        <v>59</v>
      </c>
    </row>
    <row r="3343" spans="1:5" x14ac:dyDescent="0.25">
      <c r="A3343" t="s">
        <v>46</v>
      </c>
      <c r="B3343">
        <v>2015</v>
      </c>
      <c r="C3343" t="s">
        <v>58</v>
      </c>
      <c r="D3343">
        <v>1.14429804451355</v>
      </c>
      <c r="E3343" t="s">
        <v>59</v>
      </c>
    </row>
    <row r="3344" spans="1:5" x14ac:dyDescent="0.25">
      <c r="A3344" t="s">
        <v>46</v>
      </c>
      <c r="B3344">
        <v>2016</v>
      </c>
      <c r="C3344" t="s">
        <v>58</v>
      </c>
      <c r="D3344">
        <v>1.3026505062328499</v>
      </c>
      <c r="E3344" t="s">
        <v>59</v>
      </c>
    </row>
    <row r="3345" spans="1:5" x14ac:dyDescent="0.25">
      <c r="A3345" t="s">
        <v>46</v>
      </c>
      <c r="B3345">
        <v>2017</v>
      </c>
      <c r="C3345" t="s">
        <v>58</v>
      </c>
      <c r="D3345">
        <v>1.5150167397248999</v>
      </c>
      <c r="E3345" t="s">
        <v>59</v>
      </c>
    </row>
    <row r="3346" spans="1:5" x14ac:dyDescent="0.25">
      <c r="A3346" t="s">
        <v>46</v>
      </c>
      <c r="B3346">
        <v>2018</v>
      </c>
      <c r="C3346" t="s">
        <v>58</v>
      </c>
      <c r="D3346">
        <v>1.4899414532142501</v>
      </c>
      <c r="E3346" t="s">
        <v>59</v>
      </c>
    </row>
    <row r="3347" spans="1:5" x14ac:dyDescent="0.25">
      <c r="A3347" t="s">
        <v>46</v>
      </c>
      <c r="B3347">
        <v>2019</v>
      </c>
      <c r="C3347" t="s">
        <v>58</v>
      </c>
      <c r="D3347">
        <v>1.21961106819145</v>
      </c>
      <c r="E3347" t="s">
        <v>59</v>
      </c>
    </row>
    <row r="3348" spans="1:5" x14ac:dyDescent="0.25">
      <c r="A3348" t="s">
        <v>46</v>
      </c>
      <c r="B3348">
        <v>2020</v>
      </c>
      <c r="C3348" t="s">
        <v>58</v>
      </c>
      <c r="D3348">
        <v>1.10820093682681</v>
      </c>
      <c r="E3348" t="s">
        <v>59</v>
      </c>
    </row>
    <row r="3349" spans="1:5" x14ac:dyDescent="0.25">
      <c r="A3349" t="s">
        <v>46</v>
      </c>
      <c r="B3349">
        <v>2022</v>
      </c>
      <c r="C3349" t="s">
        <v>58</v>
      </c>
      <c r="D3349">
        <v>1.4021170288854701</v>
      </c>
      <c r="E3349" t="s">
        <v>59</v>
      </c>
    </row>
    <row r="3350" spans="1:5" x14ac:dyDescent="0.25">
      <c r="A3350" t="s">
        <v>47</v>
      </c>
      <c r="B3350">
        <v>2009</v>
      </c>
      <c r="C3350" t="s">
        <v>58</v>
      </c>
      <c r="D3350">
        <v>9.2476797819441803</v>
      </c>
      <c r="E3350" t="s">
        <v>59</v>
      </c>
    </row>
    <row r="3351" spans="1:5" x14ac:dyDescent="0.25">
      <c r="A3351" t="s">
        <v>47</v>
      </c>
      <c r="B3351">
        <v>2010</v>
      </c>
      <c r="C3351" t="s">
        <v>58</v>
      </c>
      <c r="D3351">
        <v>2.7233116099036199</v>
      </c>
      <c r="E3351" t="s">
        <v>59</v>
      </c>
    </row>
    <row r="3352" spans="1:5" x14ac:dyDescent="0.25">
      <c r="A3352" t="s">
        <v>47</v>
      </c>
      <c r="B3352">
        <v>2011</v>
      </c>
      <c r="C3352" t="s">
        <v>58</v>
      </c>
      <c r="D3352">
        <v>2.9516716841315001</v>
      </c>
      <c r="E3352" t="s">
        <v>59</v>
      </c>
    </row>
    <row r="3353" spans="1:5" x14ac:dyDescent="0.25">
      <c r="A3353" t="s">
        <v>47</v>
      </c>
      <c r="B3353">
        <v>2013</v>
      </c>
      <c r="C3353" t="s">
        <v>58</v>
      </c>
      <c r="D3353">
        <v>6.9883135310220004</v>
      </c>
      <c r="E3353" t="s">
        <v>59</v>
      </c>
    </row>
    <row r="3354" spans="1:5" x14ac:dyDescent="0.25">
      <c r="A3354" t="s">
        <v>47</v>
      </c>
      <c r="B3354">
        <v>2016</v>
      </c>
      <c r="C3354" t="s">
        <v>58</v>
      </c>
      <c r="D3354">
        <v>1.25106395137738</v>
      </c>
      <c r="E3354" t="s">
        <v>59</v>
      </c>
    </row>
    <row r="3355" spans="1:5" x14ac:dyDescent="0.25">
      <c r="A3355" t="s">
        <v>47</v>
      </c>
      <c r="B3355">
        <v>2017</v>
      </c>
      <c r="C3355" t="s">
        <v>58</v>
      </c>
      <c r="D3355">
        <v>1.4376170172957199</v>
      </c>
      <c r="E3355" t="s">
        <v>59</v>
      </c>
    </row>
    <row r="3356" spans="1:5" x14ac:dyDescent="0.25">
      <c r="A3356" t="s">
        <v>47</v>
      </c>
      <c r="B3356">
        <v>2018</v>
      </c>
      <c r="C3356" t="s">
        <v>58</v>
      </c>
      <c r="D3356">
        <v>1.68041779874576</v>
      </c>
      <c r="E3356" t="s">
        <v>59</v>
      </c>
    </row>
    <row r="3357" spans="1:5" x14ac:dyDescent="0.25">
      <c r="A3357" t="s">
        <v>47</v>
      </c>
      <c r="B3357">
        <v>2019</v>
      </c>
      <c r="C3357" t="s">
        <v>58</v>
      </c>
      <c r="D3357">
        <v>1.8003191315212701</v>
      </c>
      <c r="E3357" t="s">
        <v>59</v>
      </c>
    </row>
    <row r="3358" spans="1:5" x14ac:dyDescent="0.25">
      <c r="A3358" t="s">
        <v>47</v>
      </c>
      <c r="B3358">
        <v>2020</v>
      </c>
      <c r="C3358" t="s">
        <v>58</v>
      </c>
      <c r="D3358">
        <v>1.1348510115300701</v>
      </c>
      <c r="E3358" t="s">
        <v>59</v>
      </c>
    </row>
    <row r="3359" spans="1:5" x14ac:dyDescent="0.25">
      <c r="A3359" t="s">
        <v>47</v>
      </c>
      <c r="B3359">
        <v>2021</v>
      </c>
      <c r="C3359" t="s">
        <v>58</v>
      </c>
      <c r="D3359">
        <v>0.91018443197992804</v>
      </c>
      <c r="E3359" t="s">
        <v>59</v>
      </c>
    </row>
    <row r="3360" spans="1:5" x14ac:dyDescent="0.25">
      <c r="A3360" t="s">
        <v>47</v>
      </c>
      <c r="B3360">
        <v>2022</v>
      </c>
      <c r="C3360" t="s">
        <v>58</v>
      </c>
      <c r="D3360">
        <v>1.80126345944958</v>
      </c>
      <c r="E3360" t="s">
        <v>59</v>
      </c>
    </row>
    <row r="3361" spans="1:5" x14ac:dyDescent="0.25">
      <c r="A3361" t="s">
        <v>62</v>
      </c>
      <c r="B3361">
        <v>2011</v>
      </c>
      <c r="C3361" t="s">
        <v>58</v>
      </c>
      <c r="D3361">
        <v>3.2577317512705002</v>
      </c>
      <c r="E3361" t="s">
        <v>59</v>
      </c>
    </row>
    <row r="3362" spans="1:5" x14ac:dyDescent="0.25">
      <c r="A3362" t="s">
        <v>62</v>
      </c>
      <c r="B3362">
        <v>2012</v>
      </c>
      <c r="C3362" t="s">
        <v>58</v>
      </c>
      <c r="D3362">
        <v>5.8430393353646597</v>
      </c>
      <c r="E3362" t="s">
        <v>59</v>
      </c>
    </row>
    <row r="3363" spans="1:5" x14ac:dyDescent="0.25">
      <c r="A3363" t="s">
        <v>62</v>
      </c>
      <c r="B3363">
        <v>2013</v>
      </c>
      <c r="C3363" t="s">
        <v>58</v>
      </c>
      <c r="D3363">
        <v>3.7817555831725</v>
      </c>
      <c r="E3363" t="s">
        <v>59</v>
      </c>
    </row>
    <row r="3364" spans="1:5" x14ac:dyDescent="0.25">
      <c r="A3364" t="s">
        <v>62</v>
      </c>
      <c r="B3364">
        <v>2014</v>
      </c>
      <c r="C3364" t="s">
        <v>58</v>
      </c>
      <c r="D3364">
        <v>4.1597574092840404</v>
      </c>
      <c r="E3364" t="s">
        <v>59</v>
      </c>
    </row>
    <row r="3365" spans="1:5" x14ac:dyDescent="0.25">
      <c r="A3365" t="s">
        <v>62</v>
      </c>
      <c r="B3365">
        <v>2015</v>
      </c>
      <c r="C3365" t="s">
        <v>58</v>
      </c>
      <c r="D3365">
        <v>3.9197580221136201</v>
      </c>
      <c r="E3365" t="s">
        <v>59</v>
      </c>
    </row>
    <row r="3366" spans="1:5" x14ac:dyDescent="0.25">
      <c r="A3366" t="s">
        <v>62</v>
      </c>
      <c r="B3366">
        <v>2016</v>
      </c>
      <c r="C3366" t="s">
        <v>58</v>
      </c>
      <c r="D3366">
        <v>3.8279283408023801</v>
      </c>
      <c r="E3366" t="s">
        <v>59</v>
      </c>
    </row>
    <row r="3367" spans="1:5" x14ac:dyDescent="0.25">
      <c r="A3367" t="s">
        <v>62</v>
      </c>
      <c r="B3367">
        <v>2019</v>
      </c>
      <c r="C3367" t="s">
        <v>58</v>
      </c>
      <c r="D3367">
        <v>2.7509600110774399</v>
      </c>
      <c r="E3367" t="s">
        <v>59</v>
      </c>
    </row>
    <row r="3368" spans="1:5" x14ac:dyDescent="0.25">
      <c r="A3368" t="s">
        <v>62</v>
      </c>
      <c r="B3368">
        <v>2020</v>
      </c>
      <c r="C3368" t="s">
        <v>58</v>
      </c>
      <c r="D3368">
        <v>2.4604796563263598</v>
      </c>
      <c r="E3368" t="s">
        <v>59</v>
      </c>
    </row>
    <row r="3369" spans="1:5" x14ac:dyDescent="0.25">
      <c r="A3369" t="s">
        <v>62</v>
      </c>
      <c r="B3369">
        <v>2023</v>
      </c>
      <c r="C3369" t="s">
        <v>58</v>
      </c>
      <c r="D3369">
        <v>2.5611559670633</v>
      </c>
      <c r="E3369" t="s">
        <v>59</v>
      </c>
    </row>
    <row r="3370" spans="1:5" x14ac:dyDescent="0.25">
      <c r="A3370" t="s">
        <v>62</v>
      </c>
      <c r="B3370">
        <v>2024</v>
      </c>
      <c r="C3370" t="s">
        <v>58</v>
      </c>
      <c r="D3370">
        <v>2.79363223554425</v>
      </c>
      <c r="E3370" t="s">
        <v>59</v>
      </c>
    </row>
    <row r="3371" spans="1:5" x14ac:dyDescent="0.25">
      <c r="A3371" t="s">
        <v>62</v>
      </c>
      <c r="B3371">
        <v>2025</v>
      </c>
      <c r="C3371" t="s">
        <v>58</v>
      </c>
      <c r="D3371">
        <v>2.6767735849462202</v>
      </c>
      <c r="E3371" t="s">
        <v>59</v>
      </c>
    </row>
    <row r="3372" spans="1:5" x14ac:dyDescent="0.25">
      <c r="A3372" t="s">
        <v>48</v>
      </c>
      <c r="B3372">
        <v>2010</v>
      </c>
      <c r="C3372" t="s">
        <v>58</v>
      </c>
      <c r="D3372">
        <v>3.0369450059309</v>
      </c>
      <c r="E3372" t="s">
        <v>59</v>
      </c>
    </row>
    <row r="3373" spans="1:5" x14ac:dyDescent="0.25">
      <c r="A3373" t="s">
        <v>48</v>
      </c>
      <c r="B3373">
        <v>2011</v>
      </c>
      <c r="C3373" t="s">
        <v>58</v>
      </c>
      <c r="D3373">
        <v>4.7970661879576904</v>
      </c>
      <c r="E3373" t="s">
        <v>59</v>
      </c>
    </row>
    <row r="3374" spans="1:5" x14ac:dyDescent="0.25">
      <c r="A3374" t="s">
        <v>48</v>
      </c>
      <c r="B3374">
        <v>2012</v>
      </c>
      <c r="C3374" t="s">
        <v>58</v>
      </c>
      <c r="D3374">
        <v>3.4614257259385699</v>
      </c>
      <c r="E3374" t="s">
        <v>59</v>
      </c>
    </row>
    <row r="3375" spans="1:5" x14ac:dyDescent="0.25">
      <c r="A3375" t="s">
        <v>48</v>
      </c>
      <c r="B3375">
        <v>2013</v>
      </c>
      <c r="C3375" t="s">
        <v>58</v>
      </c>
      <c r="D3375">
        <v>3.5133894035356801</v>
      </c>
      <c r="E3375" t="s">
        <v>59</v>
      </c>
    </row>
    <row r="3376" spans="1:5" x14ac:dyDescent="0.25">
      <c r="A3376" t="s">
        <v>48</v>
      </c>
      <c r="B3376">
        <v>2014</v>
      </c>
      <c r="C3376" t="s">
        <v>58</v>
      </c>
      <c r="D3376">
        <v>3.15176818147732</v>
      </c>
      <c r="E3376" t="s">
        <v>59</v>
      </c>
    </row>
    <row r="3377" spans="1:5" x14ac:dyDescent="0.25">
      <c r="A3377" t="s">
        <v>48</v>
      </c>
      <c r="B3377">
        <v>2015</v>
      </c>
      <c r="C3377" t="s">
        <v>58</v>
      </c>
      <c r="D3377">
        <v>3.3572309725446399</v>
      </c>
      <c r="E3377" t="s">
        <v>59</v>
      </c>
    </row>
    <row r="3378" spans="1:5" x14ac:dyDescent="0.25">
      <c r="A3378" t="s">
        <v>48</v>
      </c>
      <c r="B3378">
        <v>2016</v>
      </c>
      <c r="C3378" t="s">
        <v>58</v>
      </c>
      <c r="D3378">
        <v>3.4763279652390602</v>
      </c>
      <c r="E3378" t="s">
        <v>59</v>
      </c>
    </row>
    <row r="3379" spans="1:5" x14ac:dyDescent="0.25">
      <c r="A3379" t="s">
        <v>48</v>
      </c>
      <c r="B3379">
        <v>2017</v>
      </c>
      <c r="C3379" t="s">
        <v>58</v>
      </c>
      <c r="D3379">
        <v>3.83356575026369</v>
      </c>
      <c r="E3379" t="s">
        <v>59</v>
      </c>
    </row>
    <row r="3380" spans="1:5" x14ac:dyDescent="0.25">
      <c r="A3380" t="s">
        <v>48</v>
      </c>
      <c r="B3380">
        <v>2018</v>
      </c>
      <c r="C3380" t="s">
        <v>58</v>
      </c>
      <c r="D3380">
        <v>4.8648979860415702</v>
      </c>
      <c r="E3380" t="s">
        <v>59</v>
      </c>
    </row>
    <row r="3381" spans="1:5" x14ac:dyDescent="0.25">
      <c r="A3381" t="s">
        <v>48</v>
      </c>
      <c r="B3381">
        <v>2019</v>
      </c>
      <c r="C3381" t="s">
        <v>58</v>
      </c>
      <c r="D3381">
        <v>4.8814913687424397</v>
      </c>
      <c r="E3381" t="s">
        <v>59</v>
      </c>
    </row>
    <row r="3382" spans="1:5" x14ac:dyDescent="0.25">
      <c r="A3382" t="s">
        <v>48</v>
      </c>
      <c r="B3382">
        <v>2020</v>
      </c>
      <c r="C3382" t="s">
        <v>58</v>
      </c>
      <c r="D3382">
        <v>4.38906753906116</v>
      </c>
      <c r="E3382" t="s">
        <v>59</v>
      </c>
    </row>
    <row r="3383" spans="1:5" x14ac:dyDescent="0.25">
      <c r="A3383" t="s">
        <v>48</v>
      </c>
      <c r="B3383">
        <v>2021</v>
      </c>
      <c r="C3383" t="s">
        <v>58</v>
      </c>
      <c r="D3383">
        <v>4.9199944636535102</v>
      </c>
      <c r="E3383" t="s">
        <v>59</v>
      </c>
    </row>
    <row r="3384" spans="1:5" x14ac:dyDescent="0.25">
      <c r="A3384" t="s">
        <v>48</v>
      </c>
      <c r="B3384">
        <v>2022</v>
      </c>
      <c r="C3384" t="s">
        <v>58</v>
      </c>
      <c r="D3384">
        <v>5.60402126390579</v>
      </c>
      <c r="E3384" t="s">
        <v>59</v>
      </c>
    </row>
    <row r="3385" spans="1:5" x14ac:dyDescent="0.25">
      <c r="A3385" t="s">
        <v>48</v>
      </c>
      <c r="B3385">
        <v>2023</v>
      </c>
      <c r="C3385" t="s">
        <v>58</v>
      </c>
      <c r="D3385">
        <v>6.4390918448133698</v>
      </c>
      <c r="E3385" t="s">
        <v>59</v>
      </c>
    </row>
    <row r="3386" spans="1:5" x14ac:dyDescent="0.25">
      <c r="A3386" t="s">
        <v>48</v>
      </c>
      <c r="B3386">
        <v>2024</v>
      </c>
      <c r="C3386" t="s">
        <v>58</v>
      </c>
      <c r="D3386">
        <v>5.0482675307460996</v>
      </c>
      <c r="E3386" t="s">
        <v>59</v>
      </c>
    </row>
    <row r="3387" spans="1:5" x14ac:dyDescent="0.25">
      <c r="A3387" t="s">
        <v>48</v>
      </c>
      <c r="B3387">
        <v>2025</v>
      </c>
      <c r="C3387" t="s">
        <v>58</v>
      </c>
      <c r="D3387">
        <v>4.9361030861802604</v>
      </c>
      <c r="E3387" t="s">
        <v>59</v>
      </c>
    </row>
    <row r="3388" spans="1:5" x14ac:dyDescent="0.25">
      <c r="A3388" t="s">
        <v>49</v>
      </c>
      <c r="B3388">
        <v>2002</v>
      </c>
      <c r="C3388" t="s">
        <v>58</v>
      </c>
      <c r="D3388">
        <v>1.7241047495967701</v>
      </c>
      <c r="E3388" t="s">
        <v>59</v>
      </c>
    </row>
    <row r="3389" spans="1:5" x14ac:dyDescent="0.25">
      <c r="A3389" t="s">
        <v>49</v>
      </c>
      <c r="B3389">
        <v>2003</v>
      </c>
      <c r="C3389" t="s">
        <v>58</v>
      </c>
      <c r="D3389">
        <v>1.38682411923959</v>
      </c>
      <c r="E3389" t="s">
        <v>59</v>
      </c>
    </row>
    <row r="3390" spans="1:5" x14ac:dyDescent="0.25">
      <c r="A3390" t="s">
        <v>49</v>
      </c>
      <c r="B3390">
        <v>2004</v>
      </c>
      <c r="C3390" t="s">
        <v>58</v>
      </c>
      <c r="D3390">
        <v>1.78686395612326</v>
      </c>
      <c r="E3390" t="s">
        <v>59</v>
      </c>
    </row>
    <row r="3391" spans="1:5" x14ac:dyDescent="0.25">
      <c r="A3391" t="s">
        <v>49</v>
      </c>
      <c r="B3391">
        <v>2005</v>
      </c>
      <c r="C3391" t="s">
        <v>58</v>
      </c>
      <c r="D3391">
        <v>1.4410959010672599</v>
      </c>
      <c r="E3391" t="s">
        <v>59</v>
      </c>
    </row>
    <row r="3392" spans="1:5" x14ac:dyDescent="0.25">
      <c r="A3392" t="s">
        <v>49</v>
      </c>
      <c r="B3392">
        <v>2006</v>
      </c>
      <c r="C3392" t="s">
        <v>58</v>
      </c>
      <c r="D3392">
        <v>1.5868507911910401</v>
      </c>
      <c r="E3392" t="s">
        <v>59</v>
      </c>
    </row>
    <row r="3393" spans="1:5" x14ac:dyDescent="0.25">
      <c r="A3393" t="s">
        <v>49</v>
      </c>
      <c r="B3393">
        <v>2007</v>
      </c>
      <c r="C3393" t="s">
        <v>58</v>
      </c>
      <c r="D3393">
        <v>2.1809622028881601</v>
      </c>
      <c r="E3393" t="s">
        <v>59</v>
      </c>
    </row>
    <row r="3394" spans="1:5" x14ac:dyDescent="0.25">
      <c r="A3394" t="s">
        <v>49</v>
      </c>
      <c r="B3394">
        <v>2008</v>
      </c>
      <c r="C3394" t="s">
        <v>58</v>
      </c>
      <c r="D3394">
        <v>2.4824045228139999</v>
      </c>
      <c r="E3394" t="s">
        <v>59</v>
      </c>
    </row>
    <row r="3395" spans="1:5" x14ac:dyDescent="0.25">
      <c r="A3395" t="s">
        <v>49</v>
      </c>
      <c r="B3395">
        <v>2009</v>
      </c>
      <c r="C3395" t="s">
        <v>58</v>
      </c>
      <c r="D3395">
        <v>1.5535068716704501</v>
      </c>
      <c r="E3395" t="s">
        <v>59</v>
      </c>
    </row>
    <row r="3396" spans="1:5" x14ac:dyDescent="0.25">
      <c r="A3396" t="s">
        <v>49</v>
      </c>
      <c r="B3396">
        <v>2010</v>
      </c>
      <c r="C3396" t="s">
        <v>58</v>
      </c>
      <c r="D3396">
        <v>1.6325737138949099</v>
      </c>
      <c r="E3396" t="s">
        <v>59</v>
      </c>
    </row>
    <row r="3397" spans="1:5" x14ac:dyDescent="0.25">
      <c r="A3397" t="s">
        <v>49</v>
      </c>
      <c r="B3397">
        <v>2011</v>
      </c>
      <c r="C3397" t="s">
        <v>58</v>
      </c>
      <c r="D3397">
        <v>2.10934122336799</v>
      </c>
      <c r="E3397" t="s">
        <v>59</v>
      </c>
    </row>
    <row r="3398" spans="1:5" x14ac:dyDescent="0.25">
      <c r="A3398" t="s">
        <v>49</v>
      </c>
      <c r="B3398">
        <v>2012</v>
      </c>
      <c r="C3398" t="s">
        <v>58</v>
      </c>
      <c r="D3398">
        <v>2.6426060526891302</v>
      </c>
      <c r="E3398" t="s">
        <v>59</v>
      </c>
    </row>
    <row r="3399" spans="1:5" x14ac:dyDescent="0.25">
      <c r="A3399" t="s">
        <v>49</v>
      </c>
      <c r="B3399">
        <v>2013</v>
      </c>
      <c r="C3399" t="s">
        <v>58</v>
      </c>
      <c r="D3399">
        <v>2.79250702875501</v>
      </c>
      <c r="E3399" t="s">
        <v>59</v>
      </c>
    </row>
    <row r="3400" spans="1:5" x14ac:dyDescent="0.25">
      <c r="A3400" t="s">
        <v>49</v>
      </c>
      <c r="B3400">
        <v>2014</v>
      </c>
      <c r="C3400" t="s">
        <v>58</v>
      </c>
      <c r="D3400">
        <v>2.0805356057970399</v>
      </c>
      <c r="E3400" t="s">
        <v>59</v>
      </c>
    </row>
    <row r="3401" spans="1:5" x14ac:dyDescent="0.25">
      <c r="A3401" t="s">
        <v>49</v>
      </c>
      <c r="B3401">
        <v>2015</v>
      </c>
      <c r="C3401" t="s">
        <v>58</v>
      </c>
      <c r="D3401">
        <v>2.0033040302342302</v>
      </c>
      <c r="E3401" t="s">
        <v>59</v>
      </c>
    </row>
    <row r="3402" spans="1:5" x14ac:dyDescent="0.25">
      <c r="A3402" t="s">
        <v>49</v>
      </c>
      <c r="B3402">
        <v>2016</v>
      </c>
      <c r="C3402" t="s">
        <v>58</v>
      </c>
      <c r="D3402">
        <v>2.1542055101099198</v>
      </c>
      <c r="E3402" t="s">
        <v>59</v>
      </c>
    </row>
    <row r="3403" spans="1:5" x14ac:dyDescent="0.25">
      <c r="A3403" t="s">
        <v>49</v>
      </c>
      <c r="B3403">
        <v>2017</v>
      </c>
      <c r="C3403" t="s">
        <v>58</v>
      </c>
      <c r="D3403">
        <v>2.7179596070146701</v>
      </c>
      <c r="E3403" t="s">
        <v>59</v>
      </c>
    </row>
    <row r="3404" spans="1:5" x14ac:dyDescent="0.25">
      <c r="A3404" t="s">
        <v>49</v>
      </c>
      <c r="B3404">
        <v>2018</v>
      </c>
      <c r="C3404" t="s">
        <v>58</v>
      </c>
      <c r="D3404">
        <v>2.46161151630209</v>
      </c>
      <c r="E3404" t="s">
        <v>59</v>
      </c>
    </row>
    <row r="3405" spans="1:5" x14ac:dyDescent="0.25">
      <c r="A3405" t="s">
        <v>49</v>
      </c>
      <c r="B3405">
        <v>2019</v>
      </c>
      <c r="C3405" t="s">
        <v>58</v>
      </c>
      <c r="D3405">
        <v>2.2402974738889201</v>
      </c>
      <c r="E3405" t="s">
        <v>59</v>
      </c>
    </row>
    <row r="3406" spans="1:5" x14ac:dyDescent="0.25">
      <c r="A3406" t="s">
        <v>49</v>
      </c>
      <c r="B3406">
        <v>2020</v>
      </c>
      <c r="C3406" t="s">
        <v>58</v>
      </c>
      <c r="D3406">
        <v>2.3463007908246398</v>
      </c>
      <c r="E3406" t="s">
        <v>59</v>
      </c>
    </row>
    <row r="3407" spans="1:5" x14ac:dyDescent="0.25">
      <c r="A3407" t="s">
        <v>49</v>
      </c>
      <c r="B3407">
        <v>2021</v>
      </c>
      <c r="C3407" t="s">
        <v>58</v>
      </c>
      <c r="D3407">
        <v>2.7676481379903501</v>
      </c>
      <c r="E3407" t="s">
        <v>59</v>
      </c>
    </row>
    <row r="3408" spans="1:5" x14ac:dyDescent="0.25">
      <c r="A3408" t="s">
        <v>49</v>
      </c>
      <c r="B3408">
        <v>2022</v>
      </c>
      <c r="C3408" t="s">
        <v>58</v>
      </c>
      <c r="D3408">
        <v>3.1352436908996899</v>
      </c>
      <c r="E3408" t="s">
        <v>59</v>
      </c>
    </row>
    <row r="3409" spans="1:5" x14ac:dyDescent="0.25">
      <c r="A3409" t="s">
        <v>49</v>
      </c>
      <c r="B3409">
        <v>2023</v>
      </c>
      <c r="C3409" t="s">
        <v>58</v>
      </c>
      <c r="D3409">
        <v>2.9293714724059599</v>
      </c>
      <c r="E3409" t="s">
        <v>59</v>
      </c>
    </row>
    <row r="3410" spans="1:5" x14ac:dyDescent="0.25">
      <c r="A3410" t="s">
        <v>49</v>
      </c>
      <c r="B3410">
        <v>2024</v>
      </c>
      <c r="C3410" t="s">
        <v>58</v>
      </c>
      <c r="D3410">
        <v>2.8092076409665299</v>
      </c>
      <c r="E3410" t="s">
        <v>59</v>
      </c>
    </row>
    <row r="3411" spans="1:5" x14ac:dyDescent="0.25">
      <c r="A3411" t="s">
        <v>49</v>
      </c>
      <c r="B3411">
        <v>2025</v>
      </c>
      <c r="C3411" t="s">
        <v>58</v>
      </c>
      <c r="D3411">
        <v>2.8250369707820102</v>
      </c>
      <c r="E3411" t="s">
        <v>59</v>
      </c>
    </row>
    <row r="3412" spans="1:5" x14ac:dyDescent="0.25">
      <c r="A3412" t="s">
        <v>50</v>
      </c>
      <c r="B3412">
        <v>2010</v>
      </c>
      <c r="C3412" t="s">
        <v>58</v>
      </c>
      <c r="D3412">
        <v>1.90119824231441</v>
      </c>
      <c r="E3412" t="s">
        <v>59</v>
      </c>
    </row>
    <row r="3413" spans="1:5" x14ac:dyDescent="0.25">
      <c r="A3413" t="s">
        <v>50</v>
      </c>
      <c r="B3413">
        <v>2011</v>
      </c>
      <c r="C3413" t="s">
        <v>58</v>
      </c>
      <c r="D3413">
        <v>2.5171537802224599</v>
      </c>
      <c r="E3413" t="s">
        <v>59</v>
      </c>
    </row>
    <row r="3414" spans="1:5" x14ac:dyDescent="0.25">
      <c r="A3414" t="s">
        <v>50</v>
      </c>
      <c r="B3414">
        <v>2012</v>
      </c>
      <c r="C3414" t="s">
        <v>58</v>
      </c>
      <c r="D3414">
        <v>4.2950638532129704</v>
      </c>
      <c r="E3414" t="s">
        <v>59</v>
      </c>
    </row>
    <row r="3415" spans="1:5" x14ac:dyDescent="0.25">
      <c r="A3415" t="s">
        <v>50</v>
      </c>
      <c r="B3415">
        <v>2013</v>
      </c>
      <c r="C3415" t="s">
        <v>58</v>
      </c>
      <c r="D3415">
        <v>3.8257931178984701</v>
      </c>
      <c r="E3415" t="s">
        <v>59</v>
      </c>
    </row>
    <row r="3416" spans="1:5" x14ac:dyDescent="0.25">
      <c r="A3416" t="s">
        <v>50</v>
      </c>
      <c r="B3416">
        <v>2014</v>
      </c>
      <c r="C3416" t="s">
        <v>58</v>
      </c>
      <c r="D3416">
        <v>3.3720963899487901</v>
      </c>
      <c r="E3416" t="s">
        <v>59</v>
      </c>
    </row>
    <row r="3417" spans="1:5" x14ac:dyDescent="0.25">
      <c r="A3417" t="s">
        <v>50</v>
      </c>
      <c r="B3417">
        <v>2015</v>
      </c>
      <c r="C3417" t="s">
        <v>58</v>
      </c>
      <c r="D3417">
        <v>3.64130428135763</v>
      </c>
      <c r="E3417" t="s">
        <v>59</v>
      </c>
    </row>
    <row r="3418" spans="1:5" x14ac:dyDescent="0.25">
      <c r="A3418" t="s">
        <v>50</v>
      </c>
      <c r="B3418">
        <v>2016</v>
      </c>
      <c r="C3418" t="s">
        <v>58</v>
      </c>
      <c r="D3418">
        <v>3.0537645588420701</v>
      </c>
      <c r="E3418" t="s">
        <v>59</v>
      </c>
    </row>
    <row r="3419" spans="1:5" x14ac:dyDescent="0.25">
      <c r="A3419" t="s">
        <v>50</v>
      </c>
      <c r="B3419">
        <v>2017</v>
      </c>
      <c r="C3419" t="s">
        <v>58</v>
      </c>
      <c r="D3419">
        <v>2.9212522783018802</v>
      </c>
      <c r="E3419" t="s">
        <v>59</v>
      </c>
    </row>
    <row r="3420" spans="1:5" x14ac:dyDescent="0.25">
      <c r="A3420" t="s">
        <v>50</v>
      </c>
      <c r="B3420">
        <v>2018</v>
      </c>
      <c r="C3420" t="s">
        <v>58</v>
      </c>
      <c r="D3420">
        <v>3.1137348127916802</v>
      </c>
      <c r="E3420" t="s">
        <v>59</v>
      </c>
    </row>
    <row r="3421" spans="1:5" x14ac:dyDescent="0.25">
      <c r="A3421" t="s">
        <v>50</v>
      </c>
      <c r="B3421">
        <v>2019</v>
      </c>
      <c r="C3421" t="s">
        <v>58</v>
      </c>
      <c r="D3421">
        <v>3.2333431437658602</v>
      </c>
      <c r="E3421" t="s">
        <v>59</v>
      </c>
    </row>
    <row r="3422" spans="1:5" x14ac:dyDescent="0.25">
      <c r="A3422" t="s">
        <v>50</v>
      </c>
      <c r="B3422">
        <v>2020</v>
      </c>
      <c r="C3422" t="s">
        <v>58</v>
      </c>
      <c r="D3422">
        <v>2.4547439921627801</v>
      </c>
      <c r="E3422" t="s">
        <v>59</v>
      </c>
    </row>
    <row r="3423" spans="1:5" x14ac:dyDescent="0.25">
      <c r="A3423" t="s">
        <v>50</v>
      </c>
      <c r="B3423">
        <v>2021</v>
      </c>
      <c r="C3423" t="s">
        <v>58</v>
      </c>
      <c r="D3423">
        <v>2.5787349189797499</v>
      </c>
      <c r="E3423" t="s">
        <v>59</v>
      </c>
    </row>
    <row r="3424" spans="1:5" x14ac:dyDescent="0.25">
      <c r="A3424" t="s">
        <v>50</v>
      </c>
      <c r="B3424">
        <v>2022</v>
      </c>
      <c r="C3424" t="s">
        <v>58</v>
      </c>
      <c r="D3424">
        <v>2.8494154307588699</v>
      </c>
      <c r="E3424" t="s">
        <v>59</v>
      </c>
    </row>
    <row r="3425" spans="1:5" x14ac:dyDescent="0.25">
      <c r="A3425" t="s">
        <v>50</v>
      </c>
      <c r="B3425">
        <v>2023</v>
      </c>
      <c r="C3425" t="s">
        <v>58</v>
      </c>
      <c r="D3425">
        <v>2.6809363468853702</v>
      </c>
      <c r="E3425" t="s">
        <v>59</v>
      </c>
    </row>
    <row r="3426" spans="1:5" x14ac:dyDescent="0.25">
      <c r="A3426" t="s">
        <v>50</v>
      </c>
      <c r="B3426">
        <v>2024</v>
      </c>
      <c r="C3426" t="s">
        <v>58</v>
      </c>
      <c r="D3426">
        <v>2.3844163397619398</v>
      </c>
      <c r="E3426" t="s">
        <v>59</v>
      </c>
    </row>
    <row r="3427" spans="1:5" x14ac:dyDescent="0.25">
      <c r="A3427" t="s">
        <v>50</v>
      </c>
      <c r="B3427">
        <v>2025</v>
      </c>
      <c r="C3427" t="s">
        <v>58</v>
      </c>
      <c r="D3427">
        <v>2.3745813474190198</v>
      </c>
      <c r="E3427" t="s">
        <v>59</v>
      </c>
    </row>
    <row r="3428" spans="1:5" x14ac:dyDescent="0.25">
      <c r="A3428" t="s">
        <v>61</v>
      </c>
      <c r="B3428">
        <v>2012</v>
      </c>
      <c r="C3428" t="s">
        <v>58</v>
      </c>
      <c r="D3428">
        <v>2.8975128400400498</v>
      </c>
      <c r="E3428" t="s">
        <v>59</v>
      </c>
    </row>
    <row r="3429" spans="1:5" x14ac:dyDescent="0.25">
      <c r="A3429" t="s">
        <v>61</v>
      </c>
      <c r="B3429">
        <v>2013</v>
      </c>
      <c r="C3429" t="s">
        <v>58</v>
      </c>
      <c r="D3429">
        <v>2.6364435108090101</v>
      </c>
      <c r="E3429" t="s">
        <v>59</v>
      </c>
    </row>
    <row r="3430" spans="1:5" x14ac:dyDescent="0.25">
      <c r="A3430" t="s">
        <v>61</v>
      </c>
      <c r="B3430">
        <v>2014</v>
      </c>
      <c r="C3430" t="s">
        <v>58</v>
      </c>
      <c r="D3430">
        <v>2.4502444744615102</v>
      </c>
      <c r="E3430" t="s">
        <v>59</v>
      </c>
    </row>
    <row r="3431" spans="1:5" x14ac:dyDescent="0.25">
      <c r="A3431" t="s">
        <v>51</v>
      </c>
      <c r="B3431">
        <v>2014</v>
      </c>
      <c r="C3431" t="s">
        <v>58</v>
      </c>
      <c r="D3431">
        <v>17.5149943714976</v>
      </c>
      <c r="E3431" t="s">
        <v>59</v>
      </c>
    </row>
    <row r="3432" spans="1:5" x14ac:dyDescent="0.25">
      <c r="A3432" t="s">
        <v>51</v>
      </c>
      <c r="B3432">
        <v>2021</v>
      </c>
      <c r="C3432" t="s">
        <v>58</v>
      </c>
      <c r="D3432">
        <v>12.554995754662601</v>
      </c>
      <c r="E3432" t="s">
        <v>59</v>
      </c>
    </row>
    <row r="3433" spans="1:5" x14ac:dyDescent="0.25">
      <c r="A3433" t="s">
        <v>51</v>
      </c>
      <c r="B3433">
        <v>2022</v>
      </c>
      <c r="C3433" t="s">
        <v>58</v>
      </c>
      <c r="D3433">
        <v>15.7065229563628</v>
      </c>
      <c r="E3433" t="s">
        <v>59</v>
      </c>
    </row>
    <row r="3434" spans="1:5" x14ac:dyDescent="0.25">
      <c r="A3434" t="s">
        <v>52</v>
      </c>
      <c r="B3434">
        <v>2003</v>
      </c>
      <c r="C3434" t="s">
        <v>58</v>
      </c>
      <c r="D3434">
        <v>7.2990197312285803</v>
      </c>
      <c r="E3434" t="s">
        <v>59</v>
      </c>
    </row>
    <row r="3435" spans="1:5" x14ac:dyDescent="0.25">
      <c r="A3435" t="s">
        <v>52</v>
      </c>
      <c r="B3435">
        <v>2005</v>
      </c>
      <c r="C3435" t="s">
        <v>58</v>
      </c>
      <c r="D3435">
        <v>13.640147608707</v>
      </c>
      <c r="E3435" t="s">
        <v>59</v>
      </c>
    </row>
    <row r="3436" spans="1:5" x14ac:dyDescent="0.25">
      <c r="A3436" t="s">
        <v>52</v>
      </c>
      <c r="B3436">
        <v>2008</v>
      </c>
      <c r="C3436" t="s">
        <v>58</v>
      </c>
      <c r="D3436">
        <v>20.770346828636999</v>
      </c>
      <c r="E3436" t="s">
        <v>59</v>
      </c>
    </row>
    <row r="3437" spans="1:5" x14ac:dyDescent="0.25">
      <c r="A3437" t="s">
        <v>52</v>
      </c>
      <c r="B3437">
        <v>2009</v>
      </c>
      <c r="C3437" t="s">
        <v>58</v>
      </c>
      <c r="D3437">
        <v>17.590456485535402</v>
      </c>
      <c r="E3437" t="s">
        <v>59</v>
      </c>
    </row>
    <row r="3438" spans="1:5" x14ac:dyDescent="0.25">
      <c r="A3438" t="s">
        <v>52</v>
      </c>
      <c r="B3438">
        <v>2010</v>
      </c>
      <c r="C3438" t="s">
        <v>58</v>
      </c>
      <c r="D3438">
        <v>17.779145124247599</v>
      </c>
      <c r="E3438" t="s">
        <v>59</v>
      </c>
    </row>
    <row r="3439" spans="1:5" x14ac:dyDescent="0.25">
      <c r="A3439" t="s">
        <v>52</v>
      </c>
      <c r="B3439">
        <v>2011</v>
      </c>
      <c r="C3439" t="s">
        <v>58</v>
      </c>
      <c r="D3439">
        <v>20.388178021400499</v>
      </c>
      <c r="E3439" t="s">
        <v>59</v>
      </c>
    </row>
    <row r="3440" spans="1:5" x14ac:dyDescent="0.25">
      <c r="A3440" t="s">
        <v>52</v>
      </c>
      <c r="B3440">
        <v>2012</v>
      </c>
      <c r="C3440" t="s">
        <v>58</v>
      </c>
      <c r="D3440">
        <v>22.8788994373311</v>
      </c>
      <c r="E3440" t="s">
        <v>59</v>
      </c>
    </row>
    <row r="3441" spans="1:5" x14ac:dyDescent="0.25">
      <c r="A3441" t="s">
        <v>52</v>
      </c>
      <c r="B3441">
        <v>2013</v>
      </c>
      <c r="C3441" t="s">
        <v>58</v>
      </c>
      <c r="D3441">
        <v>18.817396424034001</v>
      </c>
      <c r="E3441" t="s">
        <v>59</v>
      </c>
    </row>
    <row r="3442" spans="1:5" x14ac:dyDescent="0.25">
      <c r="A3442" t="s">
        <v>52</v>
      </c>
      <c r="B3442">
        <v>2014</v>
      </c>
      <c r="C3442" t="s">
        <v>58</v>
      </c>
      <c r="D3442">
        <v>17.050098232270699</v>
      </c>
      <c r="E3442" t="s">
        <v>59</v>
      </c>
    </row>
    <row r="3443" spans="1:5" x14ac:dyDescent="0.25">
      <c r="A3443" t="s">
        <v>52</v>
      </c>
      <c r="B3443">
        <v>2015</v>
      </c>
      <c r="C3443" t="s">
        <v>58</v>
      </c>
      <c r="D3443">
        <v>16.7288919375391</v>
      </c>
      <c r="E3443" t="s">
        <v>59</v>
      </c>
    </row>
    <row r="3444" spans="1:5" x14ac:dyDescent="0.25">
      <c r="A3444" t="s">
        <v>52</v>
      </c>
      <c r="B3444">
        <v>2016</v>
      </c>
      <c r="C3444" t="s">
        <v>58</v>
      </c>
      <c r="D3444">
        <v>14.204737943321</v>
      </c>
      <c r="E3444" t="s">
        <v>59</v>
      </c>
    </row>
    <row r="3445" spans="1:5" x14ac:dyDescent="0.25">
      <c r="A3445" t="s">
        <v>52</v>
      </c>
      <c r="B3445">
        <v>2017</v>
      </c>
      <c r="C3445" t="s">
        <v>58</v>
      </c>
      <c r="D3445">
        <v>13.9294778614343</v>
      </c>
      <c r="E3445" t="s">
        <v>59</v>
      </c>
    </row>
    <row r="3446" spans="1:5" x14ac:dyDescent="0.25">
      <c r="A3446" t="s">
        <v>52</v>
      </c>
      <c r="B3446">
        <v>2018</v>
      </c>
      <c r="C3446" t="s">
        <v>58</v>
      </c>
      <c r="D3446">
        <v>14.040767756058401</v>
      </c>
      <c r="E3446" t="s">
        <v>59</v>
      </c>
    </row>
    <row r="3447" spans="1:5" x14ac:dyDescent="0.25">
      <c r="A3447" t="s">
        <v>52</v>
      </c>
      <c r="B3447">
        <v>2019</v>
      </c>
      <c r="C3447" t="s">
        <v>58</v>
      </c>
      <c r="D3447">
        <v>12.7067892427876</v>
      </c>
      <c r="E3447" t="s">
        <v>59</v>
      </c>
    </row>
    <row r="3448" spans="1:5" x14ac:dyDescent="0.25">
      <c r="A3448" t="s">
        <v>52</v>
      </c>
      <c r="B3448">
        <v>2020</v>
      </c>
      <c r="C3448" t="s">
        <v>58</v>
      </c>
      <c r="D3448">
        <v>10.930131306686601</v>
      </c>
      <c r="E3448" t="s">
        <v>59</v>
      </c>
    </row>
    <row r="3449" spans="1:5" x14ac:dyDescent="0.25">
      <c r="A3449" t="s">
        <v>52</v>
      </c>
      <c r="B3449">
        <v>2021</v>
      </c>
      <c r="C3449" t="s">
        <v>58</v>
      </c>
      <c r="D3449">
        <v>12.159728426002699</v>
      </c>
      <c r="E3449" t="s">
        <v>59</v>
      </c>
    </row>
    <row r="3450" spans="1:5" x14ac:dyDescent="0.25">
      <c r="A3450" t="s">
        <v>52</v>
      </c>
      <c r="B3450">
        <v>2022</v>
      </c>
      <c r="C3450" t="s">
        <v>58</v>
      </c>
      <c r="D3450">
        <v>16.5586739990379</v>
      </c>
      <c r="E3450" t="s">
        <v>59</v>
      </c>
    </row>
    <row r="3451" spans="1:5" x14ac:dyDescent="0.25">
      <c r="A3451" t="s">
        <v>52</v>
      </c>
      <c r="B3451">
        <v>2023</v>
      </c>
      <c r="C3451" t="s">
        <v>58</v>
      </c>
      <c r="D3451">
        <v>17.762573801813399</v>
      </c>
      <c r="E3451" t="s">
        <v>59</v>
      </c>
    </row>
    <row r="3452" spans="1:5" x14ac:dyDescent="0.25">
      <c r="A3452" t="s">
        <v>52</v>
      </c>
      <c r="B3452">
        <v>2024</v>
      </c>
      <c r="C3452" t="s">
        <v>58</v>
      </c>
      <c r="D3452">
        <v>10.3534465149352</v>
      </c>
      <c r="E3452" t="s">
        <v>59</v>
      </c>
    </row>
    <row r="3453" spans="1:5" x14ac:dyDescent="0.25">
      <c r="A3453" t="s">
        <v>52</v>
      </c>
      <c r="B3453">
        <v>2025</v>
      </c>
      <c r="C3453" t="s">
        <v>58</v>
      </c>
      <c r="D3453">
        <v>13.1485381875824</v>
      </c>
      <c r="E3453" t="s">
        <v>59</v>
      </c>
    </row>
    <row r="3454" spans="1:5" x14ac:dyDescent="0.25">
      <c r="A3454" t="s">
        <v>53</v>
      </c>
      <c r="B3454">
        <v>2016</v>
      </c>
      <c r="C3454" t="s">
        <v>58</v>
      </c>
      <c r="D3454">
        <v>3.67080901881971</v>
      </c>
      <c r="E3454" t="s">
        <v>59</v>
      </c>
    </row>
    <row r="3455" spans="1:5" x14ac:dyDescent="0.25">
      <c r="A3455" t="s">
        <v>53</v>
      </c>
      <c r="B3455">
        <v>2017</v>
      </c>
      <c r="C3455" t="s">
        <v>58</v>
      </c>
      <c r="D3455">
        <v>4.97955577016186</v>
      </c>
      <c r="E3455" t="s">
        <v>59</v>
      </c>
    </row>
    <row r="3456" spans="1:5" x14ac:dyDescent="0.25">
      <c r="A3456" t="s">
        <v>53</v>
      </c>
      <c r="B3456">
        <v>2018</v>
      </c>
      <c r="C3456" t="s">
        <v>58</v>
      </c>
      <c r="D3456">
        <v>4.9894209488707704</v>
      </c>
      <c r="E3456" t="s">
        <v>59</v>
      </c>
    </row>
    <row r="3457" spans="1:5" x14ac:dyDescent="0.25">
      <c r="A3457" t="s">
        <v>53</v>
      </c>
      <c r="B3457">
        <v>2019</v>
      </c>
      <c r="C3457" t="s">
        <v>58</v>
      </c>
      <c r="D3457">
        <v>5.5830671273341697</v>
      </c>
      <c r="E3457" t="s">
        <v>59</v>
      </c>
    </row>
    <row r="3458" spans="1:5" x14ac:dyDescent="0.25">
      <c r="A3458" t="s">
        <v>53</v>
      </c>
      <c r="B3458">
        <v>2020</v>
      </c>
      <c r="C3458" t="s">
        <v>58</v>
      </c>
      <c r="D3458">
        <v>4.62792352890812</v>
      </c>
      <c r="E3458" t="s">
        <v>59</v>
      </c>
    </row>
    <row r="3459" spans="1:5" x14ac:dyDescent="0.25">
      <c r="A3459" t="s">
        <v>53</v>
      </c>
      <c r="B3459">
        <v>2021</v>
      </c>
      <c r="C3459" t="s">
        <v>58</v>
      </c>
      <c r="D3459">
        <v>5.9945691488195703</v>
      </c>
      <c r="E3459" t="s">
        <v>59</v>
      </c>
    </row>
    <row r="3460" spans="1:5" x14ac:dyDescent="0.25">
      <c r="A3460" t="s">
        <v>53</v>
      </c>
      <c r="B3460">
        <v>2022</v>
      </c>
      <c r="C3460" t="s">
        <v>58</v>
      </c>
      <c r="D3460">
        <v>5.5317455888529699</v>
      </c>
      <c r="E3460" t="s">
        <v>59</v>
      </c>
    </row>
    <row r="3461" spans="1:5" x14ac:dyDescent="0.25">
      <c r="A3461" t="s">
        <v>53</v>
      </c>
      <c r="B3461">
        <v>2023</v>
      </c>
      <c r="C3461" t="s">
        <v>58</v>
      </c>
      <c r="D3461">
        <v>5.8197218078825497</v>
      </c>
      <c r="E3461" t="s">
        <v>59</v>
      </c>
    </row>
    <row r="3462" spans="1:5" x14ac:dyDescent="0.25">
      <c r="A3462" t="s">
        <v>53</v>
      </c>
      <c r="B3462">
        <v>2024</v>
      </c>
      <c r="C3462" t="s">
        <v>58</v>
      </c>
      <c r="D3462">
        <v>5.7141770529792302</v>
      </c>
      <c r="E3462" t="s">
        <v>59</v>
      </c>
    </row>
    <row r="3463" spans="1:5" x14ac:dyDescent="0.25">
      <c r="A3463" t="s">
        <v>53</v>
      </c>
      <c r="B3463">
        <v>2025</v>
      </c>
      <c r="C3463" t="s">
        <v>58</v>
      </c>
      <c r="D3463">
        <v>5.7131632245514403</v>
      </c>
      <c r="E3463" t="s">
        <v>59</v>
      </c>
    </row>
    <row r="3464" spans="1:5" x14ac:dyDescent="0.25">
      <c r="A3464" t="s">
        <v>54</v>
      </c>
      <c r="B3464">
        <v>2018</v>
      </c>
      <c r="C3464" t="s">
        <v>58</v>
      </c>
      <c r="D3464">
        <v>2.2874648498950898</v>
      </c>
      <c r="E3464" t="s">
        <v>59</v>
      </c>
    </row>
    <row r="3465" spans="1:5" x14ac:dyDescent="0.25">
      <c r="A3465" t="s">
        <v>54</v>
      </c>
      <c r="B3465">
        <v>2019</v>
      </c>
      <c r="C3465" t="s">
        <v>58</v>
      </c>
      <c r="D3465">
        <v>1.7306588448929201</v>
      </c>
      <c r="E3465" t="s">
        <v>59</v>
      </c>
    </row>
    <row r="3466" spans="1:5" x14ac:dyDescent="0.25">
      <c r="A3466" t="s">
        <v>55</v>
      </c>
      <c r="B3466">
        <v>2014</v>
      </c>
      <c r="C3466" t="s">
        <v>58</v>
      </c>
      <c r="D3466">
        <v>6.7416843319204398</v>
      </c>
      <c r="E3466" t="s">
        <v>59</v>
      </c>
    </row>
    <row r="3467" spans="1:5" x14ac:dyDescent="0.25">
      <c r="A3467" t="s">
        <v>55</v>
      </c>
      <c r="B3467">
        <v>2015</v>
      </c>
      <c r="C3467" t="s">
        <v>58</v>
      </c>
      <c r="D3467">
        <v>5.5865486406393696</v>
      </c>
      <c r="E3467" t="s">
        <v>59</v>
      </c>
    </row>
    <row r="3468" spans="1:5" x14ac:dyDescent="0.25">
      <c r="A3468" t="s">
        <v>55</v>
      </c>
      <c r="B3468">
        <v>2016</v>
      </c>
      <c r="C3468" t="s">
        <v>58</v>
      </c>
      <c r="D3468">
        <v>4.0530124524509397</v>
      </c>
      <c r="E3468" t="s">
        <v>59</v>
      </c>
    </row>
    <row r="3469" spans="1:5" x14ac:dyDescent="0.25">
      <c r="A3469" t="s">
        <v>55</v>
      </c>
      <c r="B3469">
        <v>2018</v>
      </c>
      <c r="C3469" t="s">
        <v>58</v>
      </c>
      <c r="D3469">
        <v>3.9636507915987802</v>
      </c>
      <c r="E3469" t="s">
        <v>59</v>
      </c>
    </row>
    <row r="3470" spans="1:5" x14ac:dyDescent="0.25">
      <c r="A3470" t="s">
        <v>55</v>
      </c>
      <c r="B3470">
        <v>2022</v>
      </c>
      <c r="C3470" t="s">
        <v>58</v>
      </c>
      <c r="D3470">
        <v>1.80136933338139</v>
      </c>
      <c r="E3470" t="s">
        <v>59</v>
      </c>
    </row>
    <row r="3471" spans="1:5" x14ac:dyDescent="0.25">
      <c r="A3471" t="s">
        <v>56</v>
      </c>
      <c r="B3471">
        <v>2015</v>
      </c>
      <c r="C3471" t="s">
        <v>58</v>
      </c>
      <c r="D3471">
        <v>6.0438936462200799</v>
      </c>
      <c r="E3471" t="s">
        <v>59</v>
      </c>
    </row>
    <row r="3472" spans="1:5" x14ac:dyDescent="0.25">
      <c r="A3472" t="s">
        <v>56</v>
      </c>
      <c r="B3472">
        <v>2016</v>
      </c>
      <c r="C3472" t="s">
        <v>58</v>
      </c>
      <c r="D3472">
        <v>5.6452978188910103</v>
      </c>
      <c r="E3472" t="s">
        <v>59</v>
      </c>
    </row>
    <row r="3473" spans="1:5" x14ac:dyDescent="0.25">
      <c r="A3473" t="s">
        <v>56</v>
      </c>
      <c r="B3473">
        <v>2017</v>
      </c>
      <c r="C3473" t="s">
        <v>58</v>
      </c>
      <c r="D3473">
        <v>5.6420222401539997</v>
      </c>
      <c r="E3473" t="s">
        <v>59</v>
      </c>
    </row>
    <row r="3474" spans="1:5" x14ac:dyDescent="0.25">
      <c r="A3474" t="s">
        <v>56</v>
      </c>
      <c r="B3474">
        <v>2018</v>
      </c>
      <c r="C3474" t="s">
        <v>58</v>
      </c>
      <c r="D3474">
        <v>9.3537094728779504</v>
      </c>
      <c r="E3474" t="s">
        <v>59</v>
      </c>
    </row>
    <row r="3475" spans="1:5" x14ac:dyDescent="0.25">
      <c r="A3475" t="s">
        <v>56</v>
      </c>
      <c r="B3475">
        <v>2019</v>
      </c>
      <c r="C3475" t="s">
        <v>58</v>
      </c>
      <c r="D3475">
        <v>6.4958520611169703</v>
      </c>
      <c r="E3475" t="s">
        <v>59</v>
      </c>
    </row>
    <row r="3476" spans="1:5" x14ac:dyDescent="0.25">
      <c r="A3476" t="s">
        <v>56</v>
      </c>
      <c r="B3476">
        <v>2020</v>
      </c>
      <c r="C3476" t="s">
        <v>58</v>
      </c>
      <c r="D3476">
        <v>6.5387464818734298</v>
      </c>
      <c r="E3476" t="s">
        <v>59</v>
      </c>
    </row>
    <row r="3477" spans="1:5" x14ac:dyDescent="0.25">
      <c r="A3477" t="s">
        <v>56</v>
      </c>
      <c r="B3477">
        <v>2021</v>
      </c>
      <c r="C3477" t="s">
        <v>58</v>
      </c>
      <c r="D3477">
        <v>7.30520730906232</v>
      </c>
      <c r="E3477" t="s">
        <v>59</v>
      </c>
    </row>
    <row r="3478" spans="1:5" x14ac:dyDescent="0.25">
      <c r="A3478" t="s">
        <v>56</v>
      </c>
      <c r="B3478">
        <v>2022</v>
      </c>
      <c r="C3478" t="s">
        <v>58</v>
      </c>
      <c r="D3478">
        <v>10.6712842022717</v>
      </c>
      <c r="E3478" t="s">
        <v>59</v>
      </c>
    </row>
    <row r="3479" spans="1:5" x14ac:dyDescent="0.25">
      <c r="A3479" t="s">
        <v>56</v>
      </c>
      <c r="B3479">
        <v>2023</v>
      </c>
      <c r="C3479" t="s">
        <v>58</v>
      </c>
      <c r="D3479">
        <v>8.8704748291230402</v>
      </c>
      <c r="E3479" t="s">
        <v>59</v>
      </c>
    </row>
    <row r="3480" spans="1:5" x14ac:dyDescent="0.25">
      <c r="A3480" t="s">
        <v>60</v>
      </c>
      <c r="B3480">
        <v>2012</v>
      </c>
      <c r="C3480" t="s">
        <v>58</v>
      </c>
      <c r="D3480">
        <v>2.84692176723807</v>
      </c>
      <c r="E3480" t="s">
        <v>59</v>
      </c>
    </row>
    <row r="3481" spans="1:5" x14ac:dyDescent="0.25">
      <c r="A3481" t="s">
        <v>60</v>
      </c>
      <c r="B3481">
        <v>2015</v>
      </c>
      <c r="C3481" t="s">
        <v>58</v>
      </c>
      <c r="D3481">
        <v>4.5061168226140298</v>
      </c>
      <c r="E3481" t="s">
        <v>59</v>
      </c>
    </row>
    <row r="3482" spans="1:5" x14ac:dyDescent="0.25">
      <c r="A3482" t="s">
        <v>97</v>
      </c>
      <c r="B3482">
        <v>2010</v>
      </c>
      <c r="C3482" t="s">
        <v>6</v>
      </c>
      <c r="D3482">
        <v>2327279</v>
      </c>
      <c r="E3482" t="s">
        <v>81</v>
      </c>
    </row>
    <row r="3483" spans="1:5" x14ac:dyDescent="0.25">
      <c r="A3483" t="s">
        <v>97</v>
      </c>
      <c r="B3483">
        <v>2012</v>
      </c>
      <c r="C3483" t="s">
        <v>6</v>
      </c>
      <c r="D3483">
        <v>2846475</v>
      </c>
      <c r="E3483" t="s">
        <v>81</v>
      </c>
    </row>
    <row r="3484" spans="1:5" x14ac:dyDescent="0.25">
      <c r="A3484" t="s">
        <v>97</v>
      </c>
      <c r="B3484">
        <v>2013</v>
      </c>
      <c r="C3484" t="s">
        <v>6</v>
      </c>
      <c r="D3484">
        <v>2081651</v>
      </c>
      <c r="E3484" t="s">
        <v>81</v>
      </c>
    </row>
    <row r="3485" spans="1:5" x14ac:dyDescent="0.25">
      <c r="A3485" t="s">
        <v>97</v>
      </c>
      <c r="B3485">
        <v>2014</v>
      </c>
      <c r="C3485" t="s">
        <v>6</v>
      </c>
      <c r="D3485">
        <v>5551129</v>
      </c>
      <c r="E3485" t="s">
        <v>81</v>
      </c>
    </row>
    <row r="3486" spans="1:5" x14ac:dyDescent="0.25">
      <c r="A3486" t="s">
        <v>97</v>
      </c>
      <c r="B3486">
        <v>2015</v>
      </c>
      <c r="C3486" t="s">
        <v>6</v>
      </c>
      <c r="D3486">
        <v>11915370.91</v>
      </c>
      <c r="E3486" t="s">
        <v>81</v>
      </c>
    </row>
    <row r="3487" spans="1:5" x14ac:dyDescent="0.25">
      <c r="A3487" t="s">
        <v>97</v>
      </c>
      <c r="B3487">
        <v>2016</v>
      </c>
      <c r="C3487" t="s">
        <v>6</v>
      </c>
      <c r="D3487">
        <v>6659497</v>
      </c>
      <c r="E3487" t="s">
        <v>81</v>
      </c>
    </row>
    <row r="3488" spans="1:5" x14ac:dyDescent="0.25">
      <c r="A3488" t="s">
        <v>5</v>
      </c>
      <c r="B3488">
        <v>2025</v>
      </c>
      <c r="C3488" t="s">
        <v>6</v>
      </c>
      <c r="D3488">
        <v>1155383.77</v>
      </c>
      <c r="E3488" t="s">
        <v>81</v>
      </c>
    </row>
    <row r="3489" spans="1:5" x14ac:dyDescent="0.25">
      <c r="A3489" t="s">
        <v>9</v>
      </c>
      <c r="B3489">
        <v>2013</v>
      </c>
      <c r="C3489" t="s">
        <v>6</v>
      </c>
      <c r="D3489">
        <v>1806792.75</v>
      </c>
      <c r="E3489" t="s">
        <v>81</v>
      </c>
    </row>
    <row r="3490" spans="1:5" x14ac:dyDescent="0.25">
      <c r="A3490" t="s">
        <v>9</v>
      </c>
      <c r="B3490">
        <v>2022</v>
      </c>
      <c r="C3490" t="s">
        <v>6</v>
      </c>
      <c r="D3490">
        <v>1491235.88</v>
      </c>
      <c r="E3490" t="s">
        <v>81</v>
      </c>
    </row>
    <row r="3491" spans="1:5" x14ac:dyDescent="0.25">
      <c r="A3491" t="s">
        <v>9</v>
      </c>
      <c r="B3491">
        <v>2023</v>
      </c>
      <c r="C3491" t="s">
        <v>6</v>
      </c>
      <c r="D3491">
        <v>1356556.18</v>
      </c>
      <c r="E3491" t="s">
        <v>81</v>
      </c>
    </row>
    <row r="3492" spans="1:5" x14ac:dyDescent="0.25">
      <c r="A3492" t="s">
        <v>9</v>
      </c>
      <c r="B3492">
        <v>2024</v>
      </c>
      <c r="C3492" t="s">
        <v>6</v>
      </c>
      <c r="D3492">
        <v>3154072.06</v>
      </c>
      <c r="E3492" t="s">
        <v>81</v>
      </c>
    </row>
    <row r="3493" spans="1:5" x14ac:dyDescent="0.25">
      <c r="A3493" t="s">
        <v>9</v>
      </c>
      <c r="B3493">
        <v>2025</v>
      </c>
      <c r="C3493" t="s">
        <v>6</v>
      </c>
      <c r="D3493">
        <v>1075269.3899999999</v>
      </c>
      <c r="E3493" t="s">
        <v>81</v>
      </c>
    </row>
    <row r="3494" spans="1:5" x14ac:dyDescent="0.25">
      <c r="A3494" t="s">
        <v>96</v>
      </c>
      <c r="B3494">
        <v>2016</v>
      </c>
      <c r="C3494" t="s">
        <v>6</v>
      </c>
      <c r="D3494">
        <v>3447593</v>
      </c>
      <c r="E3494" t="s">
        <v>81</v>
      </c>
    </row>
    <row r="3495" spans="1:5" x14ac:dyDescent="0.25">
      <c r="A3495" t="s">
        <v>10</v>
      </c>
      <c r="B3495">
        <v>2003</v>
      </c>
      <c r="C3495" t="s">
        <v>6</v>
      </c>
      <c r="D3495">
        <v>3197330</v>
      </c>
      <c r="E3495" t="s">
        <v>81</v>
      </c>
    </row>
    <row r="3496" spans="1:5" x14ac:dyDescent="0.25">
      <c r="A3496" t="s">
        <v>10</v>
      </c>
      <c r="B3496">
        <v>2015</v>
      </c>
      <c r="C3496" t="s">
        <v>6</v>
      </c>
      <c r="D3496">
        <v>1925057</v>
      </c>
      <c r="E3496" t="s">
        <v>81</v>
      </c>
    </row>
    <row r="3497" spans="1:5" x14ac:dyDescent="0.25">
      <c r="A3497" t="s">
        <v>10</v>
      </c>
      <c r="B3497">
        <v>2016</v>
      </c>
      <c r="C3497" t="s">
        <v>6</v>
      </c>
      <c r="D3497">
        <v>2796524</v>
      </c>
      <c r="E3497" t="s">
        <v>81</v>
      </c>
    </row>
    <row r="3498" spans="1:5" x14ac:dyDescent="0.25">
      <c r="A3498" t="s">
        <v>10</v>
      </c>
      <c r="B3498">
        <v>2017</v>
      </c>
      <c r="C3498" t="s">
        <v>6</v>
      </c>
      <c r="D3498">
        <v>2283083</v>
      </c>
      <c r="E3498" t="s">
        <v>81</v>
      </c>
    </row>
    <row r="3499" spans="1:5" x14ac:dyDescent="0.25">
      <c r="A3499" t="s">
        <v>78</v>
      </c>
      <c r="B3499">
        <v>2011</v>
      </c>
      <c r="C3499" t="s">
        <v>6</v>
      </c>
      <c r="D3499">
        <v>6494024</v>
      </c>
      <c r="E3499" t="s">
        <v>81</v>
      </c>
    </row>
    <row r="3500" spans="1:5" x14ac:dyDescent="0.25">
      <c r="A3500" t="s">
        <v>78</v>
      </c>
      <c r="B3500">
        <v>2012</v>
      </c>
      <c r="C3500" t="s">
        <v>6</v>
      </c>
      <c r="D3500">
        <v>3645271</v>
      </c>
      <c r="E3500" t="s">
        <v>81</v>
      </c>
    </row>
    <row r="3501" spans="1:5" x14ac:dyDescent="0.25">
      <c r="A3501" t="s">
        <v>78</v>
      </c>
      <c r="B3501">
        <v>2013</v>
      </c>
      <c r="C3501" t="s">
        <v>6</v>
      </c>
      <c r="D3501">
        <v>2994501</v>
      </c>
      <c r="E3501" t="s">
        <v>81</v>
      </c>
    </row>
    <row r="3502" spans="1:5" x14ac:dyDescent="0.25">
      <c r="A3502" t="s">
        <v>78</v>
      </c>
      <c r="B3502">
        <v>2022</v>
      </c>
      <c r="C3502" t="s">
        <v>6</v>
      </c>
      <c r="D3502">
        <v>13118856.109999999</v>
      </c>
      <c r="E3502" t="s">
        <v>81</v>
      </c>
    </row>
    <row r="3503" spans="1:5" x14ac:dyDescent="0.25">
      <c r="A3503" t="s">
        <v>78</v>
      </c>
      <c r="B3503">
        <v>2023</v>
      </c>
      <c r="C3503" t="s">
        <v>6</v>
      </c>
      <c r="D3503">
        <v>5790951.1600000001</v>
      </c>
      <c r="E3503" t="s">
        <v>81</v>
      </c>
    </row>
    <row r="3504" spans="1:5" x14ac:dyDescent="0.25">
      <c r="A3504" t="s">
        <v>11</v>
      </c>
      <c r="B3504">
        <v>2010</v>
      </c>
      <c r="C3504" t="s">
        <v>6</v>
      </c>
      <c r="D3504">
        <v>5628754</v>
      </c>
      <c r="E3504" t="s">
        <v>81</v>
      </c>
    </row>
    <row r="3505" spans="1:5" x14ac:dyDescent="0.25">
      <c r="A3505" t="s">
        <v>11</v>
      </c>
      <c r="B3505">
        <v>2011</v>
      </c>
      <c r="C3505" t="s">
        <v>6</v>
      </c>
      <c r="D3505">
        <v>7117707</v>
      </c>
      <c r="E3505" t="s">
        <v>81</v>
      </c>
    </row>
    <row r="3506" spans="1:5" x14ac:dyDescent="0.25">
      <c r="A3506" t="s">
        <v>11</v>
      </c>
      <c r="B3506">
        <v>2012</v>
      </c>
      <c r="C3506" t="s">
        <v>6</v>
      </c>
      <c r="D3506">
        <v>6916148</v>
      </c>
      <c r="E3506" t="s">
        <v>81</v>
      </c>
    </row>
    <row r="3507" spans="1:5" x14ac:dyDescent="0.25">
      <c r="A3507" t="s">
        <v>11</v>
      </c>
      <c r="B3507">
        <v>2013</v>
      </c>
      <c r="C3507" t="s">
        <v>6</v>
      </c>
      <c r="D3507">
        <v>7765623</v>
      </c>
      <c r="E3507" t="s">
        <v>81</v>
      </c>
    </row>
    <row r="3508" spans="1:5" x14ac:dyDescent="0.25">
      <c r="A3508" t="s">
        <v>11</v>
      </c>
      <c r="B3508">
        <v>2014</v>
      </c>
      <c r="C3508" t="s">
        <v>6</v>
      </c>
      <c r="D3508">
        <v>6183720</v>
      </c>
      <c r="E3508" t="s">
        <v>81</v>
      </c>
    </row>
    <row r="3509" spans="1:5" x14ac:dyDescent="0.25">
      <c r="A3509" t="s">
        <v>11</v>
      </c>
      <c r="B3509">
        <v>2015</v>
      </c>
      <c r="C3509" t="s">
        <v>6</v>
      </c>
      <c r="D3509">
        <v>5452596</v>
      </c>
      <c r="E3509" t="s">
        <v>81</v>
      </c>
    </row>
    <row r="3510" spans="1:5" x14ac:dyDescent="0.25">
      <c r="A3510" t="s">
        <v>11</v>
      </c>
      <c r="B3510">
        <v>2016</v>
      </c>
      <c r="C3510" t="s">
        <v>6</v>
      </c>
      <c r="D3510">
        <v>7358500</v>
      </c>
      <c r="E3510" t="s">
        <v>81</v>
      </c>
    </row>
    <row r="3511" spans="1:5" x14ac:dyDescent="0.25">
      <c r="A3511" t="s">
        <v>11</v>
      </c>
      <c r="B3511">
        <v>2017</v>
      </c>
      <c r="C3511" t="s">
        <v>6</v>
      </c>
      <c r="D3511">
        <v>9344693</v>
      </c>
      <c r="E3511" t="s">
        <v>81</v>
      </c>
    </row>
    <row r="3512" spans="1:5" x14ac:dyDescent="0.25">
      <c r="A3512" t="s">
        <v>11</v>
      </c>
      <c r="B3512">
        <v>2018</v>
      </c>
      <c r="C3512" t="s">
        <v>6</v>
      </c>
      <c r="D3512">
        <v>7784465</v>
      </c>
      <c r="E3512" t="s">
        <v>81</v>
      </c>
    </row>
    <row r="3513" spans="1:5" x14ac:dyDescent="0.25">
      <c r="A3513" t="s">
        <v>11</v>
      </c>
      <c r="B3513">
        <v>2019</v>
      </c>
      <c r="C3513" t="s">
        <v>6</v>
      </c>
      <c r="D3513">
        <v>6533602</v>
      </c>
      <c r="E3513" t="s">
        <v>81</v>
      </c>
    </row>
    <row r="3514" spans="1:5" x14ac:dyDescent="0.25">
      <c r="A3514" t="s">
        <v>11</v>
      </c>
      <c r="B3514">
        <v>2020</v>
      </c>
      <c r="C3514" t="s">
        <v>6</v>
      </c>
      <c r="D3514">
        <v>4077662.4419999998</v>
      </c>
      <c r="E3514" t="s">
        <v>81</v>
      </c>
    </row>
    <row r="3515" spans="1:5" x14ac:dyDescent="0.25">
      <c r="A3515" t="s">
        <v>11</v>
      </c>
      <c r="B3515">
        <v>2021</v>
      </c>
      <c r="C3515" t="s">
        <v>6</v>
      </c>
      <c r="D3515">
        <v>5263752.6900000004</v>
      </c>
      <c r="E3515" t="s">
        <v>81</v>
      </c>
    </row>
    <row r="3516" spans="1:5" x14ac:dyDescent="0.25">
      <c r="A3516" t="s">
        <v>11</v>
      </c>
      <c r="B3516">
        <v>2022</v>
      </c>
      <c r="C3516" t="s">
        <v>6</v>
      </c>
      <c r="D3516">
        <v>8855302.9529999997</v>
      </c>
      <c r="E3516" t="s">
        <v>81</v>
      </c>
    </row>
    <row r="3517" spans="1:5" x14ac:dyDescent="0.25">
      <c r="A3517" t="s">
        <v>11</v>
      </c>
      <c r="B3517">
        <v>2023</v>
      </c>
      <c r="C3517" t="s">
        <v>6</v>
      </c>
      <c r="D3517">
        <v>3947577.0809999998</v>
      </c>
      <c r="E3517" t="s">
        <v>81</v>
      </c>
    </row>
    <row r="3518" spans="1:5" x14ac:dyDescent="0.25">
      <c r="A3518" t="s">
        <v>11</v>
      </c>
      <c r="B3518">
        <v>2024</v>
      </c>
      <c r="C3518" t="s">
        <v>6</v>
      </c>
      <c r="D3518">
        <v>5092228.4079999998</v>
      </c>
      <c r="E3518" t="s">
        <v>81</v>
      </c>
    </row>
    <row r="3519" spans="1:5" x14ac:dyDescent="0.25">
      <c r="A3519" t="s">
        <v>11</v>
      </c>
      <c r="B3519">
        <v>2025</v>
      </c>
      <c r="C3519" t="s">
        <v>6</v>
      </c>
      <c r="D3519">
        <v>6792305.7479999997</v>
      </c>
      <c r="E3519" t="s">
        <v>81</v>
      </c>
    </row>
    <row r="3520" spans="1:5" x14ac:dyDescent="0.25">
      <c r="A3520" t="s">
        <v>95</v>
      </c>
      <c r="B3520">
        <v>2025</v>
      </c>
      <c r="C3520" t="s">
        <v>6</v>
      </c>
      <c r="D3520">
        <v>1363587.7420000001</v>
      </c>
      <c r="E3520" t="s">
        <v>81</v>
      </c>
    </row>
    <row r="3521" spans="1:5" x14ac:dyDescent="0.25">
      <c r="A3521" t="s">
        <v>12</v>
      </c>
      <c r="B3521">
        <v>2010</v>
      </c>
      <c r="C3521" t="s">
        <v>6</v>
      </c>
      <c r="D3521">
        <v>23939463</v>
      </c>
      <c r="E3521" t="s">
        <v>81</v>
      </c>
    </row>
    <row r="3522" spans="1:5" x14ac:dyDescent="0.25">
      <c r="A3522" t="s">
        <v>12</v>
      </c>
      <c r="B3522">
        <v>2011</v>
      </c>
      <c r="C3522" t="s">
        <v>6</v>
      </c>
      <c r="D3522">
        <v>30920721</v>
      </c>
      <c r="E3522" t="s">
        <v>81</v>
      </c>
    </row>
    <row r="3523" spans="1:5" x14ac:dyDescent="0.25">
      <c r="A3523" t="s">
        <v>12</v>
      </c>
      <c r="B3523">
        <v>2012</v>
      </c>
      <c r="C3523" t="s">
        <v>6</v>
      </c>
      <c r="D3523">
        <v>38815882</v>
      </c>
      <c r="E3523" t="s">
        <v>81</v>
      </c>
    </row>
    <row r="3524" spans="1:5" x14ac:dyDescent="0.25">
      <c r="A3524" t="s">
        <v>12</v>
      </c>
      <c r="B3524">
        <v>2015</v>
      </c>
      <c r="C3524" t="s">
        <v>6</v>
      </c>
      <c r="D3524">
        <v>2750335</v>
      </c>
      <c r="E3524" t="s">
        <v>81</v>
      </c>
    </row>
    <row r="3525" spans="1:5" x14ac:dyDescent="0.25">
      <c r="A3525" t="s">
        <v>12</v>
      </c>
      <c r="B3525">
        <v>2016</v>
      </c>
      <c r="C3525" t="s">
        <v>6</v>
      </c>
      <c r="D3525">
        <v>81584453.637999997</v>
      </c>
      <c r="E3525" t="s">
        <v>81</v>
      </c>
    </row>
    <row r="3526" spans="1:5" x14ac:dyDescent="0.25">
      <c r="A3526" t="s">
        <v>12</v>
      </c>
      <c r="B3526">
        <v>2017</v>
      </c>
      <c r="C3526" t="s">
        <v>6</v>
      </c>
      <c r="D3526">
        <v>75722846.191</v>
      </c>
      <c r="E3526" t="s">
        <v>81</v>
      </c>
    </row>
    <row r="3527" spans="1:5" x14ac:dyDescent="0.25">
      <c r="A3527" t="s">
        <v>12</v>
      </c>
      <c r="B3527">
        <v>2018</v>
      </c>
      <c r="C3527" t="s">
        <v>6</v>
      </c>
      <c r="D3527">
        <v>114685293</v>
      </c>
      <c r="E3527" t="s">
        <v>81</v>
      </c>
    </row>
    <row r="3528" spans="1:5" x14ac:dyDescent="0.25">
      <c r="A3528" t="s">
        <v>12</v>
      </c>
      <c r="B3528">
        <v>2019</v>
      </c>
      <c r="C3528" t="s">
        <v>6</v>
      </c>
      <c r="D3528">
        <v>97685527.425999999</v>
      </c>
      <c r="E3528" t="s">
        <v>81</v>
      </c>
    </row>
    <row r="3529" spans="1:5" x14ac:dyDescent="0.25">
      <c r="A3529" t="s">
        <v>12</v>
      </c>
      <c r="B3529">
        <v>2020</v>
      </c>
      <c r="C3529" t="s">
        <v>6</v>
      </c>
      <c r="D3529">
        <v>46535917</v>
      </c>
      <c r="E3529" t="s">
        <v>81</v>
      </c>
    </row>
    <row r="3530" spans="1:5" x14ac:dyDescent="0.25">
      <c r="A3530" t="s">
        <v>12</v>
      </c>
      <c r="B3530">
        <v>2021</v>
      </c>
      <c r="C3530" t="s">
        <v>6</v>
      </c>
      <c r="D3530">
        <v>23093997.502999999</v>
      </c>
      <c r="E3530" t="s">
        <v>81</v>
      </c>
    </row>
    <row r="3531" spans="1:5" x14ac:dyDescent="0.25">
      <c r="A3531" t="s">
        <v>12</v>
      </c>
      <c r="B3531">
        <v>2022</v>
      </c>
      <c r="C3531" t="s">
        <v>6</v>
      </c>
      <c r="D3531">
        <v>3325503</v>
      </c>
      <c r="E3531" t="s">
        <v>81</v>
      </c>
    </row>
    <row r="3532" spans="1:5" x14ac:dyDescent="0.25">
      <c r="A3532" t="s">
        <v>12</v>
      </c>
      <c r="B3532">
        <v>2023</v>
      </c>
      <c r="C3532" t="s">
        <v>6</v>
      </c>
      <c r="D3532">
        <v>33891190</v>
      </c>
      <c r="E3532" t="s">
        <v>81</v>
      </c>
    </row>
    <row r="3533" spans="1:5" x14ac:dyDescent="0.25">
      <c r="A3533" t="s">
        <v>12</v>
      </c>
      <c r="B3533">
        <v>2024</v>
      </c>
      <c r="C3533" t="s">
        <v>6</v>
      </c>
      <c r="D3533">
        <v>145866853</v>
      </c>
      <c r="E3533" t="s">
        <v>81</v>
      </c>
    </row>
    <row r="3534" spans="1:5" x14ac:dyDescent="0.25">
      <c r="A3534" t="s">
        <v>12</v>
      </c>
      <c r="B3534">
        <v>2025</v>
      </c>
      <c r="C3534" t="s">
        <v>6</v>
      </c>
      <c r="D3534">
        <v>1121610</v>
      </c>
      <c r="E3534" t="s">
        <v>81</v>
      </c>
    </row>
    <row r="3535" spans="1:5" x14ac:dyDescent="0.25">
      <c r="A3535" t="s">
        <v>13</v>
      </c>
      <c r="B3535">
        <v>2010</v>
      </c>
      <c r="C3535" t="s">
        <v>6</v>
      </c>
      <c r="D3535">
        <v>1877419</v>
      </c>
      <c r="E3535" t="s">
        <v>81</v>
      </c>
    </row>
    <row r="3536" spans="1:5" x14ac:dyDescent="0.25">
      <c r="A3536" t="s">
        <v>13</v>
      </c>
      <c r="B3536">
        <v>2014</v>
      </c>
      <c r="C3536" t="s">
        <v>6</v>
      </c>
      <c r="D3536">
        <v>22461454.66</v>
      </c>
      <c r="E3536" t="s">
        <v>81</v>
      </c>
    </row>
    <row r="3537" spans="1:5" x14ac:dyDescent="0.25">
      <c r="A3537" t="s">
        <v>13</v>
      </c>
      <c r="B3537">
        <v>2016</v>
      </c>
      <c r="C3537" t="s">
        <v>6</v>
      </c>
      <c r="D3537">
        <v>13266736.84</v>
      </c>
      <c r="E3537" t="s">
        <v>81</v>
      </c>
    </row>
    <row r="3538" spans="1:5" x14ac:dyDescent="0.25">
      <c r="A3538" t="s">
        <v>13</v>
      </c>
      <c r="B3538">
        <v>2017</v>
      </c>
      <c r="C3538" t="s">
        <v>6</v>
      </c>
      <c r="D3538">
        <v>7129725.7999999998</v>
      </c>
      <c r="E3538" t="s">
        <v>81</v>
      </c>
    </row>
    <row r="3539" spans="1:5" x14ac:dyDescent="0.25">
      <c r="A3539" t="s">
        <v>13</v>
      </c>
      <c r="B3539">
        <v>2018</v>
      </c>
      <c r="C3539" t="s">
        <v>6</v>
      </c>
      <c r="D3539">
        <v>18883952.579999998</v>
      </c>
      <c r="E3539" t="s">
        <v>81</v>
      </c>
    </row>
    <row r="3540" spans="1:5" x14ac:dyDescent="0.25">
      <c r="A3540" t="s">
        <v>13</v>
      </c>
      <c r="B3540">
        <v>2019</v>
      </c>
      <c r="C3540" t="s">
        <v>6</v>
      </c>
      <c r="D3540">
        <v>13523723.57</v>
      </c>
      <c r="E3540" t="s">
        <v>81</v>
      </c>
    </row>
    <row r="3541" spans="1:5" x14ac:dyDescent="0.25">
      <c r="A3541" t="s">
        <v>13</v>
      </c>
      <c r="B3541">
        <v>2020</v>
      </c>
      <c r="C3541" t="s">
        <v>6</v>
      </c>
      <c r="D3541">
        <v>12640983.48</v>
      </c>
      <c r="E3541" t="s">
        <v>81</v>
      </c>
    </row>
    <row r="3542" spans="1:5" x14ac:dyDescent="0.25">
      <c r="A3542" t="s">
        <v>13</v>
      </c>
      <c r="B3542">
        <v>2021</v>
      </c>
      <c r="C3542" t="s">
        <v>6</v>
      </c>
      <c r="D3542">
        <v>18394311.780000001</v>
      </c>
      <c r="E3542" t="s">
        <v>81</v>
      </c>
    </row>
    <row r="3543" spans="1:5" x14ac:dyDescent="0.25">
      <c r="A3543" t="s">
        <v>13</v>
      </c>
      <c r="B3543">
        <v>2022</v>
      </c>
      <c r="C3543" t="s">
        <v>6</v>
      </c>
      <c r="D3543">
        <v>11152511.890000001</v>
      </c>
      <c r="E3543" t="s">
        <v>81</v>
      </c>
    </row>
    <row r="3544" spans="1:5" x14ac:dyDescent="0.25">
      <c r="A3544" t="s">
        <v>13</v>
      </c>
      <c r="B3544">
        <v>2023</v>
      </c>
      <c r="C3544" t="s">
        <v>6</v>
      </c>
      <c r="D3544">
        <v>11562746.689999999</v>
      </c>
      <c r="E3544" t="s">
        <v>81</v>
      </c>
    </row>
    <row r="3545" spans="1:5" x14ac:dyDescent="0.25">
      <c r="A3545" t="s">
        <v>13</v>
      </c>
      <c r="B3545">
        <v>2024</v>
      </c>
      <c r="C3545" t="s">
        <v>6</v>
      </c>
      <c r="D3545">
        <v>2984715.56</v>
      </c>
      <c r="E3545" t="s">
        <v>81</v>
      </c>
    </row>
    <row r="3546" spans="1:5" x14ac:dyDescent="0.25">
      <c r="A3546" t="s">
        <v>13</v>
      </c>
      <c r="B3546">
        <v>2025</v>
      </c>
      <c r="C3546" t="s">
        <v>6</v>
      </c>
      <c r="D3546">
        <v>13246128.359999999</v>
      </c>
      <c r="E3546" t="s">
        <v>81</v>
      </c>
    </row>
    <row r="3547" spans="1:5" x14ac:dyDescent="0.25">
      <c r="A3547" t="s">
        <v>94</v>
      </c>
      <c r="B3547">
        <v>2018</v>
      </c>
      <c r="C3547" t="s">
        <v>6</v>
      </c>
      <c r="D3547">
        <v>2123874.96</v>
      </c>
      <c r="E3547" t="s">
        <v>81</v>
      </c>
    </row>
    <row r="3548" spans="1:5" x14ac:dyDescent="0.25">
      <c r="A3548" t="s">
        <v>94</v>
      </c>
      <c r="B3548">
        <v>2020</v>
      </c>
      <c r="C3548" t="s">
        <v>6</v>
      </c>
      <c r="D3548">
        <v>3791155.25</v>
      </c>
      <c r="E3548" t="s">
        <v>81</v>
      </c>
    </row>
    <row r="3549" spans="1:5" x14ac:dyDescent="0.25">
      <c r="A3549" t="s">
        <v>14</v>
      </c>
      <c r="B3549">
        <v>2015</v>
      </c>
      <c r="C3549" t="s">
        <v>6</v>
      </c>
      <c r="D3549">
        <v>18357444</v>
      </c>
      <c r="E3549" t="s">
        <v>81</v>
      </c>
    </row>
    <row r="3550" spans="1:5" x14ac:dyDescent="0.25">
      <c r="A3550" t="s">
        <v>14</v>
      </c>
      <c r="B3550">
        <v>2025</v>
      </c>
      <c r="C3550" t="s">
        <v>6</v>
      </c>
      <c r="D3550">
        <v>1648710.8130000001</v>
      </c>
      <c r="E3550" t="s">
        <v>81</v>
      </c>
    </row>
    <row r="3551" spans="1:5" x14ac:dyDescent="0.25">
      <c r="A3551" t="s">
        <v>16</v>
      </c>
      <c r="B3551">
        <v>2008</v>
      </c>
      <c r="C3551" t="s">
        <v>6</v>
      </c>
      <c r="D3551">
        <v>64417099</v>
      </c>
      <c r="E3551" t="s">
        <v>81</v>
      </c>
    </row>
    <row r="3552" spans="1:5" x14ac:dyDescent="0.25">
      <c r="A3552" t="s">
        <v>16</v>
      </c>
      <c r="B3552">
        <v>2009</v>
      </c>
      <c r="C3552" t="s">
        <v>6</v>
      </c>
      <c r="D3552">
        <v>68641225</v>
      </c>
      <c r="E3552" t="s">
        <v>81</v>
      </c>
    </row>
    <row r="3553" spans="1:5" x14ac:dyDescent="0.25">
      <c r="A3553" t="s">
        <v>16</v>
      </c>
      <c r="B3553">
        <v>2010</v>
      </c>
      <c r="C3553" t="s">
        <v>6</v>
      </c>
      <c r="D3553">
        <v>16952097</v>
      </c>
      <c r="E3553" t="s">
        <v>81</v>
      </c>
    </row>
    <row r="3554" spans="1:5" x14ac:dyDescent="0.25">
      <c r="A3554" t="s">
        <v>16</v>
      </c>
      <c r="B3554">
        <v>2011</v>
      </c>
      <c r="C3554" t="s">
        <v>6</v>
      </c>
      <c r="D3554">
        <v>20502950</v>
      </c>
      <c r="E3554" t="s">
        <v>81</v>
      </c>
    </row>
    <row r="3555" spans="1:5" x14ac:dyDescent="0.25">
      <c r="A3555" t="s">
        <v>16</v>
      </c>
      <c r="B3555">
        <v>2012</v>
      </c>
      <c r="C3555" t="s">
        <v>6</v>
      </c>
      <c r="D3555">
        <v>17127669</v>
      </c>
      <c r="E3555" t="s">
        <v>81</v>
      </c>
    </row>
    <row r="3556" spans="1:5" x14ac:dyDescent="0.25">
      <c r="A3556" t="s">
        <v>16</v>
      </c>
      <c r="B3556">
        <v>2013</v>
      </c>
      <c r="C3556" t="s">
        <v>6</v>
      </c>
      <c r="D3556">
        <v>21822855</v>
      </c>
      <c r="E3556" t="s">
        <v>81</v>
      </c>
    </row>
    <row r="3557" spans="1:5" x14ac:dyDescent="0.25">
      <c r="A3557" t="s">
        <v>16</v>
      </c>
      <c r="B3557">
        <v>2014</v>
      </c>
      <c r="C3557" t="s">
        <v>6</v>
      </c>
      <c r="D3557">
        <v>30567756</v>
      </c>
      <c r="E3557" t="s">
        <v>81</v>
      </c>
    </row>
    <row r="3558" spans="1:5" x14ac:dyDescent="0.25">
      <c r="A3558" t="s">
        <v>16</v>
      </c>
      <c r="B3558">
        <v>2015</v>
      </c>
      <c r="C3558" t="s">
        <v>6</v>
      </c>
      <c r="D3558">
        <v>35203617</v>
      </c>
      <c r="E3558" t="s">
        <v>81</v>
      </c>
    </row>
    <row r="3559" spans="1:5" x14ac:dyDescent="0.25">
      <c r="A3559" t="s">
        <v>16</v>
      </c>
      <c r="B3559">
        <v>2016</v>
      </c>
      <c r="C3559" t="s">
        <v>6</v>
      </c>
      <c r="D3559">
        <v>32695528</v>
      </c>
      <c r="E3559" t="s">
        <v>81</v>
      </c>
    </row>
    <row r="3560" spans="1:5" x14ac:dyDescent="0.25">
      <c r="A3560" t="s">
        <v>16</v>
      </c>
      <c r="B3560">
        <v>2017</v>
      </c>
      <c r="C3560" t="s">
        <v>6</v>
      </c>
      <c r="D3560">
        <v>40957835</v>
      </c>
      <c r="E3560" t="s">
        <v>81</v>
      </c>
    </row>
    <row r="3561" spans="1:5" x14ac:dyDescent="0.25">
      <c r="A3561" t="s">
        <v>16</v>
      </c>
      <c r="B3561">
        <v>2018</v>
      </c>
      <c r="C3561" t="s">
        <v>6</v>
      </c>
      <c r="D3561">
        <v>78480389</v>
      </c>
      <c r="E3561" t="s">
        <v>81</v>
      </c>
    </row>
    <row r="3562" spans="1:5" x14ac:dyDescent="0.25">
      <c r="A3562" t="s">
        <v>16</v>
      </c>
      <c r="B3562">
        <v>2019</v>
      </c>
      <c r="C3562" t="s">
        <v>6</v>
      </c>
      <c r="D3562">
        <v>64518796</v>
      </c>
      <c r="E3562" t="s">
        <v>81</v>
      </c>
    </row>
    <row r="3563" spans="1:5" x14ac:dyDescent="0.25">
      <c r="A3563" t="s">
        <v>93</v>
      </c>
      <c r="B3563">
        <v>2015</v>
      </c>
      <c r="C3563" t="s">
        <v>6</v>
      </c>
      <c r="D3563">
        <v>6514130</v>
      </c>
      <c r="E3563" t="s">
        <v>81</v>
      </c>
    </row>
    <row r="3564" spans="1:5" x14ac:dyDescent="0.25">
      <c r="A3564" t="s">
        <v>77</v>
      </c>
      <c r="B3564">
        <v>2025</v>
      </c>
      <c r="C3564" t="s">
        <v>6</v>
      </c>
      <c r="D3564">
        <v>914615</v>
      </c>
      <c r="E3564" t="s">
        <v>81</v>
      </c>
    </row>
    <row r="3565" spans="1:5" x14ac:dyDescent="0.25">
      <c r="A3565" t="s">
        <v>17</v>
      </c>
      <c r="B3565">
        <v>2010</v>
      </c>
      <c r="C3565" t="s">
        <v>6</v>
      </c>
      <c r="D3565">
        <v>144722496.44999999</v>
      </c>
      <c r="E3565" t="s">
        <v>81</v>
      </c>
    </row>
    <row r="3566" spans="1:5" x14ac:dyDescent="0.25">
      <c r="A3566" t="s">
        <v>17</v>
      </c>
      <c r="B3566">
        <v>2011</v>
      </c>
      <c r="C3566" t="s">
        <v>6</v>
      </c>
      <c r="D3566">
        <v>161838599.81</v>
      </c>
      <c r="E3566" t="s">
        <v>81</v>
      </c>
    </row>
    <row r="3567" spans="1:5" x14ac:dyDescent="0.25">
      <c r="A3567" t="s">
        <v>17</v>
      </c>
      <c r="B3567">
        <v>2012</v>
      </c>
      <c r="C3567" t="s">
        <v>6</v>
      </c>
      <c r="D3567">
        <v>81380031.738999993</v>
      </c>
      <c r="E3567" t="s">
        <v>81</v>
      </c>
    </row>
    <row r="3568" spans="1:5" x14ac:dyDescent="0.25">
      <c r="A3568" t="s">
        <v>17</v>
      </c>
      <c r="B3568">
        <v>2013</v>
      </c>
      <c r="C3568" t="s">
        <v>6</v>
      </c>
      <c r="D3568">
        <v>48913371.75</v>
      </c>
      <c r="E3568" t="s">
        <v>81</v>
      </c>
    </row>
    <row r="3569" spans="1:5" x14ac:dyDescent="0.25">
      <c r="A3569" t="s">
        <v>17</v>
      </c>
      <c r="B3569">
        <v>2014</v>
      </c>
      <c r="C3569" t="s">
        <v>6</v>
      </c>
      <c r="D3569">
        <v>70915484.25</v>
      </c>
      <c r="E3569" t="s">
        <v>81</v>
      </c>
    </row>
    <row r="3570" spans="1:5" x14ac:dyDescent="0.25">
      <c r="A3570" t="s">
        <v>17</v>
      </c>
      <c r="B3570">
        <v>2015</v>
      </c>
      <c r="C3570" t="s">
        <v>6</v>
      </c>
      <c r="D3570">
        <v>54633093.788999997</v>
      </c>
      <c r="E3570" t="s">
        <v>81</v>
      </c>
    </row>
    <row r="3571" spans="1:5" x14ac:dyDescent="0.25">
      <c r="A3571" t="s">
        <v>17</v>
      </c>
      <c r="B3571">
        <v>2016</v>
      </c>
      <c r="C3571" t="s">
        <v>6</v>
      </c>
      <c r="D3571">
        <v>47463369.035999998</v>
      </c>
      <c r="E3571" t="s">
        <v>81</v>
      </c>
    </row>
    <row r="3572" spans="1:5" x14ac:dyDescent="0.25">
      <c r="A3572" t="s">
        <v>17</v>
      </c>
      <c r="B3572">
        <v>2017</v>
      </c>
      <c r="C3572" t="s">
        <v>6</v>
      </c>
      <c r="D3572">
        <v>44402795.942000002</v>
      </c>
      <c r="E3572" t="s">
        <v>81</v>
      </c>
    </row>
    <row r="3573" spans="1:5" x14ac:dyDescent="0.25">
      <c r="A3573" t="s">
        <v>17</v>
      </c>
      <c r="B3573">
        <v>2018</v>
      </c>
      <c r="C3573" t="s">
        <v>6</v>
      </c>
      <c r="D3573">
        <v>62816966.090000004</v>
      </c>
      <c r="E3573" t="s">
        <v>81</v>
      </c>
    </row>
    <row r="3574" spans="1:5" x14ac:dyDescent="0.25">
      <c r="A3574" t="s">
        <v>17</v>
      </c>
      <c r="B3574">
        <v>2019</v>
      </c>
      <c r="C3574" t="s">
        <v>6</v>
      </c>
      <c r="D3574">
        <v>181419504.09</v>
      </c>
      <c r="E3574" t="s">
        <v>81</v>
      </c>
    </row>
    <row r="3575" spans="1:5" x14ac:dyDescent="0.25">
      <c r="A3575" t="s">
        <v>17</v>
      </c>
      <c r="B3575">
        <v>2020</v>
      </c>
      <c r="C3575" t="s">
        <v>6</v>
      </c>
      <c r="D3575">
        <v>62665284.740000002</v>
      </c>
      <c r="E3575" t="s">
        <v>81</v>
      </c>
    </row>
    <row r="3576" spans="1:5" x14ac:dyDescent="0.25">
      <c r="A3576" t="s">
        <v>17</v>
      </c>
      <c r="B3576">
        <v>2021</v>
      </c>
      <c r="C3576" t="s">
        <v>6</v>
      </c>
      <c r="D3576">
        <v>85726515.355000004</v>
      </c>
      <c r="E3576" t="s">
        <v>81</v>
      </c>
    </row>
    <row r="3577" spans="1:5" x14ac:dyDescent="0.25">
      <c r="A3577" t="s">
        <v>17</v>
      </c>
      <c r="B3577">
        <v>2022</v>
      </c>
      <c r="C3577" t="s">
        <v>6</v>
      </c>
      <c r="D3577">
        <v>5007028.8499999996</v>
      </c>
      <c r="E3577" t="s">
        <v>81</v>
      </c>
    </row>
    <row r="3578" spans="1:5" x14ac:dyDescent="0.25">
      <c r="A3578" t="s">
        <v>17</v>
      </c>
      <c r="B3578">
        <v>2024</v>
      </c>
      <c r="C3578" t="s">
        <v>6</v>
      </c>
      <c r="D3578">
        <v>64302791.093999997</v>
      </c>
      <c r="E3578" t="s">
        <v>81</v>
      </c>
    </row>
    <row r="3579" spans="1:5" x14ac:dyDescent="0.25">
      <c r="A3579" t="s">
        <v>18</v>
      </c>
      <c r="B3579">
        <v>2004</v>
      </c>
      <c r="C3579" t="s">
        <v>6</v>
      </c>
      <c r="D3579">
        <v>4217102.5199999996</v>
      </c>
      <c r="E3579" t="s">
        <v>81</v>
      </c>
    </row>
    <row r="3580" spans="1:5" x14ac:dyDescent="0.25">
      <c r="A3580" t="s">
        <v>18</v>
      </c>
      <c r="B3580">
        <v>2005</v>
      </c>
      <c r="C3580" t="s">
        <v>6</v>
      </c>
      <c r="D3580">
        <v>23308580.300000001</v>
      </c>
      <c r="E3580" t="s">
        <v>81</v>
      </c>
    </row>
    <row r="3581" spans="1:5" x14ac:dyDescent="0.25">
      <c r="A3581" t="s">
        <v>18</v>
      </c>
      <c r="B3581">
        <v>2006</v>
      </c>
      <c r="C3581" t="s">
        <v>6</v>
      </c>
      <c r="D3581">
        <v>11610014.119999999</v>
      </c>
      <c r="E3581" t="s">
        <v>81</v>
      </c>
    </row>
    <row r="3582" spans="1:5" x14ac:dyDescent="0.25">
      <c r="A3582" t="s">
        <v>18</v>
      </c>
      <c r="B3582">
        <v>2007</v>
      </c>
      <c r="C3582" t="s">
        <v>6</v>
      </c>
      <c r="D3582">
        <v>26323589.719999999</v>
      </c>
      <c r="E3582" t="s">
        <v>81</v>
      </c>
    </row>
    <row r="3583" spans="1:5" x14ac:dyDescent="0.25">
      <c r="A3583" t="s">
        <v>18</v>
      </c>
      <c r="B3583">
        <v>2008</v>
      </c>
      <c r="C3583" t="s">
        <v>6</v>
      </c>
      <c r="D3583">
        <v>8148906.5800000001</v>
      </c>
      <c r="E3583" t="s">
        <v>81</v>
      </c>
    </row>
    <row r="3584" spans="1:5" x14ac:dyDescent="0.25">
      <c r="A3584" t="s">
        <v>18</v>
      </c>
      <c r="B3584">
        <v>2009</v>
      </c>
      <c r="C3584" t="s">
        <v>6</v>
      </c>
      <c r="D3584">
        <v>30570609</v>
      </c>
      <c r="E3584" t="s">
        <v>81</v>
      </c>
    </row>
    <row r="3585" spans="1:5" x14ac:dyDescent="0.25">
      <c r="A3585" t="s">
        <v>18</v>
      </c>
      <c r="B3585">
        <v>2010</v>
      </c>
      <c r="C3585" t="s">
        <v>6</v>
      </c>
      <c r="D3585">
        <v>16761216</v>
      </c>
      <c r="E3585" t="s">
        <v>81</v>
      </c>
    </row>
    <row r="3586" spans="1:5" x14ac:dyDescent="0.25">
      <c r="A3586" t="s">
        <v>18</v>
      </c>
      <c r="B3586">
        <v>2011</v>
      </c>
      <c r="C3586" t="s">
        <v>6</v>
      </c>
      <c r="D3586">
        <v>11348763.1</v>
      </c>
      <c r="E3586" t="s">
        <v>81</v>
      </c>
    </row>
    <row r="3587" spans="1:5" x14ac:dyDescent="0.25">
      <c r="A3587" t="s">
        <v>18</v>
      </c>
      <c r="B3587">
        <v>2012</v>
      </c>
      <c r="C3587" t="s">
        <v>6</v>
      </c>
      <c r="D3587">
        <v>13153851.51</v>
      </c>
      <c r="E3587" t="s">
        <v>81</v>
      </c>
    </row>
    <row r="3588" spans="1:5" x14ac:dyDescent="0.25">
      <c r="A3588" t="s">
        <v>18</v>
      </c>
      <c r="B3588">
        <v>2013</v>
      </c>
      <c r="C3588" t="s">
        <v>6</v>
      </c>
      <c r="D3588">
        <v>18830795.300000001</v>
      </c>
      <c r="E3588" t="s">
        <v>81</v>
      </c>
    </row>
    <row r="3589" spans="1:5" x14ac:dyDescent="0.25">
      <c r="A3589" t="s">
        <v>18</v>
      </c>
      <c r="B3589">
        <v>2014</v>
      </c>
      <c r="C3589" t="s">
        <v>6</v>
      </c>
      <c r="D3589">
        <v>16924718.100000001</v>
      </c>
      <c r="E3589" t="s">
        <v>81</v>
      </c>
    </row>
    <row r="3590" spans="1:5" x14ac:dyDescent="0.25">
      <c r="A3590" t="s">
        <v>18</v>
      </c>
      <c r="B3590">
        <v>2015</v>
      </c>
      <c r="C3590" t="s">
        <v>6</v>
      </c>
      <c r="D3590">
        <v>15565174.84</v>
      </c>
      <c r="E3590" t="s">
        <v>81</v>
      </c>
    </row>
    <row r="3591" spans="1:5" x14ac:dyDescent="0.25">
      <c r="A3591" t="s">
        <v>18</v>
      </c>
      <c r="B3591">
        <v>2016</v>
      </c>
      <c r="C3591" t="s">
        <v>6</v>
      </c>
      <c r="D3591">
        <v>13491447.67</v>
      </c>
      <c r="E3591" t="s">
        <v>81</v>
      </c>
    </row>
    <row r="3592" spans="1:5" x14ac:dyDescent="0.25">
      <c r="A3592" t="s">
        <v>18</v>
      </c>
      <c r="B3592">
        <v>2017</v>
      </c>
      <c r="C3592" t="s">
        <v>6</v>
      </c>
      <c r="D3592">
        <v>18336787.129999999</v>
      </c>
      <c r="E3592" t="s">
        <v>81</v>
      </c>
    </row>
    <row r="3593" spans="1:5" x14ac:dyDescent="0.25">
      <c r="A3593" t="s">
        <v>18</v>
      </c>
      <c r="B3593">
        <v>2018</v>
      </c>
      <c r="C3593" t="s">
        <v>6</v>
      </c>
      <c r="D3593">
        <v>16726275.289999999</v>
      </c>
      <c r="E3593" t="s">
        <v>81</v>
      </c>
    </row>
    <row r="3594" spans="1:5" x14ac:dyDescent="0.25">
      <c r="A3594" t="s">
        <v>18</v>
      </c>
      <c r="B3594">
        <v>2019</v>
      </c>
      <c r="C3594" t="s">
        <v>6</v>
      </c>
      <c r="D3594">
        <v>15838428.800000001</v>
      </c>
      <c r="E3594" t="s">
        <v>81</v>
      </c>
    </row>
    <row r="3595" spans="1:5" x14ac:dyDescent="0.25">
      <c r="A3595" t="s">
        <v>18</v>
      </c>
      <c r="B3595">
        <v>2020</v>
      </c>
      <c r="C3595" t="s">
        <v>6</v>
      </c>
      <c r="D3595">
        <v>5122657</v>
      </c>
      <c r="E3595" t="s">
        <v>81</v>
      </c>
    </row>
    <row r="3596" spans="1:5" x14ac:dyDescent="0.25">
      <c r="A3596" t="s">
        <v>18</v>
      </c>
      <c r="B3596">
        <v>2021</v>
      </c>
      <c r="C3596" t="s">
        <v>6</v>
      </c>
      <c r="D3596">
        <v>5676950.7800000003</v>
      </c>
      <c r="E3596" t="s">
        <v>81</v>
      </c>
    </row>
    <row r="3597" spans="1:5" x14ac:dyDescent="0.25">
      <c r="A3597" t="s">
        <v>18</v>
      </c>
      <c r="B3597">
        <v>2022</v>
      </c>
      <c r="C3597" t="s">
        <v>6</v>
      </c>
      <c r="D3597">
        <v>12872359.279999999</v>
      </c>
      <c r="E3597" t="s">
        <v>81</v>
      </c>
    </row>
    <row r="3598" spans="1:5" x14ac:dyDescent="0.25">
      <c r="A3598" t="s">
        <v>18</v>
      </c>
      <c r="B3598">
        <v>2023</v>
      </c>
      <c r="C3598" t="s">
        <v>6</v>
      </c>
      <c r="D3598">
        <v>13852207.289999999</v>
      </c>
      <c r="E3598" t="s">
        <v>81</v>
      </c>
    </row>
    <row r="3599" spans="1:5" x14ac:dyDescent="0.25">
      <c r="A3599" t="s">
        <v>18</v>
      </c>
      <c r="B3599">
        <v>2024</v>
      </c>
      <c r="C3599" t="s">
        <v>6</v>
      </c>
      <c r="D3599">
        <v>11182196.619999999</v>
      </c>
      <c r="E3599" t="s">
        <v>81</v>
      </c>
    </row>
    <row r="3600" spans="1:5" x14ac:dyDescent="0.25">
      <c r="A3600" t="s">
        <v>18</v>
      </c>
      <c r="B3600">
        <v>2025</v>
      </c>
      <c r="C3600" t="s">
        <v>6</v>
      </c>
      <c r="D3600">
        <v>62202011.560000002</v>
      </c>
      <c r="E3600" t="s">
        <v>81</v>
      </c>
    </row>
    <row r="3601" spans="1:5" x14ac:dyDescent="0.25">
      <c r="A3601" t="s">
        <v>20</v>
      </c>
      <c r="B3601">
        <v>2014</v>
      </c>
      <c r="C3601" t="s">
        <v>6</v>
      </c>
      <c r="D3601">
        <v>77946760.290000007</v>
      </c>
      <c r="E3601" t="s">
        <v>81</v>
      </c>
    </row>
    <row r="3602" spans="1:5" x14ac:dyDescent="0.25">
      <c r="A3602" t="s">
        <v>20</v>
      </c>
      <c r="B3602">
        <v>2015</v>
      </c>
      <c r="C3602" t="s">
        <v>6</v>
      </c>
      <c r="D3602">
        <v>51910138.883000001</v>
      </c>
      <c r="E3602" t="s">
        <v>81</v>
      </c>
    </row>
    <row r="3603" spans="1:5" x14ac:dyDescent="0.25">
      <c r="A3603" t="s">
        <v>20</v>
      </c>
      <c r="B3603">
        <v>2016</v>
      </c>
      <c r="C3603" t="s">
        <v>6</v>
      </c>
      <c r="D3603">
        <v>19291646.100000001</v>
      </c>
      <c r="E3603" t="s">
        <v>81</v>
      </c>
    </row>
    <row r="3604" spans="1:5" x14ac:dyDescent="0.25">
      <c r="A3604" t="s">
        <v>20</v>
      </c>
      <c r="B3604">
        <v>2017</v>
      </c>
      <c r="C3604" t="s">
        <v>6</v>
      </c>
      <c r="D3604">
        <v>19211253.359999999</v>
      </c>
      <c r="E3604" t="s">
        <v>81</v>
      </c>
    </row>
    <row r="3605" spans="1:5" x14ac:dyDescent="0.25">
      <c r="A3605" t="s">
        <v>20</v>
      </c>
      <c r="B3605">
        <v>2020</v>
      </c>
      <c r="C3605" t="s">
        <v>6</v>
      </c>
      <c r="D3605">
        <v>3863869.6</v>
      </c>
      <c r="E3605" t="s">
        <v>81</v>
      </c>
    </row>
    <row r="3606" spans="1:5" x14ac:dyDescent="0.25">
      <c r="A3606" t="s">
        <v>20</v>
      </c>
      <c r="B3606">
        <v>2022</v>
      </c>
      <c r="C3606" t="s">
        <v>6</v>
      </c>
      <c r="D3606">
        <v>1748501</v>
      </c>
      <c r="E3606" t="s">
        <v>81</v>
      </c>
    </row>
    <row r="3607" spans="1:5" x14ac:dyDescent="0.25">
      <c r="A3607" t="s">
        <v>20</v>
      </c>
      <c r="B3607">
        <v>2023</v>
      </c>
      <c r="C3607" t="s">
        <v>6</v>
      </c>
      <c r="D3607">
        <v>1349268</v>
      </c>
      <c r="E3607" t="s">
        <v>81</v>
      </c>
    </row>
    <row r="3608" spans="1:5" x14ac:dyDescent="0.25">
      <c r="A3608" t="s">
        <v>21</v>
      </c>
      <c r="B3608">
        <v>2000</v>
      </c>
      <c r="C3608" t="s">
        <v>6</v>
      </c>
      <c r="D3608">
        <v>13538774.972999999</v>
      </c>
      <c r="E3608" t="s">
        <v>81</v>
      </c>
    </row>
    <row r="3609" spans="1:5" x14ac:dyDescent="0.25">
      <c r="A3609" t="s">
        <v>21</v>
      </c>
      <c r="B3609">
        <v>2001</v>
      </c>
      <c r="C3609" t="s">
        <v>6</v>
      </c>
      <c r="D3609">
        <v>15533501.385</v>
      </c>
      <c r="E3609" t="s">
        <v>81</v>
      </c>
    </row>
    <row r="3610" spans="1:5" x14ac:dyDescent="0.25">
      <c r="A3610" t="s">
        <v>21</v>
      </c>
      <c r="B3610">
        <v>2002</v>
      </c>
      <c r="C3610" t="s">
        <v>6</v>
      </c>
      <c r="D3610">
        <v>16285464.23</v>
      </c>
      <c r="E3610" t="s">
        <v>81</v>
      </c>
    </row>
    <row r="3611" spans="1:5" x14ac:dyDescent="0.25">
      <c r="A3611" t="s">
        <v>21</v>
      </c>
      <c r="B3611">
        <v>2003</v>
      </c>
      <c r="C3611" t="s">
        <v>6</v>
      </c>
      <c r="D3611">
        <v>17232206.324000001</v>
      </c>
      <c r="E3611" t="s">
        <v>81</v>
      </c>
    </row>
    <row r="3612" spans="1:5" x14ac:dyDescent="0.25">
      <c r="A3612" t="s">
        <v>21</v>
      </c>
      <c r="B3612">
        <v>2004</v>
      </c>
      <c r="C3612" t="s">
        <v>6</v>
      </c>
      <c r="D3612">
        <v>13239613.075999999</v>
      </c>
      <c r="E3612" t="s">
        <v>81</v>
      </c>
    </row>
    <row r="3613" spans="1:5" x14ac:dyDescent="0.25">
      <c r="A3613" t="s">
        <v>21</v>
      </c>
      <c r="B3613">
        <v>2005</v>
      </c>
      <c r="C3613" t="s">
        <v>6</v>
      </c>
      <c r="D3613">
        <v>14993371.854</v>
      </c>
      <c r="E3613" t="s">
        <v>81</v>
      </c>
    </row>
    <row r="3614" spans="1:5" x14ac:dyDescent="0.25">
      <c r="A3614" t="s">
        <v>21</v>
      </c>
      <c r="B3614">
        <v>2006</v>
      </c>
      <c r="C3614" t="s">
        <v>6</v>
      </c>
      <c r="D3614">
        <v>17317360.039000001</v>
      </c>
      <c r="E3614" t="s">
        <v>81</v>
      </c>
    </row>
    <row r="3615" spans="1:5" x14ac:dyDescent="0.25">
      <c r="A3615" t="s">
        <v>21</v>
      </c>
      <c r="B3615">
        <v>2007</v>
      </c>
      <c r="C3615" t="s">
        <v>6</v>
      </c>
      <c r="D3615">
        <v>16110823.718</v>
      </c>
      <c r="E3615" t="s">
        <v>81</v>
      </c>
    </row>
    <row r="3616" spans="1:5" x14ac:dyDescent="0.25">
      <c r="A3616" t="s">
        <v>21</v>
      </c>
      <c r="B3616">
        <v>2008</v>
      </c>
      <c r="C3616" t="s">
        <v>6</v>
      </c>
      <c r="D3616">
        <v>15582381.312000001</v>
      </c>
      <c r="E3616" t="s">
        <v>81</v>
      </c>
    </row>
    <row r="3617" spans="1:5" x14ac:dyDescent="0.25">
      <c r="A3617" t="s">
        <v>21</v>
      </c>
      <c r="B3617">
        <v>2009</v>
      </c>
      <c r="C3617" t="s">
        <v>6</v>
      </c>
      <c r="D3617">
        <v>15154892.736</v>
      </c>
      <c r="E3617" t="s">
        <v>81</v>
      </c>
    </row>
    <row r="3618" spans="1:5" x14ac:dyDescent="0.25">
      <c r="A3618" t="s">
        <v>21</v>
      </c>
      <c r="B3618">
        <v>2010</v>
      </c>
      <c r="C3618" t="s">
        <v>6</v>
      </c>
      <c r="D3618">
        <v>13708700</v>
      </c>
      <c r="E3618" t="s">
        <v>81</v>
      </c>
    </row>
    <row r="3619" spans="1:5" x14ac:dyDescent="0.25">
      <c r="A3619" t="s">
        <v>21</v>
      </c>
      <c r="B3619">
        <v>2011</v>
      </c>
      <c r="C3619" t="s">
        <v>6</v>
      </c>
      <c r="D3619">
        <v>14173200</v>
      </c>
      <c r="E3619" t="s">
        <v>81</v>
      </c>
    </row>
    <row r="3620" spans="1:5" x14ac:dyDescent="0.25">
      <c r="A3620" t="s">
        <v>21</v>
      </c>
      <c r="B3620">
        <v>2012</v>
      </c>
      <c r="C3620" t="s">
        <v>6</v>
      </c>
      <c r="D3620">
        <v>16133000</v>
      </c>
      <c r="E3620" t="s">
        <v>81</v>
      </c>
    </row>
    <row r="3621" spans="1:5" x14ac:dyDescent="0.25">
      <c r="A3621" t="s">
        <v>21</v>
      </c>
      <c r="B3621">
        <v>2013</v>
      </c>
      <c r="C3621" t="s">
        <v>6</v>
      </c>
      <c r="D3621">
        <v>15100900</v>
      </c>
      <c r="E3621" t="s">
        <v>81</v>
      </c>
    </row>
    <row r="3622" spans="1:5" x14ac:dyDescent="0.25">
      <c r="A3622" t="s">
        <v>21</v>
      </c>
      <c r="B3622">
        <v>2014</v>
      </c>
      <c r="C3622" t="s">
        <v>6</v>
      </c>
      <c r="D3622">
        <v>17810196</v>
      </c>
      <c r="E3622" t="s">
        <v>81</v>
      </c>
    </row>
    <row r="3623" spans="1:5" x14ac:dyDescent="0.25">
      <c r="A3623" t="s">
        <v>21</v>
      </c>
      <c r="B3623">
        <v>2015</v>
      </c>
      <c r="C3623" t="s">
        <v>6</v>
      </c>
      <c r="D3623">
        <v>19592723</v>
      </c>
      <c r="E3623" t="s">
        <v>81</v>
      </c>
    </row>
    <row r="3624" spans="1:5" x14ac:dyDescent="0.25">
      <c r="A3624" t="s">
        <v>21</v>
      </c>
      <c r="B3624">
        <v>2016</v>
      </c>
      <c r="C3624" t="s">
        <v>6</v>
      </c>
      <c r="D3624">
        <v>18643414</v>
      </c>
      <c r="E3624" t="s">
        <v>81</v>
      </c>
    </row>
    <row r="3625" spans="1:5" x14ac:dyDescent="0.25">
      <c r="A3625" t="s">
        <v>21</v>
      </c>
      <c r="B3625">
        <v>2017</v>
      </c>
      <c r="C3625" t="s">
        <v>6</v>
      </c>
      <c r="D3625">
        <v>22037533.298999999</v>
      </c>
      <c r="E3625" t="s">
        <v>81</v>
      </c>
    </row>
    <row r="3626" spans="1:5" x14ac:dyDescent="0.25">
      <c r="A3626" t="s">
        <v>21</v>
      </c>
      <c r="B3626">
        <v>2018</v>
      </c>
      <c r="C3626" t="s">
        <v>6</v>
      </c>
      <c r="D3626">
        <v>17636799.576000001</v>
      </c>
      <c r="E3626" t="s">
        <v>81</v>
      </c>
    </row>
    <row r="3627" spans="1:5" x14ac:dyDescent="0.25">
      <c r="A3627" t="s">
        <v>21</v>
      </c>
      <c r="B3627">
        <v>2019</v>
      </c>
      <c r="C3627" t="s">
        <v>6</v>
      </c>
      <c r="D3627">
        <v>19451272</v>
      </c>
      <c r="E3627" t="s">
        <v>81</v>
      </c>
    </row>
    <row r="3628" spans="1:5" x14ac:dyDescent="0.25">
      <c r="A3628" t="s">
        <v>21</v>
      </c>
      <c r="B3628">
        <v>2020</v>
      </c>
      <c r="C3628" t="s">
        <v>6</v>
      </c>
      <c r="D3628">
        <v>18050116</v>
      </c>
      <c r="E3628" t="s">
        <v>81</v>
      </c>
    </row>
    <row r="3629" spans="1:5" x14ac:dyDescent="0.25">
      <c r="A3629" t="s">
        <v>21</v>
      </c>
      <c r="B3629">
        <v>2021</v>
      </c>
      <c r="C3629" t="s">
        <v>6</v>
      </c>
      <c r="D3629">
        <v>17662372</v>
      </c>
      <c r="E3629" t="s">
        <v>81</v>
      </c>
    </row>
    <row r="3630" spans="1:5" x14ac:dyDescent="0.25">
      <c r="A3630" t="s">
        <v>21</v>
      </c>
      <c r="B3630">
        <v>2022</v>
      </c>
      <c r="C3630" t="s">
        <v>6</v>
      </c>
      <c r="D3630">
        <v>16631036.58</v>
      </c>
      <c r="E3630" t="s">
        <v>81</v>
      </c>
    </row>
    <row r="3631" spans="1:5" x14ac:dyDescent="0.25">
      <c r="A3631" t="s">
        <v>21</v>
      </c>
      <c r="B3631">
        <v>2023</v>
      </c>
      <c r="C3631" t="s">
        <v>6</v>
      </c>
      <c r="D3631">
        <v>14275917.505999999</v>
      </c>
      <c r="E3631" t="s">
        <v>81</v>
      </c>
    </row>
    <row r="3632" spans="1:5" x14ac:dyDescent="0.25">
      <c r="A3632" t="s">
        <v>21</v>
      </c>
      <c r="B3632">
        <v>2024</v>
      </c>
      <c r="C3632" t="s">
        <v>6</v>
      </c>
      <c r="D3632">
        <v>14903209.319</v>
      </c>
      <c r="E3632" t="s">
        <v>81</v>
      </c>
    </row>
    <row r="3633" spans="1:5" x14ac:dyDescent="0.25">
      <c r="A3633" t="s">
        <v>22</v>
      </c>
      <c r="B3633">
        <v>2015</v>
      </c>
      <c r="C3633" t="s">
        <v>6</v>
      </c>
      <c r="D3633">
        <v>2006682</v>
      </c>
      <c r="E3633" t="s">
        <v>81</v>
      </c>
    </row>
    <row r="3634" spans="1:5" x14ac:dyDescent="0.25">
      <c r="A3634" t="s">
        <v>22</v>
      </c>
      <c r="B3634">
        <v>2017</v>
      </c>
      <c r="C3634" t="s">
        <v>6</v>
      </c>
      <c r="D3634">
        <v>4349493.1639999999</v>
      </c>
      <c r="E3634" t="s">
        <v>81</v>
      </c>
    </row>
    <row r="3635" spans="1:5" x14ac:dyDescent="0.25">
      <c r="A3635" t="s">
        <v>22</v>
      </c>
      <c r="B3635">
        <v>2018</v>
      </c>
      <c r="C3635" t="s">
        <v>6</v>
      </c>
      <c r="D3635">
        <v>3016709.6860000002</v>
      </c>
      <c r="E3635" t="s">
        <v>81</v>
      </c>
    </row>
    <row r="3636" spans="1:5" x14ac:dyDescent="0.25">
      <c r="A3636" t="s">
        <v>22</v>
      </c>
      <c r="B3636">
        <v>2019</v>
      </c>
      <c r="C3636" t="s">
        <v>6</v>
      </c>
      <c r="D3636">
        <v>2424115.182</v>
      </c>
      <c r="E3636" t="s">
        <v>81</v>
      </c>
    </row>
    <row r="3637" spans="1:5" x14ac:dyDescent="0.25">
      <c r="A3637" t="s">
        <v>22</v>
      </c>
      <c r="B3637">
        <v>2020</v>
      </c>
      <c r="C3637" t="s">
        <v>6</v>
      </c>
      <c r="D3637">
        <v>3239203.8560000001</v>
      </c>
      <c r="E3637" t="s">
        <v>81</v>
      </c>
    </row>
    <row r="3638" spans="1:5" x14ac:dyDescent="0.25">
      <c r="A3638" t="s">
        <v>22</v>
      </c>
      <c r="B3638">
        <v>2021</v>
      </c>
      <c r="C3638" t="s">
        <v>6</v>
      </c>
      <c r="D3638">
        <v>3031809.199</v>
      </c>
      <c r="E3638" t="s">
        <v>81</v>
      </c>
    </row>
    <row r="3639" spans="1:5" x14ac:dyDescent="0.25">
      <c r="A3639" t="s">
        <v>22</v>
      </c>
      <c r="B3639">
        <v>2022</v>
      </c>
      <c r="C3639" t="s">
        <v>6</v>
      </c>
      <c r="D3639">
        <v>2409261.048</v>
      </c>
      <c r="E3639" t="s">
        <v>81</v>
      </c>
    </row>
    <row r="3640" spans="1:5" x14ac:dyDescent="0.25">
      <c r="A3640" t="s">
        <v>22</v>
      </c>
      <c r="B3640">
        <v>2023</v>
      </c>
      <c r="C3640" t="s">
        <v>6</v>
      </c>
      <c r="D3640">
        <v>2032779</v>
      </c>
      <c r="E3640" t="s">
        <v>81</v>
      </c>
    </row>
    <row r="3641" spans="1:5" x14ac:dyDescent="0.25">
      <c r="A3641" t="s">
        <v>22</v>
      </c>
      <c r="B3641">
        <v>2024</v>
      </c>
      <c r="C3641" t="s">
        <v>6</v>
      </c>
      <c r="D3641">
        <v>2194709.3859999999</v>
      </c>
      <c r="E3641" t="s">
        <v>81</v>
      </c>
    </row>
    <row r="3642" spans="1:5" x14ac:dyDescent="0.25">
      <c r="A3642" t="s">
        <v>22</v>
      </c>
      <c r="B3642">
        <v>2025</v>
      </c>
      <c r="C3642" t="s">
        <v>6</v>
      </c>
      <c r="D3642">
        <v>2053698.794</v>
      </c>
      <c r="E3642" t="s">
        <v>81</v>
      </c>
    </row>
    <row r="3643" spans="1:5" x14ac:dyDescent="0.25">
      <c r="A3643" t="s">
        <v>23</v>
      </c>
      <c r="B3643">
        <v>2011</v>
      </c>
      <c r="C3643" t="s">
        <v>6</v>
      </c>
      <c r="D3643">
        <v>3839572.48</v>
      </c>
      <c r="E3643" t="s">
        <v>81</v>
      </c>
    </row>
    <row r="3644" spans="1:5" x14ac:dyDescent="0.25">
      <c r="A3644" t="s">
        <v>23</v>
      </c>
      <c r="B3644">
        <v>2013</v>
      </c>
      <c r="C3644" t="s">
        <v>6</v>
      </c>
      <c r="D3644">
        <v>2483177.6</v>
      </c>
      <c r="E3644" t="s">
        <v>81</v>
      </c>
    </row>
    <row r="3645" spans="1:5" x14ac:dyDescent="0.25">
      <c r="A3645" t="s">
        <v>23</v>
      </c>
      <c r="B3645">
        <v>2014</v>
      </c>
      <c r="C3645" t="s">
        <v>6</v>
      </c>
      <c r="D3645">
        <v>2938348.92</v>
      </c>
      <c r="E3645" t="s">
        <v>81</v>
      </c>
    </row>
    <row r="3646" spans="1:5" x14ac:dyDescent="0.25">
      <c r="A3646" t="s">
        <v>23</v>
      </c>
      <c r="B3646">
        <v>2015</v>
      </c>
      <c r="C3646" t="s">
        <v>6</v>
      </c>
      <c r="D3646">
        <v>3931610.91</v>
      </c>
      <c r="E3646" t="s">
        <v>81</v>
      </c>
    </row>
    <row r="3647" spans="1:5" x14ac:dyDescent="0.25">
      <c r="A3647" t="s">
        <v>23</v>
      </c>
      <c r="B3647">
        <v>2016</v>
      </c>
      <c r="C3647" t="s">
        <v>6</v>
      </c>
      <c r="D3647">
        <v>2713515.65</v>
      </c>
      <c r="E3647" t="s">
        <v>81</v>
      </c>
    </row>
    <row r="3648" spans="1:5" x14ac:dyDescent="0.25">
      <c r="A3648" t="s">
        <v>23</v>
      </c>
      <c r="B3648">
        <v>2020</v>
      </c>
      <c r="C3648" t="s">
        <v>6</v>
      </c>
      <c r="D3648">
        <v>12301143.439999999</v>
      </c>
      <c r="E3648" t="s">
        <v>81</v>
      </c>
    </row>
    <row r="3649" spans="1:5" x14ac:dyDescent="0.25">
      <c r="A3649" t="s">
        <v>23</v>
      </c>
      <c r="B3649">
        <v>2021</v>
      </c>
      <c r="C3649" t="s">
        <v>6</v>
      </c>
      <c r="D3649">
        <v>32589126.278999999</v>
      </c>
      <c r="E3649" t="s">
        <v>81</v>
      </c>
    </row>
    <row r="3650" spans="1:5" x14ac:dyDescent="0.25">
      <c r="A3650" t="s">
        <v>23</v>
      </c>
      <c r="B3650">
        <v>2022</v>
      </c>
      <c r="C3650" t="s">
        <v>6</v>
      </c>
      <c r="D3650">
        <v>20938153.844999999</v>
      </c>
      <c r="E3650" t="s">
        <v>81</v>
      </c>
    </row>
    <row r="3651" spans="1:5" x14ac:dyDescent="0.25">
      <c r="A3651" t="s">
        <v>23</v>
      </c>
      <c r="B3651">
        <v>2023</v>
      </c>
      <c r="C3651" t="s">
        <v>6</v>
      </c>
      <c r="D3651">
        <v>10201670.124</v>
      </c>
      <c r="E3651" t="s">
        <v>81</v>
      </c>
    </row>
    <row r="3652" spans="1:5" x14ac:dyDescent="0.25">
      <c r="A3652" t="s">
        <v>25</v>
      </c>
      <c r="B3652">
        <v>2010</v>
      </c>
      <c r="C3652" t="s">
        <v>6</v>
      </c>
      <c r="D3652">
        <v>10551953</v>
      </c>
      <c r="E3652" t="s">
        <v>81</v>
      </c>
    </row>
    <row r="3653" spans="1:5" x14ac:dyDescent="0.25">
      <c r="A3653" t="s">
        <v>25</v>
      </c>
      <c r="B3653">
        <v>2011</v>
      </c>
      <c r="C3653" t="s">
        <v>6</v>
      </c>
      <c r="D3653">
        <v>16623698</v>
      </c>
      <c r="E3653" t="s">
        <v>81</v>
      </c>
    </row>
    <row r="3654" spans="1:5" x14ac:dyDescent="0.25">
      <c r="A3654" t="s">
        <v>25</v>
      </c>
      <c r="B3654">
        <v>2012</v>
      </c>
      <c r="C3654" t="s">
        <v>6</v>
      </c>
      <c r="D3654">
        <v>13328645</v>
      </c>
      <c r="E3654" t="s">
        <v>81</v>
      </c>
    </row>
    <row r="3655" spans="1:5" x14ac:dyDescent="0.25">
      <c r="A3655" t="s">
        <v>25</v>
      </c>
      <c r="B3655">
        <v>2017</v>
      </c>
      <c r="C3655" t="s">
        <v>6</v>
      </c>
      <c r="D3655">
        <v>11638819</v>
      </c>
      <c r="E3655" t="s">
        <v>81</v>
      </c>
    </row>
    <row r="3656" spans="1:5" x14ac:dyDescent="0.25">
      <c r="A3656" t="s">
        <v>25</v>
      </c>
      <c r="B3656">
        <v>2019</v>
      </c>
      <c r="C3656" t="s">
        <v>6</v>
      </c>
      <c r="D3656">
        <v>9412001</v>
      </c>
      <c r="E3656" t="s">
        <v>81</v>
      </c>
    </row>
    <row r="3657" spans="1:5" x14ac:dyDescent="0.25">
      <c r="A3657" t="s">
        <v>25</v>
      </c>
      <c r="B3657">
        <v>2020</v>
      </c>
      <c r="C3657" t="s">
        <v>6</v>
      </c>
      <c r="D3657">
        <v>16074620</v>
      </c>
      <c r="E3657" t="s">
        <v>81</v>
      </c>
    </row>
    <row r="3658" spans="1:5" x14ac:dyDescent="0.25">
      <c r="A3658" t="s">
        <v>25</v>
      </c>
      <c r="B3658">
        <v>2021</v>
      </c>
      <c r="C3658" t="s">
        <v>6</v>
      </c>
      <c r="D3658">
        <v>21157312</v>
      </c>
      <c r="E3658" t="s">
        <v>81</v>
      </c>
    </row>
    <row r="3659" spans="1:5" x14ac:dyDescent="0.25">
      <c r="A3659" t="s">
        <v>25</v>
      </c>
      <c r="B3659">
        <v>2022</v>
      </c>
      <c r="C3659" t="s">
        <v>6</v>
      </c>
      <c r="D3659">
        <v>21132631</v>
      </c>
      <c r="E3659" t="s">
        <v>81</v>
      </c>
    </row>
    <row r="3660" spans="1:5" x14ac:dyDescent="0.25">
      <c r="A3660" t="s">
        <v>25</v>
      </c>
      <c r="B3660">
        <v>2023</v>
      </c>
      <c r="C3660" t="s">
        <v>6</v>
      </c>
      <c r="D3660">
        <v>16074716</v>
      </c>
      <c r="E3660" t="s">
        <v>81</v>
      </c>
    </row>
    <row r="3661" spans="1:5" x14ac:dyDescent="0.25">
      <c r="A3661" t="s">
        <v>25</v>
      </c>
      <c r="B3661">
        <v>2024</v>
      </c>
      <c r="C3661" t="s">
        <v>6</v>
      </c>
      <c r="D3661">
        <v>23325599</v>
      </c>
      <c r="E3661" t="s">
        <v>81</v>
      </c>
    </row>
    <row r="3662" spans="1:5" x14ac:dyDescent="0.25">
      <c r="A3662" t="s">
        <v>25</v>
      </c>
      <c r="B3662">
        <v>2025</v>
      </c>
      <c r="C3662" t="s">
        <v>6</v>
      </c>
      <c r="D3662">
        <v>17105651</v>
      </c>
      <c r="E3662" t="s">
        <v>81</v>
      </c>
    </row>
    <row r="3663" spans="1:5" x14ac:dyDescent="0.25">
      <c r="A3663" t="s">
        <v>28</v>
      </c>
      <c r="B3663">
        <v>2013</v>
      </c>
      <c r="C3663" t="s">
        <v>6</v>
      </c>
      <c r="D3663">
        <v>3395856</v>
      </c>
      <c r="E3663" t="s">
        <v>81</v>
      </c>
    </row>
    <row r="3664" spans="1:5" x14ac:dyDescent="0.25">
      <c r="A3664" t="s">
        <v>28</v>
      </c>
      <c r="B3664">
        <v>2014</v>
      </c>
      <c r="C3664" t="s">
        <v>6</v>
      </c>
      <c r="D3664">
        <v>5519525</v>
      </c>
      <c r="E3664" t="s">
        <v>81</v>
      </c>
    </row>
    <row r="3665" spans="1:5" x14ac:dyDescent="0.25">
      <c r="A3665" t="s">
        <v>28</v>
      </c>
      <c r="B3665">
        <v>2015</v>
      </c>
      <c r="C3665" t="s">
        <v>6</v>
      </c>
      <c r="D3665">
        <v>9703051.6950000003</v>
      </c>
      <c r="E3665" t="s">
        <v>81</v>
      </c>
    </row>
    <row r="3666" spans="1:5" x14ac:dyDescent="0.25">
      <c r="A3666" t="s">
        <v>28</v>
      </c>
      <c r="B3666">
        <v>2016</v>
      </c>
      <c r="C3666" t="s">
        <v>6</v>
      </c>
      <c r="D3666">
        <v>13269219.16</v>
      </c>
      <c r="E3666" t="s">
        <v>81</v>
      </c>
    </row>
    <row r="3667" spans="1:5" x14ac:dyDescent="0.25">
      <c r="A3667" t="s">
        <v>28</v>
      </c>
      <c r="B3667">
        <v>2017</v>
      </c>
      <c r="C3667" t="s">
        <v>6</v>
      </c>
      <c r="D3667">
        <v>5847551</v>
      </c>
      <c r="E3667" t="s">
        <v>81</v>
      </c>
    </row>
    <row r="3668" spans="1:5" x14ac:dyDescent="0.25">
      <c r="A3668" t="s">
        <v>28</v>
      </c>
      <c r="B3668">
        <v>2018</v>
      </c>
      <c r="C3668" t="s">
        <v>6</v>
      </c>
      <c r="D3668">
        <v>15952700</v>
      </c>
      <c r="E3668" t="s">
        <v>81</v>
      </c>
    </row>
    <row r="3669" spans="1:5" x14ac:dyDescent="0.25">
      <c r="A3669" t="s">
        <v>28</v>
      </c>
      <c r="B3669">
        <v>2019</v>
      </c>
      <c r="C3669" t="s">
        <v>6</v>
      </c>
      <c r="D3669">
        <v>27972115</v>
      </c>
      <c r="E3669" t="s">
        <v>81</v>
      </c>
    </row>
    <row r="3670" spans="1:5" x14ac:dyDescent="0.25">
      <c r="A3670" t="s">
        <v>28</v>
      </c>
      <c r="B3670">
        <v>2020</v>
      </c>
      <c r="C3670" t="s">
        <v>6</v>
      </c>
      <c r="D3670">
        <v>38201579</v>
      </c>
      <c r="E3670" t="s">
        <v>81</v>
      </c>
    </row>
    <row r="3671" spans="1:5" x14ac:dyDescent="0.25">
      <c r="A3671" t="s">
        <v>28</v>
      </c>
      <c r="B3671">
        <v>2021</v>
      </c>
      <c r="C3671" t="s">
        <v>6</v>
      </c>
      <c r="D3671">
        <v>25591852</v>
      </c>
      <c r="E3671" t="s">
        <v>81</v>
      </c>
    </row>
    <row r="3672" spans="1:5" x14ac:dyDescent="0.25">
      <c r="A3672" t="s">
        <v>28</v>
      </c>
      <c r="B3672">
        <v>2022</v>
      </c>
      <c r="C3672" t="s">
        <v>6</v>
      </c>
      <c r="D3672">
        <v>28830380</v>
      </c>
      <c r="E3672" t="s">
        <v>81</v>
      </c>
    </row>
    <row r="3673" spans="1:5" x14ac:dyDescent="0.25">
      <c r="A3673" t="s">
        <v>28</v>
      </c>
      <c r="B3673">
        <v>2023</v>
      </c>
      <c r="C3673" t="s">
        <v>6</v>
      </c>
      <c r="D3673">
        <v>16775234</v>
      </c>
      <c r="E3673" t="s">
        <v>81</v>
      </c>
    </row>
    <row r="3674" spans="1:5" x14ac:dyDescent="0.25">
      <c r="A3674" t="s">
        <v>28</v>
      </c>
      <c r="B3674">
        <v>2024</v>
      </c>
      <c r="C3674" t="s">
        <v>6</v>
      </c>
      <c r="D3674">
        <v>16598409</v>
      </c>
      <c r="E3674" t="s">
        <v>81</v>
      </c>
    </row>
    <row r="3675" spans="1:5" x14ac:dyDescent="0.25">
      <c r="A3675" t="s">
        <v>92</v>
      </c>
      <c r="B3675">
        <v>2010</v>
      </c>
      <c r="C3675" t="s">
        <v>6</v>
      </c>
      <c r="D3675">
        <v>5749196</v>
      </c>
      <c r="E3675" t="s">
        <v>81</v>
      </c>
    </row>
    <row r="3676" spans="1:5" x14ac:dyDescent="0.25">
      <c r="A3676" t="s">
        <v>75</v>
      </c>
      <c r="B3676">
        <v>2001</v>
      </c>
      <c r="C3676" t="s">
        <v>6</v>
      </c>
      <c r="D3676">
        <v>427438</v>
      </c>
      <c r="E3676" t="s">
        <v>81</v>
      </c>
    </row>
    <row r="3677" spans="1:5" x14ac:dyDescent="0.25">
      <c r="A3677" t="s">
        <v>91</v>
      </c>
      <c r="B3677">
        <v>2017</v>
      </c>
      <c r="C3677" t="s">
        <v>6</v>
      </c>
      <c r="D3677">
        <v>2684121.06</v>
      </c>
      <c r="E3677" t="s">
        <v>81</v>
      </c>
    </row>
    <row r="3678" spans="1:5" x14ac:dyDescent="0.25">
      <c r="A3678" t="s">
        <v>91</v>
      </c>
      <c r="B3678">
        <v>2018</v>
      </c>
      <c r="C3678" t="s">
        <v>6</v>
      </c>
      <c r="D3678">
        <v>2165425.969</v>
      </c>
      <c r="E3678" t="s">
        <v>81</v>
      </c>
    </row>
    <row r="3679" spans="1:5" x14ac:dyDescent="0.25">
      <c r="A3679" t="s">
        <v>91</v>
      </c>
      <c r="B3679">
        <v>2019</v>
      </c>
      <c r="C3679" t="s">
        <v>6</v>
      </c>
      <c r="D3679">
        <v>2914814.094</v>
      </c>
      <c r="E3679" t="s">
        <v>81</v>
      </c>
    </row>
    <row r="3680" spans="1:5" x14ac:dyDescent="0.25">
      <c r="A3680" t="s">
        <v>91</v>
      </c>
      <c r="B3680">
        <v>2020</v>
      </c>
      <c r="C3680" t="s">
        <v>6</v>
      </c>
      <c r="D3680">
        <v>2183466.3319999999</v>
      </c>
      <c r="E3680" t="s">
        <v>81</v>
      </c>
    </row>
    <row r="3681" spans="1:5" x14ac:dyDescent="0.25">
      <c r="A3681" t="s">
        <v>91</v>
      </c>
      <c r="B3681">
        <v>2021</v>
      </c>
      <c r="C3681" t="s">
        <v>6</v>
      </c>
      <c r="D3681">
        <v>2610085.3250000002</v>
      </c>
      <c r="E3681" t="s">
        <v>81</v>
      </c>
    </row>
    <row r="3682" spans="1:5" x14ac:dyDescent="0.25">
      <c r="A3682" t="s">
        <v>91</v>
      </c>
      <c r="B3682">
        <v>2022</v>
      </c>
      <c r="C3682" t="s">
        <v>6</v>
      </c>
      <c r="D3682">
        <v>2871591.9330000002</v>
      </c>
      <c r="E3682" t="s">
        <v>81</v>
      </c>
    </row>
    <row r="3683" spans="1:5" x14ac:dyDescent="0.25">
      <c r="A3683" t="s">
        <v>91</v>
      </c>
      <c r="B3683">
        <v>2023</v>
      </c>
      <c r="C3683" t="s">
        <v>6</v>
      </c>
      <c r="D3683">
        <v>2995552.0150000001</v>
      </c>
      <c r="E3683" t="s">
        <v>81</v>
      </c>
    </row>
    <row r="3684" spans="1:5" x14ac:dyDescent="0.25">
      <c r="A3684" t="s">
        <v>91</v>
      </c>
      <c r="B3684">
        <v>2024</v>
      </c>
      <c r="C3684" t="s">
        <v>6</v>
      </c>
      <c r="D3684">
        <v>3274311.7629999998</v>
      </c>
      <c r="E3684" t="s">
        <v>81</v>
      </c>
    </row>
    <row r="3685" spans="1:5" x14ac:dyDescent="0.25">
      <c r="A3685" t="s">
        <v>91</v>
      </c>
      <c r="B3685">
        <v>2025</v>
      </c>
      <c r="C3685" t="s">
        <v>6</v>
      </c>
      <c r="D3685">
        <v>2204070.7599999998</v>
      </c>
      <c r="E3685" t="s">
        <v>81</v>
      </c>
    </row>
    <row r="3686" spans="1:5" x14ac:dyDescent="0.25">
      <c r="A3686" t="s">
        <v>29</v>
      </c>
      <c r="B3686">
        <v>2000</v>
      </c>
      <c r="C3686" t="s">
        <v>6</v>
      </c>
      <c r="D3686">
        <v>43129968</v>
      </c>
      <c r="E3686" t="s">
        <v>81</v>
      </c>
    </row>
    <row r="3687" spans="1:5" x14ac:dyDescent="0.25">
      <c r="A3687" t="s">
        <v>29</v>
      </c>
      <c r="B3687">
        <v>2001</v>
      </c>
      <c r="C3687" t="s">
        <v>6</v>
      </c>
      <c r="D3687">
        <v>38667000</v>
      </c>
      <c r="E3687" t="s">
        <v>81</v>
      </c>
    </row>
    <row r="3688" spans="1:5" x14ac:dyDescent="0.25">
      <c r="A3688" t="s">
        <v>29</v>
      </c>
      <c r="B3688">
        <v>2002</v>
      </c>
      <c r="C3688" t="s">
        <v>6</v>
      </c>
      <c r="D3688">
        <v>40346403</v>
      </c>
      <c r="E3688" t="s">
        <v>81</v>
      </c>
    </row>
    <row r="3689" spans="1:5" x14ac:dyDescent="0.25">
      <c r="A3689" t="s">
        <v>29</v>
      </c>
      <c r="B3689">
        <v>2003</v>
      </c>
      <c r="C3689" t="s">
        <v>6</v>
      </c>
      <c r="D3689">
        <v>42862137</v>
      </c>
      <c r="E3689" t="s">
        <v>81</v>
      </c>
    </row>
    <row r="3690" spans="1:5" x14ac:dyDescent="0.25">
      <c r="A3690" t="s">
        <v>29</v>
      </c>
      <c r="B3690">
        <v>2004</v>
      </c>
      <c r="C3690" t="s">
        <v>6</v>
      </c>
      <c r="D3690">
        <v>34456182</v>
      </c>
      <c r="E3690" t="s">
        <v>81</v>
      </c>
    </row>
    <row r="3691" spans="1:5" x14ac:dyDescent="0.25">
      <c r="A3691" t="s">
        <v>29</v>
      </c>
      <c r="B3691">
        <v>2005</v>
      </c>
      <c r="C3691" t="s">
        <v>6</v>
      </c>
      <c r="D3691">
        <v>28266991</v>
      </c>
      <c r="E3691" t="s">
        <v>81</v>
      </c>
    </row>
    <row r="3692" spans="1:5" x14ac:dyDescent="0.25">
      <c r="A3692" t="s">
        <v>29</v>
      </c>
      <c r="B3692">
        <v>2006</v>
      </c>
      <c r="C3692" t="s">
        <v>6</v>
      </c>
      <c r="D3692">
        <v>21987711</v>
      </c>
      <c r="E3692" t="s">
        <v>81</v>
      </c>
    </row>
    <row r="3693" spans="1:5" x14ac:dyDescent="0.25">
      <c r="A3693" t="s">
        <v>29</v>
      </c>
      <c r="B3693">
        <v>2007</v>
      </c>
      <c r="C3693" t="s">
        <v>6</v>
      </c>
      <c r="D3693">
        <v>22839310</v>
      </c>
      <c r="E3693" t="s">
        <v>81</v>
      </c>
    </row>
    <row r="3694" spans="1:5" x14ac:dyDescent="0.25">
      <c r="A3694" t="s">
        <v>29</v>
      </c>
      <c r="B3694">
        <v>2008</v>
      </c>
      <c r="C3694" t="s">
        <v>6</v>
      </c>
      <c r="D3694">
        <v>19770771</v>
      </c>
      <c r="E3694" t="s">
        <v>81</v>
      </c>
    </row>
    <row r="3695" spans="1:5" x14ac:dyDescent="0.25">
      <c r="A3695" t="s">
        <v>29</v>
      </c>
      <c r="B3695">
        <v>2009</v>
      </c>
      <c r="C3695" t="s">
        <v>6</v>
      </c>
      <c r="D3695">
        <v>19167398</v>
      </c>
      <c r="E3695" t="s">
        <v>81</v>
      </c>
    </row>
    <row r="3696" spans="1:5" x14ac:dyDescent="0.25">
      <c r="A3696" t="s">
        <v>29</v>
      </c>
      <c r="B3696">
        <v>2010</v>
      </c>
      <c r="C3696" t="s">
        <v>6</v>
      </c>
      <c r="D3696">
        <v>23613700</v>
      </c>
      <c r="E3696" t="s">
        <v>81</v>
      </c>
    </row>
    <row r="3697" spans="1:5" x14ac:dyDescent="0.25">
      <c r="A3697" t="s">
        <v>29</v>
      </c>
      <c r="B3697">
        <v>2011</v>
      </c>
      <c r="C3697" t="s">
        <v>6</v>
      </c>
      <c r="D3697">
        <v>24805100</v>
      </c>
      <c r="E3697" t="s">
        <v>81</v>
      </c>
    </row>
    <row r="3698" spans="1:5" x14ac:dyDescent="0.25">
      <c r="A3698" t="s">
        <v>29</v>
      </c>
      <c r="B3698">
        <v>2012</v>
      </c>
      <c r="C3698" t="s">
        <v>6</v>
      </c>
      <c r="D3698">
        <v>30807400</v>
      </c>
      <c r="E3698" t="s">
        <v>81</v>
      </c>
    </row>
    <row r="3699" spans="1:5" x14ac:dyDescent="0.25">
      <c r="A3699" t="s">
        <v>29</v>
      </c>
      <c r="B3699">
        <v>2013</v>
      </c>
      <c r="C3699" t="s">
        <v>6</v>
      </c>
      <c r="D3699">
        <v>30725300</v>
      </c>
      <c r="E3699" t="s">
        <v>81</v>
      </c>
    </row>
    <row r="3700" spans="1:5" x14ac:dyDescent="0.25">
      <c r="A3700" t="s">
        <v>29</v>
      </c>
      <c r="B3700">
        <v>2014</v>
      </c>
      <c r="C3700" t="s">
        <v>6</v>
      </c>
      <c r="D3700">
        <v>30149900</v>
      </c>
      <c r="E3700" t="s">
        <v>81</v>
      </c>
    </row>
    <row r="3701" spans="1:5" x14ac:dyDescent="0.25">
      <c r="A3701" t="s">
        <v>29</v>
      </c>
      <c r="B3701">
        <v>2015</v>
      </c>
      <c r="C3701" t="s">
        <v>6</v>
      </c>
      <c r="D3701">
        <v>30945587</v>
      </c>
      <c r="E3701" t="s">
        <v>81</v>
      </c>
    </row>
    <row r="3702" spans="1:5" x14ac:dyDescent="0.25">
      <c r="A3702" t="s">
        <v>29</v>
      </c>
      <c r="B3702">
        <v>2016</v>
      </c>
      <c r="C3702" t="s">
        <v>6</v>
      </c>
      <c r="D3702">
        <v>39755107</v>
      </c>
      <c r="E3702" t="s">
        <v>81</v>
      </c>
    </row>
    <row r="3703" spans="1:5" x14ac:dyDescent="0.25">
      <c r="A3703" t="s">
        <v>29</v>
      </c>
      <c r="B3703">
        <v>2017</v>
      </c>
      <c r="C3703" t="s">
        <v>6</v>
      </c>
      <c r="D3703">
        <v>37879296.516000003</v>
      </c>
      <c r="E3703" t="s">
        <v>81</v>
      </c>
    </row>
    <row r="3704" spans="1:5" x14ac:dyDescent="0.25">
      <c r="A3704" t="s">
        <v>29</v>
      </c>
      <c r="B3704">
        <v>2018</v>
      </c>
      <c r="C3704" t="s">
        <v>6</v>
      </c>
      <c r="D3704">
        <v>39724649</v>
      </c>
      <c r="E3704" t="s">
        <v>81</v>
      </c>
    </row>
    <row r="3705" spans="1:5" x14ac:dyDescent="0.25">
      <c r="A3705" t="s">
        <v>29</v>
      </c>
      <c r="B3705">
        <v>2019</v>
      </c>
      <c r="C3705" t="s">
        <v>6</v>
      </c>
      <c r="D3705">
        <v>42736822</v>
      </c>
      <c r="E3705" t="s">
        <v>81</v>
      </c>
    </row>
    <row r="3706" spans="1:5" x14ac:dyDescent="0.25">
      <c r="A3706" t="s">
        <v>29</v>
      </c>
      <c r="B3706">
        <v>2020</v>
      </c>
      <c r="C3706" t="s">
        <v>6</v>
      </c>
      <c r="D3706">
        <v>42239922</v>
      </c>
      <c r="E3706" t="s">
        <v>81</v>
      </c>
    </row>
    <row r="3707" spans="1:5" x14ac:dyDescent="0.25">
      <c r="A3707" t="s">
        <v>29</v>
      </c>
      <c r="B3707">
        <v>2021</v>
      </c>
      <c r="C3707" t="s">
        <v>6</v>
      </c>
      <c r="D3707">
        <v>48087097</v>
      </c>
      <c r="E3707" t="s">
        <v>81</v>
      </c>
    </row>
    <row r="3708" spans="1:5" x14ac:dyDescent="0.25">
      <c r="A3708" t="s">
        <v>29</v>
      </c>
      <c r="B3708">
        <v>2022</v>
      </c>
      <c r="C3708" t="s">
        <v>6</v>
      </c>
      <c r="D3708">
        <v>50029139.012999997</v>
      </c>
      <c r="E3708" t="s">
        <v>81</v>
      </c>
    </row>
    <row r="3709" spans="1:5" x14ac:dyDescent="0.25">
      <c r="A3709" t="s">
        <v>29</v>
      </c>
      <c r="B3709">
        <v>2023</v>
      </c>
      <c r="C3709" t="s">
        <v>6</v>
      </c>
      <c r="D3709">
        <v>39112610.409000002</v>
      </c>
      <c r="E3709" t="s">
        <v>81</v>
      </c>
    </row>
    <row r="3710" spans="1:5" x14ac:dyDescent="0.25">
      <c r="A3710" t="s">
        <v>29</v>
      </c>
      <c r="B3710">
        <v>2024</v>
      </c>
      <c r="C3710" t="s">
        <v>6</v>
      </c>
      <c r="D3710">
        <v>37544159.873999998</v>
      </c>
      <c r="E3710" t="s">
        <v>81</v>
      </c>
    </row>
    <row r="3711" spans="1:5" x14ac:dyDescent="0.25">
      <c r="A3711" t="s">
        <v>29</v>
      </c>
      <c r="B3711">
        <v>2025</v>
      </c>
      <c r="C3711" t="s">
        <v>6</v>
      </c>
      <c r="D3711">
        <v>27604082.537</v>
      </c>
      <c r="E3711" t="s">
        <v>81</v>
      </c>
    </row>
    <row r="3712" spans="1:5" x14ac:dyDescent="0.25">
      <c r="A3712" t="s">
        <v>74</v>
      </c>
      <c r="B3712">
        <v>2010</v>
      </c>
      <c r="C3712" t="s">
        <v>6</v>
      </c>
      <c r="D3712">
        <v>249329317</v>
      </c>
      <c r="E3712" t="s">
        <v>81</v>
      </c>
    </row>
    <row r="3713" spans="1:5" x14ac:dyDescent="0.25">
      <c r="A3713" t="s">
        <v>74</v>
      </c>
      <c r="B3713">
        <v>2011</v>
      </c>
      <c r="C3713" t="s">
        <v>6</v>
      </c>
      <c r="D3713">
        <v>210508395</v>
      </c>
      <c r="E3713" t="s">
        <v>81</v>
      </c>
    </row>
    <row r="3714" spans="1:5" x14ac:dyDescent="0.25">
      <c r="A3714" t="s">
        <v>74</v>
      </c>
      <c r="B3714">
        <v>2012</v>
      </c>
      <c r="C3714" t="s">
        <v>6</v>
      </c>
      <c r="D3714">
        <v>247563908</v>
      </c>
      <c r="E3714" t="s">
        <v>81</v>
      </c>
    </row>
    <row r="3715" spans="1:5" x14ac:dyDescent="0.25">
      <c r="A3715" t="s">
        <v>74</v>
      </c>
      <c r="B3715">
        <v>2013</v>
      </c>
      <c r="C3715" t="s">
        <v>6</v>
      </c>
      <c r="D3715">
        <v>226892836</v>
      </c>
      <c r="E3715" t="s">
        <v>81</v>
      </c>
    </row>
    <row r="3716" spans="1:5" x14ac:dyDescent="0.25">
      <c r="A3716" t="s">
        <v>74</v>
      </c>
      <c r="B3716">
        <v>2014</v>
      </c>
      <c r="C3716" t="s">
        <v>6</v>
      </c>
      <c r="D3716">
        <v>235572282</v>
      </c>
      <c r="E3716" t="s">
        <v>81</v>
      </c>
    </row>
    <row r="3717" spans="1:5" x14ac:dyDescent="0.25">
      <c r="A3717" t="s">
        <v>74</v>
      </c>
      <c r="B3717">
        <v>2015</v>
      </c>
      <c r="C3717" t="s">
        <v>6</v>
      </c>
      <c r="D3717">
        <v>245859417</v>
      </c>
      <c r="E3717" t="s">
        <v>81</v>
      </c>
    </row>
    <row r="3718" spans="1:5" x14ac:dyDescent="0.25">
      <c r="A3718" t="s">
        <v>74</v>
      </c>
      <c r="B3718">
        <v>2016</v>
      </c>
      <c r="C3718" t="s">
        <v>6</v>
      </c>
      <c r="D3718">
        <v>238069077</v>
      </c>
      <c r="E3718" t="s">
        <v>81</v>
      </c>
    </row>
    <row r="3719" spans="1:5" x14ac:dyDescent="0.25">
      <c r="A3719" t="s">
        <v>74</v>
      </c>
      <c r="B3719">
        <v>2017</v>
      </c>
      <c r="C3719" t="s">
        <v>6</v>
      </c>
      <c r="D3719">
        <v>247224949</v>
      </c>
      <c r="E3719" t="s">
        <v>81</v>
      </c>
    </row>
    <row r="3720" spans="1:5" x14ac:dyDescent="0.25">
      <c r="A3720" t="s">
        <v>74</v>
      </c>
      <c r="B3720">
        <v>2018</v>
      </c>
      <c r="C3720" t="s">
        <v>6</v>
      </c>
      <c r="D3720">
        <v>221002299</v>
      </c>
      <c r="E3720" t="s">
        <v>81</v>
      </c>
    </row>
    <row r="3721" spans="1:5" x14ac:dyDescent="0.25">
      <c r="A3721" t="s">
        <v>74</v>
      </c>
      <c r="B3721">
        <v>2019</v>
      </c>
      <c r="C3721" t="s">
        <v>6</v>
      </c>
      <c r="D3721">
        <v>219300419</v>
      </c>
      <c r="E3721" t="s">
        <v>81</v>
      </c>
    </row>
    <row r="3722" spans="1:5" x14ac:dyDescent="0.25">
      <c r="A3722" t="s">
        <v>74</v>
      </c>
      <c r="B3722">
        <v>2020</v>
      </c>
      <c r="C3722" t="s">
        <v>6</v>
      </c>
      <c r="D3722">
        <v>210341830</v>
      </c>
      <c r="E3722" t="s">
        <v>81</v>
      </c>
    </row>
    <row r="3723" spans="1:5" x14ac:dyDescent="0.25">
      <c r="A3723" t="s">
        <v>74</v>
      </c>
      <c r="B3723">
        <v>2021</v>
      </c>
      <c r="C3723" t="s">
        <v>6</v>
      </c>
      <c r="D3723">
        <v>198559375</v>
      </c>
      <c r="E3723" t="s">
        <v>81</v>
      </c>
    </row>
    <row r="3724" spans="1:5" x14ac:dyDescent="0.25">
      <c r="A3724" t="s">
        <v>74</v>
      </c>
      <c r="B3724">
        <v>2022</v>
      </c>
      <c r="C3724" t="s">
        <v>6</v>
      </c>
      <c r="D3724">
        <v>201416523</v>
      </c>
      <c r="E3724" t="s">
        <v>81</v>
      </c>
    </row>
    <row r="3725" spans="1:5" x14ac:dyDescent="0.25">
      <c r="A3725" t="s">
        <v>74</v>
      </c>
      <c r="B3725">
        <v>2023</v>
      </c>
      <c r="C3725" t="s">
        <v>6</v>
      </c>
      <c r="D3725">
        <v>197686624</v>
      </c>
      <c r="E3725" t="s">
        <v>81</v>
      </c>
    </row>
    <row r="3726" spans="1:5" x14ac:dyDescent="0.25">
      <c r="A3726" t="s">
        <v>74</v>
      </c>
      <c r="B3726">
        <v>2024</v>
      </c>
      <c r="C3726" t="s">
        <v>6</v>
      </c>
      <c r="D3726">
        <v>208828326</v>
      </c>
      <c r="E3726" t="s">
        <v>81</v>
      </c>
    </row>
    <row r="3727" spans="1:5" x14ac:dyDescent="0.25">
      <c r="A3727" t="s">
        <v>74</v>
      </c>
      <c r="B3727">
        <v>2025</v>
      </c>
      <c r="C3727" t="s">
        <v>6</v>
      </c>
      <c r="D3727">
        <v>201455851</v>
      </c>
      <c r="E3727" t="s">
        <v>81</v>
      </c>
    </row>
    <row r="3728" spans="1:5" x14ac:dyDescent="0.25">
      <c r="A3728" t="s">
        <v>90</v>
      </c>
      <c r="B3728">
        <v>2011</v>
      </c>
      <c r="C3728" t="s">
        <v>6</v>
      </c>
      <c r="D3728">
        <v>3285385</v>
      </c>
      <c r="E3728" t="s">
        <v>81</v>
      </c>
    </row>
    <row r="3729" spans="1:5" x14ac:dyDescent="0.25">
      <c r="A3729" t="s">
        <v>32</v>
      </c>
      <c r="B3729">
        <v>2013</v>
      </c>
      <c r="C3729" t="s">
        <v>6</v>
      </c>
      <c r="D3729">
        <v>23352684</v>
      </c>
      <c r="E3729" t="s">
        <v>81</v>
      </c>
    </row>
    <row r="3730" spans="1:5" x14ac:dyDescent="0.25">
      <c r="A3730" t="s">
        <v>33</v>
      </c>
      <c r="B3730">
        <v>2003</v>
      </c>
      <c r="C3730" t="s">
        <v>6</v>
      </c>
      <c r="D3730">
        <v>30592782</v>
      </c>
      <c r="E3730" t="s">
        <v>81</v>
      </c>
    </row>
    <row r="3731" spans="1:5" x14ac:dyDescent="0.25">
      <c r="A3731" t="s">
        <v>33</v>
      </c>
      <c r="B3731">
        <v>2004</v>
      </c>
      <c r="C3731" t="s">
        <v>6</v>
      </c>
      <c r="D3731">
        <v>33827645</v>
      </c>
      <c r="E3731" t="s">
        <v>81</v>
      </c>
    </row>
    <row r="3732" spans="1:5" x14ac:dyDescent="0.25">
      <c r="A3732" t="s">
        <v>33</v>
      </c>
      <c r="B3732">
        <v>2005</v>
      </c>
      <c r="C3732" t="s">
        <v>6</v>
      </c>
      <c r="D3732">
        <v>14445683</v>
      </c>
      <c r="E3732" t="s">
        <v>81</v>
      </c>
    </row>
    <row r="3733" spans="1:5" x14ac:dyDescent="0.25">
      <c r="A3733" t="s">
        <v>33</v>
      </c>
      <c r="B3733">
        <v>2006</v>
      </c>
      <c r="C3733" t="s">
        <v>6</v>
      </c>
      <c r="D3733">
        <v>29481137</v>
      </c>
      <c r="E3733" t="s">
        <v>81</v>
      </c>
    </row>
    <row r="3734" spans="1:5" x14ac:dyDescent="0.25">
      <c r="A3734" t="s">
        <v>33</v>
      </c>
      <c r="B3734">
        <v>2007</v>
      </c>
      <c r="C3734" t="s">
        <v>6</v>
      </c>
      <c r="D3734">
        <v>21421093</v>
      </c>
      <c r="E3734" t="s">
        <v>81</v>
      </c>
    </row>
    <row r="3735" spans="1:5" x14ac:dyDescent="0.25">
      <c r="A3735" t="s">
        <v>33</v>
      </c>
      <c r="B3735">
        <v>2008</v>
      </c>
      <c r="C3735" t="s">
        <v>6</v>
      </c>
      <c r="D3735">
        <v>13500887.310000001</v>
      </c>
      <c r="E3735" t="s">
        <v>81</v>
      </c>
    </row>
    <row r="3736" spans="1:5" x14ac:dyDescent="0.25">
      <c r="A3736" t="s">
        <v>33</v>
      </c>
      <c r="B3736">
        <v>2009</v>
      </c>
      <c r="C3736" t="s">
        <v>6</v>
      </c>
      <c r="D3736">
        <v>14207958</v>
      </c>
      <c r="E3736" t="s">
        <v>81</v>
      </c>
    </row>
    <row r="3737" spans="1:5" x14ac:dyDescent="0.25">
      <c r="A3737" t="s">
        <v>33</v>
      </c>
      <c r="B3737">
        <v>2010</v>
      </c>
      <c r="C3737" t="s">
        <v>6</v>
      </c>
      <c r="D3737">
        <v>16977669</v>
      </c>
      <c r="E3737" t="s">
        <v>81</v>
      </c>
    </row>
    <row r="3738" spans="1:5" x14ac:dyDescent="0.25">
      <c r="A3738" t="s">
        <v>33</v>
      </c>
      <c r="B3738">
        <v>2011</v>
      </c>
      <c r="C3738" t="s">
        <v>6</v>
      </c>
      <c r="D3738">
        <v>19585029</v>
      </c>
      <c r="E3738" t="s">
        <v>81</v>
      </c>
    </row>
    <row r="3739" spans="1:5" x14ac:dyDescent="0.25">
      <c r="A3739" t="s">
        <v>33</v>
      </c>
      <c r="B3739">
        <v>2012</v>
      </c>
      <c r="C3739" t="s">
        <v>6</v>
      </c>
      <c r="D3739">
        <v>13754764</v>
      </c>
      <c r="E3739" t="s">
        <v>81</v>
      </c>
    </row>
    <row r="3740" spans="1:5" x14ac:dyDescent="0.25">
      <c r="A3740" t="s">
        <v>33</v>
      </c>
      <c r="B3740">
        <v>2013</v>
      </c>
      <c r="C3740" t="s">
        <v>6</v>
      </c>
      <c r="D3740">
        <v>16325443</v>
      </c>
      <c r="E3740" t="s">
        <v>81</v>
      </c>
    </row>
    <row r="3741" spans="1:5" x14ac:dyDescent="0.25">
      <c r="A3741" t="s">
        <v>33</v>
      </c>
      <c r="B3741">
        <v>2014</v>
      </c>
      <c r="C3741" t="s">
        <v>6</v>
      </c>
      <c r="D3741">
        <v>19825671</v>
      </c>
      <c r="E3741" t="s">
        <v>81</v>
      </c>
    </row>
    <row r="3742" spans="1:5" x14ac:dyDescent="0.25">
      <c r="A3742" t="s">
        <v>33</v>
      </c>
      <c r="B3742">
        <v>2015</v>
      </c>
      <c r="C3742" t="s">
        <v>6</v>
      </c>
      <c r="D3742">
        <v>14731139.4</v>
      </c>
      <c r="E3742" t="s">
        <v>81</v>
      </c>
    </row>
    <row r="3743" spans="1:5" x14ac:dyDescent="0.25">
      <c r="A3743" t="s">
        <v>33</v>
      </c>
      <c r="B3743">
        <v>2016</v>
      </c>
      <c r="C3743" t="s">
        <v>6</v>
      </c>
      <c r="D3743">
        <v>13297972.300000001</v>
      </c>
      <c r="E3743" t="s">
        <v>81</v>
      </c>
    </row>
    <row r="3744" spans="1:5" x14ac:dyDescent="0.25">
      <c r="A3744" t="s">
        <v>33</v>
      </c>
      <c r="B3744">
        <v>2017</v>
      </c>
      <c r="C3744" t="s">
        <v>6</v>
      </c>
      <c r="D3744">
        <v>12632344.199999999</v>
      </c>
      <c r="E3744" t="s">
        <v>81</v>
      </c>
    </row>
    <row r="3745" spans="1:5" x14ac:dyDescent="0.25">
      <c r="A3745" t="s">
        <v>33</v>
      </c>
      <c r="B3745">
        <v>2018</v>
      </c>
      <c r="C3745" t="s">
        <v>6</v>
      </c>
      <c r="D3745">
        <v>5886020</v>
      </c>
      <c r="E3745" t="s">
        <v>81</v>
      </c>
    </row>
    <row r="3746" spans="1:5" x14ac:dyDescent="0.25">
      <c r="A3746" t="s">
        <v>33</v>
      </c>
      <c r="B3746">
        <v>2019</v>
      </c>
      <c r="C3746" t="s">
        <v>6</v>
      </c>
      <c r="D3746">
        <v>20736384</v>
      </c>
      <c r="E3746" t="s">
        <v>81</v>
      </c>
    </row>
    <row r="3747" spans="1:5" x14ac:dyDescent="0.25">
      <c r="A3747" t="s">
        <v>33</v>
      </c>
      <c r="B3747">
        <v>2020</v>
      </c>
      <c r="C3747" t="s">
        <v>6</v>
      </c>
      <c r="D3747">
        <v>9384160.8699999992</v>
      </c>
      <c r="E3747" t="s">
        <v>81</v>
      </c>
    </row>
    <row r="3748" spans="1:5" x14ac:dyDescent="0.25">
      <c r="A3748" t="s">
        <v>33</v>
      </c>
      <c r="B3748">
        <v>2021</v>
      </c>
      <c r="C3748" t="s">
        <v>6</v>
      </c>
      <c r="D3748">
        <v>19912187.68</v>
      </c>
      <c r="E3748" t="s">
        <v>81</v>
      </c>
    </row>
    <row r="3749" spans="1:5" x14ac:dyDescent="0.25">
      <c r="A3749" t="s">
        <v>33</v>
      </c>
      <c r="B3749">
        <v>2022</v>
      </c>
      <c r="C3749" t="s">
        <v>6</v>
      </c>
      <c r="D3749">
        <v>16020584</v>
      </c>
      <c r="E3749" t="s">
        <v>81</v>
      </c>
    </row>
    <row r="3750" spans="1:5" x14ac:dyDescent="0.25">
      <c r="A3750" t="s">
        <v>33</v>
      </c>
      <c r="B3750">
        <v>2023</v>
      </c>
      <c r="C3750" t="s">
        <v>6</v>
      </c>
      <c r="D3750">
        <v>21924074</v>
      </c>
      <c r="E3750" t="s">
        <v>81</v>
      </c>
    </row>
    <row r="3751" spans="1:5" x14ac:dyDescent="0.25">
      <c r="A3751" t="s">
        <v>72</v>
      </c>
      <c r="B3751">
        <v>2010</v>
      </c>
      <c r="C3751" t="s">
        <v>6</v>
      </c>
      <c r="D3751">
        <v>1660697.46</v>
      </c>
      <c r="E3751" t="s">
        <v>81</v>
      </c>
    </row>
    <row r="3752" spans="1:5" x14ac:dyDescent="0.25">
      <c r="A3752" t="s">
        <v>72</v>
      </c>
      <c r="B3752">
        <v>2011</v>
      </c>
      <c r="C3752" t="s">
        <v>6</v>
      </c>
      <c r="D3752">
        <v>3124017.76</v>
      </c>
      <c r="E3752" t="s">
        <v>81</v>
      </c>
    </row>
    <row r="3753" spans="1:5" x14ac:dyDescent="0.25">
      <c r="A3753" t="s">
        <v>72</v>
      </c>
      <c r="B3753">
        <v>2012</v>
      </c>
      <c r="C3753" t="s">
        <v>6</v>
      </c>
      <c r="D3753">
        <v>3108619.42</v>
      </c>
      <c r="E3753" t="s">
        <v>81</v>
      </c>
    </row>
    <row r="3754" spans="1:5" x14ac:dyDescent="0.25">
      <c r="A3754" t="s">
        <v>72</v>
      </c>
      <c r="B3754">
        <v>2013</v>
      </c>
      <c r="C3754" t="s">
        <v>6</v>
      </c>
      <c r="D3754">
        <v>3012759.01</v>
      </c>
      <c r="E3754" t="s">
        <v>81</v>
      </c>
    </row>
    <row r="3755" spans="1:5" x14ac:dyDescent="0.25">
      <c r="A3755" t="s">
        <v>72</v>
      </c>
      <c r="B3755">
        <v>2014</v>
      </c>
      <c r="C3755" t="s">
        <v>6</v>
      </c>
      <c r="D3755">
        <v>2439699.59</v>
      </c>
      <c r="E3755" t="s">
        <v>81</v>
      </c>
    </row>
    <row r="3756" spans="1:5" x14ac:dyDescent="0.25">
      <c r="A3756" t="s">
        <v>72</v>
      </c>
      <c r="B3756">
        <v>2015</v>
      </c>
      <c r="C3756" t="s">
        <v>6</v>
      </c>
      <c r="D3756">
        <v>2291545.1800000002</v>
      </c>
      <c r="E3756" t="s">
        <v>81</v>
      </c>
    </row>
    <row r="3757" spans="1:5" x14ac:dyDescent="0.25">
      <c r="A3757" t="s">
        <v>72</v>
      </c>
      <c r="B3757">
        <v>2017</v>
      </c>
      <c r="C3757" t="s">
        <v>6</v>
      </c>
      <c r="D3757">
        <v>3544774.51</v>
      </c>
      <c r="E3757" t="s">
        <v>81</v>
      </c>
    </row>
    <row r="3758" spans="1:5" x14ac:dyDescent="0.25">
      <c r="A3758" t="s">
        <v>72</v>
      </c>
      <c r="B3758">
        <v>2019</v>
      </c>
      <c r="C3758" t="s">
        <v>6</v>
      </c>
      <c r="D3758">
        <v>3326640.58</v>
      </c>
      <c r="E3758" t="s">
        <v>81</v>
      </c>
    </row>
    <row r="3759" spans="1:5" x14ac:dyDescent="0.25">
      <c r="A3759" t="s">
        <v>72</v>
      </c>
      <c r="B3759">
        <v>2020</v>
      </c>
      <c r="C3759" t="s">
        <v>6</v>
      </c>
      <c r="D3759">
        <v>2165631.5</v>
      </c>
      <c r="E3759" t="s">
        <v>81</v>
      </c>
    </row>
    <row r="3760" spans="1:5" x14ac:dyDescent="0.25">
      <c r="A3760" t="s">
        <v>72</v>
      </c>
      <c r="B3760">
        <v>2021</v>
      </c>
      <c r="C3760" t="s">
        <v>6</v>
      </c>
      <c r="D3760">
        <v>4091149.73</v>
      </c>
      <c r="E3760" t="s">
        <v>81</v>
      </c>
    </row>
    <row r="3761" spans="1:5" x14ac:dyDescent="0.25">
      <c r="A3761" t="s">
        <v>72</v>
      </c>
      <c r="B3761">
        <v>2022</v>
      </c>
      <c r="C3761" t="s">
        <v>6</v>
      </c>
      <c r="D3761">
        <v>3752867.62</v>
      </c>
      <c r="E3761" t="s">
        <v>81</v>
      </c>
    </row>
    <row r="3762" spans="1:5" x14ac:dyDescent="0.25">
      <c r="A3762" t="s">
        <v>72</v>
      </c>
      <c r="B3762">
        <v>2023</v>
      </c>
      <c r="C3762" t="s">
        <v>6</v>
      </c>
      <c r="D3762">
        <v>1834418.9029999999</v>
      </c>
      <c r="E3762" t="s">
        <v>81</v>
      </c>
    </row>
    <row r="3763" spans="1:5" x14ac:dyDescent="0.25">
      <c r="A3763" t="s">
        <v>72</v>
      </c>
      <c r="B3763">
        <v>2024</v>
      </c>
      <c r="C3763" t="s">
        <v>6</v>
      </c>
      <c r="D3763">
        <v>2504093.605</v>
      </c>
      <c r="E3763" t="s">
        <v>81</v>
      </c>
    </row>
    <row r="3764" spans="1:5" x14ac:dyDescent="0.25">
      <c r="A3764" t="s">
        <v>72</v>
      </c>
      <c r="B3764">
        <v>2025</v>
      </c>
      <c r="C3764" t="s">
        <v>6</v>
      </c>
      <c r="D3764">
        <v>3686455.19</v>
      </c>
      <c r="E3764" t="s">
        <v>81</v>
      </c>
    </row>
    <row r="3765" spans="1:5" x14ac:dyDescent="0.25">
      <c r="A3765" t="s">
        <v>71</v>
      </c>
      <c r="B3765">
        <v>2012</v>
      </c>
      <c r="C3765" t="s">
        <v>6</v>
      </c>
      <c r="D3765">
        <v>2175600</v>
      </c>
      <c r="E3765" t="s">
        <v>81</v>
      </c>
    </row>
    <row r="3766" spans="1:5" x14ac:dyDescent="0.25">
      <c r="A3766" t="s">
        <v>71</v>
      </c>
      <c r="B3766">
        <v>2014</v>
      </c>
      <c r="C3766" t="s">
        <v>6</v>
      </c>
      <c r="D3766">
        <v>2494700</v>
      </c>
      <c r="E3766" t="s">
        <v>81</v>
      </c>
    </row>
    <row r="3767" spans="1:5" x14ac:dyDescent="0.25">
      <c r="A3767" t="s">
        <v>71</v>
      </c>
      <c r="B3767">
        <v>2016</v>
      </c>
      <c r="C3767" t="s">
        <v>6</v>
      </c>
      <c r="D3767">
        <v>4995378</v>
      </c>
      <c r="E3767" t="s">
        <v>81</v>
      </c>
    </row>
    <row r="3768" spans="1:5" x14ac:dyDescent="0.25">
      <c r="A3768" t="s">
        <v>71</v>
      </c>
      <c r="B3768">
        <v>2017</v>
      </c>
      <c r="C3768" t="s">
        <v>6</v>
      </c>
      <c r="D3768">
        <v>3396768</v>
      </c>
      <c r="E3768" t="s">
        <v>81</v>
      </c>
    </row>
    <row r="3769" spans="1:5" x14ac:dyDescent="0.25">
      <c r="A3769" t="s">
        <v>71</v>
      </c>
      <c r="B3769">
        <v>2019</v>
      </c>
      <c r="C3769" t="s">
        <v>6</v>
      </c>
      <c r="D3769">
        <v>7262730</v>
      </c>
      <c r="E3769" t="s">
        <v>81</v>
      </c>
    </row>
    <row r="3770" spans="1:5" x14ac:dyDescent="0.25">
      <c r="A3770" t="s">
        <v>71</v>
      </c>
      <c r="B3770">
        <v>2020</v>
      </c>
      <c r="C3770" t="s">
        <v>6</v>
      </c>
      <c r="D3770">
        <v>11443060</v>
      </c>
      <c r="E3770" t="s">
        <v>81</v>
      </c>
    </row>
    <row r="3771" spans="1:5" x14ac:dyDescent="0.25">
      <c r="A3771" t="s">
        <v>71</v>
      </c>
      <c r="B3771">
        <v>2021</v>
      </c>
      <c r="C3771" t="s">
        <v>6</v>
      </c>
      <c r="D3771">
        <v>9408999</v>
      </c>
      <c r="E3771" t="s">
        <v>81</v>
      </c>
    </row>
    <row r="3772" spans="1:5" x14ac:dyDescent="0.25">
      <c r="A3772" t="s">
        <v>71</v>
      </c>
      <c r="B3772">
        <v>2022</v>
      </c>
      <c r="C3772" t="s">
        <v>6</v>
      </c>
      <c r="D3772">
        <v>8458959</v>
      </c>
      <c r="E3772" t="s">
        <v>81</v>
      </c>
    </row>
    <row r="3773" spans="1:5" x14ac:dyDescent="0.25">
      <c r="A3773" t="s">
        <v>71</v>
      </c>
      <c r="B3773">
        <v>2023</v>
      </c>
      <c r="C3773" t="s">
        <v>6</v>
      </c>
      <c r="D3773">
        <v>10865084</v>
      </c>
      <c r="E3773" t="s">
        <v>81</v>
      </c>
    </row>
    <row r="3774" spans="1:5" x14ac:dyDescent="0.25">
      <c r="A3774" t="s">
        <v>71</v>
      </c>
      <c r="B3774">
        <v>2024</v>
      </c>
      <c r="C3774" t="s">
        <v>6</v>
      </c>
      <c r="D3774">
        <v>10312082</v>
      </c>
      <c r="E3774" t="s">
        <v>81</v>
      </c>
    </row>
    <row r="3775" spans="1:5" x14ac:dyDescent="0.25">
      <c r="A3775" t="s">
        <v>35</v>
      </c>
      <c r="B3775">
        <v>2010</v>
      </c>
      <c r="C3775" t="s">
        <v>6</v>
      </c>
      <c r="D3775">
        <v>105416221</v>
      </c>
      <c r="E3775" t="s">
        <v>81</v>
      </c>
    </row>
    <row r="3776" spans="1:5" x14ac:dyDescent="0.25">
      <c r="A3776" t="s">
        <v>35</v>
      </c>
      <c r="B3776">
        <v>2011</v>
      </c>
      <c r="C3776" t="s">
        <v>6</v>
      </c>
      <c r="D3776">
        <v>115496333</v>
      </c>
      <c r="E3776" t="s">
        <v>81</v>
      </c>
    </row>
    <row r="3777" spans="1:5" x14ac:dyDescent="0.25">
      <c r="A3777" t="s">
        <v>35</v>
      </c>
      <c r="B3777">
        <v>2012</v>
      </c>
      <c r="C3777" t="s">
        <v>6</v>
      </c>
      <c r="D3777">
        <v>106001456</v>
      </c>
      <c r="E3777" t="s">
        <v>81</v>
      </c>
    </row>
    <row r="3778" spans="1:5" x14ac:dyDescent="0.25">
      <c r="A3778" t="s">
        <v>35</v>
      </c>
      <c r="B3778">
        <v>2013</v>
      </c>
      <c r="C3778" t="s">
        <v>6</v>
      </c>
      <c r="D3778">
        <v>102064038</v>
      </c>
      <c r="E3778" t="s">
        <v>81</v>
      </c>
    </row>
    <row r="3779" spans="1:5" x14ac:dyDescent="0.25">
      <c r="A3779" t="s">
        <v>35</v>
      </c>
      <c r="B3779">
        <v>2014</v>
      </c>
      <c r="C3779" t="s">
        <v>6</v>
      </c>
      <c r="D3779">
        <v>116977606</v>
      </c>
      <c r="E3779" t="s">
        <v>81</v>
      </c>
    </row>
    <row r="3780" spans="1:5" x14ac:dyDescent="0.25">
      <c r="A3780" t="s">
        <v>35</v>
      </c>
      <c r="B3780">
        <v>2015</v>
      </c>
      <c r="C3780" t="s">
        <v>6</v>
      </c>
      <c r="D3780">
        <v>95194159</v>
      </c>
      <c r="E3780" t="s">
        <v>81</v>
      </c>
    </row>
    <row r="3781" spans="1:5" x14ac:dyDescent="0.25">
      <c r="A3781" t="s">
        <v>35</v>
      </c>
      <c r="B3781">
        <v>2016</v>
      </c>
      <c r="C3781" t="s">
        <v>6</v>
      </c>
      <c r="D3781">
        <v>109847162</v>
      </c>
      <c r="E3781" t="s">
        <v>81</v>
      </c>
    </row>
    <row r="3782" spans="1:5" x14ac:dyDescent="0.25">
      <c r="A3782" t="s">
        <v>35</v>
      </c>
      <c r="B3782">
        <v>2017</v>
      </c>
      <c r="C3782" t="s">
        <v>6</v>
      </c>
      <c r="D3782">
        <v>114124864</v>
      </c>
      <c r="E3782" t="s">
        <v>81</v>
      </c>
    </row>
    <row r="3783" spans="1:5" x14ac:dyDescent="0.25">
      <c r="A3783" t="s">
        <v>35</v>
      </c>
      <c r="B3783">
        <v>2018</v>
      </c>
      <c r="C3783" t="s">
        <v>6</v>
      </c>
      <c r="D3783">
        <v>98009820</v>
      </c>
      <c r="E3783" t="s">
        <v>81</v>
      </c>
    </row>
    <row r="3784" spans="1:5" x14ac:dyDescent="0.25">
      <c r="A3784" t="s">
        <v>35</v>
      </c>
      <c r="B3784">
        <v>2019</v>
      </c>
      <c r="C3784" t="s">
        <v>6</v>
      </c>
      <c r="D3784">
        <v>112100304</v>
      </c>
      <c r="E3784" t="s">
        <v>81</v>
      </c>
    </row>
    <row r="3785" spans="1:5" x14ac:dyDescent="0.25">
      <c r="A3785" t="s">
        <v>35</v>
      </c>
      <c r="B3785">
        <v>2020</v>
      </c>
      <c r="C3785" t="s">
        <v>6</v>
      </c>
      <c r="D3785">
        <v>96524252</v>
      </c>
      <c r="E3785" t="s">
        <v>81</v>
      </c>
    </row>
    <row r="3786" spans="1:5" x14ac:dyDescent="0.25">
      <c r="A3786" t="s">
        <v>35</v>
      </c>
      <c r="B3786">
        <v>2021</v>
      </c>
      <c r="C3786" t="s">
        <v>6</v>
      </c>
      <c r="D3786">
        <v>95759480</v>
      </c>
      <c r="E3786" t="s">
        <v>81</v>
      </c>
    </row>
    <row r="3787" spans="1:5" x14ac:dyDescent="0.25">
      <c r="A3787" t="s">
        <v>35</v>
      </c>
      <c r="B3787">
        <v>2022</v>
      </c>
      <c r="C3787" t="s">
        <v>6</v>
      </c>
      <c r="D3787">
        <v>100400742</v>
      </c>
      <c r="E3787" t="s">
        <v>81</v>
      </c>
    </row>
    <row r="3788" spans="1:5" x14ac:dyDescent="0.25">
      <c r="A3788" t="s">
        <v>35</v>
      </c>
      <c r="B3788">
        <v>2023</v>
      </c>
      <c r="C3788" t="s">
        <v>6</v>
      </c>
      <c r="D3788">
        <v>84864709</v>
      </c>
      <c r="E3788" t="s">
        <v>81</v>
      </c>
    </row>
    <row r="3789" spans="1:5" x14ac:dyDescent="0.25">
      <c r="A3789" t="s">
        <v>35</v>
      </c>
      <c r="B3789">
        <v>2024</v>
      </c>
      <c r="C3789" t="s">
        <v>6</v>
      </c>
      <c r="D3789">
        <v>85235957</v>
      </c>
      <c r="E3789" t="s">
        <v>81</v>
      </c>
    </row>
    <row r="3790" spans="1:5" x14ac:dyDescent="0.25">
      <c r="A3790" t="s">
        <v>35</v>
      </c>
      <c r="B3790">
        <v>2025</v>
      </c>
      <c r="C3790" t="s">
        <v>6</v>
      </c>
      <c r="D3790">
        <v>74958176</v>
      </c>
      <c r="E3790" t="s">
        <v>81</v>
      </c>
    </row>
    <row r="3791" spans="1:5" x14ac:dyDescent="0.25">
      <c r="A3791" t="s">
        <v>36</v>
      </c>
      <c r="B3791">
        <v>2010</v>
      </c>
      <c r="C3791" t="s">
        <v>6</v>
      </c>
      <c r="D3791">
        <v>31017693.079999998</v>
      </c>
      <c r="E3791" t="s">
        <v>81</v>
      </c>
    </row>
    <row r="3792" spans="1:5" x14ac:dyDescent="0.25">
      <c r="A3792" t="s">
        <v>36</v>
      </c>
      <c r="B3792">
        <v>2011</v>
      </c>
      <c r="C3792" t="s">
        <v>6</v>
      </c>
      <c r="D3792">
        <v>37078245.868000001</v>
      </c>
      <c r="E3792" t="s">
        <v>81</v>
      </c>
    </row>
    <row r="3793" spans="1:5" x14ac:dyDescent="0.25">
      <c r="A3793" t="s">
        <v>36</v>
      </c>
      <c r="B3793">
        <v>2012</v>
      </c>
      <c r="C3793" t="s">
        <v>6</v>
      </c>
      <c r="D3793">
        <v>41238699.685999997</v>
      </c>
      <c r="E3793" t="s">
        <v>81</v>
      </c>
    </row>
    <row r="3794" spans="1:5" x14ac:dyDescent="0.25">
      <c r="A3794" t="s">
        <v>36</v>
      </c>
      <c r="B3794">
        <v>2013</v>
      </c>
      <c r="C3794" t="s">
        <v>6</v>
      </c>
      <c r="D3794">
        <v>24138470.758000001</v>
      </c>
      <c r="E3794" t="s">
        <v>81</v>
      </c>
    </row>
    <row r="3795" spans="1:5" x14ac:dyDescent="0.25">
      <c r="A3795" t="s">
        <v>36</v>
      </c>
      <c r="B3795">
        <v>2024</v>
      </c>
      <c r="C3795" t="s">
        <v>6</v>
      </c>
      <c r="D3795">
        <v>1528781</v>
      </c>
      <c r="E3795" t="s">
        <v>81</v>
      </c>
    </row>
    <row r="3796" spans="1:5" x14ac:dyDescent="0.25">
      <c r="A3796" t="s">
        <v>36</v>
      </c>
      <c r="B3796">
        <v>2025</v>
      </c>
      <c r="C3796" t="s">
        <v>6</v>
      </c>
      <c r="D3796">
        <v>1211032</v>
      </c>
      <c r="E3796" t="s">
        <v>81</v>
      </c>
    </row>
    <row r="3797" spans="1:5" x14ac:dyDescent="0.25">
      <c r="A3797" t="s">
        <v>37</v>
      </c>
      <c r="B3797">
        <v>2000</v>
      </c>
      <c r="C3797" t="s">
        <v>6</v>
      </c>
      <c r="D3797">
        <v>1694564.871</v>
      </c>
      <c r="E3797" t="s">
        <v>81</v>
      </c>
    </row>
    <row r="3798" spans="1:5" x14ac:dyDescent="0.25">
      <c r="A3798" t="s">
        <v>37</v>
      </c>
      <c r="B3798">
        <v>2001</v>
      </c>
      <c r="C3798" t="s">
        <v>6</v>
      </c>
      <c r="D3798">
        <v>709860.35</v>
      </c>
      <c r="E3798" t="s">
        <v>81</v>
      </c>
    </row>
    <row r="3799" spans="1:5" x14ac:dyDescent="0.25">
      <c r="A3799" t="s">
        <v>37</v>
      </c>
      <c r="B3799">
        <v>2002</v>
      </c>
      <c r="C3799" t="s">
        <v>6</v>
      </c>
      <c r="D3799">
        <v>3207822.037</v>
      </c>
      <c r="E3799" t="s">
        <v>81</v>
      </c>
    </row>
    <row r="3800" spans="1:5" x14ac:dyDescent="0.25">
      <c r="A3800" t="s">
        <v>37</v>
      </c>
      <c r="B3800">
        <v>2003</v>
      </c>
      <c r="C3800" t="s">
        <v>6</v>
      </c>
      <c r="D3800">
        <v>3562252.9530000002</v>
      </c>
      <c r="E3800" t="s">
        <v>81</v>
      </c>
    </row>
    <row r="3801" spans="1:5" x14ac:dyDescent="0.25">
      <c r="A3801" t="s">
        <v>37</v>
      </c>
      <c r="B3801">
        <v>2004</v>
      </c>
      <c r="C3801" t="s">
        <v>6</v>
      </c>
      <c r="D3801">
        <v>4418388.9740000004</v>
      </c>
      <c r="E3801" t="s">
        <v>81</v>
      </c>
    </row>
    <row r="3802" spans="1:5" x14ac:dyDescent="0.25">
      <c r="A3802" t="s">
        <v>37</v>
      </c>
      <c r="B3802">
        <v>2005</v>
      </c>
      <c r="C3802" t="s">
        <v>6</v>
      </c>
      <c r="D3802">
        <v>6503782.6069999998</v>
      </c>
      <c r="E3802" t="s">
        <v>81</v>
      </c>
    </row>
    <row r="3803" spans="1:5" x14ac:dyDescent="0.25">
      <c r="A3803" t="s">
        <v>37</v>
      </c>
      <c r="B3803">
        <v>2006</v>
      </c>
      <c r="C3803" t="s">
        <v>6</v>
      </c>
      <c r="D3803">
        <v>10196888.686000001</v>
      </c>
      <c r="E3803" t="s">
        <v>81</v>
      </c>
    </row>
    <row r="3804" spans="1:5" x14ac:dyDescent="0.25">
      <c r="A3804" t="s">
        <v>37</v>
      </c>
      <c r="B3804">
        <v>2007</v>
      </c>
      <c r="C3804" t="s">
        <v>6</v>
      </c>
      <c r="D3804">
        <v>6185937.5489999996</v>
      </c>
      <c r="E3804" t="s">
        <v>81</v>
      </c>
    </row>
    <row r="3805" spans="1:5" x14ac:dyDescent="0.25">
      <c r="A3805" t="s">
        <v>37</v>
      </c>
      <c r="B3805">
        <v>2008</v>
      </c>
      <c r="C3805" t="s">
        <v>6</v>
      </c>
      <c r="D3805">
        <v>4558159.79</v>
      </c>
      <c r="E3805" t="s">
        <v>81</v>
      </c>
    </row>
    <row r="3806" spans="1:5" x14ac:dyDescent="0.25">
      <c r="A3806" t="s">
        <v>37</v>
      </c>
      <c r="B3806">
        <v>2009</v>
      </c>
      <c r="C3806" t="s">
        <v>6</v>
      </c>
      <c r="D3806">
        <v>7574745.1289999997</v>
      </c>
      <c r="E3806" t="s">
        <v>81</v>
      </c>
    </row>
    <row r="3807" spans="1:5" x14ac:dyDescent="0.25">
      <c r="A3807" t="s">
        <v>37</v>
      </c>
      <c r="B3807">
        <v>2010</v>
      </c>
      <c r="C3807" t="s">
        <v>6</v>
      </c>
      <c r="D3807">
        <v>10740377.908</v>
      </c>
      <c r="E3807" t="s">
        <v>81</v>
      </c>
    </row>
    <row r="3808" spans="1:5" x14ac:dyDescent="0.25">
      <c r="A3808" t="s">
        <v>37</v>
      </c>
      <c r="B3808">
        <v>2011</v>
      </c>
      <c r="C3808" t="s">
        <v>6</v>
      </c>
      <c r="D3808">
        <v>14476268.043</v>
      </c>
      <c r="E3808" t="s">
        <v>81</v>
      </c>
    </row>
    <row r="3809" spans="1:5" x14ac:dyDescent="0.25">
      <c r="A3809" t="s">
        <v>37</v>
      </c>
      <c r="B3809">
        <v>2012</v>
      </c>
      <c r="C3809" t="s">
        <v>6</v>
      </c>
      <c r="D3809">
        <v>17717108.190000001</v>
      </c>
      <c r="E3809" t="s">
        <v>81</v>
      </c>
    </row>
    <row r="3810" spans="1:5" x14ac:dyDescent="0.25">
      <c r="A3810" t="s">
        <v>37</v>
      </c>
      <c r="B3810">
        <v>2013</v>
      </c>
      <c r="C3810" t="s">
        <v>6</v>
      </c>
      <c r="D3810">
        <v>16852930.366</v>
      </c>
      <c r="E3810" t="s">
        <v>81</v>
      </c>
    </row>
    <row r="3811" spans="1:5" x14ac:dyDescent="0.25">
      <c r="A3811" t="s">
        <v>37</v>
      </c>
      <c r="B3811">
        <v>2014</v>
      </c>
      <c r="C3811" t="s">
        <v>6</v>
      </c>
      <c r="D3811">
        <v>18430543.583999999</v>
      </c>
      <c r="E3811" t="s">
        <v>81</v>
      </c>
    </row>
    <row r="3812" spans="1:5" x14ac:dyDescent="0.25">
      <c r="A3812" t="s">
        <v>37</v>
      </c>
      <c r="B3812">
        <v>2015</v>
      </c>
      <c r="C3812" t="s">
        <v>6</v>
      </c>
      <c r="D3812">
        <v>19877299.454</v>
      </c>
      <c r="E3812" t="s">
        <v>81</v>
      </c>
    </row>
    <row r="3813" spans="1:5" x14ac:dyDescent="0.25">
      <c r="A3813" t="s">
        <v>37</v>
      </c>
      <c r="B3813">
        <v>2016</v>
      </c>
      <c r="C3813" t="s">
        <v>6</v>
      </c>
      <c r="D3813">
        <v>28110591.197999999</v>
      </c>
      <c r="E3813" t="s">
        <v>81</v>
      </c>
    </row>
    <row r="3814" spans="1:5" x14ac:dyDescent="0.25">
      <c r="A3814" t="s">
        <v>37</v>
      </c>
      <c r="B3814">
        <v>2017</v>
      </c>
      <c r="C3814" t="s">
        <v>6</v>
      </c>
      <c r="D3814">
        <v>21394922.234999999</v>
      </c>
      <c r="E3814" t="s">
        <v>81</v>
      </c>
    </row>
    <row r="3815" spans="1:5" x14ac:dyDescent="0.25">
      <c r="A3815" t="s">
        <v>37</v>
      </c>
      <c r="B3815">
        <v>2018</v>
      </c>
      <c r="C3815" t="s">
        <v>6</v>
      </c>
      <c r="D3815">
        <v>24070599.519000001</v>
      </c>
      <c r="E3815" t="s">
        <v>81</v>
      </c>
    </row>
    <row r="3816" spans="1:5" x14ac:dyDescent="0.25">
      <c r="A3816" t="s">
        <v>37</v>
      </c>
      <c r="B3816">
        <v>2019</v>
      </c>
      <c r="C3816" t="s">
        <v>6</v>
      </c>
      <c r="D3816">
        <v>22781302.085999999</v>
      </c>
      <c r="E3816" t="s">
        <v>81</v>
      </c>
    </row>
    <row r="3817" spans="1:5" x14ac:dyDescent="0.25">
      <c r="A3817" t="s">
        <v>37</v>
      </c>
      <c r="B3817">
        <v>2020</v>
      </c>
      <c r="C3817" t="s">
        <v>6</v>
      </c>
      <c r="D3817">
        <v>22314649.175000001</v>
      </c>
      <c r="E3817" t="s">
        <v>81</v>
      </c>
    </row>
    <row r="3818" spans="1:5" x14ac:dyDescent="0.25">
      <c r="A3818" t="s">
        <v>37</v>
      </c>
      <c r="B3818">
        <v>2021</v>
      </c>
      <c r="C3818" t="s">
        <v>6</v>
      </c>
      <c r="D3818">
        <v>21965657.741999999</v>
      </c>
      <c r="E3818" t="s">
        <v>81</v>
      </c>
    </row>
    <row r="3819" spans="1:5" x14ac:dyDescent="0.25">
      <c r="A3819" t="s">
        <v>37</v>
      </c>
      <c r="B3819">
        <v>2022</v>
      </c>
      <c r="C3819" t="s">
        <v>6</v>
      </c>
      <c r="D3819">
        <v>21387280.936999999</v>
      </c>
      <c r="E3819" t="s">
        <v>81</v>
      </c>
    </row>
    <row r="3820" spans="1:5" x14ac:dyDescent="0.25">
      <c r="A3820" t="s">
        <v>37</v>
      </c>
      <c r="B3820">
        <v>2023</v>
      </c>
      <c r="C3820" t="s">
        <v>6</v>
      </c>
      <c r="D3820">
        <v>17833268.592999998</v>
      </c>
      <c r="E3820" t="s">
        <v>81</v>
      </c>
    </row>
    <row r="3821" spans="1:5" x14ac:dyDescent="0.25">
      <c r="A3821" t="s">
        <v>37</v>
      </c>
      <c r="B3821">
        <v>2024</v>
      </c>
      <c r="C3821" t="s">
        <v>6</v>
      </c>
      <c r="D3821">
        <v>20862330.614999998</v>
      </c>
      <c r="E3821" t="s">
        <v>81</v>
      </c>
    </row>
    <row r="3822" spans="1:5" x14ac:dyDescent="0.25">
      <c r="A3822" t="s">
        <v>37</v>
      </c>
      <c r="B3822">
        <v>2025</v>
      </c>
      <c r="C3822" t="s">
        <v>6</v>
      </c>
      <c r="D3822">
        <v>9875472.0329999998</v>
      </c>
      <c r="E3822" t="s">
        <v>81</v>
      </c>
    </row>
    <row r="3823" spans="1:5" x14ac:dyDescent="0.25">
      <c r="A3823" t="s">
        <v>89</v>
      </c>
      <c r="B3823">
        <v>2000</v>
      </c>
      <c r="C3823" t="s">
        <v>6</v>
      </c>
      <c r="D3823">
        <v>83174998.883000001</v>
      </c>
      <c r="E3823" t="s">
        <v>81</v>
      </c>
    </row>
    <row r="3824" spans="1:5" x14ac:dyDescent="0.25">
      <c r="A3824" t="s">
        <v>89</v>
      </c>
      <c r="B3824">
        <v>2001</v>
      </c>
      <c r="C3824" t="s">
        <v>6</v>
      </c>
      <c r="D3824">
        <v>125283917.85699999</v>
      </c>
      <c r="E3824" t="s">
        <v>81</v>
      </c>
    </row>
    <row r="3825" spans="1:5" x14ac:dyDescent="0.25">
      <c r="A3825" t="s">
        <v>89</v>
      </c>
      <c r="B3825">
        <v>2002</v>
      </c>
      <c r="C3825" t="s">
        <v>6</v>
      </c>
      <c r="D3825">
        <v>21182368.287999999</v>
      </c>
      <c r="E3825" t="s">
        <v>81</v>
      </c>
    </row>
    <row r="3826" spans="1:5" x14ac:dyDescent="0.25">
      <c r="A3826" t="s">
        <v>89</v>
      </c>
      <c r="B3826">
        <v>2003</v>
      </c>
      <c r="C3826" t="s">
        <v>6</v>
      </c>
      <c r="D3826">
        <v>34814574.283000097</v>
      </c>
      <c r="E3826" t="s">
        <v>81</v>
      </c>
    </row>
    <row r="3827" spans="1:5" x14ac:dyDescent="0.25">
      <c r="A3827" t="s">
        <v>89</v>
      </c>
      <c r="B3827">
        <v>2004</v>
      </c>
      <c r="C3827" t="s">
        <v>6</v>
      </c>
      <c r="D3827">
        <v>60755015.591999903</v>
      </c>
      <c r="E3827" t="s">
        <v>81</v>
      </c>
    </row>
    <row r="3828" spans="1:5" x14ac:dyDescent="0.25">
      <c r="A3828" t="s">
        <v>89</v>
      </c>
      <c r="B3828">
        <v>2005</v>
      </c>
      <c r="C3828" t="s">
        <v>6</v>
      </c>
      <c r="D3828">
        <v>10656197.226</v>
      </c>
      <c r="E3828" t="s">
        <v>81</v>
      </c>
    </row>
    <row r="3829" spans="1:5" x14ac:dyDescent="0.25">
      <c r="A3829" t="s">
        <v>89</v>
      </c>
      <c r="B3829">
        <v>2006</v>
      </c>
      <c r="C3829" t="s">
        <v>6</v>
      </c>
      <c r="D3829">
        <v>33265856.1879999</v>
      </c>
      <c r="E3829" t="s">
        <v>81</v>
      </c>
    </row>
    <row r="3830" spans="1:5" x14ac:dyDescent="0.25">
      <c r="A3830" t="s">
        <v>89</v>
      </c>
      <c r="B3830">
        <v>2008</v>
      </c>
      <c r="C3830" t="s">
        <v>6</v>
      </c>
      <c r="D3830">
        <v>20424309.706</v>
      </c>
      <c r="E3830" t="s">
        <v>81</v>
      </c>
    </row>
    <row r="3831" spans="1:5" x14ac:dyDescent="0.25">
      <c r="A3831" t="s">
        <v>89</v>
      </c>
      <c r="B3831">
        <v>2009</v>
      </c>
      <c r="C3831" t="s">
        <v>6</v>
      </c>
      <c r="D3831">
        <v>27839324.487999901</v>
      </c>
      <c r="E3831" t="s">
        <v>81</v>
      </c>
    </row>
    <row r="3832" spans="1:5" x14ac:dyDescent="0.25">
      <c r="A3832" t="s">
        <v>70</v>
      </c>
      <c r="B3832">
        <v>2001</v>
      </c>
      <c r="C3832" t="s">
        <v>6</v>
      </c>
      <c r="D3832">
        <v>1645461</v>
      </c>
      <c r="E3832" t="s">
        <v>81</v>
      </c>
    </row>
    <row r="3833" spans="1:5" x14ac:dyDescent="0.25">
      <c r="A3833" t="s">
        <v>70</v>
      </c>
      <c r="B3833">
        <v>2015</v>
      </c>
      <c r="C3833" t="s">
        <v>6</v>
      </c>
      <c r="D3833">
        <v>3856009.65</v>
      </c>
      <c r="E3833" t="s">
        <v>81</v>
      </c>
    </row>
    <row r="3834" spans="1:5" x14ac:dyDescent="0.25">
      <c r="A3834" t="s">
        <v>70</v>
      </c>
      <c r="B3834">
        <v>2018</v>
      </c>
      <c r="C3834" t="s">
        <v>6</v>
      </c>
      <c r="D3834">
        <v>16213393.6</v>
      </c>
      <c r="E3834" t="s">
        <v>81</v>
      </c>
    </row>
    <row r="3835" spans="1:5" x14ac:dyDescent="0.25">
      <c r="A3835" t="s">
        <v>70</v>
      </c>
      <c r="B3835">
        <v>2019</v>
      </c>
      <c r="C3835" t="s">
        <v>6</v>
      </c>
      <c r="D3835">
        <v>12775664</v>
      </c>
      <c r="E3835" t="s">
        <v>81</v>
      </c>
    </row>
    <row r="3836" spans="1:5" x14ac:dyDescent="0.25">
      <c r="A3836" t="s">
        <v>70</v>
      </c>
      <c r="B3836">
        <v>2020</v>
      </c>
      <c r="C3836" t="s">
        <v>6</v>
      </c>
      <c r="D3836">
        <v>17371863.370000001</v>
      </c>
      <c r="E3836" t="s">
        <v>81</v>
      </c>
    </row>
    <row r="3837" spans="1:5" x14ac:dyDescent="0.25">
      <c r="A3837" t="s">
        <v>70</v>
      </c>
      <c r="B3837">
        <v>2021</v>
      </c>
      <c r="C3837" t="s">
        <v>6</v>
      </c>
      <c r="D3837">
        <v>19502447.23</v>
      </c>
      <c r="E3837" t="s">
        <v>81</v>
      </c>
    </row>
    <row r="3838" spans="1:5" x14ac:dyDescent="0.25">
      <c r="A3838" t="s">
        <v>70</v>
      </c>
      <c r="B3838">
        <v>2022</v>
      </c>
      <c r="C3838" t="s">
        <v>6</v>
      </c>
      <c r="D3838">
        <v>16358632.4</v>
      </c>
      <c r="E3838" t="s">
        <v>81</v>
      </c>
    </row>
    <row r="3839" spans="1:5" x14ac:dyDescent="0.25">
      <c r="A3839" t="s">
        <v>70</v>
      </c>
      <c r="B3839">
        <v>2023</v>
      </c>
      <c r="C3839" t="s">
        <v>6</v>
      </c>
      <c r="D3839">
        <v>16690604.939999999</v>
      </c>
      <c r="E3839" t="s">
        <v>81</v>
      </c>
    </row>
    <row r="3840" spans="1:5" x14ac:dyDescent="0.25">
      <c r="A3840" t="s">
        <v>70</v>
      </c>
      <c r="B3840">
        <v>2024</v>
      </c>
      <c r="C3840" t="s">
        <v>6</v>
      </c>
      <c r="D3840">
        <v>3448550.27</v>
      </c>
      <c r="E3840" t="s">
        <v>81</v>
      </c>
    </row>
    <row r="3841" spans="1:5" x14ac:dyDescent="0.25">
      <c r="A3841" t="s">
        <v>70</v>
      </c>
      <c r="B3841">
        <v>2025</v>
      </c>
      <c r="C3841" t="s">
        <v>6</v>
      </c>
      <c r="D3841">
        <v>1430844.81</v>
      </c>
      <c r="E3841" t="s">
        <v>81</v>
      </c>
    </row>
    <row r="3842" spans="1:5" x14ac:dyDescent="0.25">
      <c r="A3842" t="s">
        <v>40</v>
      </c>
      <c r="B3842">
        <v>2016</v>
      </c>
      <c r="C3842" t="s">
        <v>6</v>
      </c>
      <c r="D3842">
        <v>3377599.3569999998</v>
      </c>
      <c r="E3842" t="s">
        <v>81</v>
      </c>
    </row>
    <row r="3843" spans="1:5" x14ac:dyDescent="0.25">
      <c r="A3843" t="s">
        <v>40</v>
      </c>
      <c r="B3843">
        <v>2017</v>
      </c>
      <c r="C3843" t="s">
        <v>6</v>
      </c>
      <c r="D3843">
        <v>4637002.3269999996</v>
      </c>
      <c r="E3843" t="s">
        <v>81</v>
      </c>
    </row>
    <row r="3844" spans="1:5" x14ac:dyDescent="0.25">
      <c r="A3844" t="s">
        <v>40</v>
      </c>
      <c r="B3844">
        <v>2018</v>
      </c>
      <c r="C3844" t="s">
        <v>6</v>
      </c>
      <c r="D3844">
        <v>4275276.3880000003</v>
      </c>
      <c r="E3844" t="s">
        <v>81</v>
      </c>
    </row>
    <row r="3845" spans="1:5" x14ac:dyDescent="0.25">
      <c r="A3845" t="s">
        <v>40</v>
      </c>
      <c r="B3845">
        <v>2019</v>
      </c>
      <c r="C3845" t="s">
        <v>6</v>
      </c>
      <c r="D3845">
        <v>4131618.8470000001</v>
      </c>
      <c r="E3845" t="s">
        <v>81</v>
      </c>
    </row>
    <row r="3846" spans="1:5" x14ac:dyDescent="0.25">
      <c r="A3846" t="s">
        <v>40</v>
      </c>
      <c r="B3846">
        <v>2020</v>
      </c>
      <c r="C3846" t="s">
        <v>6</v>
      </c>
      <c r="D3846">
        <v>4487217.28</v>
      </c>
      <c r="E3846" t="s">
        <v>81</v>
      </c>
    </row>
    <row r="3847" spans="1:5" x14ac:dyDescent="0.25">
      <c r="A3847" t="s">
        <v>40</v>
      </c>
      <c r="B3847">
        <v>2021</v>
      </c>
      <c r="C3847" t="s">
        <v>6</v>
      </c>
      <c r="D3847">
        <v>4127427.85</v>
      </c>
      <c r="E3847" t="s">
        <v>81</v>
      </c>
    </row>
    <row r="3848" spans="1:5" x14ac:dyDescent="0.25">
      <c r="A3848" t="s">
        <v>40</v>
      </c>
      <c r="B3848">
        <v>2022</v>
      </c>
      <c r="C3848" t="s">
        <v>6</v>
      </c>
      <c r="D3848">
        <v>4292631.7560000001</v>
      </c>
      <c r="E3848" t="s">
        <v>81</v>
      </c>
    </row>
    <row r="3849" spans="1:5" x14ac:dyDescent="0.25">
      <c r="A3849" t="s">
        <v>40</v>
      </c>
      <c r="B3849">
        <v>2023</v>
      </c>
      <c r="C3849" t="s">
        <v>6</v>
      </c>
      <c r="D3849">
        <v>3743187.344</v>
      </c>
      <c r="E3849" t="s">
        <v>81</v>
      </c>
    </row>
    <row r="3850" spans="1:5" x14ac:dyDescent="0.25">
      <c r="A3850" t="s">
        <v>40</v>
      </c>
      <c r="B3850">
        <v>2024</v>
      </c>
      <c r="C3850" t="s">
        <v>6</v>
      </c>
      <c r="D3850">
        <v>3609613.301</v>
      </c>
      <c r="E3850" t="s">
        <v>81</v>
      </c>
    </row>
    <row r="3851" spans="1:5" x14ac:dyDescent="0.25">
      <c r="A3851" t="s">
        <v>40</v>
      </c>
      <c r="B3851">
        <v>2025</v>
      </c>
      <c r="C3851" t="s">
        <v>6</v>
      </c>
      <c r="D3851">
        <v>2602358.1239999998</v>
      </c>
      <c r="E3851" t="s">
        <v>81</v>
      </c>
    </row>
    <row r="3852" spans="1:5" x14ac:dyDescent="0.25">
      <c r="A3852" t="s">
        <v>67</v>
      </c>
      <c r="B3852">
        <v>2018</v>
      </c>
      <c r="C3852" t="s">
        <v>6</v>
      </c>
      <c r="D3852">
        <v>2261334</v>
      </c>
      <c r="E3852" t="s">
        <v>81</v>
      </c>
    </row>
    <row r="3853" spans="1:5" x14ac:dyDescent="0.25">
      <c r="A3853" t="s">
        <v>67</v>
      </c>
      <c r="B3853">
        <v>2019</v>
      </c>
      <c r="C3853" t="s">
        <v>6</v>
      </c>
      <c r="D3853">
        <v>2231058</v>
      </c>
      <c r="E3853" t="s">
        <v>81</v>
      </c>
    </row>
    <row r="3854" spans="1:5" x14ac:dyDescent="0.25">
      <c r="A3854" t="s">
        <v>41</v>
      </c>
      <c r="B3854">
        <v>2018</v>
      </c>
      <c r="C3854" t="s">
        <v>6</v>
      </c>
      <c r="D3854">
        <v>4027841</v>
      </c>
      <c r="E3854" t="s">
        <v>81</v>
      </c>
    </row>
    <row r="3855" spans="1:5" x14ac:dyDescent="0.25">
      <c r="A3855" t="s">
        <v>42</v>
      </c>
      <c r="B3855">
        <v>2010</v>
      </c>
      <c r="C3855" t="s">
        <v>6</v>
      </c>
      <c r="D3855">
        <v>12075817.77</v>
      </c>
      <c r="E3855" t="s">
        <v>81</v>
      </c>
    </row>
    <row r="3856" spans="1:5" x14ac:dyDescent="0.25">
      <c r="A3856" t="s">
        <v>42</v>
      </c>
      <c r="B3856">
        <v>2011</v>
      </c>
      <c r="C3856" t="s">
        <v>6</v>
      </c>
      <c r="D3856">
        <v>8155254.9500000002</v>
      </c>
      <c r="E3856" t="s">
        <v>81</v>
      </c>
    </row>
    <row r="3857" spans="1:5" x14ac:dyDescent="0.25">
      <c r="A3857" t="s">
        <v>42</v>
      </c>
      <c r="B3857">
        <v>2012</v>
      </c>
      <c r="C3857" t="s">
        <v>6</v>
      </c>
      <c r="D3857">
        <v>8888713.6199999992</v>
      </c>
      <c r="E3857" t="s">
        <v>81</v>
      </c>
    </row>
    <row r="3858" spans="1:5" x14ac:dyDescent="0.25">
      <c r="A3858" t="s">
        <v>42</v>
      </c>
      <c r="B3858">
        <v>2013</v>
      </c>
      <c r="C3858" t="s">
        <v>6</v>
      </c>
      <c r="D3858">
        <v>12638897.109999999</v>
      </c>
      <c r="E3858" t="s">
        <v>81</v>
      </c>
    </row>
    <row r="3859" spans="1:5" x14ac:dyDescent="0.25">
      <c r="A3859" t="s">
        <v>42</v>
      </c>
      <c r="B3859">
        <v>2014</v>
      </c>
      <c r="C3859" t="s">
        <v>6</v>
      </c>
      <c r="D3859">
        <v>16359989.449999999</v>
      </c>
      <c r="E3859" t="s">
        <v>81</v>
      </c>
    </row>
    <row r="3860" spans="1:5" x14ac:dyDescent="0.25">
      <c r="A3860" t="s">
        <v>42</v>
      </c>
      <c r="B3860">
        <v>2015</v>
      </c>
      <c r="C3860" t="s">
        <v>6</v>
      </c>
      <c r="D3860">
        <v>18584255.02</v>
      </c>
      <c r="E3860" t="s">
        <v>81</v>
      </c>
    </row>
    <row r="3861" spans="1:5" x14ac:dyDescent="0.25">
      <c r="A3861" t="s">
        <v>42</v>
      </c>
      <c r="B3861">
        <v>2016</v>
      </c>
      <c r="C3861" t="s">
        <v>6</v>
      </c>
      <c r="D3861">
        <v>30744951.859999999</v>
      </c>
      <c r="E3861" t="s">
        <v>81</v>
      </c>
    </row>
    <row r="3862" spans="1:5" x14ac:dyDescent="0.25">
      <c r="A3862" t="s">
        <v>42</v>
      </c>
      <c r="B3862">
        <v>2017</v>
      </c>
      <c r="C3862" t="s">
        <v>6</v>
      </c>
      <c r="D3862">
        <v>16570543.25</v>
      </c>
      <c r="E3862" t="s">
        <v>81</v>
      </c>
    </row>
    <row r="3863" spans="1:5" x14ac:dyDescent="0.25">
      <c r="A3863" t="s">
        <v>42</v>
      </c>
      <c r="B3863">
        <v>2018</v>
      </c>
      <c r="C3863" t="s">
        <v>6</v>
      </c>
      <c r="D3863">
        <v>30339726.300000001</v>
      </c>
      <c r="E3863" t="s">
        <v>81</v>
      </c>
    </row>
    <row r="3864" spans="1:5" x14ac:dyDescent="0.25">
      <c r="A3864" t="s">
        <v>42</v>
      </c>
      <c r="B3864">
        <v>2019</v>
      </c>
      <c r="C3864" t="s">
        <v>6</v>
      </c>
      <c r="D3864">
        <v>24270221.02</v>
      </c>
      <c r="E3864" t="s">
        <v>81</v>
      </c>
    </row>
    <row r="3865" spans="1:5" x14ac:dyDescent="0.25">
      <c r="A3865" t="s">
        <v>42</v>
      </c>
      <c r="B3865">
        <v>2020</v>
      </c>
      <c r="C3865" t="s">
        <v>6</v>
      </c>
      <c r="D3865">
        <v>9792930.4000000004</v>
      </c>
      <c r="E3865" t="s">
        <v>81</v>
      </c>
    </row>
    <row r="3866" spans="1:5" x14ac:dyDescent="0.25">
      <c r="A3866" t="s">
        <v>42</v>
      </c>
      <c r="B3866">
        <v>2024</v>
      </c>
      <c r="C3866" t="s">
        <v>6</v>
      </c>
      <c r="D3866">
        <v>27060350.028000001</v>
      </c>
      <c r="E3866" t="s">
        <v>81</v>
      </c>
    </row>
    <row r="3867" spans="1:5" x14ac:dyDescent="0.25">
      <c r="A3867" t="s">
        <v>42</v>
      </c>
      <c r="B3867">
        <v>2025</v>
      </c>
      <c r="C3867" t="s">
        <v>6</v>
      </c>
      <c r="D3867">
        <v>11294050</v>
      </c>
      <c r="E3867" t="s">
        <v>81</v>
      </c>
    </row>
    <row r="3868" spans="1:5" x14ac:dyDescent="0.25">
      <c r="A3868" t="s">
        <v>43</v>
      </c>
      <c r="B3868">
        <v>2010</v>
      </c>
      <c r="C3868" t="s">
        <v>6</v>
      </c>
      <c r="D3868">
        <v>55146844</v>
      </c>
      <c r="E3868" t="s">
        <v>81</v>
      </c>
    </row>
    <row r="3869" spans="1:5" x14ac:dyDescent="0.25">
      <c r="A3869" t="s">
        <v>43</v>
      </c>
      <c r="B3869">
        <v>2011</v>
      </c>
      <c r="C3869" t="s">
        <v>6</v>
      </c>
      <c r="D3869">
        <v>52290065</v>
      </c>
      <c r="E3869" t="s">
        <v>81</v>
      </c>
    </row>
    <row r="3870" spans="1:5" x14ac:dyDescent="0.25">
      <c r="A3870" t="s">
        <v>43</v>
      </c>
      <c r="B3870">
        <v>2012</v>
      </c>
      <c r="C3870" t="s">
        <v>6</v>
      </c>
      <c r="D3870">
        <v>56433369</v>
      </c>
      <c r="E3870" t="s">
        <v>81</v>
      </c>
    </row>
    <row r="3871" spans="1:5" x14ac:dyDescent="0.25">
      <c r="A3871" t="s">
        <v>43</v>
      </c>
      <c r="B3871">
        <v>2013</v>
      </c>
      <c r="C3871" t="s">
        <v>6</v>
      </c>
      <c r="D3871">
        <v>64538224</v>
      </c>
      <c r="E3871" t="s">
        <v>81</v>
      </c>
    </row>
    <row r="3872" spans="1:5" x14ac:dyDescent="0.25">
      <c r="A3872" t="s">
        <v>43</v>
      </c>
      <c r="B3872">
        <v>2014</v>
      </c>
      <c r="C3872" t="s">
        <v>6</v>
      </c>
      <c r="D3872">
        <v>87330164.819999993</v>
      </c>
      <c r="E3872" t="s">
        <v>81</v>
      </c>
    </row>
    <row r="3873" spans="1:5" x14ac:dyDescent="0.25">
      <c r="A3873" t="s">
        <v>43</v>
      </c>
      <c r="B3873">
        <v>2015</v>
      </c>
      <c r="C3873" t="s">
        <v>6</v>
      </c>
      <c r="D3873">
        <v>136157253.63</v>
      </c>
      <c r="E3873" t="s">
        <v>81</v>
      </c>
    </row>
    <row r="3874" spans="1:5" x14ac:dyDescent="0.25">
      <c r="A3874" t="s">
        <v>43</v>
      </c>
      <c r="B3874">
        <v>2016</v>
      </c>
      <c r="C3874" t="s">
        <v>6</v>
      </c>
      <c r="D3874">
        <v>730735446.71500003</v>
      </c>
      <c r="E3874" t="s">
        <v>81</v>
      </c>
    </row>
    <row r="3875" spans="1:5" x14ac:dyDescent="0.25">
      <c r="A3875" t="s">
        <v>43</v>
      </c>
      <c r="B3875">
        <v>2017</v>
      </c>
      <c r="C3875" t="s">
        <v>6</v>
      </c>
      <c r="D3875">
        <v>131494241.55</v>
      </c>
      <c r="E3875" t="s">
        <v>81</v>
      </c>
    </row>
    <row r="3876" spans="1:5" x14ac:dyDescent="0.25">
      <c r="A3876" t="s">
        <v>43</v>
      </c>
      <c r="B3876">
        <v>2018</v>
      </c>
      <c r="C3876" t="s">
        <v>6</v>
      </c>
      <c r="D3876">
        <v>144782166.46000001</v>
      </c>
      <c r="E3876" t="s">
        <v>81</v>
      </c>
    </row>
    <row r="3877" spans="1:5" x14ac:dyDescent="0.25">
      <c r="A3877" t="s">
        <v>43</v>
      </c>
      <c r="B3877">
        <v>2019</v>
      </c>
      <c r="C3877" t="s">
        <v>6</v>
      </c>
      <c r="D3877">
        <v>161124444.324</v>
      </c>
      <c r="E3877" t="s">
        <v>81</v>
      </c>
    </row>
    <row r="3878" spans="1:5" x14ac:dyDescent="0.25">
      <c r="A3878" t="s">
        <v>43</v>
      </c>
      <c r="B3878">
        <v>2020</v>
      </c>
      <c r="C3878" t="s">
        <v>6</v>
      </c>
      <c r="D3878">
        <v>160311297.25099999</v>
      </c>
      <c r="E3878" t="s">
        <v>81</v>
      </c>
    </row>
    <row r="3879" spans="1:5" x14ac:dyDescent="0.25">
      <c r="A3879" t="s">
        <v>43</v>
      </c>
      <c r="B3879">
        <v>2021</v>
      </c>
      <c r="C3879" t="s">
        <v>6</v>
      </c>
      <c r="D3879">
        <v>147951301.39500001</v>
      </c>
      <c r="E3879" t="s">
        <v>81</v>
      </c>
    </row>
    <row r="3880" spans="1:5" x14ac:dyDescent="0.25">
      <c r="A3880" t="s">
        <v>43</v>
      </c>
      <c r="B3880">
        <v>2022</v>
      </c>
      <c r="C3880" t="s">
        <v>6</v>
      </c>
      <c r="D3880">
        <v>147066857.09200001</v>
      </c>
      <c r="E3880" t="s">
        <v>81</v>
      </c>
    </row>
    <row r="3881" spans="1:5" x14ac:dyDescent="0.25">
      <c r="A3881" t="s">
        <v>43</v>
      </c>
      <c r="B3881">
        <v>2023</v>
      </c>
      <c r="C3881" t="s">
        <v>6</v>
      </c>
      <c r="D3881">
        <v>121530526.127</v>
      </c>
      <c r="E3881" t="s">
        <v>81</v>
      </c>
    </row>
    <row r="3882" spans="1:5" x14ac:dyDescent="0.25">
      <c r="A3882" t="s">
        <v>43</v>
      </c>
      <c r="B3882">
        <v>2024</v>
      </c>
      <c r="C3882" t="s">
        <v>6</v>
      </c>
      <c r="D3882">
        <v>159922325.46000001</v>
      </c>
      <c r="E3882" t="s">
        <v>81</v>
      </c>
    </row>
    <row r="3883" spans="1:5" x14ac:dyDescent="0.25">
      <c r="A3883" t="s">
        <v>43</v>
      </c>
      <c r="B3883">
        <v>2025</v>
      </c>
      <c r="C3883" t="s">
        <v>6</v>
      </c>
      <c r="D3883">
        <v>118776356.97</v>
      </c>
      <c r="E3883" t="s">
        <v>81</v>
      </c>
    </row>
    <row r="3884" spans="1:5" x14ac:dyDescent="0.25">
      <c r="A3884" t="s">
        <v>88</v>
      </c>
      <c r="B3884">
        <v>2010</v>
      </c>
      <c r="C3884" t="s">
        <v>6</v>
      </c>
      <c r="D3884">
        <v>1321200</v>
      </c>
      <c r="E3884" t="s">
        <v>81</v>
      </c>
    </row>
    <row r="3885" spans="1:5" x14ac:dyDescent="0.25">
      <c r="A3885" t="s">
        <v>44</v>
      </c>
      <c r="B3885">
        <v>2010</v>
      </c>
      <c r="C3885" t="s">
        <v>6</v>
      </c>
      <c r="D3885">
        <v>13835383</v>
      </c>
      <c r="E3885" t="s">
        <v>81</v>
      </c>
    </row>
    <row r="3886" spans="1:5" x14ac:dyDescent="0.25">
      <c r="A3886" t="s">
        <v>44</v>
      </c>
      <c r="B3886">
        <v>2011</v>
      </c>
      <c r="C3886" t="s">
        <v>6</v>
      </c>
      <c r="D3886">
        <v>13361795</v>
      </c>
      <c r="E3886" t="s">
        <v>81</v>
      </c>
    </row>
    <row r="3887" spans="1:5" x14ac:dyDescent="0.25">
      <c r="A3887" t="s">
        <v>44</v>
      </c>
      <c r="B3887">
        <v>2012</v>
      </c>
      <c r="C3887" t="s">
        <v>6</v>
      </c>
      <c r="D3887">
        <v>14490939</v>
      </c>
      <c r="E3887" t="s">
        <v>81</v>
      </c>
    </row>
    <row r="3888" spans="1:5" x14ac:dyDescent="0.25">
      <c r="A3888" t="s">
        <v>44</v>
      </c>
      <c r="B3888">
        <v>2013</v>
      </c>
      <c r="C3888" t="s">
        <v>6</v>
      </c>
      <c r="D3888">
        <v>22173982</v>
      </c>
      <c r="E3888" t="s">
        <v>81</v>
      </c>
    </row>
    <row r="3889" spans="1:5" x14ac:dyDescent="0.25">
      <c r="A3889" t="s">
        <v>44</v>
      </c>
      <c r="B3889">
        <v>2014</v>
      </c>
      <c r="C3889" t="s">
        <v>6</v>
      </c>
      <c r="D3889">
        <v>22637373</v>
      </c>
      <c r="E3889" t="s">
        <v>81</v>
      </c>
    </row>
    <row r="3890" spans="1:5" x14ac:dyDescent="0.25">
      <c r="A3890" t="s">
        <v>44</v>
      </c>
      <c r="B3890">
        <v>2015</v>
      </c>
      <c r="C3890" t="s">
        <v>6</v>
      </c>
      <c r="D3890">
        <v>22216429</v>
      </c>
      <c r="E3890" t="s">
        <v>81</v>
      </c>
    </row>
    <row r="3891" spans="1:5" x14ac:dyDescent="0.25">
      <c r="A3891" t="s">
        <v>44</v>
      </c>
      <c r="B3891">
        <v>2016</v>
      </c>
      <c r="C3891" t="s">
        <v>6</v>
      </c>
      <c r="D3891">
        <v>27760467.734999999</v>
      </c>
      <c r="E3891" t="s">
        <v>81</v>
      </c>
    </row>
    <row r="3892" spans="1:5" x14ac:dyDescent="0.25">
      <c r="A3892" t="s">
        <v>44</v>
      </c>
      <c r="B3892">
        <v>2017</v>
      </c>
      <c r="C3892" t="s">
        <v>6</v>
      </c>
      <c r="D3892">
        <v>31222363</v>
      </c>
      <c r="E3892" t="s">
        <v>81</v>
      </c>
    </row>
    <row r="3893" spans="1:5" x14ac:dyDescent="0.25">
      <c r="A3893" t="s">
        <v>44</v>
      </c>
      <c r="B3893">
        <v>2018</v>
      </c>
      <c r="C3893" t="s">
        <v>6</v>
      </c>
      <c r="D3893">
        <v>26626989</v>
      </c>
      <c r="E3893" t="s">
        <v>81</v>
      </c>
    </row>
    <row r="3894" spans="1:5" x14ac:dyDescent="0.25">
      <c r="A3894" t="s">
        <v>44</v>
      </c>
      <c r="B3894">
        <v>2019</v>
      </c>
      <c r="C3894" t="s">
        <v>6</v>
      </c>
      <c r="D3894">
        <v>24434268</v>
      </c>
      <c r="E3894" t="s">
        <v>81</v>
      </c>
    </row>
    <row r="3895" spans="1:5" x14ac:dyDescent="0.25">
      <c r="A3895" t="s">
        <v>44</v>
      </c>
      <c r="B3895">
        <v>2020</v>
      </c>
      <c r="C3895" t="s">
        <v>6</v>
      </c>
      <c r="D3895">
        <v>25742507</v>
      </c>
      <c r="E3895" t="s">
        <v>81</v>
      </c>
    </row>
    <row r="3896" spans="1:5" x14ac:dyDescent="0.25">
      <c r="A3896" t="s">
        <v>44</v>
      </c>
      <c r="B3896">
        <v>2021</v>
      </c>
      <c r="C3896" t="s">
        <v>6</v>
      </c>
      <c r="D3896">
        <v>28282621.91</v>
      </c>
      <c r="E3896" t="s">
        <v>81</v>
      </c>
    </row>
    <row r="3897" spans="1:5" x14ac:dyDescent="0.25">
      <c r="A3897" t="s">
        <v>44</v>
      </c>
      <c r="B3897">
        <v>2022</v>
      </c>
      <c r="C3897" t="s">
        <v>6</v>
      </c>
      <c r="D3897">
        <v>27816104.18</v>
      </c>
      <c r="E3897" t="s">
        <v>81</v>
      </c>
    </row>
    <row r="3898" spans="1:5" x14ac:dyDescent="0.25">
      <c r="A3898" t="s">
        <v>44</v>
      </c>
      <c r="B3898">
        <v>2023</v>
      </c>
      <c r="C3898" t="s">
        <v>6</v>
      </c>
      <c r="D3898">
        <v>27833269.519000001</v>
      </c>
      <c r="E3898" t="s">
        <v>81</v>
      </c>
    </row>
    <row r="3899" spans="1:5" x14ac:dyDescent="0.25">
      <c r="A3899" t="s">
        <v>44</v>
      </c>
      <c r="B3899">
        <v>2024</v>
      </c>
      <c r="C3899" t="s">
        <v>6</v>
      </c>
      <c r="D3899">
        <v>34345183</v>
      </c>
      <c r="E3899" t="s">
        <v>81</v>
      </c>
    </row>
    <row r="3900" spans="1:5" x14ac:dyDescent="0.25">
      <c r="A3900" t="s">
        <v>44</v>
      </c>
      <c r="B3900">
        <v>2025</v>
      </c>
      <c r="C3900" t="s">
        <v>6</v>
      </c>
      <c r="D3900">
        <v>35836380.343000002</v>
      </c>
      <c r="E3900" t="s">
        <v>81</v>
      </c>
    </row>
    <row r="3901" spans="1:5" x14ac:dyDescent="0.25">
      <c r="A3901" t="s">
        <v>87</v>
      </c>
      <c r="B3901">
        <v>2013</v>
      </c>
      <c r="C3901" t="s">
        <v>6</v>
      </c>
      <c r="D3901">
        <v>2076798.9</v>
      </c>
      <c r="E3901" t="s">
        <v>81</v>
      </c>
    </row>
    <row r="3902" spans="1:5" x14ac:dyDescent="0.25">
      <c r="A3902" t="s">
        <v>45</v>
      </c>
      <c r="B3902">
        <v>2015</v>
      </c>
      <c r="C3902" t="s">
        <v>6</v>
      </c>
      <c r="D3902">
        <v>14441475</v>
      </c>
      <c r="E3902" t="s">
        <v>81</v>
      </c>
    </row>
    <row r="3903" spans="1:5" x14ac:dyDescent="0.25">
      <c r="A3903" t="s">
        <v>45</v>
      </c>
      <c r="B3903">
        <v>2016</v>
      </c>
      <c r="C3903" t="s">
        <v>6</v>
      </c>
      <c r="D3903">
        <v>12860352.220000001</v>
      </c>
      <c r="E3903" t="s">
        <v>81</v>
      </c>
    </row>
    <row r="3904" spans="1:5" x14ac:dyDescent="0.25">
      <c r="A3904" t="s">
        <v>45</v>
      </c>
      <c r="B3904">
        <v>2017</v>
      </c>
      <c r="C3904" t="s">
        <v>6</v>
      </c>
      <c r="D3904">
        <v>16627830.73</v>
      </c>
      <c r="E3904" t="s">
        <v>81</v>
      </c>
    </row>
    <row r="3905" spans="1:5" x14ac:dyDescent="0.25">
      <c r="A3905" t="s">
        <v>45</v>
      </c>
      <c r="B3905">
        <v>2018</v>
      </c>
      <c r="C3905" t="s">
        <v>6</v>
      </c>
      <c r="D3905">
        <v>17002884.77</v>
      </c>
      <c r="E3905" t="s">
        <v>81</v>
      </c>
    </row>
    <row r="3906" spans="1:5" x14ac:dyDescent="0.25">
      <c r="A3906" t="s">
        <v>45</v>
      </c>
      <c r="B3906">
        <v>2019</v>
      </c>
      <c r="C3906" t="s">
        <v>6</v>
      </c>
      <c r="D3906">
        <v>12923785.470000001</v>
      </c>
      <c r="E3906" t="s">
        <v>81</v>
      </c>
    </row>
    <row r="3907" spans="1:5" x14ac:dyDescent="0.25">
      <c r="A3907" t="s">
        <v>45</v>
      </c>
      <c r="B3907">
        <v>2020</v>
      </c>
      <c r="C3907" t="s">
        <v>6</v>
      </c>
      <c r="D3907">
        <v>12412329.1</v>
      </c>
      <c r="E3907" t="s">
        <v>81</v>
      </c>
    </row>
    <row r="3908" spans="1:5" x14ac:dyDescent="0.25">
      <c r="A3908" t="s">
        <v>45</v>
      </c>
      <c r="B3908">
        <v>2021</v>
      </c>
      <c r="C3908" t="s">
        <v>6</v>
      </c>
      <c r="D3908">
        <v>13264604.92</v>
      </c>
      <c r="E3908" t="s">
        <v>81</v>
      </c>
    </row>
    <row r="3909" spans="1:5" x14ac:dyDescent="0.25">
      <c r="A3909" t="s">
        <v>45</v>
      </c>
      <c r="B3909">
        <v>2022</v>
      </c>
      <c r="C3909" t="s">
        <v>6</v>
      </c>
      <c r="D3909">
        <v>15227120.567</v>
      </c>
      <c r="E3909" t="s">
        <v>81</v>
      </c>
    </row>
    <row r="3910" spans="1:5" x14ac:dyDescent="0.25">
      <c r="A3910" t="s">
        <v>45</v>
      </c>
      <c r="B3910">
        <v>2023</v>
      </c>
      <c r="C3910" t="s">
        <v>6</v>
      </c>
      <c r="D3910">
        <v>12627552.779999999</v>
      </c>
      <c r="E3910" t="s">
        <v>81</v>
      </c>
    </row>
    <row r="3911" spans="1:5" x14ac:dyDescent="0.25">
      <c r="A3911" t="s">
        <v>45</v>
      </c>
      <c r="B3911">
        <v>2024</v>
      </c>
      <c r="C3911" t="s">
        <v>6</v>
      </c>
      <c r="D3911">
        <v>10549212.419</v>
      </c>
      <c r="E3911" t="s">
        <v>81</v>
      </c>
    </row>
    <row r="3912" spans="1:5" x14ac:dyDescent="0.25">
      <c r="A3912" t="s">
        <v>86</v>
      </c>
      <c r="B3912">
        <v>2013</v>
      </c>
      <c r="C3912" t="s">
        <v>6</v>
      </c>
      <c r="D3912">
        <v>1837857</v>
      </c>
      <c r="E3912" t="s">
        <v>81</v>
      </c>
    </row>
    <row r="3913" spans="1:5" x14ac:dyDescent="0.25">
      <c r="A3913" t="s">
        <v>86</v>
      </c>
      <c r="B3913">
        <v>2015</v>
      </c>
      <c r="C3913" t="s">
        <v>6</v>
      </c>
      <c r="D3913">
        <v>1954218</v>
      </c>
      <c r="E3913" t="s">
        <v>81</v>
      </c>
    </row>
    <row r="3914" spans="1:5" x14ac:dyDescent="0.25">
      <c r="A3914" t="s">
        <v>86</v>
      </c>
      <c r="B3914">
        <v>2017</v>
      </c>
      <c r="C3914" t="s">
        <v>6</v>
      </c>
      <c r="D3914">
        <v>2680641.19</v>
      </c>
      <c r="E3914" t="s">
        <v>81</v>
      </c>
    </row>
    <row r="3915" spans="1:5" x14ac:dyDescent="0.25">
      <c r="A3915" t="s">
        <v>86</v>
      </c>
      <c r="B3915">
        <v>2018</v>
      </c>
      <c r="C3915" t="s">
        <v>6</v>
      </c>
      <c r="D3915">
        <v>3464304.86</v>
      </c>
      <c r="E3915" t="s">
        <v>81</v>
      </c>
    </row>
    <row r="3916" spans="1:5" x14ac:dyDescent="0.25">
      <c r="A3916" t="s">
        <v>86</v>
      </c>
      <c r="B3916">
        <v>2019</v>
      </c>
      <c r="C3916" t="s">
        <v>6</v>
      </c>
      <c r="D3916">
        <v>6110446.3899999997</v>
      </c>
      <c r="E3916" t="s">
        <v>81</v>
      </c>
    </row>
    <row r="3917" spans="1:5" x14ac:dyDescent="0.25">
      <c r="A3917" t="s">
        <v>86</v>
      </c>
      <c r="B3917">
        <v>2020</v>
      </c>
      <c r="C3917" t="s">
        <v>6</v>
      </c>
      <c r="D3917">
        <v>3879046.53</v>
      </c>
      <c r="E3917" t="s">
        <v>81</v>
      </c>
    </row>
    <row r="3918" spans="1:5" x14ac:dyDescent="0.25">
      <c r="A3918" t="s">
        <v>86</v>
      </c>
      <c r="B3918">
        <v>2021</v>
      </c>
      <c r="C3918" t="s">
        <v>6</v>
      </c>
      <c r="D3918">
        <v>5973533.5099999998</v>
      </c>
      <c r="E3918" t="s">
        <v>81</v>
      </c>
    </row>
    <row r="3919" spans="1:5" x14ac:dyDescent="0.25">
      <c r="A3919" t="s">
        <v>85</v>
      </c>
      <c r="B3919">
        <v>2021</v>
      </c>
      <c r="C3919" t="s">
        <v>6</v>
      </c>
      <c r="D3919">
        <v>2454440</v>
      </c>
      <c r="E3919" t="s">
        <v>81</v>
      </c>
    </row>
    <row r="3920" spans="1:5" x14ac:dyDescent="0.25">
      <c r="A3920" t="s">
        <v>85</v>
      </c>
      <c r="B3920">
        <v>2022</v>
      </c>
      <c r="C3920" t="s">
        <v>6</v>
      </c>
      <c r="D3920">
        <v>7236203</v>
      </c>
      <c r="E3920" t="s">
        <v>81</v>
      </c>
    </row>
    <row r="3921" spans="1:5" x14ac:dyDescent="0.25">
      <c r="A3921" t="s">
        <v>85</v>
      </c>
      <c r="B3921">
        <v>2023</v>
      </c>
      <c r="C3921" t="s">
        <v>6</v>
      </c>
      <c r="D3921">
        <v>4583862</v>
      </c>
      <c r="E3921" t="s">
        <v>81</v>
      </c>
    </row>
    <row r="3922" spans="1:5" x14ac:dyDescent="0.25">
      <c r="A3922" t="s">
        <v>85</v>
      </c>
      <c r="B3922">
        <v>2024</v>
      </c>
      <c r="C3922" t="s">
        <v>6</v>
      </c>
      <c r="D3922">
        <v>5186567</v>
      </c>
      <c r="E3922" t="s">
        <v>81</v>
      </c>
    </row>
    <row r="3923" spans="1:5" x14ac:dyDescent="0.25">
      <c r="A3923" t="s">
        <v>85</v>
      </c>
      <c r="B3923">
        <v>2025</v>
      </c>
      <c r="C3923" t="s">
        <v>6</v>
      </c>
      <c r="D3923">
        <v>2051480</v>
      </c>
      <c r="E3923" t="s">
        <v>81</v>
      </c>
    </row>
    <row r="3924" spans="1:5" x14ac:dyDescent="0.25">
      <c r="A3924" t="s">
        <v>46</v>
      </c>
      <c r="B3924">
        <v>2010</v>
      </c>
      <c r="C3924" t="s">
        <v>6</v>
      </c>
      <c r="D3924">
        <v>5524528</v>
      </c>
      <c r="E3924" t="s">
        <v>81</v>
      </c>
    </row>
    <row r="3925" spans="1:5" x14ac:dyDescent="0.25">
      <c r="A3925" t="s">
        <v>46</v>
      </c>
      <c r="B3925">
        <v>2011</v>
      </c>
      <c r="C3925" t="s">
        <v>6</v>
      </c>
      <c r="D3925">
        <v>13071135</v>
      </c>
      <c r="E3925" t="s">
        <v>81</v>
      </c>
    </row>
    <row r="3926" spans="1:5" x14ac:dyDescent="0.25">
      <c r="A3926" t="s">
        <v>46</v>
      </c>
      <c r="B3926">
        <v>2012</v>
      </c>
      <c r="C3926" t="s">
        <v>6</v>
      </c>
      <c r="D3926">
        <v>7480530</v>
      </c>
      <c r="E3926" t="s">
        <v>81</v>
      </c>
    </row>
    <row r="3927" spans="1:5" x14ac:dyDescent="0.25">
      <c r="A3927" t="s">
        <v>46</v>
      </c>
      <c r="B3927">
        <v>2013</v>
      </c>
      <c r="C3927" t="s">
        <v>6</v>
      </c>
      <c r="D3927">
        <v>7021836</v>
      </c>
      <c r="E3927" t="s">
        <v>81</v>
      </c>
    </row>
    <row r="3928" spans="1:5" x14ac:dyDescent="0.25">
      <c r="A3928" t="s">
        <v>46</v>
      </c>
      <c r="B3928">
        <v>2014</v>
      </c>
      <c r="C3928" t="s">
        <v>6</v>
      </c>
      <c r="D3928">
        <v>7041583</v>
      </c>
      <c r="E3928" t="s">
        <v>81</v>
      </c>
    </row>
    <row r="3929" spans="1:5" x14ac:dyDescent="0.25">
      <c r="A3929" t="s">
        <v>46</v>
      </c>
      <c r="B3929">
        <v>2015</v>
      </c>
      <c r="C3929" t="s">
        <v>6</v>
      </c>
      <c r="D3929">
        <v>5974169</v>
      </c>
      <c r="E3929" t="s">
        <v>81</v>
      </c>
    </row>
    <row r="3930" spans="1:5" x14ac:dyDescent="0.25">
      <c r="A3930" t="s">
        <v>46</v>
      </c>
      <c r="B3930">
        <v>2016</v>
      </c>
      <c r="C3930" t="s">
        <v>6</v>
      </c>
      <c r="D3930">
        <v>6953302</v>
      </c>
      <c r="E3930" t="s">
        <v>81</v>
      </c>
    </row>
    <row r="3931" spans="1:5" x14ac:dyDescent="0.25">
      <c r="A3931" t="s">
        <v>46</v>
      </c>
      <c r="B3931">
        <v>2017</v>
      </c>
      <c r="C3931" t="s">
        <v>6</v>
      </c>
      <c r="D3931">
        <v>10253805</v>
      </c>
      <c r="E3931" t="s">
        <v>81</v>
      </c>
    </row>
    <row r="3932" spans="1:5" x14ac:dyDescent="0.25">
      <c r="A3932" t="s">
        <v>46</v>
      </c>
      <c r="B3932">
        <v>2018</v>
      </c>
      <c r="C3932" t="s">
        <v>6</v>
      </c>
      <c r="D3932">
        <v>11310159</v>
      </c>
      <c r="E3932" t="s">
        <v>81</v>
      </c>
    </row>
    <row r="3933" spans="1:5" x14ac:dyDescent="0.25">
      <c r="A3933" t="s">
        <v>46</v>
      </c>
      <c r="B3933">
        <v>2019</v>
      </c>
      <c r="C3933" t="s">
        <v>6</v>
      </c>
      <c r="D3933">
        <v>3638831</v>
      </c>
      <c r="E3933" t="s">
        <v>81</v>
      </c>
    </row>
    <row r="3934" spans="1:5" x14ac:dyDescent="0.25">
      <c r="A3934" t="s">
        <v>46</v>
      </c>
      <c r="B3934">
        <v>2022</v>
      </c>
      <c r="C3934" t="s">
        <v>6</v>
      </c>
      <c r="D3934">
        <v>2005004</v>
      </c>
      <c r="E3934" t="s">
        <v>81</v>
      </c>
    </row>
    <row r="3935" spans="1:5" x14ac:dyDescent="0.25">
      <c r="A3935" t="s">
        <v>47</v>
      </c>
      <c r="B3935">
        <v>2003</v>
      </c>
      <c r="C3935" t="s">
        <v>6</v>
      </c>
      <c r="D3935">
        <v>72000000</v>
      </c>
      <c r="E3935" t="s">
        <v>81</v>
      </c>
    </row>
    <row r="3936" spans="1:5" x14ac:dyDescent="0.25">
      <c r="A3936" t="s">
        <v>47</v>
      </c>
      <c r="B3936">
        <v>2004</v>
      </c>
      <c r="C3936" t="s">
        <v>6</v>
      </c>
      <c r="D3936">
        <v>81561471</v>
      </c>
      <c r="E3936" t="s">
        <v>81</v>
      </c>
    </row>
    <row r="3937" spans="1:5" x14ac:dyDescent="0.25">
      <c r="A3937" t="s">
        <v>47</v>
      </c>
      <c r="B3937">
        <v>2005</v>
      </c>
      <c r="C3937" t="s">
        <v>6</v>
      </c>
      <c r="D3937">
        <v>69528017.906000003</v>
      </c>
      <c r="E3937" t="s">
        <v>81</v>
      </c>
    </row>
    <row r="3938" spans="1:5" x14ac:dyDescent="0.25">
      <c r="A3938" t="s">
        <v>47</v>
      </c>
      <c r="B3938">
        <v>2006</v>
      </c>
      <c r="C3938" t="s">
        <v>6</v>
      </c>
      <c r="D3938">
        <v>48029189</v>
      </c>
      <c r="E3938" t="s">
        <v>81</v>
      </c>
    </row>
    <row r="3939" spans="1:5" x14ac:dyDescent="0.25">
      <c r="A3939" t="s">
        <v>47</v>
      </c>
      <c r="B3939">
        <v>2007</v>
      </c>
      <c r="C3939" t="s">
        <v>6</v>
      </c>
      <c r="D3939">
        <v>211424320.002</v>
      </c>
      <c r="E3939" t="s">
        <v>81</v>
      </c>
    </row>
    <row r="3940" spans="1:5" x14ac:dyDescent="0.25">
      <c r="A3940" t="s">
        <v>47</v>
      </c>
      <c r="B3940">
        <v>2008</v>
      </c>
      <c r="C3940" t="s">
        <v>6</v>
      </c>
      <c r="D3940">
        <v>35406884.890000001</v>
      </c>
      <c r="E3940" t="s">
        <v>81</v>
      </c>
    </row>
    <row r="3941" spans="1:5" x14ac:dyDescent="0.25">
      <c r="A3941" t="s">
        <v>47</v>
      </c>
      <c r="B3941">
        <v>2010</v>
      </c>
      <c r="C3941" t="s">
        <v>6</v>
      </c>
      <c r="D3941">
        <v>69702217</v>
      </c>
      <c r="E3941" t="s">
        <v>81</v>
      </c>
    </row>
    <row r="3942" spans="1:5" x14ac:dyDescent="0.25">
      <c r="A3942" t="s">
        <v>47</v>
      </c>
      <c r="B3942">
        <v>2011</v>
      </c>
      <c r="C3942" t="s">
        <v>6</v>
      </c>
      <c r="D3942">
        <v>69635330.010000005</v>
      </c>
      <c r="E3942" t="s">
        <v>81</v>
      </c>
    </row>
    <row r="3943" spans="1:5" x14ac:dyDescent="0.25">
      <c r="A3943" t="s">
        <v>47</v>
      </c>
      <c r="B3943">
        <v>2012</v>
      </c>
      <c r="C3943" t="s">
        <v>6</v>
      </c>
      <c r="D3943">
        <v>62810848.560000002</v>
      </c>
      <c r="E3943" t="s">
        <v>81</v>
      </c>
    </row>
    <row r="3944" spans="1:5" x14ac:dyDescent="0.25">
      <c r="A3944" t="s">
        <v>47</v>
      </c>
      <c r="B3944">
        <v>2013</v>
      </c>
      <c r="C3944" t="s">
        <v>6</v>
      </c>
      <c r="D3944">
        <v>56045262.219999999</v>
      </c>
      <c r="E3944" t="s">
        <v>81</v>
      </c>
    </row>
    <row r="3945" spans="1:5" x14ac:dyDescent="0.25">
      <c r="A3945" t="s">
        <v>47</v>
      </c>
      <c r="B3945">
        <v>2014</v>
      </c>
      <c r="C3945" t="s">
        <v>6</v>
      </c>
      <c r="D3945">
        <v>66971603.266999997</v>
      </c>
      <c r="E3945" t="s">
        <v>81</v>
      </c>
    </row>
    <row r="3946" spans="1:5" x14ac:dyDescent="0.25">
      <c r="A3946" t="s">
        <v>47</v>
      </c>
      <c r="B3946">
        <v>2015</v>
      </c>
      <c r="C3946" t="s">
        <v>6</v>
      </c>
      <c r="D3946">
        <v>54222621.359999999</v>
      </c>
      <c r="E3946" t="s">
        <v>81</v>
      </c>
    </row>
    <row r="3947" spans="1:5" x14ac:dyDescent="0.25">
      <c r="A3947" t="s">
        <v>47</v>
      </c>
      <c r="B3947">
        <v>2016</v>
      </c>
      <c r="C3947" t="s">
        <v>6</v>
      </c>
      <c r="D3947">
        <v>68231708.984999999</v>
      </c>
      <c r="E3947" t="s">
        <v>81</v>
      </c>
    </row>
    <row r="3948" spans="1:5" x14ac:dyDescent="0.25">
      <c r="A3948" t="s">
        <v>47</v>
      </c>
      <c r="B3948">
        <v>2017</v>
      </c>
      <c r="C3948" t="s">
        <v>6</v>
      </c>
      <c r="D3948">
        <v>76686726.946999997</v>
      </c>
      <c r="E3948" t="s">
        <v>81</v>
      </c>
    </row>
    <row r="3949" spans="1:5" x14ac:dyDescent="0.25">
      <c r="A3949" t="s">
        <v>47</v>
      </c>
      <c r="B3949">
        <v>2018</v>
      </c>
      <c r="C3949" t="s">
        <v>6</v>
      </c>
      <c r="D3949">
        <v>78393665.490999997</v>
      </c>
      <c r="E3949" t="s">
        <v>81</v>
      </c>
    </row>
    <row r="3950" spans="1:5" x14ac:dyDescent="0.25">
      <c r="A3950" t="s">
        <v>47</v>
      </c>
      <c r="B3950">
        <v>2019</v>
      </c>
      <c r="C3950" t="s">
        <v>6</v>
      </c>
      <c r="D3950">
        <v>63881087.229999997</v>
      </c>
      <c r="E3950" t="s">
        <v>81</v>
      </c>
    </row>
    <row r="3951" spans="1:5" x14ac:dyDescent="0.25">
      <c r="A3951" t="s">
        <v>47</v>
      </c>
      <c r="B3951">
        <v>2020</v>
      </c>
      <c r="C3951" t="s">
        <v>6</v>
      </c>
      <c r="D3951">
        <v>76641630.899000004</v>
      </c>
      <c r="E3951" t="s">
        <v>81</v>
      </c>
    </row>
    <row r="3952" spans="1:5" x14ac:dyDescent="0.25">
      <c r="A3952" t="s">
        <v>47</v>
      </c>
      <c r="B3952">
        <v>2021</v>
      </c>
      <c r="C3952" t="s">
        <v>6</v>
      </c>
      <c r="D3952">
        <v>72131927.180000007</v>
      </c>
      <c r="E3952" t="s">
        <v>81</v>
      </c>
    </row>
    <row r="3953" spans="1:5" x14ac:dyDescent="0.25">
      <c r="A3953" t="s">
        <v>47</v>
      </c>
      <c r="B3953">
        <v>2022</v>
      </c>
      <c r="C3953" t="s">
        <v>6</v>
      </c>
      <c r="D3953">
        <v>68879978.137999997</v>
      </c>
      <c r="E3953" t="s">
        <v>81</v>
      </c>
    </row>
    <row r="3954" spans="1:5" x14ac:dyDescent="0.25">
      <c r="A3954" t="s">
        <v>62</v>
      </c>
      <c r="B3954">
        <v>2011</v>
      </c>
      <c r="C3954" t="s">
        <v>6</v>
      </c>
      <c r="D3954">
        <v>6652770</v>
      </c>
      <c r="E3954" t="s">
        <v>81</v>
      </c>
    </row>
    <row r="3955" spans="1:5" x14ac:dyDescent="0.25">
      <c r="A3955" t="s">
        <v>62</v>
      </c>
      <c r="B3955">
        <v>2012</v>
      </c>
      <c r="C3955" t="s">
        <v>6</v>
      </c>
      <c r="D3955">
        <v>6880660</v>
      </c>
      <c r="E3955" t="s">
        <v>81</v>
      </c>
    </row>
    <row r="3956" spans="1:5" x14ac:dyDescent="0.25">
      <c r="A3956" t="s">
        <v>62</v>
      </c>
      <c r="B3956">
        <v>2013</v>
      </c>
      <c r="C3956" t="s">
        <v>6</v>
      </c>
      <c r="D3956">
        <v>3249390</v>
      </c>
      <c r="E3956" t="s">
        <v>81</v>
      </c>
    </row>
    <row r="3957" spans="1:5" x14ac:dyDescent="0.25">
      <c r="A3957" t="s">
        <v>62</v>
      </c>
      <c r="B3957">
        <v>2014</v>
      </c>
      <c r="C3957" t="s">
        <v>6</v>
      </c>
      <c r="D3957">
        <v>3121830</v>
      </c>
      <c r="E3957" t="s">
        <v>81</v>
      </c>
    </row>
    <row r="3958" spans="1:5" x14ac:dyDescent="0.25">
      <c r="A3958" t="s">
        <v>62</v>
      </c>
      <c r="B3958">
        <v>2015</v>
      </c>
      <c r="C3958" t="s">
        <v>6</v>
      </c>
      <c r="D3958">
        <v>6196690</v>
      </c>
      <c r="E3958" t="s">
        <v>81</v>
      </c>
    </row>
    <row r="3959" spans="1:5" x14ac:dyDescent="0.25">
      <c r="A3959" t="s">
        <v>62</v>
      </c>
      <c r="B3959">
        <v>2017</v>
      </c>
      <c r="C3959" t="s">
        <v>6</v>
      </c>
      <c r="D3959">
        <v>2510830.0010000002</v>
      </c>
      <c r="E3959" t="s">
        <v>81</v>
      </c>
    </row>
    <row r="3960" spans="1:5" x14ac:dyDescent="0.25">
      <c r="A3960" t="s">
        <v>62</v>
      </c>
      <c r="B3960">
        <v>2018</v>
      </c>
      <c r="C3960" t="s">
        <v>6</v>
      </c>
      <c r="D3960">
        <v>2180780.5019999999</v>
      </c>
      <c r="E3960" t="s">
        <v>81</v>
      </c>
    </row>
    <row r="3961" spans="1:5" x14ac:dyDescent="0.25">
      <c r="A3961" t="s">
        <v>62</v>
      </c>
      <c r="B3961">
        <v>2019</v>
      </c>
      <c r="C3961" t="s">
        <v>6</v>
      </c>
      <c r="D3961">
        <v>3552811.8050000002</v>
      </c>
      <c r="E3961" t="s">
        <v>81</v>
      </c>
    </row>
    <row r="3962" spans="1:5" x14ac:dyDescent="0.25">
      <c r="A3962" t="s">
        <v>62</v>
      </c>
      <c r="B3962">
        <v>2020</v>
      </c>
      <c r="C3962" t="s">
        <v>6</v>
      </c>
      <c r="D3962">
        <v>4290854.6880000001</v>
      </c>
      <c r="E3962" t="s">
        <v>81</v>
      </c>
    </row>
    <row r="3963" spans="1:5" x14ac:dyDescent="0.25">
      <c r="A3963" t="s">
        <v>62</v>
      </c>
      <c r="B3963">
        <v>2021</v>
      </c>
      <c r="C3963" t="s">
        <v>6</v>
      </c>
      <c r="D3963">
        <v>2061393.3189999999</v>
      </c>
      <c r="E3963" t="s">
        <v>81</v>
      </c>
    </row>
    <row r="3964" spans="1:5" x14ac:dyDescent="0.25">
      <c r="A3964" t="s">
        <v>62</v>
      </c>
      <c r="B3964">
        <v>2022</v>
      </c>
      <c r="C3964" t="s">
        <v>6</v>
      </c>
      <c r="D3964">
        <v>2061370.108</v>
      </c>
      <c r="E3964" t="s">
        <v>81</v>
      </c>
    </row>
    <row r="3965" spans="1:5" x14ac:dyDescent="0.25">
      <c r="A3965" t="s">
        <v>62</v>
      </c>
      <c r="B3965">
        <v>2023</v>
      </c>
      <c r="C3965" t="s">
        <v>6</v>
      </c>
      <c r="D3965">
        <v>3748394.4130000002</v>
      </c>
      <c r="E3965" t="s">
        <v>81</v>
      </c>
    </row>
    <row r="3966" spans="1:5" x14ac:dyDescent="0.25">
      <c r="A3966" t="s">
        <v>62</v>
      </c>
      <c r="B3966">
        <v>2024</v>
      </c>
      <c r="C3966" t="s">
        <v>6</v>
      </c>
      <c r="D3966">
        <v>8028130.7029999997</v>
      </c>
      <c r="E3966" t="s">
        <v>81</v>
      </c>
    </row>
    <row r="3967" spans="1:5" x14ac:dyDescent="0.25">
      <c r="A3967" t="s">
        <v>62</v>
      </c>
      <c r="B3967">
        <v>2025</v>
      </c>
      <c r="C3967" t="s">
        <v>6</v>
      </c>
      <c r="D3967">
        <v>1952365.7180000001</v>
      </c>
      <c r="E3967" t="s">
        <v>81</v>
      </c>
    </row>
    <row r="3968" spans="1:5" x14ac:dyDescent="0.25">
      <c r="A3968" t="s">
        <v>84</v>
      </c>
      <c r="B3968">
        <v>2023</v>
      </c>
      <c r="C3968" t="s">
        <v>6</v>
      </c>
      <c r="D3968">
        <v>1262453.8589999999</v>
      </c>
      <c r="E3968" t="s">
        <v>81</v>
      </c>
    </row>
    <row r="3969" spans="1:5" x14ac:dyDescent="0.25">
      <c r="A3969" t="s">
        <v>84</v>
      </c>
      <c r="B3969">
        <v>2025</v>
      </c>
      <c r="C3969" t="s">
        <v>6</v>
      </c>
      <c r="D3969">
        <v>1127138.3060000001</v>
      </c>
      <c r="E3969" t="s">
        <v>81</v>
      </c>
    </row>
    <row r="3970" spans="1:5" x14ac:dyDescent="0.25">
      <c r="A3970" t="s">
        <v>49</v>
      </c>
      <c r="B3970">
        <v>2002</v>
      </c>
      <c r="C3970" t="s">
        <v>6</v>
      </c>
      <c r="D3970">
        <v>206176080.36000001</v>
      </c>
      <c r="E3970" t="s">
        <v>81</v>
      </c>
    </row>
    <row r="3971" spans="1:5" x14ac:dyDescent="0.25">
      <c r="A3971" t="s">
        <v>49</v>
      </c>
      <c r="B3971">
        <v>2003</v>
      </c>
      <c r="C3971" t="s">
        <v>6</v>
      </c>
      <c r="D3971">
        <v>153583177.22999999</v>
      </c>
      <c r="E3971" t="s">
        <v>81</v>
      </c>
    </row>
    <row r="3972" spans="1:5" x14ac:dyDescent="0.25">
      <c r="A3972" t="s">
        <v>49</v>
      </c>
      <c r="B3972">
        <v>2004</v>
      </c>
      <c r="C3972" t="s">
        <v>6</v>
      </c>
      <c r="D3972">
        <v>128723629.23</v>
      </c>
      <c r="E3972" t="s">
        <v>81</v>
      </c>
    </row>
    <row r="3973" spans="1:5" x14ac:dyDescent="0.25">
      <c r="A3973" t="s">
        <v>49</v>
      </c>
      <c r="B3973">
        <v>2005</v>
      </c>
      <c r="C3973" t="s">
        <v>6</v>
      </c>
      <c r="D3973">
        <v>159301638.81200001</v>
      </c>
      <c r="E3973" t="s">
        <v>81</v>
      </c>
    </row>
    <row r="3974" spans="1:5" x14ac:dyDescent="0.25">
      <c r="A3974" t="s">
        <v>49</v>
      </c>
      <c r="B3974">
        <v>2006</v>
      </c>
      <c r="C3974" t="s">
        <v>6</v>
      </c>
      <c r="D3974">
        <v>143303939.81999999</v>
      </c>
      <c r="E3974" t="s">
        <v>81</v>
      </c>
    </row>
    <row r="3975" spans="1:5" x14ac:dyDescent="0.25">
      <c r="A3975" t="s">
        <v>49</v>
      </c>
      <c r="B3975">
        <v>2007</v>
      </c>
      <c r="C3975" t="s">
        <v>6</v>
      </c>
      <c r="D3975">
        <v>158404791.97999999</v>
      </c>
      <c r="E3975" t="s">
        <v>81</v>
      </c>
    </row>
    <row r="3976" spans="1:5" x14ac:dyDescent="0.25">
      <c r="A3976" t="s">
        <v>49</v>
      </c>
      <c r="B3976">
        <v>2008</v>
      </c>
      <c r="C3976" t="s">
        <v>6</v>
      </c>
      <c r="D3976">
        <v>147888570.11000001</v>
      </c>
      <c r="E3976" t="s">
        <v>81</v>
      </c>
    </row>
    <row r="3977" spans="1:5" x14ac:dyDescent="0.25">
      <c r="A3977" t="s">
        <v>49</v>
      </c>
      <c r="B3977">
        <v>2009</v>
      </c>
      <c r="C3977" t="s">
        <v>6</v>
      </c>
      <c r="D3977">
        <v>148941721.67399999</v>
      </c>
      <c r="E3977" t="s">
        <v>81</v>
      </c>
    </row>
    <row r="3978" spans="1:5" x14ac:dyDescent="0.25">
      <c r="A3978" t="s">
        <v>49</v>
      </c>
      <c r="B3978">
        <v>2010</v>
      </c>
      <c r="C3978" t="s">
        <v>6</v>
      </c>
      <c r="D3978">
        <v>151491829.41</v>
      </c>
      <c r="E3978" t="s">
        <v>81</v>
      </c>
    </row>
    <row r="3979" spans="1:5" x14ac:dyDescent="0.25">
      <c r="A3979" t="s">
        <v>49</v>
      </c>
      <c r="B3979">
        <v>2011</v>
      </c>
      <c r="C3979" t="s">
        <v>6</v>
      </c>
      <c r="D3979">
        <v>173283630.22099999</v>
      </c>
      <c r="E3979" t="s">
        <v>81</v>
      </c>
    </row>
    <row r="3980" spans="1:5" x14ac:dyDescent="0.25">
      <c r="A3980" t="s">
        <v>49</v>
      </c>
      <c r="B3980">
        <v>2012</v>
      </c>
      <c r="C3980" t="s">
        <v>6</v>
      </c>
      <c r="D3980">
        <v>168298294.56799999</v>
      </c>
      <c r="E3980" t="s">
        <v>81</v>
      </c>
    </row>
    <row r="3981" spans="1:5" x14ac:dyDescent="0.25">
      <c r="A3981" t="s">
        <v>49</v>
      </c>
      <c r="B3981">
        <v>2013</v>
      </c>
      <c r="C3981" t="s">
        <v>6</v>
      </c>
      <c r="D3981">
        <v>167528449.472</v>
      </c>
      <c r="E3981" t="s">
        <v>81</v>
      </c>
    </row>
    <row r="3982" spans="1:5" x14ac:dyDescent="0.25">
      <c r="A3982" t="s">
        <v>49</v>
      </c>
      <c r="B3982">
        <v>2014</v>
      </c>
      <c r="C3982" t="s">
        <v>6</v>
      </c>
      <c r="D3982">
        <v>181148372.08000001</v>
      </c>
      <c r="E3982" t="s">
        <v>81</v>
      </c>
    </row>
    <row r="3983" spans="1:5" x14ac:dyDescent="0.25">
      <c r="A3983" t="s">
        <v>49</v>
      </c>
      <c r="B3983">
        <v>2015</v>
      </c>
      <c r="C3983" t="s">
        <v>6</v>
      </c>
      <c r="D3983">
        <v>180751703.43099999</v>
      </c>
      <c r="E3983" t="s">
        <v>81</v>
      </c>
    </row>
    <row r="3984" spans="1:5" x14ac:dyDescent="0.25">
      <c r="A3984" t="s">
        <v>49</v>
      </c>
      <c r="B3984">
        <v>2016</v>
      </c>
      <c r="C3984" t="s">
        <v>6</v>
      </c>
      <c r="D3984">
        <v>208788008.98300001</v>
      </c>
      <c r="E3984" t="s">
        <v>81</v>
      </c>
    </row>
    <row r="3985" spans="1:5" x14ac:dyDescent="0.25">
      <c r="A3985" t="s">
        <v>49</v>
      </c>
      <c r="B3985">
        <v>2017</v>
      </c>
      <c r="C3985" t="s">
        <v>6</v>
      </c>
      <c r="D3985">
        <v>203591905.26300001</v>
      </c>
      <c r="E3985" t="s">
        <v>81</v>
      </c>
    </row>
    <row r="3986" spans="1:5" x14ac:dyDescent="0.25">
      <c r="A3986" t="s">
        <v>49</v>
      </c>
      <c r="B3986">
        <v>2018</v>
      </c>
      <c r="C3986" t="s">
        <v>6</v>
      </c>
      <c r="D3986">
        <v>198543899.46700001</v>
      </c>
      <c r="E3986" t="s">
        <v>81</v>
      </c>
    </row>
    <row r="3987" spans="1:5" x14ac:dyDescent="0.25">
      <c r="A3987" t="s">
        <v>49</v>
      </c>
      <c r="B3987">
        <v>2019</v>
      </c>
      <c r="C3987" t="s">
        <v>6</v>
      </c>
      <c r="D3987">
        <v>195378846.169</v>
      </c>
      <c r="E3987" t="s">
        <v>81</v>
      </c>
    </row>
    <row r="3988" spans="1:5" x14ac:dyDescent="0.25">
      <c r="A3988" t="s">
        <v>49</v>
      </c>
      <c r="B3988">
        <v>2020</v>
      </c>
      <c r="C3988" t="s">
        <v>6</v>
      </c>
      <c r="D3988">
        <v>175343895.37</v>
      </c>
      <c r="E3988" t="s">
        <v>81</v>
      </c>
    </row>
    <row r="3989" spans="1:5" x14ac:dyDescent="0.25">
      <c r="A3989" t="s">
        <v>49</v>
      </c>
      <c r="B3989">
        <v>2021</v>
      </c>
      <c r="C3989" t="s">
        <v>6</v>
      </c>
      <c r="D3989">
        <v>158998960.83700001</v>
      </c>
      <c r="E3989" t="s">
        <v>81</v>
      </c>
    </row>
    <row r="3990" spans="1:5" x14ac:dyDescent="0.25">
      <c r="A3990" t="s">
        <v>49</v>
      </c>
      <c r="B3990">
        <v>2022</v>
      </c>
      <c r="C3990" t="s">
        <v>6</v>
      </c>
      <c r="D3990">
        <v>143254497.745</v>
      </c>
      <c r="E3990" t="s">
        <v>81</v>
      </c>
    </row>
    <row r="3991" spans="1:5" x14ac:dyDescent="0.25">
      <c r="A3991" t="s">
        <v>49</v>
      </c>
      <c r="B3991">
        <v>2023</v>
      </c>
      <c r="C3991" t="s">
        <v>6</v>
      </c>
      <c r="D3991">
        <v>101350727.42</v>
      </c>
      <c r="E3991" t="s">
        <v>81</v>
      </c>
    </row>
    <row r="3992" spans="1:5" x14ac:dyDescent="0.25">
      <c r="A3992" t="s">
        <v>49</v>
      </c>
      <c r="B3992">
        <v>2024</v>
      </c>
      <c r="C3992" t="s">
        <v>6</v>
      </c>
      <c r="D3992">
        <v>138828824.67399999</v>
      </c>
      <c r="E3992" t="s">
        <v>81</v>
      </c>
    </row>
    <row r="3993" spans="1:5" x14ac:dyDescent="0.25">
      <c r="A3993" t="s">
        <v>49</v>
      </c>
      <c r="B3993">
        <v>2025</v>
      </c>
      <c r="C3993" t="s">
        <v>6</v>
      </c>
      <c r="D3993">
        <v>111446630.677</v>
      </c>
      <c r="E3993" t="s">
        <v>81</v>
      </c>
    </row>
    <row r="3994" spans="1:5" x14ac:dyDescent="0.25">
      <c r="A3994" t="s">
        <v>50</v>
      </c>
      <c r="B3994">
        <v>2010</v>
      </c>
      <c r="C3994" t="s">
        <v>6</v>
      </c>
      <c r="D3994">
        <v>17860077</v>
      </c>
      <c r="E3994" t="s">
        <v>81</v>
      </c>
    </row>
    <row r="3995" spans="1:5" x14ac:dyDescent="0.25">
      <c r="A3995" t="s">
        <v>50</v>
      </c>
      <c r="B3995">
        <v>2011</v>
      </c>
      <c r="C3995" t="s">
        <v>6</v>
      </c>
      <c r="D3995">
        <v>200064625</v>
      </c>
      <c r="E3995" t="s">
        <v>81</v>
      </c>
    </row>
    <row r="3996" spans="1:5" x14ac:dyDescent="0.25">
      <c r="A3996" t="s">
        <v>50</v>
      </c>
      <c r="B3996">
        <v>2012</v>
      </c>
      <c r="C3996" t="s">
        <v>6</v>
      </c>
      <c r="D3996">
        <v>729053795</v>
      </c>
      <c r="E3996" t="s">
        <v>81</v>
      </c>
    </row>
    <row r="3997" spans="1:5" x14ac:dyDescent="0.25">
      <c r="A3997" t="s">
        <v>50</v>
      </c>
      <c r="B3997">
        <v>2013</v>
      </c>
      <c r="C3997" t="s">
        <v>6</v>
      </c>
      <c r="D3997">
        <v>761761277</v>
      </c>
      <c r="E3997" t="s">
        <v>81</v>
      </c>
    </row>
    <row r="3998" spans="1:5" x14ac:dyDescent="0.25">
      <c r="A3998" t="s">
        <v>50</v>
      </c>
      <c r="B3998">
        <v>2014</v>
      </c>
      <c r="C3998" t="s">
        <v>6</v>
      </c>
      <c r="D3998">
        <v>700347005</v>
      </c>
      <c r="E3998" t="s">
        <v>81</v>
      </c>
    </row>
    <row r="3999" spans="1:5" x14ac:dyDescent="0.25">
      <c r="A3999" t="s">
        <v>50</v>
      </c>
      <c r="B3999">
        <v>2015</v>
      </c>
      <c r="C3999" t="s">
        <v>6</v>
      </c>
      <c r="D3999">
        <v>671747340</v>
      </c>
      <c r="E3999" t="s">
        <v>81</v>
      </c>
    </row>
    <row r="4000" spans="1:5" x14ac:dyDescent="0.25">
      <c r="A4000" t="s">
        <v>50</v>
      </c>
      <c r="B4000">
        <v>2016</v>
      </c>
      <c r="C4000" t="s">
        <v>6</v>
      </c>
      <c r="D4000">
        <v>762617251</v>
      </c>
      <c r="E4000" t="s">
        <v>81</v>
      </c>
    </row>
    <row r="4001" spans="1:5" x14ac:dyDescent="0.25">
      <c r="A4001" t="s">
        <v>50</v>
      </c>
      <c r="B4001">
        <v>2017</v>
      </c>
      <c r="C4001" t="s">
        <v>6</v>
      </c>
      <c r="D4001">
        <v>712568985</v>
      </c>
      <c r="E4001" t="s">
        <v>81</v>
      </c>
    </row>
    <row r="4002" spans="1:5" x14ac:dyDescent="0.25">
      <c r="A4002" t="s">
        <v>50</v>
      </c>
      <c r="B4002">
        <v>2018</v>
      </c>
      <c r="C4002" t="s">
        <v>6</v>
      </c>
      <c r="D4002">
        <v>851774040</v>
      </c>
      <c r="E4002" t="s">
        <v>81</v>
      </c>
    </row>
    <row r="4003" spans="1:5" x14ac:dyDescent="0.25">
      <c r="A4003" t="s">
        <v>50</v>
      </c>
      <c r="B4003">
        <v>2019</v>
      </c>
      <c r="C4003" t="s">
        <v>6</v>
      </c>
      <c r="D4003">
        <v>602552090.65000105</v>
      </c>
      <c r="E4003" t="s">
        <v>81</v>
      </c>
    </row>
    <row r="4004" spans="1:5" x14ac:dyDescent="0.25">
      <c r="A4004" t="s">
        <v>50</v>
      </c>
      <c r="B4004">
        <v>2020</v>
      </c>
      <c r="C4004" t="s">
        <v>6</v>
      </c>
      <c r="D4004">
        <v>841093384</v>
      </c>
      <c r="E4004" t="s">
        <v>81</v>
      </c>
    </row>
    <row r="4005" spans="1:5" x14ac:dyDescent="0.25">
      <c r="A4005" t="s">
        <v>50</v>
      </c>
      <c r="B4005">
        <v>2021</v>
      </c>
      <c r="C4005" t="s">
        <v>6</v>
      </c>
      <c r="D4005">
        <v>697231887</v>
      </c>
      <c r="E4005" t="s">
        <v>81</v>
      </c>
    </row>
    <row r="4006" spans="1:5" x14ac:dyDescent="0.25">
      <c r="A4006" t="s">
        <v>50</v>
      </c>
      <c r="B4006">
        <v>2022</v>
      </c>
      <c r="C4006" t="s">
        <v>6</v>
      </c>
      <c r="D4006">
        <v>729698051</v>
      </c>
      <c r="E4006" t="s">
        <v>81</v>
      </c>
    </row>
    <row r="4007" spans="1:5" x14ac:dyDescent="0.25">
      <c r="A4007" t="s">
        <v>50</v>
      </c>
      <c r="B4007">
        <v>2023</v>
      </c>
      <c r="C4007" t="s">
        <v>6</v>
      </c>
      <c r="D4007">
        <v>668826782.222</v>
      </c>
      <c r="E4007" t="s">
        <v>81</v>
      </c>
    </row>
    <row r="4008" spans="1:5" x14ac:dyDescent="0.25">
      <c r="A4008" t="s">
        <v>50</v>
      </c>
      <c r="B4008">
        <v>2024</v>
      </c>
      <c r="C4008" t="s">
        <v>6</v>
      </c>
      <c r="D4008">
        <v>828732066</v>
      </c>
      <c r="E4008" t="s">
        <v>81</v>
      </c>
    </row>
    <row r="4009" spans="1:5" x14ac:dyDescent="0.25">
      <c r="A4009" t="s">
        <v>50</v>
      </c>
      <c r="B4009">
        <v>2025</v>
      </c>
      <c r="C4009" t="s">
        <v>6</v>
      </c>
      <c r="D4009">
        <v>147048811</v>
      </c>
      <c r="E4009" t="s">
        <v>81</v>
      </c>
    </row>
    <row r="4010" spans="1:5" x14ac:dyDescent="0.25">
      <c r="A4010" t="s">
        <v>83</v>
      </c>
      <c r="B4010">
        <v>2012</v>
      </c>
      <c r="C4010" t="s">
        <v>6</v>
      </c>
      <c r="D4010">
        <v>2620000</v>
      </c>
      <c r="E4010" t="s">
        <v>81</v>
      </c>
    </row>
    <row r="4011" spans="1:5" x14ac:dyDescent="0.25">
      <c r="A4011" t="s">
        <v>51</v>
      </c>
      <c r="B4011">
        <v>2014</v>
      </c>
      <c r="C4011" t="s">
        <v>6</v>
      </c>
      <c r="D4011">
        <v>13126353</v>
      </c>
      <c r="E4011" t="s">
        <v>81</v>
      </c>
    </row>
    <row r="4012" spans="1:5" x14ac:dyDescent="0.25">
      <c r="A4012" t="s">
        <v>51</v>
      </c>
      <c r="B4012">
        <v>2021</v>
      </c>
      <c r="C4012" t="s">
        <v>6</v>
      </c>
      <c r="D4012">
        <v>43579289</v>
      </c>
      <c r="E4012" t="s">
        <v>81</v>
      </c>
    </row>
    <row r="4013" spans="1:5" x14ac:dyDescent="0.25">
      <c r="A4013" t="s">
        <v>51</v>
      </c>
      <c r="B4013">
        <v>2022</v>
      </c>
      <c r="C4013" t="s">
        <v>6</v>
      </c>
      <c r="D4013">
        <v>49052055</v>
      </c>
      <c r="E4013" t="s">
        <v>81</v>
      </c>
    </row>
    <row r="4014" spans="1:5" x14ac:dyDescent="0.25">
      <c r="A4014" t="s">
        <v>52</v>
      </c>
      <c r="B4014">
        <v>2000</v>
      </c>
      <c r="C4014" t="s">
        <v>6</v>
      </c>
      <c r="D4014">
        <v>26784032</v>
      </c>
      <c r="E4014" t="s">
        <v>81</v>
      </c>
    </row>
    <row r="4015" spans="1:5" x14ac:dyDescent="0.25">
      <c r="A4015" t="s">
        <v>52</v>
      </c>
      <c r="B4015">
        <v>2001</v>
      </c>
      <c r="C4015" t="s">
        <v>6</v>
      </c>
      <c r="D4015">
        <v>2641532</v>
      </c>
      <c r="E4015" t="s">
        <v>81</v>
      </c>
    </row>
    <row r="4016" spans="1:5" x14ac:dyDescent="0.25">
      <c r="A4016" t="s">
        <v>52</v>
      </c>
      <c r="B4016">
        <v>2002</v>
      </c>
      <c r="C4016" t="s">
        <v>6</v>
      </c>
      <c r="D4016">
        <v>5366160</v>
      </c>
      <c r="E4016" t="s">
        <v>81</v>
      </c>
    </row>
    <row r="4017" spans="1:5" x14ac:dyDescent="0.25">
      <c r="A4017" t="s">
        <v>52</v>
      </c>
      <c r="B4017">
        <v>2003</v>
      </c>
      <c r="C4017" t="s">
        <v>6</v>
      </c>
      <c r="D4017">
        <v>7343618</v>
      </c>
      <c r="E4017" t="s">
        <v>81</v>
      </c>
    </row>
    <row r="4018" spans="1:5" x14ac:dyDescent="0.25">
      <c r="A4018" t="s">
        <v>52</v>
      </c>
      <c r="B4018">
        <v>2004</v>
      </c>
      <c r="C4018" t="s">
        <v>6</v>
      </c>
      <c r="D4018">
        <v>11202090</v>
      </c>
      <c r="E4018" t="s">
        <v>81</v>
      </c>
    </row>
    <row r="4019" spans="1:5" x14ac:dyDescent="0.25">
      <c r="A4019" t="s">
        <v>52</v>
      </c>
      <c r="B4019">
        <v>2005</v>
      </c>
      <c r="C4019" t="s">
        <v>6</v>
      </c>
      <c r="D4019">
        <v>9216923</v>
      </c>
      <c r="E4019" t="s">
        <v>81</v>
      </c>
    </row>
    <row r="4020" spans="1:5" x14ac:dyDescent="0.25">
      <c r="A4020" t="s">
        <v>52</v>
      </c>
      <c r="B4020">
        <v>2006</v>
      </c>
      <c r="C4020" t="s">
        <v>6</v>
      </c>
      <c r="D4020">
        <v>9270177</v>
      </c>
      <c r="E4020" t="s">
        <v>81</v>
      </c>
    </row>
    <row r="4021" spans="1:5" x14ac:dyDescent="0.25">
      <c r="A4021" t="s">
        <v>52</v>
      </c>
      <c r="B4021">
        <v>2007</v>
      </c>
      <c r="C4021" t="s">
        <v>6</v>
      </c>
      <c r="D4021">
        <v>10664623</v>
      </c>
      <c r="E4021" t="s">
        <v>81</v>
      </c>
    </row>
    <row r="4022" spans="1:5" x14ac:dyDescent="0.25">
      <c r="A4022" t="s">
        <v>52</v>
      </c>
      <c r="B4022">
        <v>2008</v>
      </c>
      <c r="C4022" t="s">
        <v>6</v>
      </c>
      <c r="D4022">
        <v>9982457</v>
      </c>
      <c r="E4022" t="s">
        <v>81</v>
      </c>
    </row>
    <row r="4023" spans="1:5" x14ac:dyDescent="0.25">
      <c r="A4023" t="s">
        <v>52</v>
      </c>
      <c r="B4023">
        <v>2009</v>
      </c>
      <c r="C4023" t="s">
        <v>6</v>
      </c>
      <c r="D4023">
        <v>13043279</v>
      </c>
      <c r="E4023" t="s">
        <v>81</v>
      </c>
    </row>
    <row r="4024" spans="1:5" x14ac:dyDescent="0.25">
      <c r="A4024" t="s">
        <v>52</v>
      </c>
      <c r="B4024">
        <v>2010</v>
      </c>
      <c r="C4024" t="s">
        <v>6</v>
      </c>
      <c r="D4024">
        <v>7848737</v>
      </c>
      <c r="E4024" t="s">
        <v>81</v>
      </c>
    </row>
    <row r="4025" spans="1:5" x14ac:dyDescent="0.25">
      <c r="A4025" t="s">
        <v>52</v>
      </c>
      <c r="B4025">
        <v>2011</v>
      </c>
      <c r="C4025" t="s">
        <v>6</v>
      </c>
      <c r="D4025">
        <v>9084777</v>
      </c>
      <c r="E4025" t="s">
        <v>81</v>
      </c>
    </row>
    <row r="4026" spans="1:5" x14ac:dyDescent="0.25">
      <c r="A4026" t="s">
        <v>52</v>
      </c>
      <c r="B4026">
        <v>2012</v>
      </c>
      <c r="C4026" t="s">
        <v>6</v>
      </c>
      <c r="D4026">
        <v>9901349</v>
      </c>
      <c r="E4026" t="s">
        <v>81</v>
      </c>
    </row>
    <row r="4027" spans="1:5" x14ac:dyDescent="0.25">
      <c r="A4027" t="s">
        <v>52</v>
      </c>
      <c r="B4027">
        <v>2013</v>
      </c>
      <c r="C4027" t="s">
        <v>6</v>
      </c>
      <c r="D4027">
        <v>13135179</v>
      </c>
      <c r="E4027" t="s">
        <v>81</v>
      </c>
    </row>
    <row r="4028" spans="1:5" x14ac:dyDescent="0.25">
      <c r="A4028" t="s">
        <v>52</v>
      </c>
      <c r="B4028">
        <v>2014</v>
      </c>
      <c r="C4028" t="s">
        <v>6</v>
      </c>
      <c r="D4028">
        <v>17883271</v>
      </c>
      <c r="E4028" t="s">
        <v>81</v>
      </c>
    </row>
    <row r="4029" spans="1:5" x14ac:dyDescent="0.25">
      <c r="A4029" t="s">
        <v>52</v>
      </c>
      <c r="B4029">
        <v>2015</v>
      </c>
      <c r="C4029" t="s">
        <v>6</v>
      </c>
      <c r="D4029">
        <v>20658360</v>
      </c>
      <c r="E4029" t="s">
        <v>81</v>
      </c>
    </row>
    <row r="4030" spans="1:5" x14ac:dyDescent="0.25">
      <c r="A4030" t="s">
        <v>52</v>
      </c>
      <c r="B4030">
        <v>2016</v>
      </c>
      <c r="C4030" t="s">
        <v>6</v>
      </c>
      <c r="D4030">
        <v>23258621</v>
      </c>
      <c r="E4030" t="s">
        <v>81</v>
      </c>
    </row>
    <row r="4031" spans="1:5" x14ac:dyDescent="0.25">
      <c r="A4031" t="s">
        <v>52</v>
      </c>
      <c r="B4031">
        <v>2017</v>
      </c>
      <c r="C4031" t="s">
        <v>6</v>
      </c>
      <c r="D4031">
        <v>26857945</v>
      </c>
      <c r="E4031" t="s">
        <v>81</v>
      </c>
    </row>
    <row r="4032" spans="1:5" x14ac:dyDescent="0.25">
      <c r="A4032" t="s">
        <v>52</v>
      </c>
      <c r="B4032">
        <v>2018</v>
      </c>
      <c r="C4032" t="s">
        <v>6</v>
      </c>
      <c r="D4032">
        <v>25321410</v>
      </c>
      <c r="E4032" t="s">
        <v>81</v>
      </c>
    </row>
    <row r="4033" spans="1:5" x14ac:dyDescent="0.25">
      <c r="A4033" t="s">
        <v>52</v>
      </c>
      <c r="B4033">
        <v>2019</v>
      </c>
      <c r="C4033" t="s">
        <v>6</v>
      </c>
      <c r="D4033">
        <v>21920062</v>
      </c>
      <c r="E4033" t="s">
        <v>81</v>
      </c>
    </row>
    <row r="4034" spans="1:5" x14ac:dyDescent="0.25">
      <c r="A4034" t="s">
        <v>52</v>
      </c>
      <c r="B4034">
        <v>2020</v>
      </c>
      <c r="C4034" t="s">
        <v>6</v>
      </c>
      <c r="D4034">
        <v>25464286</v>
      </c>
      <c r="E4034" t="s">
        <v>81</v>
      </c>
    </row>
    <row r="4035" spans="1:5" x14ac:dyDescent="0.25">
      <c r="A4035" t="s">
        <v>52</v>
      </c>
      <c r="B4035">
        <v>2021</v>
      </c>
      <c r="C4035" t="s">
        <v>6</v>
      </c>
      <c r="D4035">
        <v>29967280</v>
      </c>
      <c r="E4035" t="s">
        <v>81</v>
      </c>
    </row>
    <row r="4036" spans="1:5" x14ac:dyDescent="0.25">
      <c r="A4036" t="s">
        <v>52</v>
      </c>
      <c r="B4036">
        <v>2022</v>
      </c>
      <c r="C4036" t="s">
        <v>6</v>
      </c>
      <c r="D4036">
        <v>31226315</v>
      </c>
      <c r="E4036" t="s">
        <v>81</v>
      </c>
    </row>
    <row r="4037" spans="1:5" x14ac:dyDescent="0.25">
      <c r="A4037" t="s">
        <v>52</v>
      </c>
      <c r="B4037">
        <v>2023</v>
      </c>
      <c r="C4037" t="s">
        <v>6</v>
      </c>
      <c r="D4037">
        <v>35964071</v>
      </c>
      <c r="E4037" t="s">
        <v>81</v>
      </c>
    </row>
    <row r="4038" spans="1:5" x14ac:dyDescent="0.25">
      <c r="A4038" t="s">
        <v>52</v>
      </c>
      <c r="B4038">
        <v>2024</v>
      </c>
      <c r="C4038" t="s">
        <v>6</v>
      </c>
      <c r="D4038">
        <v>37571036</v>
      </c>
      <c r="E4038" t="s">
        <v>81</v>
      </c>
    </row>
    <row r="4039" spans="1:5" x14ac:dyDescent="0.25">
      <c r="A4039" t="s">
        <v>52</v>
      </c>
      <c r="B4039">
        <v>2025</v>
      </c>
      <c r="C4039" t="s">
        <v>6</v>
      </c>
      <c r="D4039">
        <v>35664304</v>
      </c>
      <c r="E4039" t="s">
        <v>81</v>
      </c>
    </row>
    <row r="4040" spans="1:5" x14ac:dyDescent="0.25">
      <c r="A4040" t="s">
        <v>53</v>
      </c>
      <c r="B4040">
        <v>2010</v>
      </c>
      <c r="C4040" t="s">
        <v>6</v>
      </c>
      <c r="D4040">
        <v>2035000</v>
      </c>
      <c r="E4040" t="s">
        <v>81</v>
      </c>
    </row>
    <row r="4041" spans="1:5" x14ac:dyDescent="0.25">
      <c r="A4041" t="s">
        <v>53</v>
      </c>
      <c r="B4041">
        <v>2016</v>
      </c>
      <c r="C4041" t="s">
        <v>6</v>
      </c>
      <c r="D4041">
        <v>59102162</v>
      </c>
      <c r="E4041" t="s">
        <v>81</v>
      </c>
    </row>
    <row r="4042" spans="1:5" x14ac:dyDescent="0.25">
      <c r="A4042" t="s">
        <v>53</v>
      </c>
      <c r="B4042">
        <v>2017</v>
      </c>
      <c r="C4042" t="s">
        <v>6</v>
      </c>
      <c r="D4042">
        <v>60326765</v>
      </c>
      <c r="E4042" t="s">
        <v>81</v>
      </c>
    </row>
    <row r="4043" spans="1:5" x14ac:dyDescent="0.25">
      <c r="A4043" t="s">
        <v>53</v>
      </c>
      <c r="B4043">
        <v>2018</v>
      </c>
      <c r="C4043" t="s">
        <v>6</v>
      </c>
      <c r="D4043">
        <v>62295273</v>
      </c>
      <c r="E4043" t="s">
        <v>81</v>
      </c>
    </row>
    <row r="4044" spans="1:5" x14ac:dyDescent="0.25">
      <c r="A4044" t="s">
        <v>53</v>
      </c>
      <c r="B4044">
        <v>2019</v>
      </c>
      <c r="C4044" t="s">
        <v>6</v>
      </c>
      <c r="D4044">
        <v>69639328</v>
      </c>
      <c r="E4044" t="s">
        <v>81</v>
      </c>
    </row>
    <row r="4045" spans="1:5" x14ac:dyDescent="0.25">
      <c r="A4045" t="s">
        <v>53</v>
      </c>
      <c r="B4045">
        <v>2020</v>
      </c>
      <c r="C4045" t="s">
        <v>6</v>
      </c>
      <c r="D4045">
        <v>52545122</v>
      </c>
      <c r="E4045" t="s">
        <v>81</v>
      </c>
    </row>
    <row r="4046" spans="1:5" x14ac:dyDescent="0.25">
      <c r="A4046" t="s">
        <v>53</v>
      </c>
      <c r="B4046">
        <v>2021</v>
      </c>
      <c r="C4046" t="s">
        <v>6</v>
      </c>
      <c r="D4046">
        <v>63811845</v>
      </c>
      <c r="E4046" t="s">
        <v>81</v>
      </c>
    </row>
    <row r="4047" spans="1:5" x14ac:dyDescent="0.25">
      <c r="A4047" t="s">
        <v>53</v>
      </c>
      <c r="B4047">
        <v>2022</v>
      </c>
      <c r="C4047" t="s">
        <v>6</v>
      </c>
      <c r="D4047">
        <v>112239079.443</v>
      </c>
      <c r="E4047" t="s">
        <v>81</v>
      </c>
    </row>
    <row r="4048" spans="1:5" x14ac:dyDescent="0.25">
      <c r="A4048" t="s">
        <v>53</v>
      </c>
      <c r="B4048">
        <v>2023</v>
      </c>
      <c r="C4048" t="s">
        <v>6</v>
      </c>
      <c r="D4048">
        <v>65037758</v>
      </c>
      <c r="E4048" t="s">
        <v>81</v>
      </c>
    </row>
    <row r="4049" spans="1:5" x14ac:dyDescent="0.25">
      <c r="A4049" t="s">
        <v>53</v>
      </c>
      <c r="B4049">
        <v>2024</v>
      </c>
      <c r="C4049" t="s">
        <v>6</v>
      </c>
      <c r="D4049">
        <v>70749284</v>
      </c>
      <c r="E4049" t="s">
        <v>81</v>
      </c>
    </row>
    <row r="4050" spans="1:5" x14ac:dyDescent="0.25">
      <c r="A4050" t="s">
        <v>53</v>
      </c>
      <c r="B4050">
        <v>2025</v>
      </c>
      <c r="C4050" t="s">
        <v>6</v>
      </c>
      <c r="D4050">
        <v>54020288</v>
      </c>
      <c r="E4050" t="s">
        <v>81</v>
      </c>
    </row>
    <row r="4051" spans="1:5" x14ac:dyDescent="0.25">
      <c r="A4051" t="s">
        <v>82</v>
      </c>
      <c r="B4051">
        <v>2023</v>
      </c>
      <c r="C4051" t="s">
        <v>6</v>
      </c>
      <c r="D4051">
        <v>1333783</v>
      </c>
      <c r="E4051" t="s">
        <v>81</v>
      </c>
    </row>
    <row r="4052" spans="1:5" x14ac:dyDescent="0.25">
      <c r="A4052" t="s">
        <v>82</v>
      </c>
      <c r="B4052">
        <v>2024</v>
      </c>
      <c r="C4052" t="s">
        <v>6</v>
      </c>
      <c r="D4052">
        <v>1681708.2320000001</v>
      </c>
      <c r="E4052" t="s">
        <v>81</v>
      </c>
    </row>
    <row r="4053" spans="1:5" x14ac:dyDescent="0.25">
      <c r="A4053" t="s">
        <v>82</v>
      </c>
      <c r="B4053">
        <v>2025</v>
      </c>
      <c r="C4053" t="s">
        <v>6</v>
      </c>
      <c r="D4053">
        <v>1545501.2960000001</v>
      </c>
      <c r="E4053" t="s">
        <v>81</v>
      </c>
    </row>
    <row r="4054" spans="1:5" x14ac:dyDescent="0.25">
      <c r="A4054" t="s">
        <v>54</v>
      </c>
      <c r="B4054">
        <v>2018</v>
      </c>
      <c r="C4054" t="s">
        <v>6</v>
      </c>
      <c r="D4054">
        <v>2651484.21</v>
      </c>
      <c r="E4054" t="s">
        <v>81</v>
      </c>
    </row>
    <row r="4055" spans="1:5" x14ac:dyDescent="0.25">
      <c r="A4055" t="s">
        <v>54</v>
      </c>
      <c r="B4055">
        <v>2019</v>
      </c>
      <c r="C4055" t="s">
        <v>6</v>
      </c>
      <c r="D4055">
        <v>11927793.939999999</v>
      </c>
      <c r="E4055" t="s">
        <v>81</v>
      </c>
    </row>
    <row r="4056" spans="1:5" x14ac:dyDescent="0.25">
      <c r="A4056" t="s">
        <v>55</v>
      </c>
      <c r="B4056">
        <v>2013</v>
      </c>
      <c r="C4056" t="s">
        <v>6</v>
      </c>
      <c r="D4056">
        <v>2129796</v>
      </c>
      <c r="E4056" t="s">
        <v>81</v>
      </c>
    </row>
    <row r="4057" spans="1:5" x14ac:dyDescent="0.25">
      <c r="A4057" t="s">
        <v>55</v>
      </c>
      <c r="B4057">
        <v>2014</v>
      </c>
      <c r="C4057" t="s">
        <v>6</v>
      </c>
      <c r="D4057">
        <v>3293355</v>
      </c>
      <c r="E4057" t="s">
        <v>81</v>
      </c>
    </row>
    <row r="4058" spans="1:5" x14ac:dyDescent="0.25">
      <c r="A4058" t="s">
        <v>55</v>
      </c>
      <c r="B4058">
        <v>2015</v>
      </c>
      <c r="C4058" t="s">
        <v>6</v>
      </c>
      <c r="D4058">
        <v>3121623</v>
      </c>
      <c r="E4058" t="s">
        <v>81</v>
      </c>
    </row>
    <row r="4059" spans="1:5" x14ac:dyDescent="0.25">
      <c r="A4059" t="s">
        <v>55</v>
      </c>
      <c r="B4059">
        <v>2016</v>
      </c>
      <c r="C4059" t="s">
        <v>6</v>
      </c>
      <c r="D4059">
        <v>3853157</v>
      </c>
      <c r="E4059" t="s">
        <v>81</v>
      </c>
    </row>
    <row r="4060" spans="1:5" x14ac:dyDescent="0.25">
      <c r="A4060" t="s">
        <v>55</v>
      </c>
      <c r="B4060">
        <v>2017</v>
      </c>
      <c r="C4060" t="s">
        <v>6</v>
      </c>
      <c r="D4060">
        <v>2852785</v>
      </c>
      <c r="E4060" t="s">
        <v>81</v>
      </c>
    </row>
    <row r="4061" spans="1:5" x14ac:dyDescent="0.25">
      <c r="A4061" t="s">
        <v>55</v>
      </c>
      <c r="B4061">
        <v>2018</v>
      </c>
      <c r="C4061" t="s">
        <v>6</v>
      </c>
      <c r="D4061">
        <v>2471176</v>
      </c>
      <c r="E4061" t="s">
        <v>81</v>
      </c>
    </row>
    <row r="4062" spans="1:5" x14ac:dyDescent="0.25">
      <c r="A4062" t="s">
        <v>55</v>
      </c>
      <c r="B4062">
        <v>2019</v>
      </c>
      <c r="C4062" t="s">
        <v>6</v>
      </c>
      <c r="D4062">
        <v>2877362</v>
      </c>
      <c r="E4062" t="s">
        <v>81</v>
      </c>
    </row>
    <row r="4063" spans="1:5" x14ac:dyDescent="0.25">
      <c r="A4063" t="s">
        <v>55</v>
      </c>
      <c r="B4063">
        <v>2020</v>
      </c>
      <c r="C4063" t="s">
        <v>6</v>
      </c>
      <c r="D4063">
        <v>2442415</v>
      </c>
      <c r="E4063" t="s">
        <v>81</v>
      </c>
    </row>
    <row r="4064" spans="1:5" x14ac:dyDescent="0.25">
      <c r="A4064" t="s">
        <v>55</v>
      </c>
      <c r="B4064">
        <v>2021</v>
      </c>
      <c r="C4064" t="s">
        <v>6</v>
      </c>
      <c r="D4064">
        <v>3195653</v>
      </c>
      <c r="E4064" t="s">
        <v>81</v>
      </c>
    </row>
    <row r="4065" spans="1:5" x14ac:dyDescent="0.25">
      <c r="A4065" t="s">
        <v>55</v>
      </c>
      <c r="B4065">
        <v>2022</v>
      </c>
      <c r="C4065" t="s">
        <v>6</v>
      </c>
      <c r="D4065">
        <v>3145262</v>
      </c>
      <c r="E4065" t="s">
        <v>81</v>
      </c>
    </row>
    <row r="4066" spans="1:5" x14ac:dyDescent="0.25">
      <c r="A4066" t="s">
        <v>55</v>
      </c>
      <c r="B4066">
        <v>2023</v>
      </c>
      <c r="C4066" t="s">
        <v>6</v>
      </c>
      <c r="D4066">
        <v>2670044</v>
      </c>
      <c r="E4066" t="s">
        <v>81</v>
      </c>
    </row>
    <row r="4067" spans="1:5" x14ac:dyDescent="0.25">
      <c r="A4067" t="s">
        <v>55</v>
      </c>
      <c r="B4067">
        <v>2024</v>
      </c>
      <c r="C4067" t="s">
        <v>6</v>
      </c>
      <c r="D4067">
        <v>3369862</v>
      </c>
      <c r="E4067" t="s">
        <v>81</v>
      </c>
    </row>
    <row r="4068" spans="1:5" x14ac:dyDescent="0.25">
      <c r="A4068" t="s">
        <v>55</v>
      </c>
      <c r="B4068">
        <v>2025</v>
      </c>
      <c r="C4068" t="s">
        <v>6</v>
      </c>
      <c r="D4068">
        <v>3387562</v>
      </c>
      <c r="E4068" t="s">
        <v>81</v>
      </c>
    </row>
    <row r="4069" spans="1:5" x14ac:dyDescent="0.25">
      <c r="A4069" t="s">
        <v>56</v>
      </c>
      <c r="B4069">
        <v>2015</v>
      </c>
      <c r="C4069" t="s">
        <v>6</v>
      </c>
      <c r="D4069">
        <v>84772391.821999997</v>
      </c>
      <c r="E4069" t="s">
        <v>81</v>
      </c>
    </row>
    <row r="4070" spans="1:5" x14ac:dyDescent="0.25">
      <c r="A4070" t="s">
        <v>56</v>
      </c>
      <c r="B4070">
        <v>2016</v>
      </c>
      <c r="C4070" t="s">
        <v>6</v>
      </c>
      <c r="D4070">
        <v>69907358.441</v>
      </c>
      <c r="E4070" t="s">
        <v>81</v>
      </c>
    </row>
    <row r="4071" spans="1:5" x14ac:dyDescent="0.25">
      <c r="A4071" t="s">
        <v>56</v>
      </c>
      <c r="B4071">
        <v>2017</v>
      </c>
      <c r="C4071" t="s">
        <v>6</v>
      </c>
      <c r="D4071">
        <v>68592978.332000002</v>
      </c>
      <c r="E4071" t="s">
        <v>81</v>
      </c>
    </row>
    <row r="4072" spans="1:5" x14ac:dyDescent="0.25">
      <c r="A4072" t="s">
        <v>56</v>
      </c>
      <c r="B4072">
        <v>2018</v>
      </c>
      <c r="C4072" t="s">
        <v>6</v>
      </c>
      <c r="D4072">
        <v>99094650.195999995</v>
      </c>
      <c r="E4072" t="s">
        <v>81</v>
      </c>
    </row>
    <row r="4073" spans="1:5" x14ac:dyDescent="0.25">
      <c r="A4073" t="s">
        <v>56</v>
      </c>
      <c r="B4073">
        <v>2019</v>
      </c>
      <c r="C4073" t="s">
        <v>6</v>
      </c>
      <c r="D4073">
        <v>119487496.39399999</v>
      </c>
      <c r="E4073" t="s">
        <v>81</v>
      </c>
    </row>
    <row r="4074" spans="1:5" x14ac:dyDescent="0.25">
      <c r="A4074" t="s">
        <v>56</v>
      </c>
      <c r="B4074">
        <v>2020</v>
      </c>
      <c r="C4074" t="s">
        <v>6</v>
      </c>
      <c r="D4074">
        <v>117308612.20200001</v>
      </c>
      <c r="E4074" t="s">
        <v>81</v>
      </c>
    </row>
    <row r="4075" spans="1:5" x14ac:dyDescent="0.25">
      <c r="A4075" t="s">
        <v>56</v>
      </c>
      <c r="B4075">
        <v>2021</v>
      </c>
      <c r="C4075" t="s">
        <v>6</v>
      </c>
      <c r="D4075">
        <v>125158597.161</v>
      </c>
      <c r="E4075" t="s">
        <v>81</v>
      </c>
    </row>
    <row r="4076" spans="1:5" x14ac:dyDescent="0.25">
      <c r="A4076" t="s">
        <v>56</v>
      </c>
      <c r="B4076">
        <v>2022</v>
      </c>
      <c r="C4076" t="s">
        <v>6</v>
      </c>
      <c r="D4076">
        <v>147145076.28600001</v>
      </c>
      <c r="E4076" t="s">
        <v>81</v>
      </c>
    </row>
    <row r="4077" spans="1:5" x14ac:dyDescent="0.25">
      <c r="A4077" t="s">
        <v>56</v>
      </c>
      <c r="B4077">
        <v>2023</v>
      </c>
      <c r="C4077" t="s">
        <v>6</v>
      </c>
      <c r="D4077">
        <v>112453085.66</v>
      </c>
      <c r="E4077" t="s">
        <v>81</v>
      </c>
    </row>
    <row r="4078" spans="1:5" x14ac:dyDescent="0.25">
      <c r="A4078" t="s">
        <v>60</v>
      </c>
      <c r="B4078">
        <v>2012</v>
      </c>
      <c r="C4078" t="s">
        <v>6</v>
      </c>
      <c r="D4078">
        <v>2440909.9</v>
      </c>
      <c r="E4078" t="s">
        <v>81</v>
      </c>
    </row>
    <row r="4079" spans="1:5" x14ac:dyDescent="0.25">
      <c r="A4079" t="s">
        <v>60</v>
      </c>
      <c r="B4079">
        <v>2015</v>
      </c>
      <c r="C4079" t="s">
        <v>6</v>
      </c>
      <c r="D4079">
        <v>4521207.7</v>
      </c>
      <c r="E4079" t="s">
        <v>81</v>
      </c>
    </row>
    <row r="4080" spans="1:5" x14ac:dyDescent="0.25">
      <c r="A4080" t="s">
        <v>97</v>
      </c>
      <c r="B4080">
        <v>2010</v>
      </c>
      <c r="C4080" t="s">
        <v>57</v>
      </c>
      <c r="D4080">
        <v>3034277.736</v>
      </c>
      <c r="E4080" t="s">
        <v>81</v>
      </c>
    </row>
    <row r="4081" spans="1:5" x14ac:dyDescent="0.25">
      <c r="A4081" t="s">
        <v>97</v>
      </c>
      <c r="B4081">
        <v>2012</v>
      </c>
      <c r="C4081" t="s">
        <v>57</v>
      </c>
      <c r="D4081">
        <v>5105277</v>
      </c>
      <c r="E4081" t="s">
        <v>81</v>
      </c>
    </row>
    <row r="4082" spans="1:5" x14ac:dyDescent="0.25">
      <c r="A4082" t="s">
        <v>97</v>
      </c>
      <c r="B4082">
        <v>2013</v>
      </c>
      <c r="C4082" t="s">
        <v>57</v>
      </c>
      <c r="D4082">
        <v>4708279.5939999996</v>
      </c>
      <c r="E4082" t="s">
        <v>81</v>
      </c>
    </row>
    <row r="4083" spans="1:5" x14ac:dyDescent="0.25">
      <c r="A4083" t="s">
        <v>97</v>
      </c>
      <c r="B4083">
        <v>2014</v>
      </c>
      <c r="C4083" t="s">
        <v>57</v>
      </c>
      <c r="D4083">
        <v>18271926.530000001</v>
      </c>
      <c r="E4083" t="s">
        <v>81</v>
      </c>
    </row>
    <row r="4084" spans="1:5" x14ac:dyDescent="0.25">
      <c r="A4084" t="s">
        <v>97</v>
      </c>
      <c r="B4084">
        <v>2015</v>
      </c>
      <c r="C4084" t="s">
        <v>57</v>
      </c>
      <c r="D4084">
        <v>36269692.310000002</v>
      </c>
      <c r="E4084" t="s">
        <v>81</v>
      </c>
    </row>
    <row r="4085" spans="1:5" x14ac:dyDescent="0.25">
      <c r="A4085" t="s">
        <v>97</v>
      </c>
      <c r="B4085">
        <v>2016</v>
      </c>
      <c r="C4085" t="s">
        <v>57</v>
      </c>
      <c r="D4085">
        <v>15299811.58</v>
      </c>
      <c r="E4085" t="s">
        <v>81</v>
      </c>
    </row>
    <row r="4086" spans="1:5" x14ac:dyDescent="0.25">
      <c r="A4086" t="s">
        <v>5</v>
      </c>
      <c r="B4086">
        <v>2025</v>
      </c>
      <c r="C4086" t="s">
        <v>57</v>
      </c>
      <c r="D4086">
        <v>10924669.289999999</v>
      </c>
      <c r="E4086" t="s">
        <v>81</v>
      </c>
    </row>
    <row r="4087" spans="1:5" x14ac:dyDescent="0.25">
      <c r="A4087" t="s">
        <v>9</v>
      </c>
      <c r="B4087">
        <v>2013</v>
      </c>
      <c r="C4087" t="s">
        <v>57</v>
      </c>
      <c r="D4087">
        <v>20296615.449000001</v>
      </c>
      <c r="E4087" t="s">
        <v>81</v>
      </c>
    </row>
    <row r="4088" spans="1:5" x14ac:dyDescent="0.25">
      <c r="A4088" t="s">
        <v>9</v>
      </c>
      <c r="B4088">
        <v>2022</v>
      </c>
      <c r="C4088" t="s">
        <v>57</v>
      </c>
      <c r="D4088">
        <v>22029351.655999999</v>
      </c>
      <c r="E4088" t="s">
        <v>81</v>
      </c>
    </row>
    <row r="4089" spans="1:5" x14ac:dyDescent="0.25">
      <c r="A4089" t="s">
        <v>9</v>
      </c>
      <c r="B4089">
        <v>2023</v>
      </c>
      <c r="C4089" t="s">
        <v>57</v>
      </c>
      <c r="D4089">
        <v>18028323.088</v>
      </c>
      <c r="E4089" t="s">
        <v>81</v>
      </c>
    </row>
    <row r="4090" spans="1:5" x14ac:dyDescent="0.25">
      <c r="A4090" t="s">
        <v>9</v>
      </c>
      <c r="B4090">
        <v>2024</v>
      </c>
      <c r="C4090" t="s">
        <v>57</v>
      </c>
      <c r="D4090">
        <v>17283427.802999999</v>
      </c>
      <c r="E4090" t="s">
        <v>81</v>
      </c>
    </row>
    <row r="4091" spans="1:5" x14ac:dyDescent="0.25">
      <c r="A4091" t="s">
        <v>9</v>
      </c>
      <c r="B4091">
        <v>2025</v>
      </c>
      <c r="C4091" t="s">
        <v>57</v>
      </c>
      <c r="D4091">
        <v>14848645.213</v>
      </c>
      <c r="E4091" t="s">
        <v>81</v>
      </c>
    </row>
    <row r="4092" spans="1:5" x14ac:dyDescent="0.25">
      <c r="A4092" t="s">
        <v>96</v>
      </c>
      <c r="B4092">
        <v>2016</v>
      </c>
      <c r="C4092" t="s">
        <v>57</v>
      </c>
      <c r="D4092">
        <v>2299434.361</v>
      </c>
      <c r="E4092" t="s">
        <v>81</v>
      </c>
    </row>
    <row r="4093" spans="1:5" x14ac:dyDescent="0.25">
      <c r="A4093" t="s">
        <v>10</v>
      </c>
      <c r="B4093">
        <v>2003</v>
      </c>
      <c r="C4093" t="s">
        <v>57</v>
      </c>
      <c r="D4093">
        <v>2482261</v>
      </c>
      <c r="E4093" t="s">
        <v>81</v>
      </c>
    </row>
    <row r="4094" spans="1:5" x14ac:dyDescent="0.25">
      <c r="A4094" t="s">
        <v>10</v>
      </c>
      <c r="B4094">
        <v>2015</v>
      </c>
      <c r="C4094" t="s">
        <v>57</v>
      </c>
      <c r="D4094">
        <v>2490268</v>
      </c>
      <c r="E4094" t="s">
        <v>81</v>
      </c>
    </row>
    <row r="4095" spans="1:5" x14ac:dyDescent="0.25">
      <c r="A4095" t="s">
        <v>10</v>
      </c>
      <c r="B4095">
        <v>2016</v>
      </c>
      <c r="C4095" t="s">
        <v>57</v>
      </c>
      <c r="D4095">
        <v>4529177</v>
      </c>
      <c r="E4095" t="s">
        <v>81</v>
      </c>
    </row>
    <row r="4096" spans="1:5" x14ac:dyDescent="0.25">
      <c r="A4096" t="s">
        <v>10</v>
      </c>
      <c r="B4096">
        <v>2017</v>
      </c>
      <c r="C4096" t="s">
        <v>57</v>
      </c>
      <c r="D4096">
        <v>5198116</v>
      </c>
      <c r="E4096" t="s">
        <v>81</v>
      </c>
    </row>
    <row r="4097" spans="1:5" x14ac:dyDescent="0.25">
      <c r="A4097" t="s">
        <v>78</v>
      </c>
      <c r="B4097">
        <v>2011</v>
      </c>
      <c r="C4097" t="s">
        <v>57</v>
      </c>
      <c r="D4097">
        <v>7860526.1009999998</v>
      </c>
      <c r="E4097" t="s">
        <v>81</v>
      </c>
    </row>
    <row r="4098" spans="1:5" x14ac:dyDescent="0.25">
      <c r="A4098" t="s">
        <v>78</v>
      </c>
      <c r="B4098">
        <v>2012</v>
      </c>
      <c r="C4098" t="s">
        <v>57</v>
      </c>
      <c r="D4098">
        <v>4567647.9419999998</v>
      </c>
      <c r="E4098" t="s">
        <v>81</v>
      </c>
    </row>
    <row r="4099" spans="1:5" x14ac:dyDescent="0.25">
      <c r="A4099" t="s">
        <v>78</v>
      </c>
      <c r="B4099">
        <v>2013</v>
      </c>
      <c r="C4099" t="s">
        <v>57</v>
      </c>
      <c r="D4099">
        <v>2913448.6850000001</v>
      </c>
      <c r="E4099" t="s">
        <v>81</v>
      </c>
    </row>
    <row r="4100" spans="1:5" x14ac:dyDescent="0.25">
      <c r="A4100" t="s">
        <v>78</v>
      </c>
      <c r="B4100">
        <v>2022</v>
      </c>
      <c r="C4100" t="s">
        <v>57</v>
      </c>
      <c r="D4100">
        <v>12921756.828</v>
      </c>
      <c r="E4100" t="s">
        <v>81</v>
      </c>
    </row>
    <row r="4101" spans="1:5" x14ac:dyDescent="0.25">
      <c r="A4101" t="s">
        <v>78</v>
      </c>
      <c r="B4101">
        <v>2023</v>
      </c>
      <c r="C4101" t="s">
        <v>57</v>
      </c>
      <c r="D4101">
        <v>6759133.9649999999</v>
      </c>
      <c r="E4101" t="s">
        <v>81</v>
      </c>
    </row>
    <row r="4102" spans="1:5" x14ac:dyDescent="0.25">
      <c r="A4102" t="s">
        <v>11</v>
      </c>
      <c r="B4102">
        <v>2010</v>
      </c>
      <c r="C4102" t="s">
        <v>57</v>
      </c>
      <c r="D4102">
        <v>28504618.761</v>
      </c>
      <c r="E4102" t="s">
        <v>81</v>
      </c>
    </row>
    <row r="4103" spans="1:5" x14ac:dyDescent="0.25">
      <c r="A4103" t="s">
        <v>11</v>
      </c>
      <c r="B4103">
        <v>2011</v>
      </c>
      <c r="C4103" t="s">
        <v>57</v>
      </c>
      <c r="D4103">
        <v>38977116.254000001</v>
      </c>
      <c r="E4103" t="s">
        <v>81</v>
      </c>
    </row>
    <row r="4104" spans="1:5" x14ac:dyDescent="0.25">
      <c r="A4104" t="s">
        <v>11</v>
      </c>
      <c r="B4104">
        <v>2012</v>
      </c>
      <c r="C4104" t="s">
        <v>57</v>
      </c>
      <c r="D4104">
        <v>37284114.511</v>
      </c>
      <c r="E4104" t="s">
        <v>81</v>
      </c>
    </row>
    <row r="4105" spans="1:5" x14ac:dyDescent="0.25">
      <c r="A4105" t="s">
        <v>11</v>
      </c>
      <c r="B4105">
        <v>2013</v>
      </c>
      <c r="C4105" t="s">
        <v>57</v>
      </c>
      <c r="D4105">
        <v>51019571.633000001</v>
      </c>
      <c r="E4105" t="s">
        <v>81</v>
      </c>
    </row>
    <row r="4106" spans="1:5" x14ac:dyDescent="0.25">
      <c r="A4106" t="s">
        <v>11</v>
      </c>
      <c r="B4106">
        <v>2014</v>
      </c>
      <c r="C4106" t="s">
        <v>57</v>
      </c>
      <c r="D4106">
        <v>39735842.851999998</v>
      </c>
      <c r="E4106" t="s">
        <v>81</v>
      </c>
    </row>
    <row r="4107" spans="1:5" x14ac:dyDescent="0.25">
      <c r="A4107" t="s">
        <v>11</v>
      </c>
      <c r="B4107">
        <v>2015</v>
      </c>
      <c r="C4107" t="s">
        <v>57</v>
      </c>
      <c r="D4107">
        <v>40129560.987999998</v>
      </c>
      <c r="E4107" t="s">
        <v>81</v>
      </c>
    </row>
    <row r="4108" spans="1:5" x14ac:dyDescent="0.25">
      <c r="A4108" t="s">
        <v>11</v>
      </c>
      <c r="B4108">
        <v>2016</v>
      </c>
      <c r="C4108" t="s">
        <v>57</v>
      </c>
      <c r="D4108">
        <v>49616564.644000001</v>
      </c>
      <c r="E4108" t="s">
        <v>81</v>
      </c>
    </row>
    <row r="4109" spans="1:5" x14ac:dyDescent="0.25">
      <c r="A4109" t="s">
        <v>11</v>
      </c>
      <c r="B4109">
        <v>2017</v>
      </c>
      <c r="C4109" t="s">
        <v>57</v>
      </c>
      <c r="D4109">
        <v>63660045.200000003</v>
      </c>
      <c r="E4109" t="s">
        <v>81</v>
      </c>
    </row>
    <row r="4110" spans="1:5" x14ac:dyDescent="0.25">
      <c r="A4110" t="s">
        <v>11</v>
      </c>
      <c r="B4110">
        <v>2018</v>
      </c>
      <c r="C4110" t="s">
        <v>57</v>
      </c>
      <c r="D4110">
        <v>54193675.805</v>
      </c>
      <c r="E4110" t="s">
        <v>81</v>
      </c>
    </row>
    <row r="4111" spans="1:5" x14ac:dyDescent="0.25">
      <c r="A4111" t="s">
        <v>11</v>
      </c>
      <c r="B4111">
        <v>2019</v>
      </c>
      <c r="C4111" t="s">
        <v>57</v>
      </c>
      <c r="D4111">
        <v>49742354.175999999</v>
      </c>
      <c r="E4111" t="s">
        <v>81</v>
      </c>
    </row>
    <row r="4112" spans="1:5" x14ac:dyDescent="0.25">
      <c r="A4112" t="s">
        <v>11</v>
      </c>
      <c r="B4112">
        <v>2020</v>
      </c>
      <c r="C4112" t="s">
        <v>57</v>
      </c>
      <c r="D4112">
        <v>29311214.044</v>
      </c>
      <c r="E4112" t="s">
        <v>81</v>
      </c>
    </row>
    <row r="4113" spans="1:5" x14ac:dyDescent="0.25">
      <c r="A4113" t="s">
        <v>11</v>
      </c>
      <c r="B4113">
        <v>2021</v>
      </c>
      <c r="C4113" t="s">
        <v>57</v>
      </c>
      <c r="D4113">
        <v>39756604.636</v>
      </c>
      <c r="E4113" t="s">
        <v>81</v>
      </c>
    </row>
    <row r="4114" spans="1:5" x14ac:dyDescent="0.25">
      <c r="A4114" t="s">
        <v>11</v>
      </c>
      <c r="B4114">
        <v>2022</v>
      </c>
      <c r="C4114" t="s">
        <v>57</v>
      </c>
      <c r="D4114">
        <v>79359059.882000104</v>
      </c>
      <c r="E4114" t="s">
        <v>81</v>
      </c>
    </row>
    <row r="4115" spans="1:5" x14ac:dyDescent="0.25">
      <c r="A4115" t="s">
        <v>11</v>
      </c>
      <c r="B4115">
        <v>2023</v>
      </c>
      <c r="C4115" t="s">
        <v>57</v>
      </c>
      <c r="D4115">
        <v>40865906.248000003</v>
      </c>
      <c r="E4115" t="s">
        <v>81</v>
      </c>
    </row>
    <row r="4116" spans="1:5" x14ac:dyDescent="0.25">
      <c r="A4116" t="s">
        <v>11</v>
      </c>
      <c r="B4116">
        <v>2024</v>
      </c>
      <c r="C4116" t="s">
        <v>57</v>
      </c>
      <c r="D4116">
        <v>45476465.020999998</v>
      </c>
      <c r="E4116" t="s">
        <v>81</v>
      </c>
    </row>
    <row r="4117" spans="1:5" x14ac:dyDescent="0.25">
      <c r="A4117" t="s">
        <v>11</v>
      </c>
      <c r="B4117">
        <v>2025</v>
      </c>
      <c r="C4117" t="s">
        <v>57</v>
      </c>
      <c r="D4117">
        <v>53732088.494000003</v>
      </c>
      <c r="E4117" t="s">
        <v>81</v>
      </c>
    </row>
    <row r="4118" spans="1:5" x14ac:dyDescent="0.25">
      <c r="A4118" t="s">
        <v>95</v>
      </c>
      <c r="B4118">
        <v>2025</v>
      </c>
      <c r="C4118" t="s">
        <v>57</v>
      </c>
      <c r="D4118">
        <v>9132008.9869999997</v>
      </c>
      <c r="E4118" t="s">
        <v>81</v>
      </c>
    </row>
    <row r="4119" spans="1:5" x14ac:dyDescent="0.25">
      <c r="A4119" t="s">
        <v>12</v>
      </c>
      <c r="B4119">
        <v>2010</v>
      </c>
      <c r="C4119" t="s">
        <v>57</v>
      </c>
      <c r="D4119">
        <v>32243264.638999999</v>
      </c>
      <c r="E4119" t="s">
        <v>81</v>
      </c>
    </row>
    <row r="4120" spans="1:5" x14ac:dyDescent="0.25">
      <c r="A4120" t="s">
        <v>12</v>
      </c>
      <c r="B4120">
        <v>2011</v>
      </c>
      <c r="C4120" t="s">
        <v>57</v>
      </c>
      <c r="D4120">
        <v>54484070.236000001</v>
      </c>
      <c r="E4120" t="s">
        <v>81</v>
      </c>
    </row>
    <row r="4121" spans="1:5" x14ac:dyDescent="0.25">
      <c r="A4121" t="s">
        <v>12</v>
      </c>
      <c r="B4121">
        <v>2012</v>
      </c>
      <c r="C4121" t="s">
        <v>57</v>
      </c>
      <c r="D4121">
        <v>86267398.141000003</v>
      </c>
      <c r="E4121" t="s">
        <v>81</v>
      </c>
    </row>
    <row r="4122" spans="1:5" x14ac:dyDescent="0.25">
      <c r="A4122" t="s">
        <v>12</v>
      </c>
      <c r="B4122">
        <v>2015</v>
      </c>
      <c r="C4122" t="s">
        <v>57</v>
      </c>
      <c r="D4122">
        <v>29154070.943</v>
      </c>
      <c r="E4122" t="s">
        <v>81</v>
      </c>
    </row>
    <row r="4123" spans="1:5" x14ac:dyDescent="0.25">
      <c r="A4123" t="s">
        <v>12</v>
      </c>
      <c r="B4123">
        <v>2016</v>
      </c>
      <c r="C4123" t="s">
        <v>57</v>
      </c>
      <c r="D4123">
        <v>172945964.62599999</v>
      </c>
      <c r="E4123" t="s">
        <v>81</v>
      </c>
    </row>
    <row r="4124" spans="1:5" x14ac:dyDescent="0.25">
      <c r="A4124" t="s">
        <v>12</v>
      </c>
      <c r="B4124">
        <v>2017</v>
      </c>
      <c r="C4124" t="s">
        <v>57</v>
      </c>
      <c r="D4124">
        <v>188445291.51800001</v>
      </c>
      <c r="E4124" t="s">
        <v>81</v>
      </c>
    </row>
    <row r="4125" spans="1:5" x14ac:dyDescent="0.25">
      <c r="A4125" t="s">
        <v>12</v>
      </c>
      <c r="B4125">
        <v>2018</v>
      </c>
      <c r="C4125" t="s">
        <v>57</v>
      </c>
      <c r="D4125">
        <v>222363168.73899999</v>
      </c>
      <c r="E4125" t="s">
        <v>81</v>
      </c>
    </row>
    <row r="4126" spans="1:5" x14ac:dyDescent="0.25">
      <c r="A4126" t="s">
        <v>12</v>
      </c>
      <c r="B4126">
        <v>2019</v>
      </c>
      <c r="C4126" t="s">
        <v>57</v>
      </c>
      <c r="D4126">
        <v>173832089.54499999</v>
      </c>
      <c r="E4126" t="s">
        <v>81</v>
      </c>
    </row>
    <row r="4127" spans="1:5" x14ac:dyDescent="0.25">
      <c r="A4127" t="s">
        <v>12</v>
      </c>
      <c r="B4127">
        <v>2020</v>
      </c>
      <c r="C4127" t="s">
        <v>57</v>
      </c>
      <c r="D4127">
        <v>102774601.245</v>
      </c>
      <c r="E4127" t="s">
        <v>81</v>
      </c>
    </row>
    <row r="4128" spans="1:5" x14ac:dyDescent="0.25">
      <c r="A4128" t="s">
        <v>12</v>
      </c>
      <c r="B4128">
        <v>2021</v>
      </c>
      <c r="C4128" t="s">
        <v>57</v>
      </c>
      <c r="D4128">
        <v>92075261.062999994</v>
      </c>
      <c r="E4128" t="s">
        <v>81</v>
      </c>
    </row>
    <row r="4129" spans="1:5" x14ac:dyDescent="0.25">
      <c r="A4129" t="s">
        <v>12</v>
      </c>
      <c r="B4129">
        <v>2022</v>
      </c>
      <c r="C4129" t="s">
        <v>57</v>
      </c>
      <c r="D4129">
        <v>74663965.019999996</v>
      </c>
      <c r="E4129" t="s">
        <v>81</v>
      </c>
    </row>
    <row r="4130" spans="1:5" x14ac:dyDescent="0.25">
      <c r="A4130" t="s">
        <v>12</v>
      </c>
      <c r="B4130">
        <v>2023</v>
      </c>
      <c r="C4130" t="s">
        <v>57</v>
      </c>
      <c r="D4130">
        <v>141182244.35100001</v>
      </c>
      <c r="E4130" t="s">
        <v>81</v>
      </c>
    </row>
    <row r="4131" spans="1:5" x14ac:dyDescent="0.25">
      <c r="A4131" t="s">
        <v>12</v>
      </c>
      <c r="B4131">
        <v>2024</v>
      </c>
      <c r="C4131" t="s">
        <v>57</v>
      </c>
      <c r="D4131">
        <v>281562537.06800002</v>
      </c>
      <c r="E4131" t="s">
        <v>81</v>
      </c>
    </row>
    <row r="4132" spans="1:5" x14ac:dyDescent="0.25">
      <c r="A4132" t="s">
        <v>12</v>
      </c>
      <c r="B4132">
        <v>2025</v>
      </c>
      <c r="C4132" t="s">
        <v>57</v>
      </c>
      <c r="D4132">
        <v>27214916.539000001</v>
      </c>
      <c r="E4132" t="s">
        <v>81</v>
      </c>
    </row>
    <row r="4133" spans="1:5" x14ac:dyDescent="0.25">
      <c r="A4133" t="s">
        <v>13</v>
      </c>
      <c r="B4133">
        <v>2010</v>
      </c>
      <c r="C4133" t="s">
        <v>57</v>
      </c>
      <c r="D4133">
        <v>4455084.38</v>
      </c>
      <c r="E4133" t="s">
        <v>81</v>
      </c>
    </row>
    <row r="4134" spans="1:5" x14ac:dyDescent="0.25">
      <c r="A4134" t="s">
        <v>13</v>
      </c>
      <c r="B4134">
        <v>2014</v>
      </c>
      <c r="C4134" t="s">
        <v>57</v>
      </c>
      <c r="D4134">
        <v>52699985.729999997</v>
      </c>
      <c r="E4134" t="s">
        <v>81</v>
      </c>
    </row>
    <row r="4135" spans="1:5" x14ac:dyDescent="0.25">
      <c r="A4135" t="s">
        <v>13</v>
      </c>
      <c r="B4135">
        <v>2016</v>
      </c>
      <c r="C4135" t="s">
        <v>57</v>
      </c>
      <c r="D4135">
        <v>28042517.739999998</v>
      </c>
      <c r="E4135" t="s">
        <v>81</v>
      </c>
    </row>
    <row r="4136" spans="1:5" x14ac:dyDescent="0.25">
      <c r="A4136" t="s">
        <v>13</v>
      </c>
      <c r="B4136">
        <v>2017</v>
      </c>
      <c r="C4136" t="s">
        <v>57</v>
      </c>
      <c r="D4136">
        <v>18675022.120000001</v>
      </c>
      <c r="E4136" t="s">
        <v>81</v>
      </c>
    </row>
    <row r="4137" spans="1:5" x14ac:dyDescent="0.25">
      <c r="A4137" t="s">
        <v>13</v>
      </c>
      <c r="B4137">
        <v>2018</v>
      </c>
      <c r="C4137" t="s">
        <v>57</v>
      </c>
      <c r="D4137">
        <v>34596736.869999997</v>
      </c>
      <c r="E4137" t="s">
        <v>81</v>
      </c>
    </row>
    <row r="4138" spans="1:5" x14ac:dyDescent="0.25">
      <c r="A4138" t="s">
        <v>13</v>
      </c>
      <c r="B4138">
        <v>2019</v>
      </c>
      <c r="C4138" t="s">
        <v>57</v>
      </c>
      <c r="D4138">
        <v>25282552.539999999</v>
      </c>
      <c r="E4138" t="s">
        <v>81</v>
      </c>
    </row>
    <row r="4139" spans="1:5" x14ac:dyDescent="0.25">
      <c r="A4139" t="s">
        <v>13</v>
      </c>
      <c r="B4139">
        <v>2020</v>
      </c>
      <c r="C4139" t="s">
        <v>57</v>
      </c>
      <c r="D4139">
        <v>24210655.57</v>
      </c>
      <c r="E4139" t="s">
        <v>81</v>
      </c>
    </row>
    <row r="4140" spans="1:5" x14ac:dyDescent="0.25">
      <c r="A4140" t="s">
        <v>13</v>
      </c>
      <c r="B4140">
        <v>2021</v>
      </c>
      <c r="C4140" t="s">
        <v>57</v>
      </c>
      <c r="D4140">
        <v>33171179.829999998</v>
      </c>
      <c r="E4140" t="s">
        <v>81</v>
      </c>
    </row>
    <row r="4141" spans="1:5" x14ac:dyDescent="0.25">
      <c r="A4141" t="s">
        <v>13</v>
      </c>
      <c r="B4141">
        <v>2022</v>
      </c>
      <c r="C4141" t="s">
        <v>57</v>
      </c>
      <c r="D4141">
        <v>25180801.18</v>
      </c>
      <c r="E4141" t="s">
        <v>81</v>
      </c>
    </row>
    <row r="4142" spans="1:5" x14ac:dyDescent="0.25">
      <c r="A4142" t="s">
        <v>13</v>
      </c>
      <c r="B4142">
        <v>2023</v>
      </c>
      <c r="C4142" t="s">
        <v>57</v>
      </c>
      <c r="D4142">
        <v>24865494.719999999</v>
      </c>
      <c r="E4142" t="s">
        <v>81</v>
      </c>
    </row>
    <row r="4143" spans="1:5" x14ac:dyDescent="0.25">
      <c r="A4143" t="s">
        <v>13</v>
      </c>
      <c r="B4143">
        <v>2024</v>
      </c>
      <c r="C4143" t="s">
        <v>57</v>
      </c>
      <c r="D4143">
        <v>5775360.3099999996</v>
      </c>
      <c r="E4143" t="s">
        <v>81</v>
      </c>
    </row>
    <row r="4144" spans="1:5" x14ac:dyDescent="0.25">
      <c r="A4144" t="s">
        <v>13</v>
      </c>
      <c r="B4144">
        <v>2025</v>
      </c>
      <c r="C4144" t="s">
        <v>57</v>
      </c>
      <c r="D4144">
        <v>26374712.960000001</v>
      </c>
      <c r="E4144" t="s">
        <v>81</v>
      </c>
    </row>
    <row r="4145" spans="1:5" x14ac:dyDescent="0.25">
      <c r="A4145" t="s">
        <v>94</v>
      </c>
      <c r="B4145">
        <v>2018</v>
      </c>
      <c r="C4145" t="s">
        <v>57</v>
      </c>
      <c r="D4145">
        <v>4573887.08</v>
      </c>
      <c r="E4145" t="s">
        <v>81</v>
      </c>
    </row>
    <row r="4146" spans="1:5" x14ac:dyDescent="0.25">
      <c r="A4146" t="s">
        <v>94</v>
      </c>
      <c r="B4146">
        <v>2020</v>
      </c>
      <c r="C4146" t="s">
        <v>57</v>
      </c>
      <c r="D4146">
        <v>11838672.619999999</v>
      </c>
      <c r="E4146" t="s">
        <v>81</v>
      </c>
    </row>
    <row r="4147" spans="1:5" x14ac:dyDescent="0.25">
      <c r="A4147" t="s">
        <v>14</v>
      </c>
      <c r="B4147">
        <v>2015</v>
      </c>
      <c r="C4147" t="s">
        <v>57</v>
      </c>
      <c r="D4147">
        <v>4884987</v>
      </c>
      <c r="E4147" t="s">
        <v>81</v>
      </c>
    </row>
    <row r="4148" spans="1:5" x14ac:dyDescent="0.25">
      <c r="A4148" t="s">
        <v>14</v>
      </c>
      <c r="B4148">
        <v>2025</v>
      </c>
      <c r="C4148" t="s">
        <v>57</v>
      </c>
      <c r="D4148">
        <v>14507075</v>
      </c>
      <c r="E4148" t="s">
        <v>81</v>
      </c>
    </row>
    <row r="4149" spans="1:5" x14ac:dyDescent="0.25">
      <c r="A4149" t="s">
        <v>16</v>
      </c>
      <c r="B4149">
        <v>2008</v>
      </c>
      <c r="C4149" t="s">
        <v>57</v>
      </c>
      <c r="D4149">
        <v>101365172.417</v>
      </c>
      <c r="E4149" t="s">
        <v>81</v>
      </c>
    </row>
    <row r="4150" spans="1:5" x14ac:dyDescent="0.25">
      <c r="A4150" t="s">
        <v>16</v>
      </c>
      <c r="B4150">
        <v>2009</v>
      </c>
      <c r="C4150" t="s">
        <v>57</v>
      </c>
      <c r="D4150">
        <v>73538432.714000002</v>
      </c>
      <c r="E4150" t="s">
        <v>81</v>
      </c>
    </row>
    <row r="4151" spans="1:5" x14ac:dyDescent="0.25">
      <c r="A4151" t="s">
        <v>16</v>
      </c>
      <c r="B4151">
        <v>2010</v>
      </c>
      <c r="C4151" t="s">
        <v>57</v>
      </c>
      <c r="D4151">
        <v>6150099.0379999997</v>
      </c>
      <c r="E4151" t="s">
        <v>81</v>
      </c>
    </row>
    <row r="4152" spans="1:5" x14ac:dyDescent="0.25">
      <c r="A4152" t="s">
        <v>16</v>
      </c>
      <c r="B4152">
        <v>2011</v>
      </c>
      <c r="C4152" t="s">
        <v>57</v>
      </c>
      <c r="D4152">
        <v>8846619.8699999992</v>
      </c>
      <c r="E4152" t="s">
        <v>81</v>
      </c>
    </row>
    <row r="4153" spans="1:5" x14ac:dyDescent="0.25">
      <c r="A4153" t="s">
        <v>16</v>
      </c>
      <c r="B4153">
        <v>2012</v>
      </c>
      <c r="C4153" t="s">
        <v>57</v>
      </c>
      <c r="D4153">
        <v>7512896.352</v>
      </c>
      <c r="E4153" t="s">
        <v>81</v>
      </c>
    </row>
    <row r="4154" spans="1:5" x14ac:dyDescent="0.25">
      <c r="A4154" t="s">
        <v>16</v>
      </c>
      <c r="B4154">
        <v>2013</v>
      </c>
      <c r="C4154" t="s">
        <v>57</v>
      </c>
      <c r="D4154">
        <v>11338755.677999999</v>
      </c>
      <c r="E4154" t="s">
        <v>81</v>
      </c>
    </row>
    <row r="4155" spans="1:5" x14ac:dyDescent="0.25">
      <c r="A4155" t="s">
        <v>16</v>
      </c>
      <c r="B4155">
        <v>2014</v>
      </c>
      <c r="C4155" t="s">
        <v>57</v>
      </c>
      <c r="D4155">
        <v>13496639.708000001</v>
      </c>
      <c r="E4155" t="s">
        <v>81</v>
      </c>
    </row>
    <row r="4156" spans="1:5" x14ac:dyDescent="0.25">
      <c r="A4156" t="s">
        <v>16</v>
      </c>
      <c r="B4156">
        <v>2015</v>
      </c>
      <c r="C4156" t="s">
        <v>57</v>
      </c>
      <c r="D4156">
        <v>15165306.171</v>
      </c>
      <c r="E4156" t="s">
        <v>81</v>
      </c>
    </row>
    <row r="4157" spans="1:5" x14ac:dyDescent="0.25">
      <c r="A4157" t="s">
        <v>16</v>
      </c>
      <c r="B4157">
        <v>2016</v>
      </c>
      <c r="C4157" t="s">
        <v>57</v>
      </c>
      <c r="D4157">
        <v>19006296.853</v>
      </c>
      <c r="E4157" t="s">
        <v>81</v>
      </c>
    </row>
    <row r="4158" spans="1:5" x14ac:dyDescent="0.25">
      <c r="A4158" t="s">
        <v>16</v>
      </c>
      <c r="B4158">
        <v>2017</v>
      </c>
      <c r="C4158" t="s">
        <v>57</v>
      </c>
      <c r="D4158">
        <v>23561482.449999999</v>
      </c>
      <c r="E4158" t="s">
        <v>81</v>
      </c>
    </row>
    <row r="4159" spans="1:5" x14ac:dyDescent="0.25">
      <c r="A4159" t="s">
        <v>16</v>
      </c>
      <c r="B4159">
        <v>2018</v>
      </c>
      <c r="C4159" t="s">
        <v>57</v>
      </c>
      <c r="D4159">
        <v>33256833.434999999</v>
      </c>
      <c r="E4159" t="s">
        <v>81</v>
      </c>
    </row>
    <row r="4160" spans="1:5" x14ac:dyDescent="0.25">
      <c r="A4160" t="s">
        <v>16</v>
      </c>
      <c r="B4160">
        <v>2019</v>
      </c>
      <c r="C4160" t="s">
        <v>57</v>
      </c>
      <c r="D4160">
        <v>44662134.877999999</v>
      </c>
      <c r="E4160" t="s">
        <v>81</v>
      </c>
    </row>
    <row r="4161" spans="1:5" x14ac:dyDescent="0.25">
      <c r="A4161" t="s">
        <v>93</v>
      </c>
      <c r="B4161">
        <v>2015</v>
      </c>
      <c r="C4161" t="s">
        <v>57</v>
      </c>
      <c r="D4161">
        <v>6815641.5949999997</v>
      </c>
      <c r="E4161" t="s">
        <v>81</v>
      </c>
    </row>
    <row r="4162" spans="1:5" x14ac:dyDescent="0.25">
      <c r="A4162" t="s">
        <v>77</v>
      </c>
      <c r="B4162">
        <v>2025</v>
      </c>
      <c r="C4162" t="s">
        <v>57</v>
      </c>
      <c r="D4162">
        <v>10839998.047</v>
      </c>
      <c r="E4162" t="s">
        <v>81</v>
      </c>
    </row>
    <row r="4163" spans="1:5" x14ac:dyDescent="0.25">
      <c r="A4163" t="s">
        <v>17</v>
      </c>
      <c r="B4163">
        <v>2010</v>
      </c>
      <c r="C4163" t="s">
        <v>57</v>
      </c>
      <c r="D4163">
        <v>207727374.88</v>
      </c>
      <c r="E4163" t="s">
        <v>81</v>
      </c>
    </row>
    <row r="4164" spans="1:5" x14ac:dyDescent="0.25">
      <c r="A4164" t="s">
        <v>17</v>
      </c>
      <c r="B4164">
        <v>2011</v>
      </c>
      <c r="C4164" t="s">
        <v>57</v>
      </c>
      <c r="D4164">
        <v>273410449.62</v>
      </c>
      <c r="E4164" t="s">
        <v>81</v>
      </c>
    </row>
    <row r="4165" spans="1:5" x14ac:dyDescent="0.25">
      <c r="A4165" t="s">
        <v>17</v>
      </c>
      <c r="B4165">
        <v>2012</v>
      </c>
      <c r="C4165" t="s">
        <v>57</v>
      </c>
      <c r="D4165">
        <v>167025264.70300001</v>
      </c>
      <c r="E4165" t="s">
        <v>81</v>
      </c>
    </row>
    <row r="4166" spans="1:5" x14ac:dyDescent="0.25">
      <c r="A4166" t="s">
        <v>17</v>
      </c>
      <c r="B4166">
        <v>2013</v>
      </c>
      <c r="C4166" t="s">
        <v>57</v>
      </c>
      <c r="D4166">
        <v>95277116.939999998</v>
      </c>
      <c r="E4166" t="s">
        <v>81</v>
      </c>
    </row>
    <row r="4167" spans="1:5" x14ac:dyDescent="0.25">
      <c r="A4167" t="s">
        <v>17</v>
      </c>
      <c r="B4167">
        <v>2014</v>
      </c>
      <c r="C4167" t="s">
        <v>57</v>
      </c>
      <c r="D4167">
        <v>111646342.88</v>
      </c>
      <c r="E4167" t="s">
        <v>81</v>
      </c>
    </row>
    <row r="4168" spans="1:5" x14ac:dyDescent="0.25">
      <c r="A4168" t="s">
        <v>17</v>
      </c>
      <c r="B4168">
        <v>2015</v>
      </c>
      <c r="C4168" t="s">
        <v>57</v>
      </c>
      <c r="D4168">
        <v>70499605.704999998</v>
      </c>
      <c r="E4168" t="s">
        <v>81</v>
      </c>
    </row>
    <row r="4169" spans="1:5" x14ac:dyDescent="0.25">
      <c r="A4169" t="s">
        <v>17</v>
      </c>
      <c r="B4169">
        <v>2016</v>
      </c>
      <c r="C4169" t="s">
        <v>57</v>
      </c>
      <c r="D4169">
        <v>66524311.034999996</v>
      </c>
      <c r="E4169" t="s">
        <v>81</v>
      </c>
    </row>
    <row r="4170" spans="1:5" x14ac:dyDescent="0.25">
      <c r="A4170" t="s">
        <v>17</v>
      </c>
      <c r="B4170">
        <v>2017</v>
      </c>
      <c r="C4170" t="s">
        <v>57</v>
      </c>
      <c r="D4170">
        <v>69723284.709999993</v>
      </c>
      <c r="E4170" t="s">
        <v>81</v>
      </c>
    </row>
    <row r="4171" spans="1:5" x14ac:dyDescent="0.25">
      <c r="A4171" t="s">
        <v>17</v>
      </c>
      <c r="B4171">
        <v>2018</v>
      </c>
      <c r="C4171" t="s">
        <v>57</v>
      </c>
      <c r="D4171">
        <v>102223332.537</v>
      </c>
      <c r="E4171" t="s">
        <v>81</v>
      </c>
    </row>
    <row r="4172" spans="1:5" x14ac:dyDescent="0.25">
      <c r="A4172" t="s">
        <v>17</v>
      </c>
      <c r="B4172">
        <v>2019</v>
      </c>
      <c r="C4172" t="s">
        <v>57</v>
      </c>
      <c r="D4172">
        <v>112397945.67399999</v>
      </c>
      <c r="E4172" t="s">
        <v>81</v>
      </c>
    </row>
    <row r="4173" spans="1:5" x14ac:dyDescent="0.25">
      <c r="A4173" t="s">
        <v>17</v>
      </c>
      <c r="B4173">
        <v>2020</v>
      </c>
      <c r="C4173" t="s">
        <v>57</v>
      </c>
      <c r="D4173">
        <v>93156763.708000004</v>
      </c>
      <c r="E4173" t="s">
        <v>81</v>
      </c>
    </row>
    <row r="4174" spans="1:5" x14ac:dyDescent="0.25">
      <c r="A4174" t="s">
        <v>17</v>
      </c>
      <c r="B4174">
        <v>2021</v>
      </c>
      <c r="C4174" t="s">
        <v>57</v>
      </c>
      <c r="D4174">
        <v>137223017.74599999</v>
      </c>
      <c r="E4174" t="s">
        <v>81</v>
      </c>
    </row>
    <row r="4175" spans="1:5" x14ac:dyDescent="0.25">
      <c r="A4175" t="s">
        <v>17</v>
      </c>
      <c r="B4175">
        <v>2022</v>
      </c>
      <c r="C4175" t="s">
        <v>57</v>
      </c>
      <c r="D4175">
        <v>9064256.8320000004</v>
      </c>
      <c r="E4175" t="s">
        <v>81</v>
      </c>
    </row>
    <row r="4176" spans="1:5" x14ac:dyDescent="0.25">
      <c r="A4176" t="s">
        <v>17</v>
      </c>
      <c r="B4176">
        <v>2024</v>
      </c>
      <c r="C4176" t="s">
        <v>57</v>
      </c>
      <c r="D4176">
        <v>104763623.40700001</v>
      </c>
      <c r="E4176" t="s">
        <v>81</v>
      </c>
    </row>
    <row r="4177" spans="1:5" x14ac:dyDescent="0.25">
      <c r="A4177" t="s">
        <v>18</v>
      </c>
      <c r="B4177">
        <v>2004</v>
      </c>
      <c r="C4177" t="s">
        <v>57</v>
      </c>
      <c r="D4177">
        <v>5672233.3399999999</v>
      </c>
      <c r="E4177" t="s">
        <v>81</v>
      </c>
    </row>
    <row r="4178" spans="1:5" x14ac:dyDescent="0.25">
      <c r="A4178" t="s">
        <v>18</v>
      </c>
      <c r="B4178">
        <v>2005</v>
      </c>
      <c r="C4178" t="s">
        <v>57</v>
      </c>
      <c r="D4178">
        <v>32330677.899999999</v>
      </c>
      <c r="E4178" t="s">
        <v>81</v>
      </c>
    </row>
    <row r="4179" spans="1:5" x14ac:dyDescent="0.25">
      <c r="A4179" t="s">
        <v>18</v>
      </c>
      <c r="B4179">
        <v>2006</v>
      </c>
      <c r="C4179" t="s">
        <v>57</v>
      </c>
      <c r="D4179">
        <v>20585264.690000001</v>
      </c>
      <c r="E4179" t="s">
        <v>81</v>
      </c>
    </row>
    <row r="4180" spans="1:5" x14ac:dyDescent="0.25">
      <c r="A4180" t="s">
        <v>18</v>
      </c>
      <c r="B4180">
        <v>2007</v>
      </c>
      <c r="C4180" t="s">
        <v>57</v>
      </c>
      <c r="D4180">
        <v>48620566.880000003</v>
      </c>
      <c r="E4180" t="s">
        <v>81</v>
      </c>
    </row>
    <row r="4181" spans="1:5" x14ac:dyDescent="0.25">
      <c r="A4181" t="s">
        <v>18</v>
      </c>
      <c r="B4181">
        <v>2008</v>
      </c>
      <c r="C4181" t="s">
        <v>57</v>
      </c>
      <c r="D4181">
        <v>17249544.949999999</v>
      </c>
      <c r="E4181" t="s">
        <v>81</v>
      </c>
    </row>
    <row r="4182" spans="1:5" x14ac:dyDescent="0.25">
      <c r="A4182" t="s">
        <v>18</v>
      </c>
      <c r="B4182">
        <v>2009</v>
      </c>
      <c r="C4182" t="s">
        <v>57</v>
      </c>
      <c r="D4182">
        <v>57352117.990000002</v>
      </c>
      <c r="E4182" t="s">
        <v>81</v>
      </c>
    </row>
    <row r="4183" spans="1:5" x14ac:dyDescent="0.25">
      <c r="A4183" t="s">
        <v>18</v>
      </c>
      <c r="B4183">
        <v>2010</v>
      </c>
      <c r="C4183" t="s">
        <v>57</v>
      </c>
      <c r="D4183">
        <v>26819670.579999998</v>
      </c>
      <c r="E4183" t="s">
        <v>81</v>
      </c>
    </row>
    <row r="4184" spans="1:5" x14ac:dyDescent="0.25">
      <c r="A4184" t="s">
        <v>18</v>
      </c>
      <c r="B4184">
        <v>2011</v>
      </c>
      <c r="C4184" t="s">
        <v>57</v>
      </c>
      <c r="D4184">
        <v>22425617.73</v>
      </c>
      <c r="E4184" t="s">
        <v>81</v>
      </c>
    </row>
    <row r="4185" spans="1:5" x14ac:dyDescent="0.25">
      <c r="A4185" t="s">
        <v>18</v>
      </c>
      <c r="B4185">
        <v>2012</v>
      </c>
      <c r="C4185" t="s">
        <v>57</v>
      </c>
      <c r="D4185">
        <v>32831109.649999999</v>
      </c>
      <c r="E4185" t="s">
        <v>81</v>
      </c>
    </row>
    <row r="4186" spans="1:5" x14ac:dyDescent="0.25">
      <c r="A4186" t="s">
        <v>18</v>
      </c>
      <c r="B4186">
        <v>2013</v>
      </c>
      <c r="C4186" t="s">
        <v>57</v>
      </c>
      <c r="D4186">
        <v>47814281.490000002</v>
      </c>
      <c r="E4186" t="s">
        <v>81</v>
      </c>
    </row>
    <row r="4187" spans="1:5" x14ac:dyDescent="0.25">
      <c r="A4187" t="s">
        <v>18</v>
      </c>
      <c r="B4187">
        <v>2014</v>
      </c>
      <c r="C4187" t="s">
        <v>57</v>
      </c>
      <c r="D4187">
        <v>36350119.32</v>
      </c>
      <c r="E4187" t="s">
        <v>81</v>
      </c>
    </row>
    <row r="4188" spans="1:5" x14ac:dyDescent="0.25">
      <c r="A4188" t="s">
        <v>18</v>
      </c>
      <c r="B4188">
        <v>2015</v>
      </c>
      <c r="C4188" t="s">
        <v>57</v>
      </c>
      <c r="D4188">
        <v>19221136.18</v>
      </c>
      <c r="E4188" t="s">
        <v>81</v>
      </c>
    </row>
    <row r="4189" spans="1:5" x14ac:dyDescent="0.25">
      <c r="A4189" t="s">
        <v>18</v>
      </c>
      <c r="B4189">
        <v>2016</v>
      </c>
      <c r="C4189" t="s">
        <v>57</v>
      </c>
      <c r="D4189">
        <v>22277944.670000002</v>
      </c>
      <c r="E4189" t="s">
        <v>81</v>
      </c>
    </row>
    <row r="4190" spans="1:5" x14ac:dyDescent="0.25">
      <c r="A4190" t="s">
        <v>18</v>
      </c>
      <c r="B4190">
        <v>2017</v>
      </c>
      <c r="C4190" t="s">
        <v>57</v>
      </c>
      <c r="D4190">
        <v>36468768.780000001</v>
      </c>
      <c r="E4190" t="s">
        <v>81</v>
      </c>
    </row>
    <row r="4191" spans="1:5" x14ac:dyDescent="0.25">
      <c r="A4191" t="s">
        <v>18</v>
      </c>
      <c r="B4191">
        <v>2018</v>
      </c>
      <c r="C4191" t="s">
        <v>57</v>
      </c>
      <c r="D4191">
        <v>28499961.5</v>
      </c>
      <c r="E4191" t="s">
        <v>81</v>
      </c>
    </row>
    <row r="4192" spans="1:5" x14ac:dyDescent="0.25">
      <c r="A4192" t="s">
        <v>18</v>
      </c>
      <c r="B4192">
        <v>2019</v>
      </c>
      <c r="C4192" t="s">
        <v>57</v>
      </c>
      <c r="D4192">
        <v>23146281.219999999</v>
      </c>
      <c r="E4192" t="s">
        <v>81</v>
      </c>
    </row>
    <row r="4193" spans="1:5" x14ac:dyDescent="0.25">
      <c r="A4193" t="s">
        <v>18</v>
      </c>
      <c r="B4193">
        <v>2020</v>
      </c>
      <c r="C4193" t="s">
        <v>57</v>
      </c>
      <c r="D4193">
        <v>9345614.9499999993</v>
      </c>
      <c r="E4193" t="s">
        <v>81</v>
      </c>
    </row>
    <row r="4194" spans="1:5" x14ac:dyDescent="0.25">
      <c r="A4194" t="s">
        <v>18</v>
      </c>
      <c r="B4194">
        <v>2021</v>
      </c>
      <c r="C4194" t="s">
        <v>57</v>
      </c>
      <c r="D4194">
        <v>10237073.24</v>
      </c>
      <c r="E4194" t="s">
        <v>81</v>
      </c>
    </row>
    <row r="4195" spans="1:5" x14ac:dyDescent="0.25">
      <c r="A4195" t="s">
        <v>18</v>
      </c>
      <c r="B4195">
        <v>2022</v>
      </c>
      <c r="C4195" t="s">
        <v>57</v>
      </c>
      <c r="D4195">
        <v>23776404.780000001</v>
      </c>
      <c r="E4195" t="s">
        <v>81</v>
      </c>
    </row>
    <row r="4196" spans="1:5" x14ac:dyDescent="0.25">
      <c r="A4196" t="s">
        <v>18</v>
      </c>
      <c r="B4196">
        <v>2023</v>
      </c>
      <c r="C4196" t="s">
        <v>57</v>
      </c>
      <c r="D4196">
        <v>25545654.879999999</v>
      </c>
      <c r="E4196" t="s">
        <v>81</v>
      </c>
    </row>
    <row r="4197" spans="1:5" x14ac:dyDescent="0.25">
      <c r="A4197" t="s">
        <v>18</v>
      </c>
      <c r="B4197">
        <v>2024</v>
      </c>
      <c r="C4197" t="s">
        <v>57</v>
      </c>
      <c r="D4197">
        <v>16046106.029999999</v>
      </c>
      <c r="E4197" t="s">
        <v>81</v>
      </c>
    </row>
    <row r="4198" spans="1:5" x14ac:dyDescent="0.25">
      <c r="A4198" t="s">
        <v>18</v>
      </c>
      <c r="B4198">
        <v>2025</v>
      </c>
      <c r="C4198" t="s">
        <v>57</v>
      </c>
      <c r="D4198">
        <v>113729777.61</v>
      </c>
      <c r="E4198" t="s">
        <v>81</v>
      </c>
    </row>
    <row r="4199" spans="1:5" x14ac:dyDescent="0.25">
      <c r="A4199" t="s">
        <v>20</v>
      </c>
      <c r="B4199">
        <v>2014</v>
      </c>
      <c r="C4199" t="s">
        <v>57</v>
      </c>
      <c r="D4199">
        <v>139652184.086</v>
      </c>
      <c r="E4199" t="s">
        <v>81</v>
      </c>
    </row>
    <row r="4200" spans="1:5" x14ac:dyDescent="0.25">
      <c r="A4200" t="s">
        <v>20</v>
      </c>
      <c r="B4200">
        <v>2015</v>
      </c>
      <c r="C4200" t="s">
        <v>57</v>
      </c>
      <c r="D4200">
        <v>65590611.564000003</v>
      </c>
      <c r="E4200" t="s">
        <v>81</v>
      </c>
    </row>
    <row r="4201" spans="1:5" x14ac:dyDescent="0.25">
      <c r="A4201" t="s">
        <v>20</v>
      </c>
      <c r="B4201">
        <v>2016</v>
      </c>
      <c r="C4201" t="s">
        <v>57</v>
      </c>
      <c r="D4201">
        <v>45564890.439999998</v>
      </c>
      <c r="E4201" t="s">
        <v>81</v>
      </c>
    </row>
    <row r="4202" spans="1:5" x14ac:dyDescent="0.25">
      <c r="A4202" t="s">
        <v>20</v>
      </c>
      <c r="B4202">
        <v>2017</v>
      </c>
      <c r="C4202" t="s">
        <v>57</v>
      </c>
      <c r="D4202">
        <v>47101728.210000001</v>
      </c>
      <c r="E4202" t="s">
        <v>81</v>
      </c>
    </row>
    <row r="4203" spans="1:5" x14ac:dyDescent="0.25">
      <c r="A4203" t="s">
        <v>20</v>
      </c>
      <c r="B4203">
        <v>2020</v>
      </c>
      <c r="C4203" t="s">
        <v>57</v>
      </c>
      <c r="D4203">
        <v>13234243.498</v>
      </c>
      <c r="E4203" t="s">
        <v>81</v>
      </c>
    </row>
    <row r="4204" spans="1:5" x14ac:dyDescent="0.25">
      <c r="A4204" t="s">
        <v>20</v>
      </c>
      <c r="B4204">
        <v>2022</v>
      </c>
      <c r="C4204" t="s">
        <v>57</v>
      </c>
      <c r="D4204">
        <v>4778514.227</v>
      </c>
      <c r="E4204" t="s">
        <v>81</v>
      </c>
    </row>
    <row r="4205" spans="1:5" x14ac:dyDescent="0.25">
      <c r="A4205" t="s">
        <v>20</v>
      </c>
      <c r="B4205">
        <v>2023</v>
      </c>
      <c r="C4205" t="s">
        <v>57</v>
      </c>
      <c r="D4205">
        <v>4418416.4689999996</v>
      </c>
      <c r="E4205" t="s">
        <v>81</v>
      </c>
    </row>
    <row r="4206" spans="1:5" x14ac:dyDescent="0.25">
      <c r="A4206" t="s">
        <v>21</v>
      </c>
      <c r="B4206">
        <v>2000</v>
      </c>
      <c r="C4206" t="s">
        <v>57</v>
      </c>
      <c r="D4206">
        <v>34185078.840999998</v>
      </c>
      <c r="E4206" t="s">
        <v>81</v>
      </c>
    </row>
    <row r="4207" spans="1:5" x14ac:dyDescent="0.25">
      <c r="A4207" t="s">
        <v>21</v>
      </c>
      <c r="B4207">
        <v>2001</v>
      </c>
      <c r="C4207" t="s">
        <v>57</v>
      </c>
      <c r="D4207">
        <v>39844535.417999998</v>
      </c>
      <c r="E4207" t="s">
        <v>81</v>
      </c>
    </row>
    <row r="4208" spans="1:5" x14ac:dyDescent="0.25">
      <c r="A4208" t="s">
        <v>21</v>
      </c>
      <c r="B4208">
        <v>2002</v>
      </c>
      <c r="C4208" t="s">
        <v>57</v>
      </c>
      <c r="D4208">
        <v>45168516.376000002</v>
      </c>
      <c r="E4208" t="s">
        <v>81</v>
      </c>
    </row>
    <row r="4209" spans="1:5" x14ac:dyDescent="0.25">
      <c r="A4209" t="s">
        <v>21</v>
      </c>
      <c r="B4209">
        <v>2003</v>
      </c>
      <c r="C4209" t="s">
        <v>57</v>
      </c>
      <c r="D4209">
        <v>50737328.850000001</v>
      </c>
      <c r="E4209" t="s">
        <v>81</v>
      </c>
    </row>
    <row r="4210" spans="1:5" x14ac:dyDescent="0.25">
      <c r="A4210" t="s">
        <v>21</v>
      </c>
      <c r="B4210">
        <v>2004</v>
      </c>
      <c r="C4210" t="s">
        <v>57</v>
      </c>
      <c r="D4210">
        <v>49301392.560999997</v>
      </c>
      <c r="E4210" t="s">
        <v>81</v>
      </c>
    </row>
    <row r="4211" spans="1:5" x14ac:dyDescent="0.25">
      <c r="A4211" t="s">
        <v>21</v>
      </c>
      <c r="B4211">
        <v>2005</v>
      </c>
      <c r="C4211" t="s">
        <v>57</v>
      </c>
      <c r="D4211">
        <v>53518343.302000001</v>
      </c>
      <c r="E4211" t="s">
        <v>81</v>
      </c>
    </row>
    <row r="4212" spans="1:5" x14ac:dyDescent="0.25">
      <c r="A4212" t="s">
        <v>21</v>
      </c>
      <c r="B4212">
        <v>2006</v>
      </c>
      <c r="C4212" t="s">
        <v>57</v>
      </c>
      <c r="D4212">
        <v>61016129.972999997</v>
      </c>
      <c r="E4212" t="s">
        <v>81</v>
      </c>
    </row>
    <row r="4213" spans="1:5" x14ac:dyDescent="0.25">
      <c r="A4213" t="s">
        <v>21</v>
      </c>
      <c r="B4213">
        <v>2007</v>
      </c>
      <c r="C4213" t="s">
        <v>57</v>
      </c>
      <c r="D4213">
        <v>73067885.642000005</v>
      </c>
      <c r="E4213" t="s">
        <v>81</v>
      </c>
    </row>
    <row r="4214" spans="1:5" x14ac:dyDescent="0.25">
      <c r="A4214" t="s">
        <v>21</v>
      </c>
      <c r="B4214">
        <v>2008</v>
      </c>
      <c r="C4214" t="s">
        <v>57</v>
      </c>
      <c r="D4214">
        <v>76201018.149000004</v>
      </c>
      <c r="E4214" t="s">
        <v>81</v>
      </c>
    </row>
    <row r="4215" spans="1:5" x14ac:dyDescent="0.25">
      <c r="A4215" t="s">
        <v>21</v>
      </c>
      <c r="B4215">
        <v>2009</v>
      </c>
      <c r="C4215" t="s">
        <v>57</v>
      </c>
      <c r="D4215">
        <v>70464977.038000003</v>
      </c>
      <c r="E4215" t="s">
        <v>81</v>
      </c>
    </row>
    <row r="4216" spans="1:5" x14ac:dyDescent="0.25">
      <c r="A4216" t="s">
        <v>21</v>
      </c>
      <c r="B4216">
        <v>2010</v>
      </c>
      <c r="C4216" t="s">
        <v>57</v>
      </c>
      <c r="D4216">
        <v>71374031.283000007</v>
      </c>
      <c r="E4216" t="s">
        <v>81</v>
      </c>
    </row>
    <row r="4217" spans="1:5" x14ac:dyDescent="0.25">
      <c r="A4217" t="s">
        <v>21</v>
      </c>
      <c r="B4217">
        <v>2011</v>
      </c>
      <c r="C4217" t="s">
        <v>57</v>
      </c>
      <c r="D4217">
        <v>72542005.241999999</v>
      </c>
      <c r="E4217" t="s">
        <v>81</v>
      </c>
    </row>
    <row r="4218" spans="1:5" x14ac:dyDescent="0.25">
      <c r="A4218" t="s">
        <v>21</v>
      </c>
      <c r="B4218">
        <v>2012</v>
      </c>
      <c r="C4218" t="s">
        <v>57</v>
      </c>
      <c r="D4218">
        <v>86756415.957000002</v>
      </c>
      <c r="E4218" t="s">
        <v>81</v>
      </c>
    </row>
    <row r="4219" spans="1:5" x14ac:dyDescent="0.25">
      <c r="A4219" t="s">
        <v>21</v>
      </c>
      <c r="B4219">
        <v>2013</v>
      </c>
      <c r="C4219" t="s">
        <v>57</v>
      </c>
      <c r="D4219">
        <v>98554214.120000005</v>
      </c>
      <c r="E4219" t="s">
        <v>81</v>
      </c>
    </row>
    <row r="4220" spans="1:5" x14ac:dyDescent="0.25">
      <c r="A4220" t="s">
        <v>21</v>
      </c>
      <c r="B4220">
        <v>2014</v>
      </c>
      <c r="C4220" t="s">
        <v>57</v>
      </c>
      <c r="D4220">
        <v>114317924.737</v>
      </c>
      <c r="E4220" t="s">
        <v>81</v>
      </c>
    </row>
    <row r="4221" spans="1:5" x14ac:dyDescent="0.25">
      <c r="A4221" t="s">
        <v>21</v>
      </c>
      <c r="B4221">
        <v>2015</v>
      </c>
      <c r="C4221" t="s">
        <v>57</v>
      </c>
      <c r="D4221">
        <v>122351007.274</v>
      </c>
      <c r="E4221" t="s">
        <v>81</v>
      </c>
    </row>
    <row r="4222" spans="1:5" x14ac:dyDescent="0.25">
      <c r="A4222" t="s">
        <v>21</v>
      </c>
      <c r="B4222">
        <v>2016</v>
      </c>
      <c r="C4222" t="s">
        <v>57</v>
      </c>
      <c r="D4222">
        <v>128972700.71600001</v>
      </c>
      <c r="E4222" t="s">
        <v>81</v>
      </c>
    </row>
    <row r="4223" spans="1:5" x14ac:dyDescent="0.25">
      <c r="A4223" t="s">
        <v>21</v>
      </c>
      <c r="B4223">
        <v>2017</v>
      </c>
      <c r="C4223" t="s">
        <v>57</v>
      </c>
      <c r="D4223">
        <v>153998189.33000001</v>
      </c>
      <c r="E4223" t="s">
        <v>81</v>
      </c>
    </row>
    <row r="4224" spans="1:5" x14ac:dyDescent="0.25">
      <c r="A4224" t="s">
        <v>21</v>
      </c>
      <c r="B4224">
        <v>2018</v>
      </c>
      <c r="C4224" t="s">
        <v>57</v>
      </c>
      <c r="D4224">
        <v>146825720.93599999</v>
      </c>
      <c r="E4224" t="s">
        <v>81</v>
      </c>
    </row>
    <row r="4225" spans="1:5" x14ac:dyDescent="0.25">
      <c r="A4225" t="s">
        <v>21</v>
      </c>
      <c r="B4225">
        <v>2019</v>
      </c>
      <c r="C4225" t="s">
        <v>57</v>
      </c>
      <c r="D4225">
        <v>145513116.88999999</v>
      </c>
      <c r="E4225" t="s">
        <v>81</v>
      </c>
    </row>
    <row r="4226" spans="1:5" x14ac:dyDescent="0.25">
      <c r="A4226" t="s">
        <v>21</v>
      </c>
      <c r="B4226">
        <v>2020</v>
      </c>
      <c r="C4226" t="s">
        <v>57</v>
      </c>
      <c r="D4226">
        <v>130171917.832</v>
      </c>
      <c r="E4226" t="s">
        <v>81</v>
      </c>
    </row>
    <row r="4227" spans="1:5" x14ac:dyDescent="0.25">
      <c r="A4227" t="s">
        <v>21</v>
      </c>
      <c r="B4227">
        <v>2021</v>
      </c>
      <c r="C4227" t="s">
        <v>57</v>
      </c>
      <c r="D4227">
        <v>144341859.435</v>
      </c>
      <c r="E4227" t="s">
        <v>81</v>
      </c>
    </row>
    <row r="4228" spans="1:5" x14ac:dyDescent="0.25">
      <c r="A4228" t="s">
        <v>21</v>
      </c>
      <c r="B4228">
        <v>2022</v>
      </c>
      <c r="C4228" t="s">
        <v>57</v>
      </c>
      <c r="D4228">
        <v>154634197.49599999</v>
      </c>
      <c r="E4228" t="s">
        <v>81</v>
      </c>
    </row>
    <row r="4229" spans="1:5" x14ac:dyDescent="0.25">
      <c r="A4229" t="s">
        <v>21</v>
      </c>
      <c r="B4229">
        <v>2023</v>
      </c>
      <c r="C4229" t="s">
        <v>57</v>
      </c>
      <c r="D4229">
        <v>121917436.854</v>
      </c>
      <c r="E4229" t="s">
        <v>81</v>
      </c>
    </row>
    <row r="4230" spans="1:5" x14ac:dyDescent="0.25">
      <c r="A4230" t="s">
        <v>21</v>
      </c>
      <c r="B4230">
        <v>2024</v>
      </c>
      <c r="C4230" t="s">
        <v>57</v>
      </c>
      <c r="D4230">
        <v>128676496.846</v>
      </c>
      <c r="E4230" t="s">
        <v>81</v>
      </c>
    </row>
    <row r="4231" spans="1:5" x14ac:dyDescent="0.25">
      <c r="A4231" t="s">
        <v>22</v>
      </c>
      <c r="B4231">
        <v>2015</v>
      </c>
      <c r="C4231" t="s">
        <v>57</v>
      </c>
      <c r="D4231">
        <v>18728350.245999999</v>
      </c>
      <c r="E4231" t="s">
        <v>81</v>
      </c>
    </row>
    <row r="4232" spans="1:5" x14ac:dyDescent="0.25">
      <c r="A4232" t="s">
        <v>22</v>
      </c>
      <c r="B4232">
        <v>2017</v>
      </c>
      <c r="C4232" t="s">
        <v>57</v>
      </c>
      <c r="D4232">
        <v>34296927.575999998</v>
      </c>
      <c r="E4232" t="s">
        <v>81</v>
      </c>
    </row>
    <row r="4233" spans="1:5" x14ac:dyDescent="0.25">
      <c r="A4233" t="s">
        <v>22</v>
      </c>
      <c r="B4233">
        <v>2018</v>
      </c>
      <c r="C4233" t="s">
        <v>57</v>
      </c>
      <c r="D4233">
        <v>27414068.34</v>
      </c>
      <c r="E4233" t="s">
        <v>81</v>
      </c>
    </row>
    <row r="4234" spans="1:5" x14ac:dyDescent="0.25">
      <c r="A4234" t="s">
        <v>22</v>
      </c>
      <c r="B4234">
        <v>2019</v>
      </c>
      <c r="C4234" t="s">
        <v>57</v>
      </c>
      <c r="D4234">
        <v>25936275.916999999</v>
      </c>
      <c r="E4234" t="s">
        <v>81</v>
      </c>
    </row>
    <row r="4235" spans="1:5" x14ac:dyDescent="0.25">
      <c r="A4235" t="s">
        <v>22</v>
      </c>
      <c r="B4235">
        <v>2020</v>
      </c>
      <c r="C4235" t="s">
        <v>57</v>
      </c>
      <c r="D4235">
        <v>24332794.363000002</v>
      </c>
      <c r="E4235" t="s">
        <v>81</v>
      </c>
    </row>
    <row r="4236" spans="1:5" x14ac:dyDescent="0.25">
      <c r="A4236" t="s">
        <v>22</v>
      </c>
      <c r="B4236">
        <v>2021</v>
      </c>
      <c r="C4236" t="s">
        <v>57</v>
      </c>
      <c r="D4236">
        <v>30864322.25</v>
      </c>
      <c r="E4236" t="s">
        <v>81</v>
      </c>
    </row>
    <row r="4237" spans="1:5" x14ac:dyDescent="0.25">
      <c r="A4237" t="s">
        <v>22</v>
      </c>
      <c r="B4237">
        <v>2022</v>
      </c>
      <c r="C4237" t="s">
        <v>57</v>
      </c>
      <c r="D4237">
        <v>33597167.795999996</v>
      </c>
      <c r="E4237" t="s">
        <v>81</v>
      </c>
    </row>
    <row r="4238" spans="1:5" x14ac:dyDescent="0.25">
      <c r="A4238" t="s">
        <v>22</v>
      </c>
      <c r="B4238">
        <v>2023</v>
      </c>
      <c r="C4238" t="s">
        <v>57</v>
      </c>
      <c r="D4238">
        <v>26769205.348000001</v>
      </c>
      <c r="E4238" t="s">
        <v>81</v>
      </c>
    </row>
    <row r="4239" spans="1:5" x14ac:dyDescent="0.25">
      <c r="A4239" t="s">
        <v>22</v>
      </c>
      <c r="B4239">
        <v>2024</v>
      </c>
      <c r="C4239" t="s">
        <v>57</v>
      </c>
      <c r="D4239">
        <v>25829106.291999999</v>
      </c>
      <c r="E4239" t="s">
        <v>81</v>
      </c>
    </row>
    <row r="4240" spans="1:5" x14ac:dyDescent="0.25">
      <c r="A4240" t="s">
        <v>22</v>
      </c>
      <c r="B4240">
        <v>2025</v>
      </c>
      <c r="C4240" t="s">
        <v>57</v>
      </c>
      <c r="D4240">
        <v>25658544.037</v>
      </c>
      <c r="E4240" t="s">
        <v>81</v>
      </c>
    </row>
    <row r="4241" spans="1:5" x14ac:dyDescent="0.25">
      <c r="A4241" t="s">
        <v>23</v>
      </c>
      <c r="B4241">
        <v>2011</v>
      </c>
      <c r="C4241" t="s">
        <v>57</v>
      </c>
      <c r="D4241">
        <v>3145096.5419999999</v>
      </c>
      <c r="E4241" t="s">
        <v>81</v>
      </c>
    </row>
    <row r="4242" spans="1:5" x14ac:dyDescent="0.25">
      <c r="A4242" t="s">
        <v>23</v>
      </c>
      <c r="B4242">
        <v>2013</v>
      </c>
      <c r="C4242" t="s">
        <v>57</v>
      </c>
      <c r="D4242">
        <v>3033808.39</v>
      </c>
      <c r="E4242" t="s">
        <v>81</v>
      </c>
    </row>
    <row r="4243" spans="1:5" x14ac:dyDescent="0.25">
      <c r="A4243" t="s">
        <v>23</v>
      </c>
      <c r="B4243">
        <v>2014</v>
      </c>
      <c r="C4243" t="s">
        <v>57</v>
      </c>
      <c r="D4243">
        <v>2887934.0109999999</v>
      </c>
      <c r="E4243" t="s">
        <v>81</v>
      </c>
    </row>
    <row r="4244" spans="1:5" x14ac:dyDescent="0.25">
      <c r="A4244" t="s">
        <v>23</v>
      </c>
      <c r="B4244">
        <v>2015</v>
      </c>
      <c r="C4244" t="s">
        <v>57</v>
      </c>
      <c r="D4244">
        <v>2507249.96</v>
      </c>
      <c r="E4244" t="s">
        <v>81</v>
      </c>
    </row>
    <row r="4245" spans="1:5" x14ac:dyDescent="0.25">
      <c r="A4245" t="s">
        <v>23</v>
      </c>
      <c r="B4245">
        <v>2016</v>
      </c>
      <c r="C4245" t="s">
        <v>57</v>
      </c>
      <c r="D4245">
        <v>2373286.102</v>
      </c>
      <c r="E4245" t="s">
        <v>81</v>
      </c>
    </row>
    <row r="4246" spans="1:5" x14ac:dyDescent="0.25">
      <c r="A4246" t="s">
        <v>23</v>
      </c>
      <c r="B4246">
        <v>2020</v>
      </c>
      <c r="C4246" t="s">
        <v>57</v>
      </c>
      <c r="D4246">
        <v>17268731.912</v>
      </c>
      <c r="E4246" t="s">
        <v>81</v>
      </c>
    </row>
    <row r="4247" spans="1:5" x14ac:dyDescent="0.25">
      <c r="A4247" t="s">
        <v>23</v>
      </c>
      <c r="B4247">
        <v>2021</v>
      </c>
      <c r="C4247" t="s">
        <v>57</v>
      </c>
      <c r="D4247">
        <v>44806365.002999999</v>
      </c>
      <c r="E4247" t="s">
        <v>81</v>
      </c>
    </row>
    <row r="4248" spans="1:5" x14ac:dyDescent="0.25">
      <c r="A4248" t="s">
        <v>23</v>
      </c>
      <c r="B4248">
        <v>2022</v>
      </c>
      <c r="C4248" t="s">
        <v>57</v>
      </c>
      <c r="D4248">
        <v>32033524.340999998</v>
      </c>
      <c r="E4248" t="s">
        <v>81</v>
      </c>
    </row>
    <row r="4249" spans="1:5" x14ac:dyDescent="0.25">
      <c r="A4249" t="s">
        <v>23</v>
      </c>
      <c r="B4249">
        <v>2023</v>
      </c>
      <c r="C4249" t="s">
        <v>57</v>
      </c>
      <c r="D4249">
        <v>17607079.809999999</v>
      </c>
      <c r="E4249" t="s">
        <v>81</v>
      </c>
    </row>
    <row r="4250" spans="1:5" x14ac:dyDescent="0.25">
      <c r="A4250" t="s">
        <v>25</v>
      </c>
      <c r="B4250">
        <v>2010</v>
      </c>
      <c r="C4250" t="s">
        <v>57</v>
      </c>
      <c r="D4250">
        <v>40258922</v>
      </c>
      <c r="E4250" t="s">
        <v>81</v>
      </c>
    </row>
    <row r="4251" spans="1:5" x14ac:dyDescent="0.25">
      <c r="A4251" t="s">
        <v>25</v>
      </c>
      <c r="B4251">
        <v>2011</v>
      </c>
      <c r="C4251" t="s">
        <v>57</v>
      </c>
      <c r="D4251">
        <v>25314230</v>
      </c>
      <c r="E4251" t="s">
        <v>81</v>
      </c>
    </row>
    <row r="4252" spans="1:5" x14ac:dyDescent="0.25">
      <c r="A4252" t="s">
        <v>25</v>
      </c>
      <c r="B4252">
        <v>2012</v>
      </c>
      <c r="C4252" t="s">
        <v>57</v>
      </c>
      <c r="D4252">
        <v>36566765</v>
      </c>
      <c r="E4252" t="s">
        <v>81</v>
      </c>
    </row>
    <row r="4253" spans="1:5" x14ac:dyDescent="0.25">
      <c r="A4253" t="s">
        <v>25</v>
      </c>
      <c r="B4253">
        <v>2017</v>
      </c>
      <c r="C4253" t="s">
        <v>57</v>
      </c>
      <c r="D4253">
        <v>26627921</v>
      </c>
      <c r="E4253" t="s">
        <v>81</v>
      </c>
    </row>
    <row r="4254" spans="1:5" x14ac:dyDescent="0.25">
      <c r="A4254" t="s">
        <v>25</v>
      </c>
      <c r="B4254">
        <v>2019</v>
      </c>
      <c r="C4254" t="s">
        <v>57</v>
      </c>
      <c r="D4254">
        <v>16754230</v>
      </c>
      <c r="E4254" t="s">
        <v>81</v>
      </c>
    </row>
    <row r="4255" spans="1:5" x14ac:dyDescent="0.25">
      <c r="A4255" t="s">
        <v>25</v>
      </c>
      <c r="B4255">
        <v>2020</v>
      </c>
      <c r="C4255" t="s">
        <v>57</v>
      </c>
      <c r="D4255">
        <v>35467703</v>
      </c>
      <c r="E4255" t="s">
        <v>81</v>
      </c>
    </row>
    <row r="4256" spans="1:5" x14ac:dyDescent="0.25">
      <c r="A4256" t="s">
        <v>25</v>
      </c>
      <c r="B4256">
        <v>2021</v>
      </c>
      <c r="C4256" t="s">
        <v>57</v>
      </c>
      <c r="D4256">
        <v>43602193</v>
      </c>
      <c r="E4256" t="s">
        <v>81</v>
      </c>
    </row>
    <row r="4257" spans="1:5" x14ac:dyDescent="0.25">
      <c r="A4257" t="s">
        <v>25</v>
      </c>
      <c r="B4257">
        <v>2022</v>
      </c>
      <c r="C4257" t="s">
        <v>57</v>
      </c>
      <c r="D4257">
        <v>51137370</v>
      </c>
      <c r="E4257" t="s">
        <v>81</v>
      </c>
    </row>
    <row r="4258" spans="1:5" x14ac:dyDescent="0.25">
      <c r="A4258" t="s">
        <v>25</v>
      </c>
      <c r="B4258">
        <v>2023</v>
      </c>
      <c r="C4258" t="s">
        <v>57</v>
      </c>
      <c r="D4258">
        <v>36172372</v>
      </c>
      <c r="E4258" t="s">
        <v>81</v>
      </c>
    </row>
    <row r="4259" spans="1:5" x14ac:dyDescent="0.25">
      <c r="A4259" t="s">
        <v>25</v>
      </c>
      <c r="B4259">
        <v>2024</v>
      </c>
      <c r="C4259" t="s">
        <v>57</v>
      </c>
      <c r="D4259">
        <v>52183363</v>
      </c>
      <c r="E4259" t="s">
        <v>81</v>
      </c>
    </row>
    <row r="4260" spans="1:5" x14ac:dyDescent="0.25">
      <c r="A4260" t="s">
        <v>25</v>
      </c>
      <c r="B4260">
        <v>2025</v>
      </c>
      <c r="C4260" t="s">
        <v>57</v>
      </c>
      <c r="D4260">
        <v>37625577</v>
      </c>
      <c r="E4260" t="s">
        <v>81</v>
      </c>
    </row>
    <row r="4261" spans="1:5" x14ac:dyDescent="0.25">
      <c r="A4261" t="s">
        <v>28</v>
      </c>
      <c r="B4261">
        <v>2013</v>
      </c>
      <c r="C4261" t="s">
        <v>57</v>
      </c>
      <c r="D4261">
        <v>10138736</v>
      </c>
      <c r="E4261" t="s">
        <v>81</v>
      </c>
    </row>
    <row r="4262" spans="1:5" x14ac:dyDescent="0.25">
      <c r="A4262" t="s">
        <v>28</v>
      </c>
      <c r="B4262">
        <v>2014</v>
      </c>
      <c r="C4262" t="s">
        <v>57</v>
      </c>
      <c r="D4262">
        <v>9599601</v>
      </c>
      <c r="E4262" t="s">
        <v>81</v>
      </c>
    </row>
    <row r="4263" spans="1:5" x14ac:dyDescent="0.25">
      <c r="A4263" t="s">
        <v>28</v>
      </c>
      <c r="B4263">
        <v>2015</v>
      </c>
      <c r="C4263" t="s">
        <v>57</v>
      </c>
      <c r="D4263">
        <v>15672993</v>
      </c>
      <c r="E4263" t="s">
        <v>81</v>
      </c>
    </row>
    <row r="4264" spans="1:5" x14ac:dyDescent="0.25">
      <c r="A4264" t="s">
        <v>28</v>
      </c>
      <c r="B4264">
        <v>2016</v>
      </c>
      <c r="C4264" t="s">
        <v>57</v>
      </c>
      <c r="D4264">
        <v>22974543</v>
      </c>
      <c r="E4264" t="s">
        <v>81</v>
      </c>
    </row>
    <row r="4265" spans="1:5" x14ac:dyDescent="0.25">
      <c r="A4265" t="s">
        <v>28</v>
      </c>
      <c r="B4265">
        <v>2017</v>
      </c>
      <c r="C4265" t="s">
        <v>57</v>
      </c>
      <c r="D4265">
        <v>9784762</v>
      </c>
      <c r="E4265" t="s">
        <v>81</v>
      </c>
    </row>
    <row r="4266" spans="1:5" x14ac:dyDescent="0.25">
      <c r="A4266" t="s">
        <v>28</v>
      </c>
      <c r="B4266">
        <v>2018</v>
      </c>
      <c r="C4266" t="s">
        <v>57</v>
      </c>
      <c r="D4266">
        <v>29503938</v>
      </c>
      <c r="E4266" t="s">
        <v>81</v>
      </c>
    </row>
    <row r="4267" spans="1:5" x14ac:dyDescent="0.25">
      <c r="A4267" t="s">
        <v>28</v>
      </c>
      <c r="B4267">
        <v>2019</v>
      </c>
      <c r="C4267" t="s">
        <v>57</v>
      </c>
      <c r="D4267">
        <v>47362432</v>
      </c>
      <c r="E4267" t="s">
        <v>81</v>
      </c>
    </row>
    <row r="4268" spans="1:5" x14ac:dyDescent="0.25">
      <c r="A4268" t="s">
        <v>28</v>
      </c>
      <c r="B4268">
        <v>2020</v>
      </c>
      <c r="C4268" t="s">
        <v>57</v>
      </c>
      <c r="D4268">
        <v>57836776</v>
      </c>
      <c r="E4268" t="s">
        <v>81</v>
      </c>
    </row>
    <row r="4269" spans="1:5" x14ac:dyDescent="0.25">
      <c r="A4269" t="s">
        <v>28</v>
      </c>
      <c r="B4269">
        <v>2021</v>
      </c>
      <c r="C4269" t="s">
        <v>57</v>
      </c>
      <c r="D4269">
        <v>41318055</v>
      </c>
      <c r="E4269" t="s">
        <v>81</v>
      </c>
    </row>
    <row r="4270" spans="1:5" x14ac:dyDescent="0.25">
      <c r="A4270" t="s">
        <v>28</v>
      </c>
      <c r="B4270">
        <v>2022</v>
      </c>
      <c r="C4270" t="s">
        <v>57</v>
      </c>
      <c r="D4270">
        <v>58406362</v>
      </c>
      <c r="E4270" t="s">
        <v>81</v>
      </c>
    </row>
    <row r="4271" spans="1:5" x14ac:dyDescent="0.25">
      <c r="A4271" t="s">
        <v>28</v>
      </c>
      <c r="B4271">
        <v>2023</v>
      </c>
      <c r="C4271" t="s">
        <v>57</v>
      </c>
      <c r="D4271">
        <v>43719980</v>
      </c>
      <c r="E4271" t="s">
        <v>81</v>
      </c>
    </row>
    <row r="4272" spans="1:5" x14ac:dyDescent="0.25">
      <c r="A4272" t="s">
        <v>28</v>
      </c>
      <c r="B4272">
        <v>2024</v>
      </c>
      <c r="C4272" t="s">
        <v>57</v>
      </c>
      <c r="D4272">
        <v>35910718</v>
      </c>
      <c r="E4272" t="s">
        <v>81</v>
      </c>
    </row>
    <row r="4273" spans="1:5" x14ac:dyDescent="0.25">
      <c r="A4273" t="s">
        <v>92</v>
      </c>
      <c r="B4273">
        <v>2010</v>
      </c>
      <c r="C4273" t="s">
        <v>57</v>
      </c>
      <c r="D4273">
        <v>4469999.1100000003</v>
      </c>
      <c r="E4273" t="s">
        <v>81</v>
      </c>
    </row>
    <row r="4274" spans="1:5" x14ac:dyDescent="0.25">
      <c r="A4274" t="s">
        <v>75</v>
      </c>
      <c r="B4274">
        <v>2001</v>
      </c>
      <c r="C4274" t="s">
        <v>57</v>
      </c>
      <c r="D4274">
        <v>490701.22700000001</v>
      </c>
      <c r="E4274" t="s">
        <v>81</v>
      </c>
    </row>
    <row r="4275" spans="1:5" x14ac:dyDescent="0.25">
      <c r="A4275" t="s">
        <v>91</v>
      </c>
      <c r="B4275">
        <v>2017</v>
      </c>
      <c r="C4275" t="s">
        <v>57</v>
      </c>
      <c r="D4275">
        <v>22179000</v>
      </c>
      <c r="E4275" t="s">
        <v>81</v>
      </c>
    </row>
    <row r="4276" spans="1:5" x14ac:dyDescent="0.25">
      <c r="A4276" t="s">
        <v>91</v>
      </c>
      <c r="B4276">
        <v>2018</v>
      </c>
      <c r="C4276" t="s">
        <v>57</v>
      </c>
      <c r="D4276">
        <v>22325000</v>
      </c>
      <c r="E4276" t="s">
        <v>81</v>
      </c>
    </row>
    <row r="4277" spans="1:5" x14ac:dyDescent="0.25">
      <c r="A4277" t="s">
        <v>91</v>
      </c>
      <c r="B4277">
        <v>2019</v>
      </c>
      <c r="C4277" t="s">
        <v>57</v>
      </c>
      <c r="D4277">
        <v>25091000</v>
      </c>
      <c r="E4277" t="s">
        <v>81</v>
      </c>
    </row>
    <row r="4278" spans="1:5" x14ac:dyDescent="0.25">
      <c r="A4278" t="s">
        <v>91</v>
      </c>
      <c r="B4278">
        <v>2020</v>
      </c>
      <c r="C4278" t="s">
        <v>57</v>
      </c>
      <c r="D4278">
        <v>21718000</v>
      </c>
      <c r="E4278" t="s">
        <v>81</v>
      </c>
    </row>
    <row r="4279" spans="1:5" x14ac:dyDescent="0.25">
      <c r="A4279" t="s">
        <v>91</v>
      </c>
      <c r="B4279">
        <v>2021</v>
      </c>
      <c r="C4279" t="s">
        <v>57</v>
      </c>
      <c r="D4279">
        <v>28823000</v>
      </c>
      <c r="E4279" t="s">
        <v>81</v>
      </c>
    </row>
    <row r="4280" spans="1:5" x14ac:dyDescent="0.25">
      <c r="A4280" t="s">
        <v>91</v>
      </c>
      <c r="B4280">
        <v>2022</v>
      </c>
      <c r="C4280" t="s">
        <v>57</v>
      </c>
      <c r="D4280">
        <v>35046000</v>
      </c>
      <c r="E4280" t="s">
        <v>81</v>
      </c>
    </row>
    <row r="4281" spans="1:5" x14ac:dyDescent="0.25">
      <c r="A4281" t="s">
        <v>91</v>
      </c>
      <c r="B4281">
        <v>2023</v>
      </c>
      <c r="C4281" t="s">
        <v>57</v>
      </c>
      <c r="D4281">
        <v>36950000</v>
      </c>
      <c r="E4281" t="s">
        <v>81</v>
      </c>
    </row>
    <row r="4282" spans="1:5" x14ac:dyDescent="0.25">
      <c r="A4282" t="s">
        <v>91</v>
      </c>
      <c r="B4282">
        <v>2024</v>
      </c>
      <c r="C4282" t="s">
        <v>57</v>
      </c>
      <c r="D4282">
        <v>40172000</v>
      </c>
      <c r="E4282" t="s">
        <v>81</v>
      </c>
    </row>
    <row r="4283" spans="1:5" x14ac:dyDescent="0.25">
      <c r="A4283" t="s">
        <v>91</v>
      </c>
      <c r="B4283">
        <v>2025</v>
      </c>
      <c r="C4283" t="s">
        <v>57</v>
      </c>
      <c r="D4283">
        <v>26067000</v>
      </c>
      <c r="E4283" t="s">
        <v>81</v>
      </c>
    </row>
    <row r="4284" spans="1:5" x14ac:dyDescent="0.25">
      <c r="A4284" t="s">
        <v>29</v>
      </c>
      <c r="B4284">
        <v>2000</v>
      </c>
      <c r="C4284" t="s">
        <v>57</v>
      </c>
      <c r="D4284">
        <v>45937808.671999998</v>
      </c>
      <c r="E4284" t="s">
        <v>81</v>
      </c>
    </row>
    <row r="4285" spans="1:5" x14ac:dyDescent="0.25">
      <c r="A4285" t="s">
        <v>29</v>
      </c>
      <c r="B4285">
        <v>2001</v>
      </c>
      <c r="C4285" t="s">
        <v>57</v>
      </c>
      <c r="D4285">
        <v>47822678.892999999</v>
      </c>
      <c r="E4285" t="s">
        <v>81</v>
      </c>
    </row>
    <row r="4286" spans="1:5" x14ac:dyDescent="0.25">
      <c r="A4286" t="s">
        <v>29</v>
      </c>
      <c r="B4286">
        <v>2002</v>
      </c>
      <c r="C4286" t="s">
        <v>57</v>
      </c>
      <c r="D4286">
        <v>57338246.129000001</v>
      </c>
      <c r="E4286" t="s">
        <v>81</v>
      </c>
    </row>
    <row r="4287" spans="1:5" x14ac:dyDescent="0.25">
      <c r="A4287" t="s">
        <v>29</v>
      </c>
      <c r="B4287">
        <v>2003</v>
      </c>
      <c r="C4287" t="s">
        <v>57</v>
      </c>
      <c r="D4287">
        <v>80611910.659999996</v>
      </c>
      <c r="E4287" t="s">
        <v>81</v>
      </c>
    </row>
    <row r="4288" spans="1:5" x14ac:dyDescent="0.25">
      <c r="A4288" t="s">
        <v>29</v>
      </c>
      <c r="B4288">
        <v>2004</v>
      </c>
      <c r="C4288" t="s">
        <v>57</v>
      </c>
      <c r="D4288">
        <v>57480669.480999999</v>
      </c>
      <c r="E4288" t="s">
        <v>81</v>
      </c>
    </row>
    <row r="4289" spans="1:5" x14ac:dyDescent="0.25">
      <c r="A4289" t="s">
        <v>29</v>
      </c>
      <c r="B4289">
        <v>2005</v>
      </c>
      <c r="C4289" t="s">
        <v>57</v>
      </c>
      <c r="D4289">
        <v>61569148.865999997</v>
      </c>
      <c r="E4289" t="s">
        <v>81</v>
      </c>
    </row>
    <row r="4290" spans="1:5" x14ac:dyDescent="0.25">
      <c r="A4290" t="s">
        <v>29</v>
      </c>
      <c r="B4290">
        <v>2006</v>
      </c>
      <c r="C4290" t="s">
        <v>57</v>
      </c>
      <c r="D4290">
        <v>58943250.770000003</v>
      </c>
      <c r="E4290" t="s">
        <v>81</v>
      </c>
    </row>
    <row r="4291" spans="1:5" x14ac:dyDescent="0.25">
      <c r="A4291" t="s">
        <v>29</v>
      </c>
      <c r="B4291">
        <v>2007</v>
      </c>
      <c r="C4291" t="s">
        <v>57</v>
      </c>
      <c r="D4291">
        <v>72663045.187000006</v>
      </c>
      <c r="E4291" t="s">
        <v>81</v>
      </c>
    </row>
    <row r="4292" spans="1:5" x14ac:dyDescent="0.25">
      <c r="A4292" t="s">
        <v>29</v>
      </c>
      <c r="B4292">
        <v>2008</v>
      </c>
      <c r="C4292" t="s">
        <v>57</v>
      </c>
      <c r="D4292">
        <v>74878596.562000006</v>
      </c>
      <c r="E4292" t="s">
        <v>81</v>
      </c>
    </row>
    <row r="4293" spans="1:5" x14ac:dyDescent="0.25">
      <c r="A4293" t="s">
        <v>29</v>
      </c>
      <c r="B4293">
        <v>2009</v>
      </c>
      <c r="C4293" t="s">
        <v>57</v>
      </c>
      <c r="D4293">
        <v>56951439.056999996</v>
      </c>
      <c r="E4293" t="s">
        <v>81</v>
      </c>
    </row>
    <row r="4294" spans="1:5" x14ac:dyDescent="0.25">
      <c r="A4294" t="s">
        <v>29</v>
      </c>
      <c r="B4294">
        <v>2010</v>
      </c>
      <c r="C4294" t="s">
        <v>57</v>
      </c>
      <c r="D4294">
        <v>77323986.966000095</v>
      </c>
      <c r="E4294" t="s">
        <v>81</v>
      </c>
    </row>
    <row r="4295" spans="1:5" x14ac:dyDescent="0.25">
      <c r="A4295" t="s">
        <v>29</v>
      </c>
      <c r="B4295">
        <v>2011</v>
      </c>
      <c r="C4295" t="s">
        <v>57</v>
      </c>
      <c r="D4295">
        <v>107882748.163</v>
      </c>
      <c r="E4295" t="s">
        <v>81</v>
      </c>
    </row>
    <row r="4296" spans="1:5" x14ac:dyDescent="0.25">
      <c r="A4296" t="s">
        <v>29</v>
      </c>
      <c r="B4296">
        <v>2012</v>
      </c>
      <c r="C4296" t="s">
        <v>57</v>
      </c>
      <c r="D4296">
        <v>135306618.60100001</v>
      </c>
      <c r="E4296" t="s">
        <v>81</v>
      </c>
    </row>
    <row r="4297" spans="1:5" x14ac:dyDescent="0.25">
      <c r="A4297" t="s">
        <v>29</v>
      </c>
      <c r="B4297">
        <v>2013</v>
      </c>
      <c r="C4297" t="s">
        <v>57</v>
      </c>
      <c r="D4297">
        <v>149867199.757</v>
      </c>
      <c r="E4297" t="s">
        <v>81</v>
      </c>
    </row>
    <row r="4298" spans="1:5" x14ac:dyDescent="0.25">
      <c r="A4298" t="s">
        <v>29</v>
      </c>
      <c r="B4298">
        <v>2014</v>
      </c>
      <c r="C4298" t="s">
        <v>57</v>
      </c>
      <c r="D4298">
        <v>137733290.785</v>
      </c>
      <c r="E4298" t="s">
        <v>81</v>
      </c>
    </row>
    <row r="4299" spans="1:5" x14ac:dyDescent="0.25">
      <c r="A4299" t="s">
        <v>29</v>
      </c>
      <c r="B4299">
        <v>2015</v>
      </c>
      <c r="C4299" t="s">
        <v>57</v>
      </c>
      <c r="D4299">
        <v>122127710.971</v>
      </c>
      <c r="E4299" t="s">
        <v>81</v>
      </c>
    </row>
    <row r="4300" spans="1:5" x14ac:dyDescent="0.25">
      <c r="A4300" t="s">
        <v>29</v>
      </c>
      <c r="B4300">
        <v>2016</v>
      </c>
      <c r="C4300" t="s">
        <v>57</v>
      </c>
      <c r="D4300">
        <v>169407021.90900001</v>
      </c>
      <c r="E4300" t="s">
        <v>81</v>
      </c>
    </row>
    <row r="4301" spans="1:5" x14ac:dyDescent="0.25">
      <c r="A4301" t="s">
        <v>29</v>
      </c>
      <c r="B4301">
        <v>2017</v>
      </c>
      <c r="C4301" t="s">
        <v>57</v>
      </c>
      <c r="D4301">
        <v>189521110.70100001</v>
      </c>
      <c r="E4301" t="s">
        <v>81</v>
      </c>
    </row>
    <row r="4302" spans="1:5" x14ac:dyDescent="0.25">
      <c r="A4302" t="s">
        <v>29</v>
      </c>
      <c r="B4302">
        <v>2018</v>
      </c>
      <c r="C4302" t="s">
        <v>57</v>
      </c>
      <c r="D4302">
        <v>204614567.76199999</v>
      </c>
      <c r="E4302" t="s">
        <v>81</v>
      </c>
    </row>
    <row r="4303" spans="1:5" x14ac:dyDescent="0.25">
      <c r="A4303" t="s">
        <v>29</v>
      </c>
      <c r="B4303">
        <v>2019</v>
      </c>
      <c r="C4303" t="s">
        <v>57</v>
      </c>
      <c r="D4303">
        <v>211346417.88499999</v>
      </c>
      <c r="E4303" t="s">
        <v>81</v>
      </c>
    </row>
    <row r="4304" spans="1:5" x14ac:dyDescent="0.25">
      <c r="A4304" t="s">
        <v>29</v>
      </c>
      <c r="B4304">
        <v>2020</v>
      </c>
      <c r="C4304" t="s">
        <v>57</v>
      </c>
      <c r="D4304">
        <v>198210052.491</v>
      </c>
      <c r="E4304" t="s">
        <v>81</v>
      </c>
    </row>
    <row r="4305" spans="1:5" x14ac:dyDescent="0.25">
      <c r="A4305" t="s">
        <v>29</v>
      </c>
      <c r="B4305">
        <v>2021</v>
      </c>
      <c r="C4305" t="s">
        <v>57</v>
      </c>
      <c r="D4305">
        <v>258655567.067</v>
      </c>
      <c r="E4305" t="s">
        <v>81</v>
      </c>
    </row>
    <row r="4306" spans="1:5" x14ac:dyDescent="0.25">
      <c r="A4306" t="s">
        <v>29</v>
      </c>
      <c r="B4306">
        <v>2022</v>
      </c>
      <c r="C4306" t="s">
        <v>57</v>
      </c>
      <c r="D4306">
        <v>300611423.116</v>
      </c>
      <c r="E4306" t="s">
        <v>81</v>
      </c>
    </row>
    <row r="4307" spans="1:5" x14ac:dyDescent="0.25">
      <c r="A4307" t="s">
        <v>29</v>
      </c>
      <c r="B4307">
        <v>2023</v>
      </c>
      <c r="C4307" t="s">
        <v>57</v>
      </c>
      <c r="D4307">
        <v>274325607.31199998</v>
      </c>
      <c r="E4307" t="s">
        <v>81</v>
      </c>
    </row>
    <row r="4308" spans="1:5" x14ac:dyDescent="0.25">
      <c r="A4308" t="s">
        <v>29</v>
      </c>
      <c r="B4308">
        <v>2024</v>
      </c>
      <c r="C4308" t="s">
        <v>57</v>
      </c>
      <c r="D4308">
        <v>242753890.88499999</v>
      </c>
      <c r="E4308" t="s">
        <v>81</v>
      </c>
    </row>
    <row r="4309" spans="1:5" x14ac:dyDescent="0.25">
      <c r="A4309" t="s">
        <v>29</v>
      </c>
      <c r="B4309">
        <v>2025</v>
      </c>
      <c r="C4309" t="s">
        <v>57</v>
      </c>
      <c r="D4309">
        <v>171459631.54300001</v>
      </c>
      <c r="E4309" t="s">
        <v>81</v>
      </c>
    </row>
    <row r="4310" spans="1:5" x14ac:dyDescent="0.25">
      <c r="A4310" t="s">
        <v>74</v>
      </c>
      <c r="B4310">
        <v>2010</v>
      </c>
      <c r="C4310" t="s">
        <v>57</v>
      </c>
      <c r="D4310">
        <v>1483329197.9990001</v>
      </c>
      <c r="E4310" t="s">
        <v>81</v>
      </c>
    </row>
    <row r="4311" spans="1:5" x14ac:dyDescent="0.25">
      <c r="A4311" t="s">
        <v>74</v>
      </c>
      <c r="B4311">
        <v>2011</v>
      </c>
      <c r="C4311" t="s">
        <v>57</v>
      </c>
      <c r="D4311">
        <v>1613647474.951</v>
      </c>
      <c r="E4311" t="s">
        <v>81</v>
      </c>
    </row>
    <row r="4312" spans="1:5" x14ac:dyDescent="0.25">
      <c r="A4312" t="s">
        <v>74</v>
      </c>
      <c r="B4312">
        <v>2012</v>
      </c>
      <c r="C4312" t="s">
        <v>57</v>
      </c>
      <c r="D4312">
        <v>2333346384.2649999</v>
      </c>
      <c r="E4312" t="s">
        <v>81</v>
      </c>
    </row>
    <row r="4313" spans="1:5" x14ac:dyDescent="0.25">
      <c r="A4313" t="s">
        <v>74</v>
      </c>
      <c r="B4313">
        <v>2013</v>
      </c>
      <c r="C4313" t="s">
        <v>57</v>
      </c>
      <c r="D4313">
        <v>1818053586.9530001</v>
      </c>
      <c r="E4313" t="s">
        <v>81</v>
      </c>
    </row>
    <row r="4314" spans="1:5" x14ac:dyDescent="0.25">
      <c r="A4314" t="s">
        <v>74</v>
      </c>
      <c r="B4314">
        <v>2014</v>
      </c>
      <c r="C4314" t="s">
        <v>57</v>
      </c>
      <c r="D4314">
        <v>1814214189.0109999</v>
      </c>
      <c r="E4314" t="s">
        <v>81</v>
      </c>
    </row>
    <row r="4315" spans="1:5" x14ac:dyDescent="0.25">
      <c r="A4315" t="s">
        <v>74</v>
      </c>
      <c r="B4315">
        <v>2015</v>
      </c>
      <c r="C4315" t="s">
        <v>57</v>
      </c>
      <c r="D4315">
        <v>1659450753.076</v>
      </c>
      <c r="E4315" t="s">
        <v>81</v>
      </c>
    </row>
    <row r="4316" spans="1:5" x14ac:dyDescent="0.25">
      <c r="A4316" t="s">
        <v>74</v>
      </c>
      <c r="B4316">
        <v>2016</v>
      </c>
      <c r="C4316" t="s">
        <v>57</v>
      </c>
      <c r="D4316">
        <v>1733477694.674</v>
      </c>
      <c r="E4316" t="s">
        <v>81</v>
      </c>
    </row>
    <row r="4317" spans="1:5" x14ac:dyDescent="0.25">
      <c r="A4317" t="s">
        <v>74</v>
      </c>
      <c r="B4317">
        <v>2017</v>
      </c>
      <c r="C4317" t="s">
        <v>57</v>
      </c>
      <c r="D4317">
        <v>1827655135.131</v>
      </c>
      <c r="E4317" t="s">
        <v>81</v>
      </c>
    </row>
    <row r="4318" spans="1:5" x14ac:dyDescent="0.25">
      <c r="A4318" t="s">
        <v>74</v>
      </c>
      <c r="B4318">
        <v>2018</v>
      </c>
      <c r="C4318" t="s">
        <v>57</v>
      </c>
      <c r="D4318">
        <v>1811037107.3199999</v>
      </c>
      <c r="E4318" t="s">
        <v>81</v>
      </c>
    </row>
    <row r="4319" spans="1:5" x14ac:dyDescent="0.25">
      <c r="A4319" t="s">
        <v>74</v>
      </c>
      <c r="B4319">
        <v>2019</v>
      </c>
      <c r="C4319" t="s">
        <v>57</v>
      </c>
      <c r="D4319">
        <v>1744053215.53</v>
      </c>
      <c r="E4319" t="s">
        <v>81</v>
      </c>
    </row>
    <row r="4320" spans="1:5" x14ac:dyDescent="0.25">
      <c r="A4320" t="s">
        <v>74</v>
      </c>
      <c r="B4320">
        <v>2020</v>
      </c>
      <c r="C4320" t="s">
        <v>57</v>
      </c>
      <c r="D4320">
        <v>1498152387.9960001</v>
      </c>
      <c r="E4320" t="s">
        <v>81</v>
      </c>
    </row>
    <row r="4321" spans="1:5" x14ac:dyDescent="0.25">
      <c r="A4321" t="s">
        <v>74</v>
      </c>
      <c r="B4321">
        <v>2021</v>
      </c>
      <c r="C4321" t="s">
        <v>57</v>
      </c>
      <c r="D4321">
        <v>1690523687.937</v>
      </c>
      <c r="E4321" t="s">
        <v>81</v>
      </c>
    </row>
    <row r="4322" spans="1:5" x14ac:dyDescent="0.25">
      <c r="A4322" t="s">
        <v>74</v>
      </c>
      <c r="B4322">
        <v>2022</v>
      </c>
      <c r="C4322" t="s">
        <v>57</v>
      </c>
      <c r="D4322">
        <v>1758165110.1459999</v>
      </c>
      <c r="E4322" t="s">
        <v>81</v>
      </c>
    </row>
    <row r="4323" spans="1:5" x14ac:dyDescent="0.25">
      <c r="A4323" t="s">
        <v>74</v>
      </c>
      <c r="B4323">
        <v>2023</v>
      </c>
      <c r="C4323" t="s">
        <v>57</v>
      </c>
      <c r="D4323">
        <v>1500368273.8940001</v>
      </c>
      <c r="E4323" t="s">
        <v>81</v>
      </c>
    </row>
    <row r="4324" spans="1:5" x14ac:dyDescent="0.25">
      <c r="A4324" t="s">
        <v>74</v>
      </c>
      <c r="B4324">
        <v>2024</v>
      </c>
      <c r="C4324" t="s">
        <v>57</v>
      </c>
      <c r="D4324">
        <v>1248201630.457</v>
      </c>
      <c r="E4324" t="s">
        <v>81</v>
      </c>
    </row>
    <row r="4325" spans="1:5" x14ac:dyDescent="0.25">
      <c r="A4325" t="s">
        <v>74</v>
      </c>
      <c r="B4325">
        <v>2025</v>
      </c>
      <c r="C4325" t="s">
        <v>57</v>
      </c>
      <c r="D4325">
        <v>1347032699.3399999</v>
      </c>
      <c r="E4325" t="s">
        <v>81</v>
      </c>
    </row>
    <row r="4326" spans="1:5" x14ac:dyDescent="0.25">
      <c r="A4326" t="s">
        <v>90</v>
      </c>
      <c r="B4326">
        <v>2011</v>
      </c>
      <c r="C4326" t="s">
        <v>57</v>
      </c>
      <c r="D4326">
        <v>2133631.324</v>
      </c>
      <c r="E4326" t="s">
        <v>81</v>
      </c>
    </row>
    <row r="4327" spans="1:5" x14ac:dyDescent="0.25">
      <c r="A4327" t="s">
        <v>32</v>
      </c>
      <c r="B4327">
        <v>2013</v>
      </c>
      <c r="C4327" t="s">
        <v>57</v>
      </c>
      <c r="D4327">
        <v>2279784.4449999998</v>
      </c>
      <c r="E4327" t="s">
        <v>81</v>
      </c>
    </row>
    <row r="4328" spans="1:5" x14ac:dyDescent="0.25">
      <c r="A4328" t="s">
        <v>33</v>
      </c>
      <c r="B4328">
        <v>2003</v>
      </c>
      <c r="C4328" t="s">
        <v>57</v>
      </c>
      <c r="D4328">
        <v>23463999.120999999</v>
      </c>
      <c r="E4328" t="s">
        <v>81</v>
      </c>
    </row>
    <row r="4329" spans="1:5" x14ac:dyDescent="0.25">
      <c r="A4329" t="s">
        <v>33</v>
      </c>
      <c r="B4329">
        <v>2004</v>
      </c>
      <c r="C4329" t="s">
        <v>57</v>
      </c>
      <c r="D4329">
        <v>31858321.594000001</v>
      </c>
      <c r="E4329" t="s">
        <v>81</v>
      </c>
    </row>
    <row r="4330" spans="1:5" x14ac:dyDescent="0.25">
      <c r="A4330" t="s">
        <v>33</v>
      </c>
      <c r="B4330">
        <v>2005</v>
      </c>
      <c r="C4330" t="s">
        <v>57</v>
      </c>
      <c r="D4330">
        <v>12290770.551000001</v>
      </c>
      <c r="E4330" t="s">
        <v>81</v>
      </c>
    </row>
    <row r="4331" spans="1:5" x14ac:dyDescent="0.25">
      <c r="A4331" t="s">
        <v>33</v>
      </c>
      <c r="B4331">
        <v>2006</v>
      </c>
      <c r="C4331" t="s">
        <v>57</v>
      </c>
      <c r="D4331">
        <v>30281366.778000001</v>
      </c>
      <c r="E4331" t="s">
        <v>81</v>
      </c>
    </row>
    <row r="4332" spans="1:5" x14ac:dyDescent="0.25">
      <c r="A4332" t="s">
        <v>33</v>
      </c>
      <c r="B4332">
        <v>2007</v>
      </c>
      <c r="C4332" t="s">
        <v>57</v>
      </c>
      <c r="D4332">
        <v>55136061.748000003</v>
      </c>
      <c r="E4332" t="s">
        <v>81</v>
      </c>
    </row>
    <row r="4333" spans="1:5" x14ac:dyDescent="0.25">
      <c r="A4333" t="s">
        <v>33</v>
      </c>
      <c r="B4333">
        <v>2008</v>
      </c>
      <c r="C4333" t="s">
        <v>57</v>
      </c>
      <c r="D4333">
        <v>23022853.846999999</v>
      </c>
      <c r="E4333" t="s">
        <v>81</v>
      </c>
    </row>
    <row r="4334" spans="1:5" x14ac:dyDescent="0.25">
      <c r="A4334" t="s">
        <v>33</v>
      </c>
      <c r="B4334">
        <v>2009</v>
      </c>
      <c r="C4334" t="s">
        <v>57</v>
      </c>
      <c r="D4334">
        <v>16687446.659</v>
      </c>
      <c r="E4334" t="s">
        <v>81</v>
      </c>
    </row>
    <row r="4335" spans="1:5" x14ac:dyDescent="0.25">
      <c r="A4335" t="s">
        <v>33</v>
      </c>
      <c r="B4335">
        <v>2010</v>
      </c>
      <c r="C4335" t="s">
        <v>57</v>
      </c>
      <c r="D4335">
        <v>24798173.877999999</v>
      </c>
      <c r="E4335" t="s">
        <v>81</v>
      </c>
    </row>
    <row r="4336" spans="1:5" x14ac:dyDescent="0.25">
      <c r="A4336" t="s">
        <v>33</v>
      </c>
      <c r="B4336">
        <v>2011</v>
      </c>
      <c r="C4336" t="s">
        <v>57</v>
      </c>
      <c r="D4336">
        <v>37236440.226999998</v>
      </c>
      <c r="E4336" t="s">
        <v>81</v>
      </c>
    </row>
    <row r="4337" spans="1:5" x14ac:dyDescent="0.25">
      <c r="A4337" t="s">
        <v>33</v>
      </c>
      <c r="B4337">
        <v>2012</v>
      </c>
      <c r="C4337" t="s">
        <v>57</v>
      </c>
      <c r="D4337">
        <v>31491879.370999999</v>
      </c>
      <c r="E4337" t="s">
        <v>81</v>
      </c>
    </row>
    <row r="4338" spans="1:5" x14ac:dyDescent="0.25">
      <c r="A4338" t="s">
        <v>33</v>
      </c>
      <c r="B4338">
        <v>2013</v>
      </c>
      <c r="C4338" t="s">
        <v>57</v>
      </c>
      <c r="D4338">
        <v>38689923.961999997</v>
      </c>
      <c r="E4338" t="s">
        <v>81</v>
      </c>
    </row>
    <row r="4339" spans="1:5" x14ac:dyDescent="0.25">
      <c r="A4339" t="s">
        <v>33</v>
      </c>
      <c r="B4339">
        <v>2014</v>
      </c>
      <c r="C4339" t="s">
        <v>57</v>
      </c>
      <c r="D4339">
        <v>30606022.039999999</v>
      </c>
      <c r="E4339" t="s">
        <v>81</v>
      </c>
    </row>
    <row r="4340" spans="1:5" x14ac:dyDescent="0.25">
      <c r="A4340" t="s">
        <v>33</v>
      </c>
      <c r="B4340">
        <v>2015</v>
      </c>
      <c r="C4340" t="s">
        <v>57</v>
      </c>
      <c r="D4340">
        <v>18797427.497000001</v>
      </c>
      <c r="E4340" t="s">
        <v>81</v>
      </c>
    </row>
    <row r="4341" spans="1:5" x14ac:dyDescent="0.25">
      <c r="A4341" t="s">
        <v>33</v>
      </c>
      <c r="B4341">
        <v>2016</v>
      </c>
      <c r="C4341" t="s">
        <v>57</v>
      </c>
      <c r="D4341">
        <v>18117908.655999999</v>
      </c>
      <c r="E4341" t="s">
        <v>81</v>
      </c>
    </row>
    <row r="4342" spans="1:5" x14ac:dyDescent="0.25">
      <c r="A4342" t="s">
        <v>33</v>
      </c>
      <c r="B4342">
        <v>2017</v>
      </c>
      <c r="C4342" t="s">
        <v>57</v>
      </c>
      <c r="D4342">
        <v>24292699.026000001</v>
      </c>
      <c r="E4342" t="s">
        <v>81</v>
      </c>
    </row>
    <row r="4343" spans="1:5" x14ac:dyDescent="0.25">
      <c r="A4343" t="s">
        <v>33</v>
      </c>
      <c r="B4343">
        <v>2018</v>
      </c>
      <c r="C4343" t="s">
        <v>57</v>
      </c>
      <c r="D4343">
        <v>10347588.935000001</v>
      </c>
      <c r="E4343" t="s">
        <v>81</v>
      </c>
    </row>
    <row r="4344" spans="1:5" x14ac:dyDescent="0.25">
      <c r="A4344" t="s">
        <v>33</v>
      </c>
      <c r="B4344">
        <v>2019</v>
      </c>
      <c r="C4344" t="s">
        <v>57</v>
      </c>
      <c r="D4344">
        <v>26529460.223000001</v>
      </c>
      <c r="E4344" t="s">
        <v>81</v>
      </c>
    </row>
    <row r="4345" spans="1:5" x14ac:dyDescent="0.25">
      <c r="A4345" t="s">
        <v>33</v>
      </c>
      <c r="B4345">
        <v>2020</v>
      </c>
      <c r="C4345" t="s">
        <v>57</v>
      </c>
      <c r="D4345">
        <v>13233038.958000001</v>
      </c>
      <c r="E4345" t="s">
        <v>81</v>
      </c>
    </row>
    <row r="4346" spans="1:5" x14ac:dyDescent="0.25">
      <c r="A4346" t="s">
        <v>33</v>
      </c>
      <c r="B4346">
        <v>2021</v>
      </c>
      <c r="C4346" t="s">
        <v>57</v>
      </c>
      <c r="D4346">
        <v>28448750.629999999</v>
      </c>
      <c r="E4346" t="s">
        <v>81</v>
      </c>
    </row>
    <row r="4347" spans="1:5" x14ac:dyDescent="0.25">
      <c r="A4347" t="s">
        <v>33</v>
      </c>
      <c r="B4347">
        <v>2022</v>
      </c>
      <c r="C4347" t="s">
        <v>57</v>
      </c>
      <c r="D4347">
        <v>25013020.046999998</v>
      </c>
      <c r="E4347" t="s">
        <v>81</v>
      </c>
    </row>
    <row r="4348" spans="1:5" x14ac:dyDescent="0.25">
      <c r="A4348" t="s">
        <v>33</v>
      </c>
      <c r="B4348">
        <v>2023</v>
      </c>
      <c r="C4348" t="s">
        <v>57</v>
      </c>
      <c r="D4348">
        <v>37217190.171999998</v>
      </c>
      <c r="E4348" t="s">
        <v>81</v>
      </c>
    </row>
    <row r="4349" spans="1:5" x14ac:dyDescent="0.25">
      <c r="A4349" t="s">
        <v>72</v>
      </c>
      <c r="B4349">
        <v>2010</v>
      </c>
      <c r="C4349" t="s">
        <v>57</v>
      </c>
      <c r="D4349">
        <v>5892418.3530000001</v>
      </c>
      <c r="E4349" t="s">
        <v>81</v>
      </c>
    </row>
    <row r="4350" spans="1:5" x14ac:dyDescent="0.25">
      <c r="A4350" t="s">
        <v>72</v>
      </c>
      <c r="B4350">
        <v>2011</v>
      </c>
      <c r="C4350" t="s">
        <v>57</v>
      </c>
      <c r="D4350">
        <v>5985513.8969999999</v>
      </c>
      <c r="E4350" t="s">
        <v>81</v>
      </c>
    </row>
    <row r="4351" spans="1:5" x14ac:dyDescent="0.25">
      <c r="A4351" t="s">
        <v>72</v>
      </c>
      <c r="B4351">
        <v>2012</v>
      </c>
      <c r="C4351" t="s">
        <v>57</v>
      </c>
      <c r="D4351">
        <v>8003335.9390000002</v>
      </c>
      <c r="E4351" t="s">
        <v>81</v>
      </c>
    </row>
    <row r="4352" spans="1:5" x14ac:dyDescent="0.25">
      <c r="A4352" t="s">
        <v>72</v>
      </c>
      <c r="B4352">
        <v>2013</v>
      </c>
      <c r="C4352" t="s">
        <v>57</v>
      </c>
      <c r="D4352">
        <v>8449716.6260000002</v>
      </c>
      <c r="E4352" t="s">
        <v>81</v>
      </c>
    </row>
    <row r="4353" spans="1:5" x14ac:dyDescent="0.25">
      <c r="A4353" t="s">
        <v>72</v>
      </c>
      <c r="B4353">
        <v>2014</v>
      </c>
      <c r="C4353" t="s">
        <v>57</v>
      </c>
      <c r="D4353">
        <v>7835658.7110000001</v>
      </c>
      <c r="E4353" t="s">
        <v>81</v>
      </c>
    </row>
    <row r="4354" spans="1:5" x14ac:dyDescent="0.25">
      <c r="A4354" t="s">
        <v>72</v>
      </c>
      <c r="B4354">
        <v>2015</v>
      </c>
      <c r="C4354" t="s">
        <v>57</v>
      </c>
      <c r="D4354">
        <v>5210424.9210000001</v>
      </c>
      <c r="E4354" t="s">
        <v>81</v>
      </c>
    </row>
    <row r="4355" spans="1:5" x14ac:dyDescent="0.25">
      <c r="A4355" t="s">
        <v>72</v>
      </c>
      <c r="B4355">
        <v>2017</v>
      </c>
      <c r="C4355" t="s">
        <v>57</v>
      </c>
      <c r="D4355">
        <v>7749762.3779999996</v>
      </c>
      <c r="E4355" t="s">
        <v>81</v>
      </c>
    </row>
    <row r="4356" spans="1:5" x14ac:dyDescent="0.25">
      <c r="A4356" t="s">
        <v>72</v>
      </c>
      <c r="B4356">
        <v>2019</v>
      </c>
      <c r="C4356" t="s">
        <v>57</v>
      </c>
      <c r="D4356">
        <v>8534429.375</v>
      </c>
      <c r="E4356" t="s">
        <v>81</v>
      </c>
    </row>
    <row r="4357" spans="1:5" x14ac:dyDescent="0.25">
      <c r="A4357" t="s">
        <v>72</v>
      </c>
      <c r="B4357">
        <v>2020</v>
      </c>
      <c r="C4357" t="s">
        <v>57</v>
      </c>
      <c r="D4357">
        <v>6209739.7949999999</v>
      </c>
      <c r="E4357" t="s">
        <v>81</v>
      </c>
    </row>
    <row r="4358" spans="1:5" x14ac:dyDescent="0.25">
      <c r="A4358" t="s">
        <v>72</v>
      </c>
      <c r="B4358">
        <v>2021</v>
      </c>
      <c r="C4358" t="s">
        <v>57</v>
      </c>
      <c r="D4358">
        <v>10371613.393999999</v>
      </c>
      <c r="E4358" t="s">
        <v>81</v>
      </c>
    </row>
    <row r="4359" spans="1:5" x14ac:dyDescent="0.25">
      <c r="A4359" t="s">
        <v>72</v>
      </c>
      <c r="B4359">
        <v>2022</v>
      </c>
      <c r="C4359" t="s">
        <v>57</v>
      </c>
      <c r="D4359">
        <v>10917935.960999999</v>
      </c>
      <c r="E4359" t="s">
        <v>81</v>
      </c>
    </row>
    <row r="4360" spans="1:5" x14ac:dyDescent="0.25">
      <c r="A4360" t="s">
        <v>72</v>
      </c>
      <c r="B4360">
        <v>2023</v>
      </c>
      <c r="C4360" t="s">
        <v>57</v>
      </c>
      <c r="D4360">
        <v>7953803.5209999997</v>
      </c>
      <c r="E4360" t="s">
        <v>81</v>
      </c>
    </row>
    <row r="4361" spans="1:5" x14ac:dyDescent="0.25">
      <c r="A4361" t="s">
        <v>72</v>
      </c>
      <c r="B4361">
        <v>2024</v>
      </c>
      <c r="C4361" t="s">
        <v>57</v>
      </c>
      <c r="D4361">
        <v>8890206.5209999997</v>
      </c>
      <c r="E4361" t="s">
        <v>81</v>
      </c>
    </row>
    <row r="4362" spans="1:5" x14ac:dyDescent="0.25">
      <c r="A4362" t="s">
        <v>72</v>
      </c>
      <c r="B4362">
        <v>2025</v>
      </c>
      <c r="C4362" t="s">
        <v>57</v>
      </c>
      <c r="D4362">
        <v>13381833.327</v>
      </c>
      <c r="E4362" t="s">
        <v>81</v>
      </c>
    </row>
    <row r="4363" spans="1:5" x14ac:dyDescent="0.25">
      <c r="A4363" t="s">
        <v>71</v>
      </c>
      <c r="B4363">
        <v>2012</v>
      </c>
      <c r="C4363" t="s">
        <v>57</v>
      </c>
      <c r="D4363">
        <v>40149725</v>
      </c>
      <c r="E4363" t="s">
        <v>81</v>
      </c>
    </row>
    <row r="4364" spans="1:5" x14ac:dyDescent="0.25">
      <c r="A4364" t="s">
        <v>71</v>
      </c>
      <c r="B4364">
        <v>2014</v>
      </c>
      <c r="C4364" t="s">
        <v>57</v>
      </c>
      <c r="D4364">
        <v>37583214.850000001</v>
      </c>
      <c r="E4364" t="s">
        <v>81</v>
      </c>
    </row>
    <row r="4365" spans="1:5" x14ac:dyDescent="0.25">
      <c r="A4365" t="s">
        <v>71</v>
      </c>
      <c r="B4365">
        <v>2016</v>
      </c>
      <c r="C4365" t="s">
        <v>57</v>
      </c>
      <c r="D4365">
        <v>62517509.917000003</v>
      </c>
      <c r="E4365" t="s">
        <v>81</v>
      </c>
    </row>
    <row r="4366" spans="1:5" x14ac:dyDescent="0.25">
      <c r="A4366" t="s">
        <v>71</v>
      </c>
      <c r="B4366">
        <v>2017</v>
      </c>
      <c r="C4366" t="s">
        <v>57</v>
      </c>
      <c r="D4366">
        <v>43979220.605999999</v>
      </c>
      <c r="E4366" t="s">
        <v>81</v>
      </c>
    </row>
    <row r="4367" spans="1:5" x14ac:dyDescent="0.25">
      <c r="A4367" t="s">
        <v>71</v>
      </c>
      <c r="B4367">
        <v>2019</v>
      </c>
      <c r="C4367" t="s">
        <v>57</v>
      </c>
      <c r="D4367">
        <v>78612061.849999994</v>
      </c>
      <c r="E4367" t="s">
        <v>81</v>
      </c>
    </row>
    <row r="4368" spans="1:5" x14ac:dyDescent="0.25">
      <c r="A4368" t="s">
        <v>71</v>
      </c>
      <c r="B4368">
        <v>2020</v>
      </c>
      <c r="C4368" t="s">
        <v>57</v>
      </c>
      <c r="D4368">
        <v>48855845.667999998</v>
      </c>
      <c r="E4368" t="s">
        <v>81</v>
      </c>
    </row>
    <row r="4369" spans="1:5" x14ac:dyDescent="0.25">
      <c r="A4369" t="s">
        <v>71</v>
      </c>
      <c r="B4369">
        <v>2021</v>
      </c>
      <c r="C4369" t="s">
        <v>57</v>
      </c>
      <c r="D4369">
        <v>66359072.923</v>
      </c>
      <c r="E4369" t="s">
        <v>81</v>
      </c>
    </row>
    <row r="4370" spans="1:5" x14ac:dyDescent="0.25">
      <c r="A4370" t="s">
        <v>71</v>
      </c>
      <c r="B4370">
        <v>2022</v>
      </c>
      <c r="C4370" t="s">
        <v>57</v>
      </c>
      <c r="D4370">
        <v>111694428.08400001</v>
      </c>
      <c r="E4370" t="s">
        <v>81</v>
      </c>
    </row>
    <row r="4371" spans="1:5" x14ac:dyDescent="0.25">
      <c r="A4371" t="s">
        <v>71</v>
      </c>
      <c r="B4371">
        <v>2023</v>
      </c>
      <c r="C4371" t="s">
        <v>57</v>
      </c>
      <c r="D4371">
        <v>143348089.991</v>
      </c>
      <c r="E4371" t="s">
        <v>81</v>
      </c>
    </row>
    <row r="4372" spans="1:5" x14ac:dyDescent="0.25">
      <c r="A4372" t="s">
        <v>71</v>
      </c>
      <c r="B4372">
        <v>2024</v>
      </c>
      <c r="C4372" t="s">
        <v>57</v>
      </c>
      <c r="D4372">
        <v>48504283.721000001</v>
      </c>
      <c r="E4372" t="s">
        <v>81</v>
      </c>
    </row>
    <row r="4373" spans="1:5" x14ac:dyDescent="0.25">
      <c r="A4373" t="s">
        <v>35</v>
      </c>
      <c r="B4373">
        <v>2010</v>
      </c>
      <c r="C4373" t="s">
        <v>57</v>
      </c>
      <c r="D4373">
        <v>157197317.722</v>
      </c>
      <c r="E4373" t="s">
        <v>81</v>
      </c>
    </row>
    <row r="4374" spans="1:5" x14ac:dyDescent="0.25">
      <c r="A4374" t="s">
        <v>35</v>
      </c>
      <c r="B4374">
        <v>2011</v>
      </c>
      <c r="C4374" t="s">
        <v>57</v>
      </c>
      <c r="D4374">
        <v>225420428.64300001</v>
      </c>
      <c r="E4374" t="s">
        <v>81</v>
      </c>
    </row>
    <row r="4375" spans="1:5" x14ac:dyDescent="0.25">
      <c r="A4375" t="s">
        <v>35</v>
      </c>
      <c r="B4375">
        <v>2012</v>
      </c>
      <c r="C4375" t="s">
        <v>57</v>
      </c>
      <c r="D4375">
        <v>253751317.382</v>
      </c>
      <c r="E4375" t="s">
        <v>81</v>
      </c>
    </row>
    <row r="4376" spans="1:5" x14ac:dyDescent="0.25">
      <c r="A4376" t="s">
        <v>35</v>
      </c>
      <c r="B4376">
        <v>2013</v>
      </c>
      <c r="C4376" t="s">
        <v>57</v>
      </c>
      <c r="D4376">
        <v>240429155.06900001</v>
      </c>
      <c r="E4376" t="s">
        <v>81</v>
      </c>
    </row>
    <row r="4377" spans="1:5" x14ac:dyDescent="0.25">
      <c r="A4377" t="s">
        <v>35</v>
      </c>
      <c r="B4377">
        <v>2014</v>
      </c>
      <c r="C4377" t="s">
        <v>57</v>
      </c>
      <c r="D4377">
        <v>211137799.66999999</v>
      </c>
      <c r="E4377" t="s">
        <v>81</v>
      </c>
    </row>
    <row r="4378" spans="1:5" x14ac:dyDescent="0.25">
      <c r="A4378" t="s">
        <v>35</v>
      </c>
      <c r="B4378">
        <v>2015</v>
      </c>
      <c r="C4378" t="s">
        <v>57</v>
      </c>
      <c r="D4378">
        <v>136527823.715</v>
      </c>
      <c r="E4378" t="s">
        <v>81</v>
      </c>
    </row>
    <row r="4379" spans="1:5" x14ac:dyDescent="0.25">
      <c r="A4379" t="s">
        <v>35</v>
      </c>
      <c r="B4379">
        <v>2016</v>
      </c>
      <c r="C4379" t="s">
        <v>57</v>
      </c>
      <c r="D4379">
        <v>183141483.035</v>
      </c>
      <c r="E4379" t="s">
        <v>81</v>
      </c>
    </row>
    <row r="4380" spans="1:5" x14ac:dyDescent="0.25">
      <c r="A4380" t="s">
        <v>35</v>
      </c>
      <c r="B4380">
        <v>2017</v>
      </c>
      <c r="C4380" t="s">
        <v>57</v>
      </c>
      <c r="D4380">
        <v>234623628.98699999</v>
      </c>
      <c r="E4380" t="s">
        <v>81</v>
      </c>
    </row>
    <row r="4381" spans="1:5" x14ac:dyDescent="0.25">
      <c r="A4381" t="s">
        <v>35</v>
      </c>
      <c r="B4381">
        <v>2018</v>
      </c>
      <c r="C4381" t="s">
        <v>57</v>
      </c>
      <c r="D4381">
        <v>173759243.05599999</v>
      </c>
      <c r="E4381" t="s">
        <v>81</v>
      </c>
    </row>
    <row r="4382" spans="1:5" x14ac:dyDescent="0.25">
      <c r="A4382" t="s">
        <v>35</v>
      </c>
      <c r="B4382">
        <v>2019</v>
      </c>
      <c r="C4382" t="s">
        <v>57</v>
      </c>
      <c r="D4382">
        <v>167746787.308</v>
      </c>
      <c r="E4382" t="s">
        <v>81</v>
      </c>
    </row>
    <row r="4383" spans="1:5" x14ac:dyDescent="0.25">
      <c r="A4383" t="s">
        <v>35</v>
      </c>
      <c r="B4383">
        <v>2020</v>
      </c>
      <c r="C4383" t="s">
        <v>57</v>
      </c>
      <c r="D4383">
        <v>149812541.23699999</v>
      </c>
      <c r="E4383" t="s">
        <v>81</v>
      </c>
    </row>
    <row r="4384" spans="1:5" x14ac:dyDescent="0.25">
      <c r="A4384" t="s">
        <v>35</v>
      </c>
      <c r="B4384">
        <v>2021</v>
      </c>
      <c r="C4384" t="s">
        <v>57</v>
      </c>
      <c r="D4384">
        <v>150851742.30700001</v>
      </c>
      <c r="E4384" t="s">
        <v>81</v>
      </c>
    </row>
    <row r="4385" spans="1:5" x14ac:dyDescent="0.25">
      <c r="A4385" t="s">
        <v>35</v>
      </c>
      <c r="B4385">
        <v>2022</v>
      </c>
      <c r="C4385" t="s">
        <v>57</v>
      </c>
      <c r="D4385">
        <v>166303906.21700001</v>
      </c>
      <c r="E4385" t="s">
        <v>81</v>
      </c>
    </row>
    <row r="4386" spans="1:5" x14ac:dyDescent="0.25">
      <c r="A4386" t="s">
        <v>35</v>
      </c>
      <c r="B4386">
        <v>2023</v>
      </c>
      <c r="C4386" t="s">
        <v>57</v>
      </c>
      <c r="D4386">
        <v>161721798.90000001</v>
      </c>
      <c r="E4386" t="s">
        <v>81</v>
      </c>
    </row>
    <row r="4387" spans="1:5" x14ac:dyDescent="0.25">
      <c r="A4387" t="s">
        <v>35</v>
      </c>
      <c r="B4387">
        <v>2024</v>
      </c>
      <c r="C4387" t="s">
        <v>57</v>
      </c>
      <c r="D4387">
        <v>143338121.77599999</v>
      </c>
      <c r="E4387" t="s">
        <v>81</v>
      </c>
    </row>
    <row r="4388" spans="1:5" x14ac:dyDescent="0.25">
      <c r="A4388" t="s">
        <v>35</v>
      </c>
      <c r="B4388">
        <v>2025</v>
      </c>
      <c r="C4388" t="s">
        <v>57</v>
      </c>
      <c r="D4388">
        <v>131424890.964</v>
      </c>
      <c r="E4388" t="s">
        <v>81</v>
      </c>
    </row>
    <row r="4389" spans="1:5" x14ac:dyDescent="0.25">
      <c r="A4389" t="s">
        <v>36</v>
      </c>
      <c r="B4389">
        <v>2010</v>
      </c>
      <c r="C4389" t="s">
        <v>57</v>
      </c>
      <c r="D4389">
        <v>40500038</v>
      </c>
      <c r="E4389" t="s">
        <v>81</v>
      </c>
    </row>
    <row r="4390" spans="1:5" x14ac:dyDescent="0.25">
      <c r="A4390" t="s">
        <v>36</v>
      </c>
      <c r="B4390">
        <v>2011</v>
      </c>
      <c r="C4390" t="s">
        <v>57</v>
      </c>
      <c r="D4390">
        <v>62285749</v>
      </c>
      <c r="E4390" t="s">
        <v>81</v>
      </c>
    </row>
    <row r="4391" spans="1:5" x14ac:dyDescent="0.25">
      <c r="A4391" t="s">
        <v>36</v>
      </c>
      <c r="B4391">
        <v>2012</v>
      </c>
      <c r="C4391" t="s">
        <v>57</v>
      </c>
      <c r="D4391">
        <v>97097469</v>
      </c>
      <c r="E4391" t="s">
        <v>81</v>
      </c>
    </row>
    <row r="4392" spans="1:5" x14ac:dyDescent="0.25">
      <c r="A4392" t="s">
        <v>36</v>
      </c>
      <c r="B4392">
        <v>2013</v>
      </c>
      <c r="C4392" t="s">
        <v>57</v>
      </c>
      <c r="D4392">
        <v>58829048</v>
      </c>
      <c r="E4392" t="s">
        <v>81</v>
      </c>
    </row>
    <row r="4393" spans="1:5" x14ac:dyDescent="0.25">
      <c r="A4393" t="s">
        <v>36</v>
      </c>
      <c r="B4393">
        <v>2024</v>
      </c>
      <c r="C4393" t="s">
        <v>57</v>
      </c>
      <c r="D4393">
        <v>8667772</v>
      </c>
      <c r="E4393" t="s">
        <v>81</v>
      </c>
    </row>
    <row r="4394" spans="1:5" x14ac:dyDescent="0.25">
      <c r="A4394" t="s">
        <v>36</v>
      </c>
      <c r="B4394">
        <v>2025</v>
      </c>
      <c r="C4394" t="s">
        <v>57</v>
      </c>
      <c r="D4394">
        <v>6664837</v>
      </c>
      <c r="E4394" t="s">
        <v>81</v>
      </c>
    </row>
    <row r="4395" spans="1:5" x14ac:dyDescent="0.25">
      <c r="A4395" t="s">
        <v>37</v>
      </c>
      <c r="B4395">
        <v>2000</v>
      </c>
      <c r="C4395" t="s">
        <v>57</v>
      </c>
      <c r="D4395">
        <v>2703678.702</v>
      </c>
      <c r="E4395" t="s">
        <v>81</v>
      </c>
    </row>
    <row r="4396" spans="1:5" x14ac:dyDescent="0.25">
      <c r="A4396" t="s">
        <v>37</v>
      </c>
      <c r="B4396">
        <v>2001</v>
      </c>
      <c r="C4396" t="s">
        <v>57</v>
      </c>
      <c r="D4396">
        <v>1573121.4210000001</v>
      </c>
      <c r="E4396" t="s">
        <v>81</v>
      </c>
    </row>
    <row r="4397" spans="1:5" x14ac:dyDescent="0.25">
      <c r="A4397" t="s">
        <v>37</v>
      </c>
      <c r="B4397">
        <v>2002</v>
      </c>
      <c r="C4397" t="s">
        <v>57</v>
      </c>
      <c r="D4397">
        <v>8511750.6510000005</v>
      </c>
      <c r="E4397" t="s">
        <v>81</v>
      </c>
    </row>
    <row r="4398" spans="1:5" x14ac:dyDescent="0.25">
      <c r="A4398" t="s">
        <v>37</v>
      </c>
      <c r="B4398">
        <v>2003</v>
      </c>
      <c r="C4398" t="s">
        <v>57</v>
      </c>
      <c r="D4398">
        <v>5410689.0489999996</v>
      </c>
      <c r="E4398" t="s">
        <v>81</v>
      </c>
    </row>
    <row r="4399" spans="1:5" x14ac:dyDescent="0.25">
      <c r="A4399" t="s">
        <v>37</v>
      </c>
      <c r="B4399">
        <v>2004</v>
      </c>
      <c r="C4399" t="s">
        <v>57</v>
      </c>
      <c r="D4399">
        <v>5795340.5640000002</v>
      </c>
      <c r="E4399" t="s">
        <v>81</v>
      </c>
    </row>
    <row r="4400" spans="1:5" x14ac:dyDescent="0.25">
      <c r="A4400" t="s">
        <v>37</v>
      </c>
      <c r="B4400">
        <v>2005</v>
      </c>
      <c r="C4400" t="s">
        <v>57</v>
      </c>
      <c r="D4400">
        <v>9161505.284</v>
      </c>
      <c r="E4400" t="s">
        <v>81</v>
      </c>
    </row>
    <row r="4401" spans="1:5" x14ac:dyDescent="0.25">
      <c r="A4401" t="s">
        <v>37</v>
      </c>
      <c r="B4401">
        <v>2006</v>
      </c>
      <c r="C4401" t="s">
        <v>57</v>
      </c>
      <c r="D4401">
        <v>14768596.353</v>
      </c>
      <c r="E4401" t="s">
        <v>81</v>
      </c>
    </row>
    <row r="4402" spans="1:5" x14ac:dyDescent="0.25">
      <c r="A4402" t="s">
        <v>37</v>
      </c>
      <c r="B4402">
        <v>2007</v>
      </c>
      <c r="C4402" t="s">
        <v>57</v>
      </c>
      <c r="D4402">
        <v>12673755.444</v>
      </c>
      <c r="E4402" t="s">
        <v>81</v>
      </c>
    </row>
    <row r="4403" spans="1:5" x14ac:dyDescent="0.25">
      <c r="A4403" t="s">
        <v>37</v>
      </c>
      <c r="B4403">
        <v>2008</v>
      </c>
      <c r="C4403" t="s">
        <v>57</v>
      </c>
      <c r="D4403">
        <v>18949789.574999999</v>
      </c>
      <c r="E4403" t="s">
        <v>81</v>
      </c>
    </row>
    <row r="4404" spans="1:5" x14ac:dyDescent="0.25">
      <c r="A4404" t="s">
        <v>37</v>
      </c>
      <c r="B4404">
        <v>2009</v>
      </c>
      <c r="C4404" t="s">
        <v>57</v>
      </c>
      <c r="D4404">
        <v>20745364.587000001</v>
      </c>
      <c r="E4404" t="s">
        <v>81</v>
      </c>
    </row>
    <row r="4405" spans="1:5" x14ac:dyDescent="0.25">
      <c r="A4405" t="s">
        <v>37</v>
      </c>
      <c r="B4405">
        <v>2010</v>
      </c>
      <c r="C4405" t="s">
        <v>57</v>
      </c>
      <c r="D4405">
        <v>102360753.22499999</v>
      </c>
      <c r="E4405" t="s">
        <v>81</v>
      </c>
    </row>
    <row r="4406" spans="1:5" x14ac:dyDescent="0.25">
      <c r="A4406" t="s">
        <v>37</v>
      </c>
      <c r="B4406">
        <v>2011</v>
      </c>
      <c r="C4406" t="s">
        <v>57</v>
      </c>
      <c r="D4406">
        <v>332578591.02499998</v>
      </c>
      <c r="E4406" t="s">
        <v>81</v>
      </c>
    </row>
    <row r="4407" spans="1:5" x14ac:dyDescent="0.25">
      <c r="A4407" t="s">
        <v>37</v>
      </c>
      <c r="B4407">
        <v>2012</v>
      </c>
      <c r="C4407" t="s">
        <v>57</v>
      </c>
      <c r="D4407">
        <v>729126975.21099997</v>
      </c>
      <c r="E4407" t="s">
        <v>81</v>
      </c>
    </row>
    <row r="4408" spans="1:5" x14ac:dyDescent="0.25">
      <c r="A4408" t="s">
        <v>37</v>
      </c>
      <c r="B4408">
        <v>2013</v>
      </c>
      <c r="C4408" t="s">
        <v>57</v>
      </c>
      <c r="D4408">
        <v>760025753.12199998</v>
      </c>
      <c r="E4408" t="s">
        <v>81</v>
      </c>
    </row>
    <row r="4409" spans="1:5" x14ac:dyDescent="0.25">
      <c r="A4409" t="s">
        <v>37</v>
      </c>
      <c r="B4409">
        <v>2014</v>
      </c>
      <c r="C4409" t="s">
        <v>57</v>
      </c>
      <c r="D4409">
        <v>676561238.58000004</v>
      </c>
      <c r="E4409" t="s">
        <v>81</v>
      </c>
    </row>
    <row r="4410" spans="1:5" x14ac:dyDescent="0.25">
      <c r="A4410" t="s">
        <v>37</v>
      </c>
      <c r="B4410">
        <v>2015</v>
      </c>
      <c r="C4410" t="s">
        <v>57</v>
      </c>
      <c r="D4410">
        <v>761997727.43299997</v>
      </c>
      <c r="E4410" t="s">
        <v>81</v>
      </c>
    </row>
    <row r="4411" spans="1:5" x14ac:dyDescent="0.25">
      <c r="A4411" t="s">
        <v>37</v>
      </c>
      <c r="B4411">
        <v>2016</v>
      </c>
      <c r="C4411" t="s">
        <v>57</v>
      </c>
      <c r="D4411">
        <v>196520336.34299999</v>
      </c>
      <c r="E4411" t="s">
        <v>81</v>
      </c>
    </row>
    <row r="4412" spans="1:5" x14ac:dyDescent="0.25">
      <c r="A4412" t="s">
        <v>37</v>
      </c>
      <c r="B4412">
        <v>2017</v>
      </c>
      <c r="C4412" t="s">
        <v>57</v>
      </c>
      <c r="D4412">
        <v>141891689.98300001</v>
      </c>
      <c r="E4412" t="s">
        <v>81</v>
      </c>
    </row>
    <row r="4413" spans="1:5" x14ac:dyDescent="0.25">
      <c r="A4413" t="s">
        <v>37</v>
      </c>
      <c r="B4413">
        <v>2018</v>
      </c>
      <c r="C4413" t="s">
        <v>57</v>
      </c>
      <c r="D4413">
        <v>157589528.553</v>
      </c>
      <c r="E4413" t="s">
        <v>81</v>
      </c>
    </row>
    <row r="4414" spans="1:5" x14ac:dyDescent="0.25">
      <c r="A4414" t="s">
        <v>37</v>
      </c>
      <c r="B4414">
        <v>2019</v>
      </c>
      <c r="C4414" t="s">
        <v>57</v>
      </c>
      <c r="D4414">
        <v>148761606.15099999</v>
      </c>
      <c r="E4414" t="s">
        <v>81</v>
      </c>
    </row>
    <row r="4415" spans="1:5" x14ac:dyDescent="0.25">
      <c r="A4415" t="s">
        <v>37</v>
      </c>
      <c r="B4415">
        <v>2020</v>
      </c>
      <c r="C4415" t="s">
        <v>57</v>
      </c>
      <c r="D4415">
        <v>140401604.873</v>
      </c>
      <c r="E4415" t="s">
        <v>81</v>
      </c>
    </row>
    <row r="4416" spans="1:5" x14ac:dyDescent="0.25">
      <c r="A4416" t="s">
        <v>37</v>
      </c>
      <c r="B4416">
        <v>2021</v>
      </c>
      <c r="C4416" t="s">
        <v>57</v>
      </c>
      <c r="D4416">
        <v>184203520.21700001</v>
      </c>
      <c r="E4416" t="s">
        <v>81</v>
      </c>
    </row>
    <row r="4417" spans="1:5" x14ac:dyDescent="0.25">
      <c r="A4417" t="s">
        <v>37</v>
      </c>
      <c r="B4417">
        <v>2022</v>
      </c>
      <c r="C4417" t="s">
        <v>57</v>
      </c>
      <c r="D4417">
        <v>196959363.493</v>
      </c>
      <c r="E4417" t="s">
        <v>81</v>
      </c>
    </row>
    <row r="4418" spans="1:5" x14ac:dyDescent="0.25">
      <c r="A4418" t="s">
        <v>37</v>
      </c>
      <c r="B4418">
        <v>2023</v>
      </c>
      <c r="C4418" t="s">
        <v>57</v>
      </c>
      <c r="D4418">
        <v>152902119.56299999</v>
      </c>
      <c r="E4418" t="s">
        <v>81</v>
      </c>
    </row>
    <row r="4419" spans="1:5" x14ac:dyDescent="0.25">
      <c r="A4419" t="s">
        <v>37</v>
      </c>
      <c r="B4419">
        <v>2024</v>
      </c>
      <c r="C4419" t="s">
        <v>57</v>
      </c>
      <c r="D4419">
        <v>158803587.52399999</v>
      </c>
      <c r="E4419" t="s">
        <v>81</v>
      </c>
    </row>
    <row r="4420" spans="1:5" x14ac:dyDescent="0.25">
      <c r="A4420" t="s">
        <v>37</v>
      </c>
      <c r="B4420">
        <v>2025</v>
      </c>
      <c r="C4420" t="s">
        <v>57</v>
      </c>
      <c r="D4420">
        <v>90312993.859999999</v>
      </c>
      <c r="E4420" t="s">
        <v>81</v>
      </c>
    </row>
    <row r="4421" spans="1:5" x14ac:dyDescent="0.25">
      <c r="A4421" t="s">
        <v>89</v>
      </c>
      <c r="B4421">
        <v>2000</v>
      </c>
      <c r="C4421" t="s">
        <v>57</v>
      </c>
      <c r="D4421">
        <v>63343448.681000099</v>
      </c>
      <c r="E4421" t="s">
        <v>81</v>
      </c>
    </row>
    <row r="4422" spans="1:5" x14ac:dyDescent="0.25">
      <c r="A4422" t="s">
        <v>89</v>
      </c>
      <c r="B4422">
        <v>2001</v>
      </c>
      <c r="C4422" t="s">
        <v>57</v>
      </c>
      <c r="D4422">
        <v>114374064.46600001</v>
      </c>
      <c r="E4422" t="s">
        <v>81</v>
      </c>
    </row>
    <row r="4423" spans="1:5" x14ac:dyDescent="0.25">
      <c r="A4423" t="s">
        <v>89</v>
      </c>
      <c r="B4423">
        <v>2002</v>
      </c>
      <c r="C4423" t="s">
        <v>57</v>
      </c>
      <c r="D4423">
        <v>84488420.482000098</v>
      </c>
      <c r="E4423" t="s">
        <v>81</v>
      </c>
    </row>
    <row r="4424" spans="1:5" x14ac:dyDescent="0.25">
      <c r="A4424" t="s">
        <v>89</v>
      </c>
      <c r="B4424">
        <v>2003</v>
      </c>
      <c r="C4424" t="s">
        <v>57</v>
      </c>
      <c r="D4424" t="s">
        <v>39</v>
      </c>
      <c r="E4424" t="s">
        <v>81</v>
      </c>
    </row>
    <row r="4425" spans="1:5" x14ac:dyDescent="0.25">
      <c r="A4425" t="s">
        <v>89</v>
      </c>
      <c r="B4425">
        <v>2004</v>
      </c>
      <c r="C4425" t="s">
        <v>57</v>
      </c>
      <c r="D4425">
        <v>28000819.202</v>
      </c>
      <c r="E4425" t="s">
        <v>81</v>
      </c>
    </row>
    <row r="4426" spans="1:5" x14ac:dyDescent="0.25">
      <c r="A4426" t="s">
        <v>89</v>
      </c>
      <c r="B4426">
        <v>2005</v>
      </c>
      <c r="C4426" t="s">
        <v>57</v>
      </c>
      <c r="D4426" t="s">
        <v>39</v>
      </c>
      <c r="E4426" t="s">
        <v>81</v>
      </c>
    </row>
    <row r="4427" spans="1:5" x14ac:dyDescent="0.25">
      <c r="A4427" t="s">
        <v>89</v>
      </c>
      <c r="B4427">
        <v>2006</v>
      </c>
      <c r="C4427" t="s">
        <v>57</v>
      </c>
      <c r="D4427" t="s">
        <v>39</v>
      </c>
      <c r="E4427" t="s">
        <v>81</v>
      </c>
    </row>
    <row r="4428" spans="1:5" x14ac:dyDescent="0.25">
      <c r="A4428" t="s">
        <v>89</v>
      </c>
      <c r="B4428">
        <v>2008</v>
      </c>
      <c r="C4428" t="s">
        <v>57</v>
      </c>
      <c r="D4428">
        <v>20709002.747000299</v>
      </c>
      <c r="E4428" t="s">
        <v>81</v>
      </c>
    </row>
    <row r="4429" spans="1:5" x14ac:dyDescent="0.25">
      <c r="A4429" t="s">
        <v>89</v>
      </c>
      <c r="B4429">
        <v>2009</v>
      </c>
      <c r="C4429" t="s">
        <v>57</v>
      </c>
      <c r="D4429">
        <v>132993116.355</v>
      </c>
      <c r="E4429" t="s">
        <v>81</v>
      </c>
    </row>
    <row r="4430" spans="1:5" x14ac:dyDescent="0.25">
      <c r="A4430" t="s">
        <v>70</v>
      </c>
      <c r="B4430">
        <v>2001</v>
      </c>
      <c r="C4430" t="s">
        <v>57</v>
      </c>
      <c r="D4430">
        <v>1724007.149</v>
      </c>
      <c r="E4430" t="s">
        <v>81</v>
      </c>
    </row>
    <row r="4431" spans="1:5" x14ac:dyDescent="0.25">
      <c r="A4431" t="s">
        <v>70</v>
      </c>
      <c r="B4431">
        <v>2015</v>
      </c>
      <c r="C4431" t="s">
        <v>57</v>
      </c>
      <c r="D4431">
        <v>6487621.2960000001</v>
      </c>
      <c r="E4431" t="s">
        <v>81</v>
      </c>
    </row>
    <row r="4432" spans="1:5" x14ac:dyDescent="0.25">
      <c r="A4432" t="s">
        <v>70</v>
      </c>
      <c r="B4432">
        <v>2018</v>
      </c>
      <c r="C4432" t="s">
        <v>57</v>
      </c>
      <c r="D4432">
        <v>29717380.491999999</v>
      </c>
      <c r="E4432" t="s">
        <v>81</v>
      </c>
    </row>
    <row r="4433" spans="1:5" x14ac:dyDescent="0.25">
      <c r="A4433" t="s">
        <v>70</v>
      </c>
      <c r="B4433">
        <v>2019</v>
      </c>
      <c r="C4433" t="s">
        <v>57</v>
      </c>
      <c r="D4433">
        <v>19723198.079</v>
      </c>
      <c r="E4433" t="s">
        <v>81</v>
      </c>
    </row>
    <row r="4434" spans="1:5" x14ac:dyDescent="0.25">
      <c r="A4434" t="s">
        <v>70</v>
      </c>
      <c r="B4434">
        <v>2020</v>
      </c>
      <c r="C4434" t="s">
        <v>57</v>
      </c>
      <c r="D4434">
        <v>25745873.462000001</v>
      </c>
      <c r="E4434" t="s">
        <v>81</v>
      </c>
    </row>
    <row r="4435" spans="1:5" x14ac:dyDescent="0.25">
      <c r="A4435" t="s">
        <v>70</v>
      </c>
      <c r="B4435">
        <v>2021</v>
      </c>
      <c r="C4435" t="s">
        <v>57</v>
      </c>
      <c r="D4435">
        <v>32315714.734999999</v>
      </c>
      <c r="E4435" t="s">
        <v>81</v>
      </c>
    </row>
    <row r="4436" spans="1:5" x14ac:dyDescent="0.25">
      <c r="A4436" t="s">
        <v>70</v>
      </c>
      <c r="B4436">
        <v>2022</v>
      </c>
      <c r="C4436" t="s">
        <v>57</v>
      </c>
      <c r="D4436">
        <v>29087342.688000001</v>
      </c>
      <c r="E4436" t="s">
        <v>81</v>
      </c>
    </row>
    <row r="4437" spans="1:5" x14ac:dyDescent="0.25">
      <c r="A4437" t="s">
        <v>70</v>
      </c>
      <c r="B4437">
        <v>2023</v>
      </c>
      <c r="C4437" t="s">
        <v>57</v>
      </c>
      <c r="D4437">
        <v>34507559.681000002</v>
      </c>
      <c r="E4437" t="s">
        <v>81</v>
      </c>
    </row>
    <row r="4438" spans="1:5" x14ac:dyDescent="0.25">
      <c r="A4438" t="s">
        <v>70</v>
      </c>
      <c r="B4438">
        <v>2024</v>
      </c>
      <c r="C4438" t="s">
        <v>57</v>
      </c>
      <c r="D4438">
        <v>6924445.8370000003</v>
      </c>
      <c r="E4438" t="s">
        <v>81</v>
      </c>
    </row>
    <row r="4439" spans="1:5" x14ac:dyDescent="0.25">
      <c r="A4439" t="s">
        <v>70</v>
      </c>
      <c r="B4439">
        <v>2025</v>
      </c>
      <c r="C4439" t="s">
        <v>57</v>
      </c>
      <c r="D4439">
        <v>2631286.7239999999</v>
      </c>
      <c r="E4439" t="s">
        <v>81</v>
      </c>
    </row>
    <row r="4440" spans="1:5" x14ac:dyDescent="0.25">
      <c r="A4440" t="s">
        <v>40</v>
      </c>
      <c r="B4440">
        <v>2016</v>
      </c>
      <c r="C4440" t="s">
        <v>57</v>
      </c>
      <c r="D4440">
        <v>25396710.592999998</v>
      </c>
      <c r="E4440" t="s">
        <v>81</v>
      </c>
    </row>
    <row r="4441" spans="1:5" x14ac:dyDescent="0.25">
      <c r="A4441" t="s">
        <v>40</v>
      </c>
      <c r="B4441">
        <v>2017</v>
      </c>
      <c r="C4441" t="s">
        <v>57</v>
      </c>
      <c r="D4441">
        <v>35121312.109999999</v>
      </c>
      <c r="E4441" t="s">
        <v>81</v>
      </c>
    </row>
    <row r="4442" spans="1:5" x14ac:dyDescent="0.25">
      <c r="A4442" t="s">
        <v>40</v>
      </c>
      <c r="B4442">
        <v>2018</v>
      </c>
      <c r="C4442" t="s">
        <v>57</v>
      </c>
      <c r="D4442">
        <v>35214824.795000002</v>
      </c>
      <c r="E4442" t="s">
        <v>81</v>
      </c>
    </row>
    <row r="4443" spans="1:5" x14ac:dyDescent="0.25">
      <c r="A4443" t="s">
        <v>40</v>
      </c>
      <c r="B4443">
        <v>2019</v>
      </c>
      <c r="C4443" t="s">
        <v>57</v>
      </c>
      <c r="D4443">
        <v>38601470.487999998</v>
      </c>
      <c r="E4443" t="s">
        <v>81</v>
      </c>
    </row>
    <row r="4444" spans="1:5" x14ac:dyDescent="0.25">
      <c r="A4444" t="s">
        <v>40</v>
      </c>
      <c r="B4444">
        <v>2020</v>
      </c>
      <c r="C4444" t="s">
        <v>57</v>
      </c>
      <c r="D4444">
        <v>40939683.732000001</v>
      </c>
      <c r="E4444" t="s">
        <v>81</v>
      </c>
    </row>
    <row r="4445" spans="1:5" x14ac:dyDescent="0.25">
      <c r="A4445" t="s">
        <v>40</v>
      </c>
      <c r="B4445">
        <v>2021</v>
      </c>
      <c r="C4445" t="s">
        <v>57</v>
      </c>
      <c r="D4445">
        <v>45047098.475000001</v>
      </c>
      <c r="E4445" t="s">
        <v>81</v>
      </c>
    </row>
    <row r="4446" spans="1:5" x14ac:dyDescent="0.25">
      <c r="A4446" t="s">
        <v>40</v>
      </c>
      <c r="B4446">
        <v>2022</v>
      </c>
      <c r="C4446" t="s">
        <v>57</v>
      </c>
      <c r="D4446">
        <v>53255123.803999998</v>
      </c>
      <c r="E4446" t="s">
        <v>81</v>
      </c>
    </row>
    <row r="4447" spans="1:5" x14ac:dyDescent="0.25">
      <c r="A4447" t="s">
        <v>40</v>
      </c>
      <c r="B4447">
        <v>2023</v>
      </c>
      <c r="C4447" t="s">
        <v>57</v>
      </c>
      <c r="D4447">
        <v>52508174.604000002</v>
      </c>
      <c r="E4447" t="s">
        <v>81</v>
      </c>
    </row>
    <row r="4448" spans="1:5" x14ac:dyDescent="0.25">
      <c r="A4448" t="s">
        <v>40</v>
      </c>
      <c r="B4448">
        <v>2024</v>
      </c>
      <c r="C4448" t="s">
        <v>57</v>
      </c>
      <c r="D4448">
        <v>41703292.219999999</v>
      </c>
      <c r="E4448" t="s">
        <v>81</v>
      </c>
    </row>
    <row r="4449" spans="1:5" x14ac:dyDescent="0.25">
      <c r="A4449" t="s">
        <v>40</v>
      </c>
      <c r="B4449">
        <v>2025</v>
      </c>
      <c r="C4449" t="s">
        <v>57</v>
      </c>
      <c r="D4449">
        <v>31259847.877</v>
      </c>
      <c r="E4449" t="s">
        <v>81</v>
      </c>
    </row>
    <row r="4450" spans="1:5" x14ac:dyDescent="0.25">
      <c r="A4450" t="s">
        <v>67</v>
      </c>
      <c r="B4450">
        <v>2018</v>
      </c>
      <c r="C4450" t="s">
        <v>57</v>
      </c>
      <c r="D4450">
        <v>5491092.8990000002</v>
      </c>
      <c r="E4450" t="s">
        <v>81</v>
      </c>
    </row>
    <row r="4451" spans="1:5" x14ac:dyDescent="0.25">
      <c r="A4451" t="s">
        <v>67</v>
      </c>
      <c r="B4451">
        <v>2019</v>
      </c>
      <c r="C4451" t="s">
        <v>57</v>
      </c>
      <c r="D4451">
        <v>5187253.8059999999</v>
      </c>
      <c r="E4451" t="s">
        <v>81</v>
      </c>
    </row>
    <row r="4452" spans="1:5" x14ac:dyDescent="0.25">
      <c r="A4452" t="s">
        <v>41</v>
      </c>
      <c r="B4452">
        <v>2018</v>
      </c>
      <c r="C4452" t="s">
        <v>57</v>
      </c>
      <c r="D4452">
        <v>3244244.1839999999</v>
      </c>
      <c r="E4452" t="s">
        <v>81</v>
      </c>
    </row>
    <row r="4453" spans="1:5" x14ac:dyDescent="0.25">
      <c r="A4453" t="s">
        <v>42</v>
      </c>
      <c r="B4453">
        <v>2010</v>
      </c>
      <c r="C4453" t="s">
        <v>57</v>
      </c>
      <c r="D4453">
        <v>15950793.699999999</v>
      </c>
      <c r="E4453" t="s">
        <v>81</v>
      </c>
    </row>
    <row r="4454" spans="1:5" x14ac:dyDescent="0.25">
      <c r="A4454" t="s">
        <v>42</v>
      </c>
      <c r="B4454">
        <v>2011</v>
      </c>
      <c r="C4454" t="s">
        <v>57</v>
      </c>
      <c r="D4454">
        <v>12423979.09</v>
      </c>
      <c r="E4454" t="s">
        <v>81</v>
      </c>
    </row>
    <row r="4455" spans="1:5" x14ac:dyDescent="0.25">
      <c r="A4455" t="s">
        <v>42</v>
      </c>
      <c r="B4455">
        <v>2012</v>
      </c>
      <c r="C4455" t="s">
        <v>57</v>
      </c>
      <c r="D4455">
        <v>17732201.030000001</v>
      </c>
      <c r="E4455" t="s">
        <v>81</v>
      </c>
    </row>
    <row r="4456" spans="1:5" x14ac:dyDescent="0.25">
      <c r="A4456" t="s">
        <v>42</v>
      </c>
      <c r="B4456">
        <v>2013</v>
      </c>
      <c r="C4456" t="s">
        <v>57</v>
      </c>
      <c r="D4456">
        <v>27354786.920000002</v>
      </c>
      <c r="E4456" t="s">
        <v>81</v>
      </c>
    </row>
    <row r="4457" spans="1:5" x14ac:dyDescent="0.25">
      <c r="A4457" t="s">
        <v>42</v>
      </c>
      <c r="B4457">
        <v>2014</v>
      </c>
      <c r="C4457" t="s">
        <v>57</v>
      </c>
      <c r="D4457">
        <v>24529073.670000002</v>
      </c>
      <c r="E4457" t="s">
        <v>81</v>
      </c>
    </row>
    <row r="4458" spans="1:5" x14ac:dyDescent="0.25">
      <c r="A4458" t="s">
        <v>42</v>
      </c>
      <c r="B4458">
        <v>2015</v>
      </c>
      <c r="C4458" t="s">
        <v>57</v>
      </c>
      <c r="D4458">
        <v>20248775.75</v>
      </c>
      <c r="E4458" t="s">
        <v>81</v>
      </c>
    </row>
    <row r="4459" spans="1:5" x14ac:dyDescent="0.25">
      <c r="A4459" t="s">
        <v>42</v>
      </c>
      <c r="B4459">
        <v>2016</v>
      </c>
      <c r="C4459" t="s">
        <v>57</v>
      </c>
      <c r="D4459">
        <v>36967399.259999998</v>
      </c>
      <c r="E4459" t="s">
        <v>81</v>
      </c>
    </row>
    <row r="4460" spans="1:5" x14ac:dyDescent="0.25">
      <c r="A4460" t="s">
        <v>42</v>
      </c>
      <c r="B4460">
        <v>2017</v>
      </c>
      <c r="C4460" t="s">
        <v>57</v>
      </c>
      <c r="D4460">
        <v>27044949.530000001</v>
      </c>
      <c r="E4460" t="s">
        <v>81</v>
      </c>
    </row>
    <row r="4461" spans="1:5" x14ac:dyDescent="0.25">
      <c r="A4461" t="s">
        <v>42</v>
      </c>
      <c r="B4461">
        <v>2018</v>
      </c>
      <c r="C4461" t="s">
        <v>57</v>
      </c>
      <c r="D4461">
        <v>50999369.200000003</v>
      </c>
      <c r="E4461" t="s">
        <v>81</v>
      </c>
    </row>
    <row r="4462" spans="1:5" x14ac:dyDescent="0.25">
      <c r="A4462" t="s">
        <v>42</v>
      </c>
      <c r="B4462">
        <v>2019</v>
      </c>
      <c r="C4462" t="s">
        <v>57</v>
      </c>
      <c r="D4462">
        <v>35235320.159999996</v>
      </c>
      <c r="E4462" t="s">
        <v>81</v>
      </c>
    </row>
    <row r="4463" spans="1:5" x14ac:dyDescent="0.25">
      <c r="A4463" t="s">
        <v>42</v>
      </c>
      <c r="B4463">
        <v>2020</v>
      </c>
      <c r="C4463" t="s">
        <v>57</v>
      </c>
      <c r="D4463">
        <v>11256440.25</v>
      </c>
      <c r="E4463" t="s">
        <v>81</v>
      </c>
    </row>
    <row r="4464" spans="1:5" x14ac:dyDescent="0.25">
      <c r="A4464" t="s">
        <v>42</v>
      </c>
      <c r="B4464">
        <v>2024</v>
      </c>
      <c r="C4464" t="s">
        <v>57</v>
      </c>
      <c r="D4464">
        <v>39350048.553000003</v>
      </c>
      <c r="E4464" t="s">
        <v>81</v>
      </c>
    </row>
    <row r="4465" spans="1:5" x14ac:dyDescent="0.25">
      <c r="A4465" t="s">
        <v>42</v>
      </c>
      <c r="B4465">
        <v>2025</v>
      </c>
      <c r="C4465" t="s">
        <v>57</v>
      </c>
      <c r="D4465">
        <v>19864457.504000001</v>
      </c>
      <c r="E4465" t="s">
        <v>81</v>
      </c>
    </row>
    <row r="4466" spans="1:5" x14ac:dyDescent="0.25">
      <c r="A4466" t="s">
        <v>43</v>
      </c>
      <c r="B4466">
        <v>2010</v>
      </c>
      <c r="C4466" t="s">
        <v>57</v>
      </c>
      <c r="D4466">
        <v>63575999</v>
      </c>
      <c r="E4466" t="s">
        <v>81</v>
      </c>
    </row>
    <row r="4467" spans="1:5" x14ac:dyDescent="0.25">
      <c r="A4467" t="s">
        <v>43</v>
      </c>
      <c r="B4467">
        <v>2011</v>
      </c>
      <c r="C4467" t="s">
        <v>57</v>
      </c>
      <c r="D4467">
        <v>59943374</v>
      </c>
      <c r="E4467" t="s">
        <v>81</v>
      </c>
    </row>
    <row r="4468" spans="1:5" x14ac:dyDescent="0.25">
      <c r="A4468" t="s">
        <v>43</v>
      </c>
      <c r="B4468">
        <v>2012</v>
      </c>
      <c r="C4468" t="s">
        <v>57</v>
      </c>
      <c r="D4468">
        <v>79172173</v>
      </c>
      <c r="E4468" t="s">
        <v>81</v>
      </c>
    </row>
    <row r="4469" spans="1:5" x14ac:dyDescent="0.25">
      <c r="A4469" t="s">
        <v>43</v>
      </c>
      <c r="B4469">
        <v>2013</v>
      </c>
      <c r="C4469" t="s">
        <v>57</v>
      </c>
      <c r="D4469">
        <v>89897837</v>
      </c>
      <c r="E4469" t="s">
        <v>81</v>
      </c>
    </row>
    <row r="4470" spans="1:5" x14ac:dyDescent="0.25">
      <c r="A4470" t="s">
        <v>43</v>
      </c>
      <c r="B4470">
        <v>2014</v>
      </c>
      <c r="C4470" t="s">
        <v>57</v>
      </c>
      <c r="D4470">
        <v>84240594</v>
      </c>
      <c r="E4470" t="s">
        <v>81</v>
      </c>
    </row>
    <row r="4471" spans="1:5" x14ac:dyDescent="0.25">
      <c r="A4471" t="s">
        <v>43</v>
      </c>
      <c r="B4471">
        <v>2015</v>
      </c>
      <c r="C4471" t="s">
        <v>57</v>
      </c>
      <c r="D4471">
        <v>171324987.16999999</v>
      </c>
      <c r="E4471" t="s">
        <v>81</v>
      </c>
    </row>
    <row r="4472" spans="1:5" x14ac:dyDescent="0.25">
      <c r="A4472" t="s">
        <v>43</v>
      </c>
      <c r="B4472">
        <v>2016</v>
      </c>
      <c r="C4472" t="s">
        <v>57</v>
      </c>
      <c r="D4472">
        <v>179329313</v>
      </c>
      <c r="E4472" t="s">
        <v>81</v>
      </c>
    </row>
    <row r="4473" spans="1:5" x14ac:dyDescent="0.25">
      <c r="A4473" t="s">
        <v>43</v>
      </c>
      <c r="B4473">
        <v>2017</v>
      </c>
      <c r="C4473" t="s">
        <v>57</v>
      </c>
      <c r="D4473">
        <v>206890228</v>
      </c>
      <c r="E4473" t="s">
        <v>81</v>
      </c>
    </row>
    <row r="4474" spans="1:5" x14ac:dyDescent="0.25">
      <c r="A4474" t="s">
        <v>43</v>
      </c>
      <c r="B4474">
        <v>2018</v>
      </c>
      <c r="C4474" t="s">
        <v>57</v>
      </c>
      <c r="D4474">
        <v>223282220.65000001</v>
      </c>
      <c r="E4474" t="s">
        <v>81</v>
      </c>
    </row>
    <row r="4475" spans="1:5" x14ac:dyDescent="0.25">
      <c r="A4475" t="s">
        <v>43</v>
      </c>
      <c r="B4475">
        <v>2019</v>
      </c>
      <c r="C4475" t="s">
        <v>57</v>
      </c>
      <c r="D4475">
        <v>279742026</v>
      </c>
      <c r="E4475" t="s">
        <v>81</v>
      </c>
    </row>
    <row r="4476" spans="1:5" x14ac:dyDescent="0.25">
      <c r="A4476" t="s">
        <v>43</v>
      </c>
      <c r="B4476">
        <v>2020</v>
      </c>
      <c r="C4476" t="s">
        <v>57</v>
      </c>
      <c r="D4476">
        <v>249892256</v>
      </c>
      <c r="E4476" t="s">
        <v>81</v>
      </c>
    </row>
    <row r="4477" spans="1:5" x14ac:dyDescent="0.25">
      <c r="A4477" t="s">
        <v>43</v>
      </c>
      <c r="B4477">
        <v>2021</v>
      </c>
      <c r="C4477" t="s">
        <v>57</v>
      </c>
      <c r="D4477">
        <v>258052196</v>
      </c>
      <c r="E4477" t="s">
        <v>81</v>
      </c>
    </row>
    <row r="4478" spans="1:5" x14ac:dyDescent="0.25">
      <c r="A4478" t="s">
        <v>43</v>
      </c>
      <c r="B4478">
        <v>2022</v>
      </c>
      <c r="C4478" t="s">
        <v>57</v>
      </c>
      <c r="D4478">
        <v>281350159</v>
      </c>
      <c r="E4478" t="s">
        <v>81</v>
      </c>
    </row>
    <row r="4479" spans="1:5" x14ac:dyDescent="0.25">
      <c r="A4479" t="s">
        <v>43</v>
      </c>
      <c r="B4479">
        <v>2023</v>
      </c>
      <c r="C4479" t="s">
        <v>57</v>
      </c>
      <c r="D4479">
        <v>271591653</v>
      </c>
      <c r="E4479" t="s">
        <v>81</v>
      </c>
    </row>
    <row r="4480" spans="1:5" x14ac:dyDescent="0.25">
      <c r="A4480" t="s">
        <v>43</v>
      </c>
      <c r="B4480">
        <v>2024</v>
      </c>
      <c r="C4480" t="s">
        <v>57</v>
      </c>
      <c r="D4480">
        <v>273942865</v>
      </c>
      <c r="E4480" t="s">
        <v>81</v>
      </c>
    </row>
    <row r="4481" spans="1:5" x14ac:dyDescent="0.25">
      <c r="A4481" t="s">
        <v>43</v>
      </c>
      <c r="B4481">
        <v>2025</v>
      </c>
      <c r="C4481" t="s">
        <v>57</v>
      </c>
      <c r="D4481">
        <v>214945737</v>
      </c>
      <c r="E4481" t="s">
        <v>81</v>
      </c>
    </row>
    <row r="4482" spans="1:5" x14ac:dyDescent="0.25">
      <c r="A4482" t="s">
        <v>88</v>
      </c>
      <c r="B4482">
        <v>2010</v>
      </c>
      <c r="C4482" t="s">
        <v>57</v>
      </c>
      <c r="D4482">
        <v>3528258.0079999999</v>
      </c>
      <c r="E4482" t="s">
        <v>81</v>
      </c>
    </row>
    <row r="4483" spans="1:5" x14ac:dyDescent="0.25">
      <c r="A4483" t="s">
        <v>44</v>
      </c>
      <c r="B4483">
        <v>2010</v>
      </c>
      <c r="C4483" t="s">
        <v>57</v>
      </c>
      <c r="D4483">
        <v>21556506.973999999</v>
      </c>
      <c r="E4483" t="s">
        <v>81</v>
      </c>
    </row>
    <row r="4484" spans="1:5" x14ac:dyDescent="0.25">
      <c r="A4484" t="s">
        <v>44</v>
      </c>
      <c r="B4484">
        <v>2011</v>
      </c>
      <c r="C4484" t="s">
        <v>57</v>
      </c>
      <c r="D4484">
        <v>27847590.059999999</v>
      </c>
      <c r="E4484" t="s">
        <v>81</v>
      </c>
    </row>
    <row r="4485" spans="1:5" x14ac:dyDescent="0.25">
      <c r="A4485" t="s">
        <v>44</v>
      </c>
      <c r="B4485">
        <v>2012</v>
      </c>
      <c r="C4485" t="s">
        <v>57</v>
      </c>
      <c r="D4485">
        <v>47118223.93</v>
      </c>
      <c r="E4485" t="s">
        <v>81</v>
      </c>
    </row>
    <row r="4486" spans="1:5" x14ac:dyDescent="0.25">
      <c r="A4486" t="s">
        <v>44</v>
      </c>
      <c r="B4486">
        <v>2013</v>
      </c>
      <c r="C4486" t="s">
        <v>57</v>
      </c>
      <c r="D4486">
        <v>61654648.748000003</v>
      </c>
      <c r="E4486" t="s">
        <v>81</v>
      </c>
    </row>
    <row r="4487" spans="1:5" x14ac:dyDescent="0.25">
      <c r="A4487" t="s">
        <v>44</v>
      </c>
      <c r="B4487">
        <v>2014</v>
      </c>
      <c r="C4487" t="s">
        <v>57</v>
      </c>
      <c r="D4487">
        <v>53261356.397</v>
      </c>
      <c r="E4487" t="s">
        <v>81</v>
      </c>
    </row>
    <row r="4488" spans="1:5" x14ac:dyDescent="0.25">
      <c r="A4488" t="s">
        <v>44</v>
      </c>
      <c r="B4488">
        <v>2015</v>
      </c>
      <c r="C4488" t="s">
        <v>57</v>
      </c>
      <c r="D4488">
        <v>48490117.545000002</v>
      </c>
      <c r="E4488" t="s">
        <v>81</v>
      </c>
    </row>
    <row r="4489" spans="1:5" x14ac:dyDescent="0.25">
      <c r="A4489" t="s">
        <v>44</v>
      </c>
      <c r="B4489">
        <v>2016</v>
      </c>
      <c r="C4489" t="s">
        <v>57</v>
      </c>
      <c r="D4489">
        <v>66464001.217</v>
      </c>
      <c r="E4489" t="s">
        <v>81</v>
      </c>
    </row>
    <row r="4490" spans="1:5" x14ac:dyDescent="0.25">
      <c r="A4490" t="s">
        <v>44</v>
      </c>
      <c r="B4490">
        <v>2017</v>
      </c>
      <c r="C4490" t="s">
        <v>57</v>
      </c>
      <c r="D4490">
        <v>85947341.804000005</v>
      </c>
      <c r="E4490" t="s">
        <v>81</v>
      </c>
    </row>
    <row r="4491" spans="1:5" x14ac:dyDescent="0.25">
      <c r="A4491" t="s">
        <v>44</v>
      </c>
      <c r="B4491">
        <v>2018</v>
      </c>
      <c r="C4491" t="s">
        <v>57</v>
      </c>
      <c r="D4491">
        <v>80243063.185000002</v>
      </c>
      <c r="E4491" t="s">
        <v>81</v>
      </c>
    </row>
    <row r="4492" spans="1:5" x14ac:dyDescent="0.25">
      <c r="A4492" t="s">
        <v>44</v>
      </c>
      <c r="B4492">
        <v>2019</v>
      </c>
      <c r="C4492" t="s">
        <v>57</v>
      </c>
      <c r="D4492">
        <v>65690984.450999998</v>
      </c>
      <c r="E4492" t="s">
        <v>81</v>
      </c>
    </row>
    <row r="4493" spans="1:5" x14ac:dyDescent="0.25">
      <c r="A4493" t="s">
        <v>44</v>
      </c>
      <c r="B4493">
        <v>2020</v>
      </c>
      <c r="C4493" t="s">
        <v>57</v>
      </c>
      <c r="D4493">
        <v>66911644.770000003</v>
      </c>
      <c r="E4493" t="s">
        <v>81</v>
      </c>
    </row>
    <row r="4494" spans="1:5" x14ac:dyDescent="0.25">
      <c r="A4494" t="s">
        <v>44</v>
      </c>
      <c r="B4494">
        <v>2021</v>
      </c>
      <c r="C4494" t="s">
        <v>57</v>
      </c>
      <c r="D4494">
        <v>79259805.618000001</v>
      </c>
      <c r="E4494" t="s">
        <v>81</v>
      </c>
    </row>
    <row r="4495" spans="1:5" x14ac:dyDescent="0.25">
      <c r="A4495" t="s">
        <v>44</v>
      </c>
      <c r="B4495">
        <v>2022</v>
      </c>
      <c r="C4495" t="s">
        <v>57</v>
      </c>
      <c r="D4495">
        <v>100642856.207</v>
      </c>
      <c r="E4495" t="s">
        <v>81</v>
      </c>
    </row>
    <row r="4496" spans="1:5" x14ac:dyDescent="0.25">
      <c r="A4496" t="s">
        <v>44</v>
      </c>
      <c r="B4496">
        <v>2023</v>
      </c>
      <c r="C4496" t="s">
        <v>57</v>
      </c>
      <c r="D4496">
        <v>103047345.178</v>
      </c>
      <c r="E4496" t="s">
        <v>81</v>
      </c>
    </row>
    <row r="4497" spans="1:5" x14ac:dyDescent="0.25">
      <c r="A4497" t="s">
        <v>44</v>
      </c>
      <c r="B4497">
        <v>2024</v>
      </c>
      <c r="C4497" t="s">
        <v>57</v>
      </c>
      <c r="D4497">
        <v>122897938.502</v>
      </c>
      <c r="E4497" t="s">
        <v>81</v>
      </c>
    </row>
    <row r="4498" spans="1:5" x14ac:dyDescent="0.25">
      <c r="A4498" t="s">
        <v>44</v>
      </c>
      <c r="B4498">
        <v>2025</v>
      </c>
      <c r="C4498" t="s">
        <v>57</v>
      </c>
      <c r="D4498">
        <v>139701618.595</v>
      </c>
      <c r="E4498" t="s">
        <v>81</v>
      </c>
    </row>
    <row r="4499" spans="1:5" x14ac:dyDescent="0.25">
      <c r="A4499" t="s">
        <v>87</v>
      </c>
      <c r="B4499">
        <v>2013</v>
      </c>
      <c r="C4499" t="s">
        <v>57</v>
      </c>
      <c r="D4499">
        <v>1324325.3230000001</v>
      </c>
      <c r="E4499" t="s">
        <v>81</v>
      </c>
    </row>
    <row r="4500" spans="1:5" x14ac:dyDescent="0.25">
      <c r="A4500" t="s">
        <v>45</v>
      </c>
      <c r="B4500">
        <v>2015</v>
      </c>
      <c r="C4500" t="s">
        <v>57</v>
      </c>
      <c r="D4500">
        <v>127413378</v>
      </c>
      <c r="E4500" t="s">
        <v>81</v>
      </c>
    </row>
    <row r="4501" spans="1:5" x14ac:dyDescent="0.25">
      <c r="A4501" t="s">
        <v>45</v>
      </c>
      <c r="B4501">
        <v>2016</v>
      </c>
      <c r="C4501" t="s">
        <v>57</v>
      </c>
      <c r="D4501">
        <v>134796534</v>
      </c>
      <c r="E4501" t="s">
        <v>81</v>
      </c>
    </row>
    <row r="4502" spans="1:5" x14ac:dyDescent="0.25">
      <c r="A4502" t="s">
        <v>45</v>
      </c>
      <c r="B4502">
        <v>2017</v>
      </c>
      <c r="C4502" t="s">
        <v>57</v>
      </c>
      <c r="D4502">
        <v>181212507</v>
      </c>
      <c r="E4502" t="s">
        <v>81</v>
      </c>
    </row>
    <row r="4503" spans="1:5" x14ac:dyDescent="0.25">
      <c r="A4503" t="s">
        <v>45</v>
      </c>
      <c r="B4503">
        <v>2018</v>
      </c>
      <c r="C4503" t="s">
        <v>57</v>
      </c>
      <c r="D4503">
        <v>201979512</v>
      </c>
      <c r="E4503" t="s">
        <v>81</v>
      </c>
    </row>
    <row r="4504" spans="1:5" x14ac:dyDescent="0.25">
      <c r="A4504" t="s">
        <v>45</v>
      </c>
      <c r="B4504">
        <v>2019</v>
      </c>
      <c r="C4504" t="s">
        <v>57</v>
      </c>
      <c r="D4504">
        <v>178316075</v>
      </c>
      <c r="E4504" t="s">
        <v>81</v>
      </c>
    </row>
    <row r="4505" spans="1:5" x14ac:dyDescent="0.25">
      <c r="A4505" t="s">
        <v>45</v>
      </c>
      <c r="B4505">
        <v>2020</v>
      </c>
      <c r="C4505" t="s">
        <v>57</v>
      </c>
      <c r="D4505">
        <v>166256064</v>
      </c>
      <c r="E4505" t="s">
        <v>81</v>
      </c>
    </row>
    <row r="4506" spans="1:5" x14ac:dyDescent="0.25">
      <c r="A4506" t="s">
        <v>45</v>
      </c>
      <c r="B4506">
        <v>2021</v>
      </c>
      <c r="C4506" t="s">
        <v>57</v>
      </c>
      <c r="D4506">
        <v>181507165</v>
      </c>
      <c r="E4506" t="s">
        <v>81</v>
      </c>
    </row>
    <row r="4507" spans="1:5" x14ac:dyDescent="0.25">
      <c r="A4507" t="s">
        <v>45</v>
      </c>
      <c r="B4507">
        <v>2022</v>
      </c>
      <c r="C4507" t="s">
        <v>57</v>
      </c>
      <c r="D4507">
        <v>244806359</v>
      </c>
      <c r="E4507" t="s">
        <v>81</v>
      </c>
    </row>
    <row r="4508" spans="1:5" x14ac:dyDescent="0.25">
      <c r="A4508" t="s">
        <v>45</v>
      </c>
      <c r="B4508">
        <v>2023</v>
      </c>
      <c r="C4508" t="s">
        <v>57</v>
      </c>
      <c r="D4508">
        <v>273040468</v>
      </c>
      <c r="E4508" t="s">
        <v>81</v>
      </c>
    </row>
    <row r="4509" spans="1:5" x14ac:dyDescent="0.25">
      <c r="A4509" t="s">
        <v>45</v>
      </c>
      <c r="B4509">
        <v>2024</v>
      </c>
      <c r="C4509" t="s">
        <v>57</v>
      </c>
      <c r="D4509">
        <v>128042189</v>
      </c>
      <c r="E4509" t="s">
        <v>81</v>
      </c>
    </row>
    <row r="4510" spans="1:5" x14ac:dyDescent="0.25">
      <c r="A4510" t="s">
        <v>86</v>
      </c>
      <c r="B4510">
        <v>2013</v>
      </c>
      <c r="C4510" t="s">
        <v>57</v>
      </c>
      <c r="D4510">
        <v>14775782</v>
      </c>
      <c r="E4510" t="s">
        <v>81</v>
      </c>
    </row>
    <row r="4511" spans="1:5" x14ac:dyDescent="0.25">
      <c r="A4511" t="s">
        <v>86</v>
      </c>
      <c r="B4511">
        <v>2015</v>
      </c>
      <c r="C4511" t="s">
        <v>57</v>
      </c>
      <c r="D4511">
        <v>11956498</v>
      </c>
      <c r="E4511" t="s">
        <v>81</v>
      </c>
    </row>
    <row r="4512" spans="1:5" x14ac:dyDescent="0.25">
      <c r="A4512" t="s">
        <v>86</v>
      </c>
      <c r="B4512">
        <v>2017</v>
      </c>
      <c r="C4512" t="s">
        <v>57</v>
      </c>
      <c r="D4512">
        <v>14087555.26</v>
      </c>
      <c r="E4512" t="s">
        <v>81</v>
      </c>
    </row>
    <row r="4513" spans="1:5" x14ac:dyDescent="0.25">
      <c r="A4513" t="s">
        <v>86</v>
      </c>
      <c r="B4513">
        <v>2018</v>
      </c>
      <c r="C4513" t="s">
        <v>57</v>
      </c>
      <c r="D4513">
        <v>23123630.789999999</v>
      </c>
      <c r="E4513" t="s">
        <v>81</v>
      </c>
    </row>
    <row r="4514" spans="1:5" x14ac:dyDescent="0.25">
      <c r="A4514" t="s">
        <v>86</v>
      </c>
      <c r="B4514">
        <v>2019</v>
      </c>
      <c r="C4514" t="s">
        <v>57</v>
      </c>
      <c r="D4514">
        <v>40442416.329999998</v>
      </c>
      <c r="E4514" t="s">
        <v>81</v>
      </c>
    </row>
    <row r="4515" spans="1:5" x14ac:dyDescent="0.25">
      <c r="A4515" t="s">
        <v>86</v>
      </c>
      <c r="B4515">
        <v>2020</v>
      </c>
      <c r="C4515" t="s">
        <v>57</v>
      </c>
      <c r="D4515">
        <v>21904667.280000001</v>
      </c>
      <c r="E4515" t="s">
        <v>81</v>
      </c>
    </row>
    <row r="4516" spans="1:5" x14ac:dyDescent="0.25">
      <c r="A4516" t="s">
        <v>86</v>
      </c>
      <c r="B4516">
        <v>2021</v>
      </c>
      <c r="C4516" t="s">
        <v>57</v>
      </c>
      <c r="D4516">
        <v>38662416.280000001</v>
      </c>
      <c r="E4516" t="s">
        <v>81</v>
      </c>
    </row>
    <row r="4517" spans="1:5" x14ac:dyDescent="0.25">
      <c r="A4517" t="s">
        <v>85</v>
      </c>
      <c r="B4517">
        <v>2021</v>
      </c>
      <c r="C4517" t="s">
        <v>57</v>
      </c>
      <c r="D4517">
        <v>5667496.1279999996</v>
      </c>
      <c r="E4517" t="s">
        <v>81</v>
      </c>
    </row>
    <row r="4518" spans="1:5" x14ac:dyDescent="0.25">
      <c r="A4518" t="s">
        <v>85</v>
      </c>
      <c r="B4518">
        <v>2022</v>
      </c>
      <c r="C4518" t="s">
        <v>57</v>
      </c>
      <c r="D4518">
        <v>20235880.820999999</v>
      </c>
      <c r="E4518" t="s">
        <v>81</v>
      </c>
    </row>
    <row r="4519" spans="1:5" x14ac:dyDescent="0.25">
      <c r="A4519" t="s">
        <v>85</v>
      </c>
      <c r="B4519">
        <v>2023</v>
      </c>
      <c r="C4519" t="s">
        <v>57</v>
      </c>
      <c r="D4519">
        <v>10068922.682</v>
      </c>
      <c r="E4519" t="s">
        <v>81</v>
      </c>
    </row>
    <row r="4520" spans="1:5" x14ac:dyDescent="0.25">
      <c r="A4520" t="s">
        <v>85</v>
      </c>
      <c r="B4520">
        <v>2024</v>
      </c>
      <c r="C4520" t="s">
        <v>57</v>
      </c>
      <c r="D4520">
        <v>13722313.791999999</v>
      </c>
      <c r="E4520" t="s">
        <v>81</v>
      </c>
    </row>
    <row r="4521" spans="1:5" x14ac:dyDescent="0.25">
      <c r="A4521" t="s">
        <v>85</v>
      </c>
      <c r="B4521">
        <v>2025</v>
      </c>
      <c r="C4521" t="s">
        <v>57</v>
      </c>
      <c r="D4521">
        <v>4365184.4239999996</v>
      </c>
      <c r="E4521" t="s">
        <v>81</v>
      </c>
    </row>
    <row r="4522" spans="1:5" x14ac:dyDescent="0.25">
      <c r="A4522" t="s">
        <v>46</v>
      </c>
      <c r="B4522">
        <v>2010</v>
      </c>
      <c r="C4522" t="s">
        <v>57</v>
      </c>
      <c r="D4522">
        <v>4373454.7450000001</v>
      </c>
      <c r="E4522" t="s">
        <v>81</v>
      </c>
    </row>
    <row r="4523" spans="1:5" x14ac:dyDescent="0.25">
      <c r="A4523" t="s">
        <v>46</v>
      </c>
      <c r="B4523">
        <v>2011</v>
      </c>
      <c r="C4523" t="s">
        <v>57</v>
      </c>
      <c r="D4523">
        <v>15676804.232000001</v>
      </c>
      <c r="E4523" t="s">
        <v>81</v>
      </c>
    </row>
    <row r="4524" spans="1:5" x14ac:dyDescent="0.25">
      <c r="A4524" t="s">
        <v>46</v>
      </c>
      <c r="B4524">
        <v>2012</v>
      </c>
      <c r="C4524" t="s">
        <v>57</v>
      </c>
      <c r="D4524">
        <v>13126044.720000001</v>
      </c>
      <c r="E4524" t="s">
        <v>81</v>
      </c>
    </row>
    <row r="4525" spans="1:5" x14ac:dyDescent="0.25">
      <c r="A4525" t="s">
        <v>46</v>
      </c>
      <c r="B4525">
        <v>2013</v>
      </c>
      <c r="C4525" t="s">
        <v>57</v>
      </c>
      <c r="D4525">
        <v>14166036.106000001</v>
      </c>
      <c r="E4525" t="s">
        <v>81</v>
      </c>
    </row>
    <row r="4526" spans="1:5" x14ac:dyDescent="0.25">
      <c r="A4526" t="s">
        <v>46</v>
      </c>
      <c r="B4526">
        <v>2014</v>
      </c>
      <c r="C4526" t="s">
        <v>57</v>
      </c>
      <c r="D4526">
        <v>11628129.852</v>
      </c>
      <c r="E4526" t="s">
        <v>81</v>
      </c>
    </row>
    <row r="4527" spans="1:5" x14ac:dyDescent="0.25">
      <c r="A4527" t="s">
        <v>46</v>
      </c>
      <c r="B4527">
        <v>2015</v>
      </c>
      <c r="C4527" t="s">
        <v>57</v>
      </c>
      <c r="D4527">
        <v>6959718.0820000004</v>
      </c>
      <c r="E4527" t="s">
        <v>81</v>
      </c>
    </row>
    <row r="4528" spans="1:5" x14ac:dyDescent="0.25">
      <c r="A4528" t="s">
        <v>46</v>
      </c>
      <c r="B4528">
        <v>2016</v>
      </c>
      <c r="C4528" t="s">
        <v>57</v>
      </c>
      <c r="D4528">
        <v>10112777.655999999</v>
      </c>
      <c r="E4528" t="s">
        <v>81</v>
      </c>
    </row>
    <row r="4529" spans="1:5" x14ac:dyDescent="0.25">
      <c r="A4529" t="s">
        <v>46</v>
      </c>
      <c r="B4529">
        <v>2017</v>
      </c>
      <c r="C4529" t="s">
        <v>57</v>
      </c>
      <c r="D4529">
        <v>18660705.249000002</v>
      </c>
      <c r="E4529" t="s">
        <v>81</v>
      </c>
    </row>
    <row r="4530" spans="1:5" x14ac:dyDescent="0.25">
      <c r="A4530" t="s">
        <v>46</v>
      </c>
      <c r="B4530">
        <v>2018</v>
      </c>
      <c r="C4530" t="s">
        <v>57</v>
      </c>
      <c r="D4530">
        <v>21650248.576000001</v>
      </c>
      <c r="E4530" t="s">
        <v>81</v>
      </c>
    </row>
    <row r="4531" spans="1:5" x14ac:dyDescent="0.25">
      <c r="A4531" t="s">
        <v>46</v>
      </c>
      <c r="B4531">
        <v>2019</v>
      </c>
      <c r="C4531" t="s">
        <v>57</v>
      </c>
      <c r="D4531">
        <v>5976301.0049999999</v>
      </c>
      <c r="E4531" t="s">
        <v>81</v>
      </c>
    </row>
    <row r="4532" spans="1:5" x14ac:dyDescent="0.25">
      <c r="A4532" t="s">
        <v>46</v>
      </c>
      <c r="B4532">
        <v>2022</v>
      </c>
      <c r="C4532" t="s">
        <v>57</v>
      </c>
      <c r="D4532">
        <v>2616130.1430000002</v>
      </c>
      <c r="E4532" t="s">
        <v>81</v>
      </c>
    </row>
    <row r="4533" spans="1:5" x14ac:dyDescent="0.25">
      <c r="A4533" t="s">
        <v>47</v>
      </c>
      <c r="B4533">
        <v>2003</v>
      </c>
      <c r="C4533" t="s">
        <v>57</v>
      </c>
      <c r="D4533">
        <v>164967761.08899999</v>
      </c>
      <c r="E4533" t="s">
        <v>81</v>
      </c>
    </row>
    <row r="4534" spans="1:5" x14ac:dyDescent="0.25">
      <c r="A4534" t="s">
        <v>47</v>
      </c>
      <c r="B4534">
        <v>2004</v>
      </c>
      <c r="C4534" t="s">
        <v>57</v>
      </c>
      <c r="D4534">
        <v>221189817.03099999</v>
      </c>
      <c r="E4534" t="s">
        <v>81</v>
      </c>
    </row>
    <row r="4535" spans="1:5" x14ac:dyDescent="0.25">
      <c r="A4535" t="s">
        <v>47</v>
      </c>
      <c r="B4535">
        <v>2005</v>
      </c>
      <c r="C4535" t="s">
        <v>57</v>
      </c>
      <c r="D4535">
        <v>210696922.294</v>
      </c>
      <c r="E4535" t="s">
        <v>81</v>
      </c>
    </row>
    <row r="4536" spans="1:5" x14ac:dyDescent="0.25">
      <c r="A4536" t="s">
        <v>47</v>
      </c>
      <c r="B4536">
        <v>2006</v>
      </c>
      <c r="C4536" t="s">
        <v>57</v>
      </c>
      <c r="D4536">
        <v>281666568.05599999</v>
      </c>
      <c r="E4536" t="s">
        <v>81</v>
      </c>
    </row>
    <row r="4537" spans="1:5" x14ac:dyDescent="0.25">
      <c r="A4537" t="s">
        <v>47</v>
      </c>
      <c r="B4537">
        <v>2007</v>
      </c>
      <c r="C4537" t="s">
        <v>57</v>
      </c>
      <c r="D4537">
        <v>299922714.22399998</v>
      </c>
      <c r="E4537" t="s">
        <v>81</v>
      </c>
    </row>
    <row r="4538" spans="1:5" x14ac:dyDescent="0.25">
      <c r="A4538" t="s">
        <v>47</v>
      </c>
      <c r="B4538">
        <v>2008</v>
      </c>
      <c r="C4538" t="s">
        <v>57</v>
      </c>
      <c r="D4538">
        <v>195588746.98899999</v>
      </c>
      <c r="E4538" t="s">
        <v>81</v>
      </c>
    </row>
    <row r="4539" spans="1:5" x14ac:dyDescent="0.25">
      <c r="A4539" t="s">
        <v>47</v>
      </c>
      <c r="B4539">
        <v>2010</v>
      </c>
      <c r="C4539" t="s">
        <v>57</v>
      </c>
      <c r="D4539">
        <v>282191094.73799998</v>
      </c>
      <c r="E4539" t="s">
        <v>81</v>
      </c>
    </row>
    <row r="4540" spans="1:5" x14ac:dyDescent="0.25">
      <c r="A4540" t="s">
        <v>47</v>
      </c>
      <c r="B4540">
        <v>2011</v>
      </c>
      <c r="C4540" t="s">
        <v>57</v>
      </c>
      <c r="D4540">
        <v>436619872.96600002</v>
      </c>
      <c r="E4540" t="s">
        <v>81</v>
      </c>
    </row>
    <row r="4541" spans="1:5" x14ac:dyDescent="0.25">
      <c r="A4541" t="s">
        <v>47</v>
      </c>
      <c r="B4541">
        <v>2012</v>
      </c>
      <c r="C4541" t="s">
        <v>57</v>
      </c>
      <c r="D4541">
        <v>434351368.41000003</v>
      </c>
      <c r="E4541" t="s">
        <v>81</v>
      </c>
    </row>
    <row r="4542" spans="1:5" x14ac:dyDescent="0.25">
      <c r="A4542" t="s">
        <v>47</v>
      </c>
      <c r="B4542">
        <v>2013</v>
      </c>
      <c r="C4542" t="s">
        <v>57</v>
      </c>
      <c r="D4542">
        <v>405079300.69</v>
      </c>
      <c r="E4542" t="s">
        <v>81</v>
      </c>
    </row>
    <row r="4543" spans="1:5" x14ac:dyDescent="0.25">
      <c r="A4543" t="s">
        <v>47</v>
      </c>
      <c r="B4543">
        <v>2014</v>
      </c>
      <c r="C4543" t="s">
        <v>57</v>
      </c>
      <c r="D4543">
        <v>377894408.30000001</v>
      </c>
      <c r="E4543" t="s">
        <v>81</v>
      </c>
    </row>
    <row r="4544" spans="1:5" x14ac:dyDescent="0.25">
      <c r="A4544" t="s">
        <v>47</v>
      </c>
      <c r="B4544">
        <v>2015</v>
      </c>
      <c r="C4544" t="s">
        <v>57</v>
      </c>
      <c r="D4544">
        <v>77003965.761000007</v>
      </c>
      <c r="E4544" t="s">
        <v>81</v>
      </c>
    </row>
    <row r="4545" spans="1:5" x14ac:dyDescent="0.25">
      <c r="A4545" t="s">
        <v>47</v>
      </c>
      <c r="B4545">
        <v>2016</v>
      </c>
      <c r="C4545" t="s">
        <v>57</v>
      </c>
      <c r="D4545">
        <v>107091886.941</v>
      </c>
      <c r="E4545" t="s">
        <v>81</v>
      </c>
    </row>
    <row r="4546" spans="1:5" x14ac:dyDescent="0.25">
      <c r="A4546" t="s">
        <v>47</v>
      </c>
      <c r="B4546">
        <v>2017</v>
      </c>
      <c r="C4546" t="s">
        <v>57</v>
      </c>
      <c r="D4546">
        <v>158771567.986</v>
      </c>
      <c r="E4546" t="s">
        <v>81</v>
      </c>
    </row>
    <row r="4547" spans="1:5" x14ac:dyDescent="0.25">
      <c r="A4547" t="s">
        <v>47</v>
      </c>
      <c r="B4547">
        <v>2018</v>
      </c>
      <c r="C4547" t="s">
        <v>57</v>
      </c>
      <c r="D4547">
        <v>157763907.82100001</v>
      </c>
      <c r="E4547" t="s">
        <v>81</v>
      </c>
    </row>
    <row r="4548" spans="1:5" x14ac:dyDescent="0.25">
      <c r="A4548" t="s">
        <v>47</v>
      </c>
      <c r="B4548">
        <v>2019</v>
      </c>
      <c r="C4548" t="s">
        <v>57</v>
      </c>
      <c r="D4548">
        <v>102658176.381</v>
      </c>
      <c r="E4548" t="s">
        <v>81</v>
      </c>
    </row>
    <row r="4549" spans="1:5" x14ac:dyDescent="0.25">
      <c r="A4549" t="s">
        <v>47</v>
      </c>
      <c r="B4549">
        <v>2020</v>
      </c>
      <c r="C4549" t="s">
        <v>57</v>
      </c>
      <c r="D4549">
        <v>131918071.22</v>
      </c>
      <c r="E4549" t="s">
        <v>81</v>
      </c>
    </row>
    <row r="4550" spans="1:5" x14ac:dyDescent="0.25">
      <c r="A4550" t="s">
        <v>47</v>
      </c>
      <c r="B4550">
        <v>2021</v>
      </c>
      <c r="C4550" t="s">
        <v>57</v>
      </c>
      <c r="D4550">
        <v>123334500.494</v>
      </c>
      <c r="E4550" t="s">
        <v>81</v>
      </c>
    </row>
    <row r="4551" spans="1:5" x14ac:dyDescent="0.25">
      <c r="A4551" t="s">
        <v>47</v>
      </c>
      <c r="B4551">
        <v>2022</v>
      </c>
      <c r="C4551" t="s">
        <v>57</v>
      </c>
      <c r="D4551">
        <v>138747048.289</v>
      </c>
      <c r="E4551" t="s">
        <v>81</v>
      </c>
    </row>
    <row r="4552" spans="1:5" x14ac:dyDescent="0.25">
      <c r="A4552" t="s">
        <v>62</v>
      </c>
      <c r="B4552">
        <v>2011</v>
      </c>
      <c r="C4552" t="s">
        <v>57</v>
      </c>
      <c r="D4552">
        <v>27251019</v>
      </c>
      <c r="E4552" t="s">
        <v>81</v>
      </c>
    </row>
    <row r="4553" spans="1:5" x14ac:dyDescent="0.25">
      <c r="A4553" t="s">
        <v>62</v>
      </c>
      <c r="B4553">
        <v>2012</v>
      </c>
      <c r="C4553" t="s">
        <v>57</v>
      </c>
      <c r="D4553">
        <v>39549251</v>
      </c>
      <c r="E4553" t="s">
        <v>81</v>
      </c>
    </row>
    <row r="4554" spans="1:5" x14ac:dyDescent="0.25">
      <c r="A4554" t="s">
        <v>62</v>
      </c>
      <c r="B4554">
        <v>2013</v>
      </c>
      <c r="C4554" t="s">
        <v>57</v>
      </c>
      <c r="D4554">
        <v>16439288.081</v>
      </c>
      <c r="E4554" t="s">
        <v>81</v>
      </c>
    </row>
    <row r="4555" spans="1:5" x14ac:dyDescent="0.25">
      <c r="A4555" t="s">
        <v>62</v>
      </c>
      <c r="B4555">
        <v>2014</v>
      </c>
      <c r="C4555" t="s">
        <v>57</v>
      </c>
      <c r="D4555">
        <v>16468049.652000001</v>
      </c>
      <c r="E4555" t="s">
        <v>81</v>
      </c>
    </row>
    <row r="4556" spans="1:5" x14ac:dyDescent="0.25">
      <c r="A4556" t="s">
        <v>62</v>
      </c>
      <c r="B4556">
        <v>2015</v>
      </c>
      <c r="C4556" t="s">
        <v>57</v>
      </c>
      <c r="D4556">
        <v>27037007.954999998</v>
      </c>
      <c r="E4556" t="s">
        <v>81</v>
      </c>
    </row>
    <row r="4557" spans="1:5" x14ac:dyDescent="0.25">
      <c r="A4557" t="s">
        <v>62</v>
      </c>
      <c r="B4557">
        <v>2017</v>
      </c>
      <c r="C4557" t="s">
        <v>57</v>
      </c>
      <c r="D4557">
        <v>13756064.756999999</v>
      </c>
      <c r="E4557" t="s">
        <v>81</v>
      </c>
    </row>
    <row r="4558" spans="1:5" x14ac:dyDescent="0.25">
      <c r="A4558" t="s">
        <v>62</v>
      </c>
      <c r="B4558">
        <v>2018</v>
      </c>
      <c r="C4558" t="s">
        <v>57</v>
      </c>
      <c r="D4558">
        <v>12581224.385</v>
      </c>
      <c r="E4558" t="s">
        <v>81</v>
      </c>
    </row>
    <row r="4559" spans="1:5" x14ac:dyDescent="0.25">
      <c r="A4559" t="s">
        <v>62</v>
      </c>
      <c r="B4559">
        <v>2019</v>
      </c>
      <c r="C4559" t="s">
        <v>57</v>
      </c>
      <c r="D4559">
        <v>15178801.127</v>
      </c>
      <c r="E4559" t="s">
        <v>81</v>
      </c>
    </row>
    <row r="4560" spans="1:5" x14ac:dyDescent="0.25">
      <c r="A4560" t="s">
        <v>62</v>
      </c>
      <c r="B4560">
        <v>2020</v>
      </c>
      <c r="C4560" t="s">
        <v>57</v>
      </c>
      <c r="D4560">
        <v>15936818.572000001</v>
      </c>
      <c r="E4560" t="s">
        <v>81</v>
      </c>
    </row>
    <row r="4561" spans="1:5" x14ac:dyDescent="0.25">
      <c r="A4561" t="s">
        <v>62</v>
      </c>
      <c r="B4561">
        <v>2021</v>
      </c>
      <c r="C4561" t="s">
        <v>57</v>
      </c>
      <c r="D4561">
        <v>14233083.789000001</v>
      </c>
      <c r="E4561" t="s">
        <v>81</v>
      </c>
    </row>
    <row r="4562" spans="1:5" x14ac:dyDescent="0.25">
      <c r="A4562" t="s">
        <v>62</v>
      </c>
      <c r="B4562">
        <v>2022</v>
      </c>
      <c r="C4562" t="s">
        <v>57</v>
      </c>
      <c r="D4562">
        <v>16702452.978</v>
      </c>
      <c r="E4562" t="s">
        <v>81</v>
      </c>
    </row>
    <row r="4563" spans="1:5" x14ac:dyDescent="0.25">
      <c r="A4563" t="s">
        <v>62</v>
      </c>
      <c r="B4563">
        <v>2023</v>
      </c>
      <c r="C4563" t="s">
        <v>57</v>
      </c>
      <c r="D4563">
        <v>19939134.188000001</v>
      </c>
      <c r="E4563" t="s">
        <v>81</v>
      </c>
    </row>
    <row r="4564" spans="1:5" x14ac:dyDescent="0.25">
      <c r="A4564" t="s">
        <v>62</v>
      </c>
      <c r="B4564">
        <v>2024</v>
      </c>
      <c r="C4564" t="s">
        <v>57</v>
      </c>
      <c r="D4564">
        <v>33561478.222999997</v>
      </c>
      <c r="E4564" t="s">
        <v>81</v>
      </c>
    </row>
    <row r="4565" spans="1:5" x14ac:dyDescent="0.25">
      <c r="A4565" t="s">
        <v>62</v>
      </c>
      <c r="B4565">
        <v>2025</v>
      </c>
      <c r="C4565" t="s">
        <v>57</v>
      </c>
      <c r="D4565">
        <v>7871222.2510000002</v>
      </c>
      <c r="E4565" t="s">
        <v>81</v>
      </c>
    </row>
    <row r="4566" spans="1:5" x14ac:dyDescent="0.25">
      <c r="A4566" t="s">
        <v>84</v>
      </c>
      <c r="B4566">
        <v>2023</v>
      </c>
      <c r="C4566" t="s">
        <v>57</v>
      </c>
      <c r="D4566">
        <v>11274328.822000001</v>
      </c>
      <c r="E4566" t="s">
        <v>81</v>
      </c>
    </row>
    <row r="4567" spans="1:5" x14ac:dyDescent="0.25">
      <c r="A4567" t="s">
        <v>84</v>
      </c>
      <c r="B4567">
        <v>2025</v>
      </c>
      <c r="C4567" t="s">
        <v>57</v>
      </c>
      <c r="D4567">
        <v>10310371.566</v>
      </c>
      <c r="E4567" t="s">
        <v>81</v>
      </c>
    </row>
    <row r="4568" spans="1:5" x14ac:dyDescent="0.25">
      <c r="A4568" t="s">
        <v>49</v>
      </c>
      <c r="B4568">
        <v>2002</v>
      </c>
      <c r="C4568" t="s">
        <v>57</v>
      </c>
      <c r="D4568">
        <v>267675826.458</v>
      </c>
      <c r="E4568" t="s">
        <v>81</v>
      </c>
    </row>
    <row r="4569" spans="1:5" x14ac:dyDescent="0.25">
      <c r="A4569" t="s">
        <v>49</v>
      </c>
      <c r="B4569">
        <v>2003</v>
      </c>
      <c r="C4569" t="s">
        <v>57</v>
      </c>
      <c r="D4569">
        <v>200136298.47099999</v>
      </c>
      <c r="E4569" t="s">
        <v>81</v>
      </c>
    </row>
    <row r="4570" spans="1:5" x14ac:dyDescent="0.25">
      <c r="A4570" t="s">
        <v>49</v>
      </c>
      <c r="B4570">
        <v>2004</v>
      </c>
      <c r="C4570" t="s">
        <v>57</v>
      </c>
      <c r="D4570">
        <v>207131281.15799999</v>
      </c>
      <c r="E4570" t="s">
        <v>81</v>
      </c>
    </row>
    <row r="4571" spans="1:5" x14ac:dyDescent="0.25">
      <c r="A4571" t="s">
        <v>49</v>
      </c>
      <c r="B4571">
        <v>2005</v>
      </c>
      <c r="C4571" t="s">
        <v>57</v>
      </c>
      <c r="D4571">
        <v>262957792.685</v>
      </c>
      <c r="E4571" t="s">
        <v>81</v>
      </c>
    </row>
    <row r="4572" spans="1:5" x14ac:dyDescent="0.25">
      <c r="A4572" t="s">
        <v>49</v>
      </c>
      <c r="B4572">
        <v>2006</v>
      </c>
      <c r="C4572" t="s">
        <v>57</v>
      </c>
      <c r="D4572">
        <v>250753139.398</v>
      </c>
      <c r="E4572" t="s">
        <v>81</v>
      </c>
    </row>
    <row r="4573" spans="1:5" x14ac:dyDescent="0.25">
      <c r="A4573" t="s">
        <v>49</v>
      </c>
      <c r="B4573">
        <v>2007</v>
      </c>
      <c r="C4573" t="s">
        <v>57</v>
      </c>
      <c r="D4573">
        <v>349884960.47600001</v>
      </c>
      <c r="E4573" t="s">
        <v>81</v>
      </c>
    </row>
    <row r="4574" spans="1:5" x14ac:dyDescent="0.25">
      <c r="A4574" t="s">
        <v>49</v>
      </c>
      <c r="B4574">
        <v>2008</v>
      </c>
      <c r="C4574" t="s">
        <v>57</v>
      </c>
      <c r="D4574">
        <v>368945202.16100001</v>
      </c>
      <c r="E4574" t="s">
        <v>81</v>
      </c>
    </row>
    <row r="4575" spans="1:5" x14ac:dyDescent="0.25">
      <c r="A4575" t="s">
        <v>49</v>
      </c>
      <c r="B4575">
        <v>2009</v>
      </c>
      <c r="C4575" t="s">
        <v>57</v>
      </c>
      <c r="D4575">
        <v>306744563.97799999</v>
      </c>
      <c r="E4575" t="s">
        <v>81</v>
      </c>
    </row>
    <row r="4576" spans="1:5" x14ac:dyDescent="0.25">
      <c r="A4576" t="s">
        <v>49</v>
      </c>
      <c r="B4576">
        <v>2010</v>
      </c>
      <c r="C4576" t="s">
        <v>57</v>
      </c>
      <c r="D4576">
        <v>318276457.83700001</v>
      </c>
      <c r="E4576" t="s">
        <v>81</v>
      </c>
    </row>
    <row r="4577" spans="1:5" x14ac:dyDescent="0.25">
      <c r="A4577" t="s">
        <v>49</v>
      </c>
      <c r="B4577">
        <v>2011</v>
      </c>
      <c r="C4577" t="s">
        <v>57</v>
      </c>
      <c r="D4577">
        <v>456117728.54400003</v>
      </c>
      <c r="E4577" t="s">
        <v>81</v>
      </c>
    </row>
    <row r="4578" spans="1:5" x14ac:dyDescent="0.25">
      <c r="A4578" t="s">
        <v>49</v>
      </c>
      <c r="B4578">
        <v>2012</v>
      </c>
      <c r="C4578" t="s">
        <v>57</v>
      </c>
      <c r="D4578">
        <v>504334943.75999999</v>
      </c>
      <c r="E4578" t="s">
        <v>81</v>
      </c>
    </row>
    <row r="4579" spans="1:5" x14ac:dyDescent="0.25">
      <c r="A4579" t="s">
        <v>49</v>
      </c>
      <c r="B4579">
        <v>2013</v>
      </c>
      <c r="C4579" t="s">
        <v>57</v>
      </c>
      <c r="D4579">
        <v>517704804.51099998</v>
      </c>
      <c r="E4579" t="s">
        <v>81</v>
      </c>
    </row>
    <row r="4580" spans="1:5" x14ac:dyDescent="0.25">
      <c r="A4580" t="s">
        <v>49</v>
      </c>
      <c r="B4580">
        <v>2014</v>
      </c>
      <c r="C4580" t="s">
        <v>57</v>
      </c>
      <c r="D4580">
        <v>459985525.43300003</v>
      </c>
      <c r="E4580" t="s">
        <v>81</v>
      </c>
    </row>
    <row r="4581" spans="1:5" x14ac:dyDescent="0.25">
      <c r="A4581" t="s">
        <v>49</v>
      </c>
      <c r="B4581">
        <v>2015</v>
      </c>
      <c r="C4581" t="s">
        <v>57</v>
      </c>
      <c r="D4581">
        <v>388105862.53600001</v>
      </c>
      <c r="E4581" t="s">
        <v>81</v>
      </c>
    </row>
    <row r="4582" spans="1:5" x14ac:dyDescent="0.25">
      <c r="A4582" t="s">
        <v>49</v>
      </c>
      <c r="B4582">
        <v>2016</v>
      </c>
      <c r="C4582" t="s">
        <v>57</v>
      </c>
      <c r="D4582">
        <v>481150009.565</v>
      </c>
      <c r="E4582" t="s">
        <v>81</v>
      </c>
    </row>
    <row r="4583" spans="1:5" x14ac:dyDescent="0.25">
      <c r="A4583" t="s">
        <v>49</v>
      </c>
      <c r="B4583">
        <v>2017</v>
      </c>
      <c r="C4583" t="s">
        <v>57</v>
      </c>
      <c r="D4583">
        <v>555314726.69500005</v>
      </c>
      <c r="E4583" t="s">
        <v>81</v>
      </c>
    </row>
    <row r="4584" spans="1:5" x14ac:dyDescent="0.25">
      <c r="A4584" t="s">
        <v>49</v>
      </c>
      <c r="B4584">
        <v>2018</v>
      </c>
      <c r="C4584" t="s">
        <v>57</v>
      </c>
      <c r="D4584">
        <v>550071381.46300006</v>
      </c>
      <c r="E4584" t="s">
        <v>81</v>
      </c>
    </row>
    <row r="4585" spans="1:5" x14ac:dyDescent="0.25">
      <c r="A4585" t="s">
        <v>49</v>
      </c>
      <c r="B4585">
        <v>2019</v>
      </c>
      <c r="C4585" t="s">
        <v>57</v>
      </c>
      <c r="D4585">
        <v>496077314.11199898</v>
      </c>
      <c r="E4585" t="s">
        <v>81</v>
      </c>
    </row>
    <row r="4586" spans="1:5" x14ac:dyDescent="0.25">
      <c r="A4586" t="s">
        <v>49</v>
      </c>
      <c r="B4586">
        <v>2020</v>
      </c>
      <c r="C4586" t="s">
        <v>57</v>
      </c>
      <c r="D4586">
        <v>442080176.78899997</v>
      </c>
      <c r="E4586" t="s">
        <v>81</v>
      </c>
    </row>
    <row r="4587" spans="1:5" x14ac:dyDescent="0.25">
      <c r="A4587" t="s">
        <v>49</v>
      </c>
      <c r="B4587">
        <v>2021</v>
      </c>
      <c r="C4587" t="s">
        <v>57</v>
      </c>
      <c r="D4587">
        <v>460971656.35900003</v>
      </c>
      <c r="E4587" t="s">
        <v>81</v>
      </c>
    </row>
    <row r="4588" spans="1:5" x14ac:dyDescent="0.25">
      <c r="A4588" t="s">
        <v>49</v>
      </c>
      <c r="B4588">
        <v>2022</v>
      </c>
      <c r="C4588" t="s">
        <v>57</v>
      </c>
      <c r="D4588">
        <v>533127248.69300002</v>
      </c>
      <c r="E4588" t="s">
        <v>81</v>
      </c>
    </row>
    <row r="4589" spans="1:5" x14ac:dyDescent="0.25">
      <c r="A4589" t="s">
        <v>49</v>
      </c>
      <c r="B4589">
        <v>2023</v>
      </c>
      <c r="C4589" t="s">
        <v>57</v>
      </c>
      <c r="D4589">
        <v>364696420.36699998</v>
      </c>
      <c r="E4589" t="s">
        <v>81</v>
      </c>
    </row>
    <row r="4590" spans="1:5" x14ac:dyDescent="0.25">
      <c r="A4590" t="s">
        <v>49</v>
      </c>
      <c r="B4590">
        <v>2024</v>
      </c>
      <c r="C4590" t="s">
        <v>57</v>
      </c>
      <c r="D4590">
        <v>432932797.63499999</v>
      </c>
      <c r="E4590" t="s">
        <v>81</v>
      </c>
    </row>
    <row r="4591" spans="1:5" x14ac:dyDescent="0.25">
      <c r="A4591" t="s">
        <v>49</v>
      </c>
      <c r="B4591">
        <v>2025</v>
      </c>
      <c r="C4591" t="s">
        <v>57</v>
      </c>
      <c r="D4591">
        <v>404947923.18800002</v>
      </c>
      <c r="E4591" t="s">
        <v>81</v>
      </c>
    </row>
    <row r="4592" spans="1:5" x14ac:dyDescent="0.25">
      <c r="A4592" t="s">
        <v>50</v>
      </c>
      <c r="B4592">
        <v>2010</v>
      </c>
      <c r="C4592" t="s">
        <v>57</v>
      </c>
      <c r="D4592">
        <v>33955547</v>
      </c>
      <c r="E4592" t="s">
        <v>81</v>
      </c>
    </row>
    <row r="4593" spans="1:5" x14ac:dyDescent="0.25">
      <c r="A4593" t="s">
        <v>50</v>
      </c>
      <c r="B4593">
        <v>2011</v>
      </c>
      <c r="C4593" t="s">
        <v>57</v>
      </c>
      <c r="D4593">
        <v>434355022</v>
      </c>
      <c r="E4593" t="s">
        <v>81</v>
      </c>
    </row>
    <row r="4594" spans="1:5" x14ac:dyDescent="0.25">
      <c r="A4594" t="s">
        <v>50</v>
      </c>
      <c r="B4594">
        <v>2012</v>
      </c>
      <c r="C4594" t="s">
        <v>57</v>
      </c>
      <c r="D4594">
        <v>1650448559</v>
      </c>
      <c r="E4594" t="s">
        <v>81</v>
      </c>
    </row>
    <row r="4595" spans="1:5" x14ac:dyDescent="0.25">
      <c r="A4595" t="s">
        <v>50</v>
      </c>
      <c r="B4595">
        <v>2013</v>
      </c>
      <c r="C4595" t="s">
        <v>57</v>
      </c>
      <c r="D4595">
        <v>1630243626</v>
      </c>
      <c r="E4595" t="s">
        <v>81</v>
      </c>
    </row>
    <row r="4596" spans="1:5" x14ac:dyDescent="0.25">
      <c r="A4596" t="s">
        <v>50</v>
      </c>
      <c r="B4596">
        <v>2014</v>
      </c>
      <c r="C4596" t="s">
        <v>57</v>
      </c>
      <c r="D4596">
        <v>1132520856.98</v>
      </c>
      <c r="E4596" t="s">
        <v>81</v>
      </c>
    </row>
    <row r="4597" spans="1:5" x14ac:dyDescent="0.25">
      <c r="A4597" t="s">
        <v>50</v>
      </c>
      <c r="B4597">
        <v>2015</v>
      </c>
      <c r="C4597" t="s">
        <v>57</v>
      </c>
      <c r="D4597">
        <v>899101482.35000002</v>
      </c>
      <c r="E4597" t="s">
        <v>81</v>
      </c>
    </row>
    <row r="4598" spans="1:5" x14ac:dyDescent="0.25">
      <c r="A4598" t="s">
        <v>50</v>
      </c>
      <c r="B4598">
        <v>2016</v>
      </c>
      <c r="C4598" t="s">
        <v>57</v>
      </c>
      <c r="D4598">
        <v>1171143345.2</v>
      </c>
      <c r="E4598" t="s">
        <v>81</v>
      </c>
    </row>
    <row r="4599" spans="1:5" x14ac:dyDescent="0.25">
      <c r="A4599" t="s">
        <v>50</v>
      </c>
      <c r="B4599">
        <v>2017</v>
      </c>
      <c r="C4599" t="s">
        <v>57</v>
      </c>
      <c r="D4599">
        <v>1333014398.54</v>
      </c>
      <c r="E4599" t="s">
        <v>81</v>
      </c>
    </row>
    <row r="4600" spans="1:5" x14ac:dyDescent="0.25">
      <c r="A4600" t="s">
        <v>50</v>
      </c>
      <c r="B4600">
        <v>2018</v>
      </c>
      <c r="C4600" t="s">
        <v>57</v>
      </c>
      <c r="D4600">
        <v>1350461619.1099999</v>
      </c>
      <c r="E4600" t="s">
        <v>81</v>
      </c>
    </row>
    <row r="4601" spans="1:5" x14ac:dyDescent="0.25">
      <c r="A4601" t="s">
        <v>50</v>
      </c>
      <c r="B4601">
        <v>2019</v>
      </c>
      <c r="C4601" t="s">
        <v>57</v>
      </c>
      <c r="D4601">
        <v>1008966581.256</v>
      </c>
      <c r="E4601" t="s">
        <v>81</v>
      </c>
    </row>
    <row r="4602" spans="1:5" x14ac:dyDescent="0.25">
      <c r="A4602" t="s">
        <v>50</v>
      </c>
      <c r="B4602">
        <v>2020</v>
      </c>
      <c r="C4602" t="s">
        <v>57</v>
      </c>
      <c r="D4602">
        <v>1301579214.8369999</v>
      </c>
      <c r="E4602" t="s">
        <v>81</v>
      </c>
    </row>
    <row r="4603" spans="1:5" x14ac:dyDescent="0.25">
      <c r="A4603" t="s">
        <v>50</v>
      </c>
      <c r="B4603">
        <v>2021</v>
      </c>
      <c r="C4603" t="s">
        <v>57</v>
      </c>
      <c r="D4603">
        <v>1087392199.704</v>
      </c>
      <c r="E4603" t="s">
        <v>81</v>
      </c>
    </row>
    <row r="4604" spans="1:5" x14ac:dyDescent="0.25">
      <c r="A4604" t="s">
        <v>50</v>
      </c>
      <c r="B4604">
        <v>2022</v>
      </c>
      <c r="C4604" t="s">
        <v>57</v>
      </c>
      <c r="D4604">
        <v>1303050923.118</v>
      </c>
      <c r="E4604" t="s">
        <v>81</v>
      </c>
    </row>
    <row r="4605" spans="1:5" x14ac:dyDescent="0.25">
      <c r="A4605" t="s">
        <v>50</v>
      </c>
      <c r="B4605">
        <v>2023</v>
      </c>
      <c r="C4605" t="s">
        <v>57</v>
      </c>
      <c r="D4605">
        <v>1320725110.2360001</v>
      </c>
      <c r="E4605" t="s">
        <v>81</v>
      </c>
    </row>
    <row r="4606" spans="1:5" x14ac:dyDescent="0.25">
      <c r="A4606" t="s">
        <v>50</v>
      </c>
      <c r="B4606">
        <v>2024</v>
      </c>
      <c r="C4606" t="s">
        <v>57</v>
      </c>
      <c r="D4606">
        <v>1353630128.5050001</v>
      </c>
      <c r="E4606" t="s">
        <v>81</v>
      </c>
    </row>
    <row r="4607" spans="1:5" x14ac:dyDescent="0.25">
      <c r="A4607" t="s">
        <v>50</v>
      </c>
      <c r="B4607">
        <v>2025</v>
      </c>
      <c r="C4607" t="s">
        <v>57</v>
      </c>
      <c r="D4607">
        <v>253750600.22499999</v>
      </c>
      <c r="E4607" t="s">
        <v>81</v>
      </c>
    </row>
    <row r="4608" spans="1:5" x14ac:dyDescent="0.25">
      <c r="A4608" t="s">
        <v>83</v>
      </c>
      <c r="B4608">
        <v>2012</v>
      </c>
      <c r="C4608" t="s">
        <v>57</v>
      </c>
      <c r="D4608">
        <v>1550375.58</v>
      </c>
      <c r="E4608" t="s">
        <v>81</v>
      </c>
    </row>
    <row r="4609" spans="1:5" x14ac:dyDescent="0.25">
      <c r="A4609" t="s">
        <v>51</v>
      </c>
      <c r="B4609">
        <v>2014</v>
      </c>
      <c r="C4609" t="s">
        <v>57</v>
      </c>
      <c r="D4609">
        <v>19552254.352000002</v>
      </c>
      <c r="E4609" t="s">
        <v>81</v>
      </c>
    </row>
    <row r="4610" spans="1:5" x14ac:dyDescent="0.25">
      <c r="A4610" t="s">
        <v>51</v>
      </c>
      <c r="B4610">
        <v>2021</v>
      </c>
      <c r="C4610" t="s">
        <v>57</v>
      </c>
      <c r="D4610">
        <v>61457321.177000001</v>
      </c>
      <c r="E4610" t="s">
        <v>81</v>
      </c>
    </row>
    <row r="4611" spans="1:5" x14ac:dyDescent="0.25">
      <c r="A4611" t="s">
        <v>51</v>
      </c>
      <c r="B4611">
        <v>2022</v>
      </c>
      <c r="C4611" t="s">
        <v>57</v>
      </c>
      <c r="D4611">
        <v>84103628.466999993</v>
      </c>
      <c r="E4611" t="s">
        <v>81</v>
      </c>
    </row>
    <row r="4612" spans="1:5" x14ac:dyDescent="0.25">
      <c r="A4612" t="s">
        <v>52</v>
      </c>
      <c r="B4612">
        <v>2000</v>
      </c>
      <c r="C4612" t="s">
        <v>57</v>
      </c>
      <c r="D4612">
        <v>19682772</v>
      </c>
      <c r="E4612" t="s">
        <v>81</v>
      </c>
    </row>
    <row r="4613" spans="1:5" x14ac:dyDescent="0.25">
      <c r="A4613" t="s">
        <v>52</v>
      </c>
      <c r="B4613">
        <v>2001</v>
      </c>
      <c r="C4613" t="s">
        <v>57</v>
      </c>
      <c r="D4613">
        <v>2330159</v>
      </c>
      <c r="E4613" t="s">
        <v>81</v>
      </c>
    </row>
    <row r="4614" spans="1:5" x14ac:dyDescent="0.25">
      <c r="A4614" t="s">
        <v>52</v>
      </c>
      <c r="B4614">
        <v>2002</v>
      </c>
      <c r="C4614" t="s">
        <v>57</v>
      </c>
      <c r="D4614">
        <v>4708665</v>
      </c>
      <c r="E4614" t="s">
        <v>81</v>
      </c>
    </row>
    <row r="4615" spans="1:5" x14ac:dyDescent="0.25">
      <c r="A4615" t="s">
        <v>52</v>
      </c>
      <c r="B4615">
        <v>2003</v>
      </c>
      <c r="C4615" t="s">
        <v>57</v>
      </c>
      <c r="D4615">
        <v>6337931</v>
      </c>
      <c r="E4615" t="s">
        <v>81</v>
      </c>
    </row>
    <row r="4616" spans="1:5" x14ac:dyDescent="0.25">
      <c r="A4616" t="s">
        <v>52</v>
      </c>
      <c r="B4616">
        <v>2004</v>
      </c>
      <c r="C4616" t="s">
        <v>57</v>
      </c>
      <c r="D4616">
        <v>13470312</v>
      </c>
      <c r="E4616" t="s">
        <v>81</v>
      </c>
    </row>
    <row r="4617" spans="1:5" x14ac:dyDescent="0.25">
      <c r="A4617" t="s">
        <v>52</v>
      </c>
      <c r="B4617">
        <v>2005</v>
      </c>
      <c r="C4617" t="s">
        <v>57</v>
      </c>
      <c r="D4617">
        <v>10511357</v>
      </c>
      <c r="E4617" t="s">
        <v>81</v>
      </c>
    </row>
    <row r="4618" spans="1:5" x14ac:dyDescent="0.25">
      <c r="A4618" t="s">
        <v>52</v>
      </c>
      <c r="B4618">
        <v>2006</v>
      </c>
      <c r="C4618" t="s">
        <v>57</v>
      </c>
      <c r="D4618">
        <v>11621499</v>
      </c>
      <c r="E4618" t="s">
        <v>81</v>
      </c>
    </row>
    <row r="4619" spans="1:5" x14ac:dyDescent="0.25">
      <c r="A4619" t="s">
        <v>52</v>
      </c>
      <c r="B4619">
        <v>2007</v>
      </c>
      <c r="C4619" t="s">
        <v>57</v>
      </c>
      <c r="D4619">
        <v>16090135</v>
      </c>
      <c r="E4619" t="s">
        <v>81</v>
      </c>
    </row>
    <row r="4620" spans="1:5" x14ac:dyDescent="0.25">
      <c r="A4620" t="s">
        <v>52</v>
      </c>
      <c r="B4620">
        <v>2008</v>
      </c>
      <c r="C4620" t="s">
        <v>57</v>
      </c>
      <c r="D4620">
        <v>28147550</v>
      </c>
      <c r="E4620" t="s">
        <v>81</v>
      </c>
    </row>
    <row r="4621" spans="1:5" x14ac:dyDescent="0.25">
      <c r="A4621" t="s">
        <v>52</v>
      </c>
      <c r="B4621">
        <v>2009</v>
      </c>
      <c r="C4621" t="s">
        <v>57</v>
      </c>
      <c r="D4621">
        <v>22533732</v>
      </c>
      <c r="E4621" t="s">
        <v>81</v>
      </c>
    </row>
    <row r="4622" spans="1:5" x14ac:dyDescent="0.25">
      <c r="A4622" t="s">
        <v>52</v>
      </c>
      <c r="B4622">
        <v>2010</v>
      </c>
      <c r="C4622" t="s">
        <v>57</v>
      </c>
      <c r="D4622">
        <v>12421378</v>
      </c>
      <c r="E4622" t="s">
        <v>81</v>
      </c>
    </row>
    <row r="4623" spans="1:5" x14ac:dyDescent="0.25">
      <c r="A4623" t="s">
        <v>52</v>
      </c>
      <c r="B4623">
        <v>2011</v>
      </c>
      <c r="C4623" t="s">
        <v>57</v>
      </c>
      <c r="D4623">
        <v>20380052</v>
      </c>
      <c r="E4623" t="s">
        <v>81</v>
      </c>
    </row>
    <row r="4624" spans="1:5" x14ac:dyDescent="0.25">
      <c r="A4624" t="s">
        <v>52</v>
      </c>
      <c r="B4624">
        <v>2012</v>
      </c>
      <c r="C4624" t="s">
        <v>57</v>
      </c>
      <c r="D4624">
        <v>29815031</v>
      </c>
      <c r="E4624" t="s">
        <v>81</v>
      </c>
    </row>
    <row r="4625" spans="1:5" x14ac:dyDescent="0.25">
      <c r="A4625" t="s">
        <v>52</v>
      </c>
      <c r="B4625">
        <v>2013</v>
      </c>
      <c r="C4625" t="s">
        <v>57</v>
      </c>
      <c r="D4625">
        <v>39099043</v>
      </c>
      <c r="E4625" t="s">
        <v>81</v>
      </c>
    </row>
    <row r="4626" spans="1:5" x14ac:dyDescent="0.25">
      <c r="A4626" t="s">
        <v>52</v>
      </c>
      <c r="B4626">
        <v>2014</v>
      </c>
      <c r="C4626" t="s">
        <v>57</v>
      </c>
      <c r="D4626">
        <v>40869122</v>
      </c>
      <c r="E4626" t="s">
        <v>81</v>
      </c>
    </row>
    <row r="4627" spans="1:5" x14ac:dyDescent="0.25">
      <c r="A4627" t="s">
        <v>52</v>
      </c>
      <c r="B4627">
        <v>2015</v>
      </c>
      <c r="C4627" t="s">
        <v>57</v>
      </c>
      <c r="D4627">
        <v>43728379</v>
      </c>
      <c r="E4627" t="s">
        <v>81</v>
      </c>
    </row>
    <row r="4628" spans="1:5" x14ac:dyDescent="0.25">
      <c r="A4628" t="s">
        <v>52</v>
      </c>
      <c r="B4628">
        <v>2016</v>
      </c>
      <c r="C4628" t="s">
        <v>57</v>
      </c>
      <c r="D4628">
        <v>40275618</v>
      </c>
      <c r="E4628" t="s">
        <v>81</v>
      </c>
    </row>
    <row r="4629" spans="1:5" x14ac:dyDescent="0.25">
      <c r="A4629" t="s">
        <v>52</v>
      </c>
      <c r="B4629">
        <v>2017</v>
      </c>
      <c r="C4629" t="s">
        <v>57</v>
      </c>
      <c r="D4629">
        <v>64818595</v>
      </c>
      <c r="E4629" t="s">
        <v>81</v>
      </c>
    </row>
    <row r="4630" spans="1:5" x14ac:dyDescent="0.25">
      <c r="A4630" t="s">
        <v>52</v>
      </c>
      <c r="B4630">
        <v>2018</v>
      </c>
      <c r="C4630" t="s">
        <v>57</v>
      </c>
      <c r="D4630">
        <v>49604039</v>
      </c>
      <c r="E4630" t="s">
        <v>81</v>
      </c>
    </row>
    <row r="4631" spans="1:5" x14ac:dyDescent="0.25">
      <c r="A4631" t="s">
        <v>52</v>
      </c>
      <c r="B4631">
        <v>2019</v>
      </c>
      <c r="C4631" t="s">
        <v>57</v>
      </c>
      <c r="D4631">
        <v>41573021</v>
      </c>
      <c r="E4631" t="s">
        <v>81</v>
      </c>
    </row>
    <row r="4632" spans="1:5" x14ac:dyDescent="0.25">
      <c r="A4632" t="s">
        <v>52</v>
      </c>
      <c r="B4632">
        <v>2020</v>
      </c>
      <c r="C4632" t="s">
        <v>57</v>
      </c>
      <c r="D4632">
        <v>39311529</v>
      </c>
      <c r="E4632" t="s">
        <v>81</v>
      </c>
    </row>
    <row r="4633" spans="1:5" x14ac:dyDescent="0.25">
      <c r="A4633" t="s">
        <v>52</v>
      </c>
      <c r="B4633">
        <v>2021</v>
      </c>
      <c r="C4633" t="s">
        <v>57</v>
      </c>
      <c r="D4633">
        <v>51845470</v>
      </c>
      <c r="E4633" t="s">
        <v>81</v>
      </c>
    </row>
    <row r="4634" spans="1:5" x14ac:dyDescent="0.25">
      <c r="A4634" t="s">
        <v>52</v>
      </c>
      <c r="B4634">
        <v>2022</v>
      </c>
      <c r="C4634" t="s">
        <v>57</v>
      </c>
      <c r="D4634">
        <v>70813994</v>
      </c>
      <c r="E4634" t="s">
        <v>81</v>
      </c>
    </row>
    <row r="4635" spans="1:5" x14ac:dyDescent="0.25">
      <c r="A4635" t="s">
        <v>52</v>
      </c>
      <c r="B4635">
        <v>2023</v>
      </c>
      <c r="C4635" t="s">
        <v>57</v>
      </c>
      <c r="D4635">
        <v>80205346</v>
      </c>
      <c r="E4635" t="s">
        <v>81</v>
      </c>
    </row>
    <row r="4636" spans="1:5" x14ac:dyDescent="0.25">
      <c r="A4636" t="s">
        <v>52</v>
      </c>
      <c r="B4636">
        <v>2024</v>
      </c>
      <c r="C4636" t="s">
        <v>57</v>
      </c>
      <c r="D4636">
        <v>69583181</v>
      </c>
      <c r="E4636" t="s">
        <v>81</v>
      </c>
    </row>
    <row r="4637" spans="1:5" x14ac:dyDescent="0.25">
      <c r="A4637" t="s">
        <v>52</v>
      </c>
      <c r="B4637">
        <v>2025</v>
      </c>
      <c r="C4637" t="s">
        <v>57</v>
      </c>
      <c r="D4637">
        <v>68884921</v>
      </c>
      <c r="E4637" t="s">
        <v>81</v>
      </c>
    </row>
    <row r="4638" spans="1:5" x14ac:dyDescent="0.25">
      <c r="A4638" t="s">
        <v>53</v>
      </c>
      <c r="B4638">
        <v>2010</v>
      </c>
      <c r="C4638" t="s">
        <v>57</v>
      </c>
      <c r="D4638">
        <v>253440352</v>
      </c>
      <c r="E4638" t="s">
        <v>81</v>
      </c>
    </row>
    <row r="4639" spans="1:5" x14ac:dyDescent="0.25">
      <c r="A4639" t="s">
        <v>53</v>
      </c>
      <c r="B4639">
        <v>2016</v>
      </c>
      <c r="C4639" t="s">
        <v>57</v>
      </c>
      <c r="D4639">
        <v>654459927</v>
      </c>
      <c r="E4639" t="s">
        <v>81</v>
      </c>
    </row>
    <row r="4640" spans="1:5" x14ac:dyDescent="0.25">
      <c r="A4640" t="s">
        <v>53</v>
      </c>
      <c r="B4640">
        <v>2017</v>
      </c>
      <c r="C4640" t="s">
        <v>57</v>
      </c>
      <c r="D4640">
        <v>687117749</v>
      </c>
      <c r="E4640" t="s">
        <v>81</v>
      </c>
    </row>
    <row r="4641" spans="1:5" x14ac:dyDescent="0.25">
      <c r="A4641" t="s">
        <v>53</v>
      </c>
      <c r="B4641">
        <v>2018</v>
      </c>
      <c r="C4641" t="s">
        <v>57</v>
      </c>
      <c r="D4641">
        <v>758063961</v>
      </c>
      <c r="E4641" t="s">
        <v>81</v>
      </c>
    </row>
    <row r="4642" spans="1:5" x14ac:dyDescent="0.25">
      <c r="A4642" t="s">
        <v>53</v>
      </c>
      <c r="B4642">
        <v>2019</v>
      </c>
      <c r="C4642" t="s">
        <v>57</v>
      </c>
      <c r="D4642">
        <v>838078438</v>
      </c>
      <c r="E4642" t="s">
        <v>81</v>
      </c>
    </row>
    <row r="4643" spans="1:5" x14ac:dyDescent="0.25">
      <c r="A4643" t="s">
        <v>53</v>
      </c>
      <c r="B4643">
        <v>2020</v>
      </c>
      <c r="C4643" t="s">
        <v>57</v>
      </c>
      <c r="D4643">
        <v>613443592</v>
      </c>
      <c r="E4643" t="s">
        <v>81</v>
      </c>
    </row>
    <row r="4644" spans="1:5" x14ac:dyDescent="0.25">
      <c r="A4644" t="s">
        <v>53</v>
      </c>
      <c r="B4644">
        <v>2021</v>
      </c>
      <c r="C4644" t="s">
        <v>57</v>
      </c>
      <c r="D4644">
        <v>798663003</v>
      </c>
      <c r="E4644" t="s">
        <v>81</v>
      </c>
    </row>
    <row r="4645" spans="1:5" x14ac:dyDescent="0.25">
      <c r="A4645" t="s">
        <v>53</v>
      </c>
      <c r="B4645">
        <v>2022</v>
      </c>
      <c r="C4645" t="s">
        <v>57</v>
      </c>
      <c r="D4645">
        <v>1176898360</v>
      </c>
      <c r="E4645" t="s">
        <v>81</v>
      </c>
    </row>
    <row r="4646" spans="1:5" x14ac:dyDescent="0.25">
      <c r="A4646" t="s">
        <v>53</v>
      </c>
      <c r="B4646">
        <v>2023</v>
      </c>
      <c r="C4646" t="s">
        <v>57</v>
      </c>
      <c r="D4646">
        <v>874009584</v>
      </c>
      <c r="E4646" t="s">
        <v>81</v>
      </c>
    </row>
    <row r="4647" spans="1:5" x14ac:dyDescent="0.25">
      <c r="A4647" t="s">
        <v>53</v>
      </c>
      <c r="B4647">
        <v>2024</v>
      </c>
      <c r="C4647" t="s">
        <v>57</v>
      </c>
      <c r="D4647">
        <v>908346579</v>
      </c>
      <c r="E4647" t="s">
        <v>81</v>
      </c>
    </row>
    <row r="4648" spans="1:5" x14ac:dyDescent="0.25">
      <c r="A4648" t="s">
        <v>53</v>
      </c>
      <c r="B4648">
        <v>2025</v>
      </c>
      <c r="C4648" t="s">
        <v>57</v>
      </c>
      <c r="D4648">
        <v>642958238</v>
      </c>
      <c r="E4648" t="s">
        <v>81</v>
      </c>
    </row>
    <row r="4649" spans="1:5" x14ac:dyDescent="0.25">
      <c r="A4649" t="s">
        <v>82</v>
      </c>
      <c r="B4649">
        <v>2023</v>
      </c>
      <c r="C4649" t="s">
        <v>57</v>
      </c>
      <c r="D4649">
        <v>10009061.300000001</v>
      </c>
      <c r="E4649" t="s">
        <v>81</v>
      </c>
    </row>
    <row r="4650" spans="1:5" x14ac:dyDescent="0.25">
      <c r="A4650" t="s">
        <v>82</v>
      </c>
      <c r="B4650">
        <v>2024</v>
      </c>
      <c r="C4650" t="s">
        <v>57</v>
      </c>
      <c r="D4650">
        <v>12584400.77</v>
      </c>
      <c r="E4650" t="s">
        <v>81</v>
      </c>
    </row>
    <row r="4651" spans="1:5" x14ac:dyDescent="0.25">
      <c r="A4651" t="s">
        <v>82</v>
      </c>
      <c r="B4651">
        <v>2025</v>
      </c>
      <c r="C4651" t="s">
        <v>57</v>
      </c>
      <c r="D4651">
        <v>10506082.189999999</v>
      </c>
      <c r="E4651" t="s">
        <v>81</v>
      </c>
    </row>
    <row r="4652" spans="1:5" x14ac:dyDescent="0.25">
      <c r="A4652" t="s">
        <v>54</v>
      </c>
      <c r="B4652">
        <v>2018</v>
      </c>
      <c r="C4652" t="s">
        <v>57</v>
      </c>
      <c r="D4652">
        <v>10987592.078</v>
      </c>
      <c r="E4652" t="s">
        <v>81</v>
      </c>
    </row>
    <row r="4653" spans="1:5" x14ac:dyDescent="0.25">
      <c r="A4653" t="s">
        <v>54</v>
      </c>
      <c r="B4653">
        <v>2019</v>
      </c>
      <c r="C4653" t="s">
        <v>57</v>
      </c>
      <c r="D4653">
        <v>26949889.346000001</v>
      </c>
      <c r="E4653" t="s">
        <v>81</v>
      </c>
    </row>
    <row r="4654" spans="1:5" x14ac:dyDescent="0.25">
      <c r="A4654" t="s">
        <v>55</v>
      </c>
      <c r="B4654">
        <v>2013</v>
      </c>
      <c r="C4654" t="s">
        <v>57</v>
      </c>
      <c r="D4654">
        <v>21352235.425999999</v>
      </c>
      <c r="E4654" t="s">
        <v>81</v>
      </c>
    </row>
    <row r="4655" spans="1:5" x14ac:dyDescent="0.25">
      <c r="A4655" t="s">
        <v>55</v>
      </c>
      <c r="B4655">
        <v>2014</v>
      </c>
      <c r="C4655" t="s">
        <v>57</v>
      </c>
      <c r="D4655">
        <v>30559035.842999998</v>
      </c>
      <c r="E4655" t="s">
        <v>81</v>
      </c>
    </row>
    <row r="4656" spans="1:5" x14ac:dyDescent="0.25">
      <c r="A4656" t="s">
        <v>55</v>
      </c>
      <c r="B4656">
        <v>2015</v>
      </c>
      <c r="C4656" t="s">
        <v>57</v>
      </c>
      <c r="D4656">
        <v>29271231.577</v>
      </c>
      <c r="E4656" t="s">
        <v>81</v>
      </c>
    </row>
    <row r="4657" spans="1:5" x14ac:dyDescent="0.25">
      <c r="A4657" t="s">
        <v>55</v>
      </c>
      <c r="B4657">
        <v>2016</v>
      </c>
      <c r="C4657" t="s">
        <v>57</v>
      </c>
      <c r="D4657">
        <v>42333255.957999997</v>
      </c>
      <c r="E4657" t="s">
        <v>81</v>
      </c>
    </row>
    <row r="4658" spans="1:5" x14ac:dyDescent="0.25">
      <c r="A4658" t="s">
        <v>55</v>
      </c>
      <c r="B4658">
        <v>2017</v>
      </c>
      <c r="C4658" t="s">
        <v>57</v>
      </c>
      <c r="D4658">
        <v>27148016.440000001</v>
      </c>
      <c r="E4658" t="s">
        <v>81</v>
      </c>
    </row>
    <row r="4659" spans="1:5" x14ac:dyDescent="0.25">
      <c r="A4659" t="s">
        <v>55</v>
      </c>
      <c r="B4659">
        <v>2018</v>
      </c>
      <c r="C4659" t="s">
        <v>57</v>
      </c>
      <c r="D4659">
        <v>25168616.684</v>
      </c>
      <c r="E4659" t="s">
        <v>81</v>
      </c>
    </row>
    <row r="4660" spans="1:5" x14ac:dyDescent="0.25">
      <c r="A4660" t="s">
        <v>55</v>
      </c>
      <c r="B4660">
        <v>2019</v>
      </c>
      <c r="C4660" t="s">
        <v>57</v>
      </c>
      <c r="D4660">
        <v>30114709.028999999</v>
      </c>
      <c r="E4660" t="s">
        <v>81</v>
      </c>
    </row>
    <row r="4661" spans="1:5" x14ac:dyDescent="0.25">
      <c r="A4661" t="s">
        <v>55</v>
      </c>
      <c r="B4661">
        <v>2020</v>
      </c>
      <c r="C4661" t="s">
        <v>57</v>
      </c>
      <c r="D4661">
        <v>22967819.745000001</v>
      </c>
      <c r="E4661" t="s">
        <v>81</v>
      </c>
    </row>
    <row r="4662" spans="1:5" x14ac:dyDescent="0.25">
      <c r="A4662" t="s">
        <v>55</v>
      </c>
      <c r="B4662">
        <v>2021</v>
      </c>
      <c r="C4662" t="s">
        <v>57</v>
      </c>
      <c r="D4662">
        <v>37808887.109999999</v>
      </c>
      <c r="E4662" t="s">
        <v>81</v>
      </c>
    </row>
    <row r="4663" spans="1:5" x14ac:dyDescent="0.25">
      <c r="A4663" t="s">
        <v>55</v>
      </c>
      <c r="B4663">
        <v>2022</v>
      </c>
      <c r="C4663" t="s">
        <v>57</v>
      </c>
      <c r="D4663">
        <v>40519992.281000003</v>
      </c>
      <c r="E4663" t="s">
        <v>81</v>
      </c>
    </row>
    <row r="4664" spans="1:5" x14ac:dyDescent="0.25">
      <c r="A4664" t="s">
        <v>55</v>
      </c>
      <c r="B4664">
        <v>2023</v>
      </c>
      <c r="C4664" t="s">
        <v>57</v>
      </c>
      <c r="D4664">
        <v>36640239.550999999</v>
      </c>
      <c r="E4664" t="s">
        <v>81</v>
      </c>
    </row>
    <row r="4665" spans="1:5" x14ac:dyDescent="0.25">
      <c r="A4665" t="s">
        <v>55</v>
      </c>
      <c r="B4665">
        <v>2024</v>
      </c>
      <c r="C4665" t="s">
        <v>57</v>
      </c>
      <c r="D4665">
        <v>41625011.002999999</v>
      </c>
      <c r="E4665" t="s">
        <v>81</v>
      </c>
    </row>
    <row r="4666" spans="1:5" x14ac:dyDescent="0.25">
      <c r="A4666" t="s">
        <v>55</v>
      </c>
      <c r="B4666">
        <v>2025</v>
      </c>
      <c r="C4666" t="s">
        <v>57</v>
      </c>
      <c r="D4666">
        <v>46936745.795000002</v>
      </c>
      <c r="E4666" t="s">
        <v>81</v>
      </c>
    </row>
    <row r="4667" spans="1:5" x14ac:dyDescent="0.25">
      <c r="A4667" t="s">
        <v>56</v>
      </c>
      <c r="B4667">
        <v>2015</v>
      </c>
      <c r="C4667" t="s">
        <v>57</v>
      </c>
      <c r="D4667">
        <v>166666116.03299999</v>
      </c>
      <c r="E4667" t="s">
        <v>81</v>
      </c>
    </row>
    <row r="4668" spans="1:5" x14ac:dyDescent="0.25">
      <c r="A4668" t="s">
        <v>56</v>
      </c>
      <c r="B4668">
        <v>2016</v>
      </c>
      <c r="C4668" t="s">
        <v>57</v>
      </c>
      <c r="D4668">
        <v>170157777.36500001</v>
      </c>
      <c r="E4668" t="s">
        <v>81</v>
      </c>
    </row>
    <row r="4669" spans="1:5" x14ac:dyDescent="0.25">
      <c r="A4669" t="s">
        <v>56</v>
      </c>
      <c r="B4669">
        <v>2017</v>
      </c>
      <c r="C4669" t="s">
        <v>57</v>
      </c>
      <c r="D4669">
        <v>183267788.05000001</v>
      </c>
      <c r="E4669" t="s">
        <v>81</v>
      </c>
    </row>
    <row r="4670" spans="1:5" x14ac:dyDescent="0.25">
      <c r="A4670" t="s">
        <v>56</v>
      </c>
      <c r="B4670">
        <v>2018</v>
      </c>
      <c r="C4670" t="s">
        <v>57</v>
      </c>
      <c r="D4670">
        <v>237942541.44100001</v>
      </c>
      <c r="E4670" t="s">
        <v>81</v>
      </c>
    </row>
    <row r="4671" spans="1:5" x14ac:dyDescent="0.25">
      <c r="A4671" t="s">
        <v>56</v>
      </c>
      <c r="B4671">
        <v>2019</v>
      </c>
      <c r="C4671" t="s">
        <v>57</v>
      </c>
      <c r="D4671">
        <v>282187735.287</v>
      </c>
      <c r="E4671" t="s">
        <v>81</v>
      </c>
    </row>
    <row r="4672" spans="1:5" x14ac:dyDescent="0.25">
      <c r="A4672" t="s">
        <v>56</v>
      </c>
      <c r="B4672">
        <v>2020</v>
      </c>
      <c r="C4672" t="s">
        <v>57</v>
      </c>
      <c r="D4672">
        <v>276552505.83499998</v>
      </c>
      <c r="E4672" t="s">
        <v>81</v>
      </c>
    </row>
    <row r="4673" spans="1:5" x14ac:dyDescent="0.25">
      <c r="A4673" t="s">
        <v>56</v>
      </c>
      <c r="B4673">
        <v>2021</v>
      </c>
      <c r="C4673" t="s">
        <v>57</v>
      </c>
      <c r="D4673">
        <v>302761547.55500001</v>
      </c>
      <c r="E4673" t="s">
        <v>81</v>
      </c>
    </row>
    <row r="4674" spans="1:5" x14ac:dyDescent="0.25">
      <c r="A4674" t="s">
        <v>56</v>
      </c>
      <c r="B4674">
        <v>2022</v>
      </c>
      <c r="C4674" t="s">
        <v>57</v>
      </c>
      <c r="D4674">
        <v>385804039.53299999</v>
      </c>
      <c r="E4674" t="s">
        <v>81</v>
      </c>
    </row>
    <row r="4675" spans="1:5" x14ac:dyDescent="0.25">
      <c r="A4675" t="s">
        <v>56</v>
      </c>
      <c r="B4675">
        <v>2023</v>
      </c>
      <c r="C4675" t="s">
        <v>57</v>
      </c>
      <c r="D4675">
        <v>328348485.25700003</v>
      </c>
      <c r="E4675" t="s">
        <v>81</v>
      </c>
    </row>
    <row r="4676" spans="1:5" x14ac:dyDescent="0.25">
      <c r="A4676" t="s">
        <v>60</v>
      </c>
      <c r="B4676">
        <v>2012</v>
      </c>
      <c r="C4676" t="s">
        <v>57</v>
      </c>
      <c r="D4676">
        <v>2993293.5819999999</v>
      </c>
      <c r="E4676" t="s">
        <v>81</v>
      </c>
    </row>
    <row r="4677" spans="1:5" x14ac:dyDescent="0.25">
      <c r="A4677" t="s">
        <v>60</v>
      </c>
      <c r="B4677">
        <v>2015</v>
      </c>
      <c r="C4677" t="s">
        <v>57</v>
      </c>
      <c r="D4677">
        <v>8875272.9539999999</v>
      </c>
      <c r="E4677" t="s">
        <v>81</v>
      </c>
    </row>
    <row r="4678" spans="1:5" x14ac:dyDescent="0.25">
      <c r="A4678" t="s">
        <v>97</v>
      </c>
      <c r="B4678">
        <v>2010</v>
      </c>
      <c r="C4678" t="s">
        <v>58</v>
      </c>
      <c r="D4678">
        <v>1.3037877005722101</v>
      </c>
      <c r="E4678" t="s">
        <v>81</v>
      </c>
    </row>
    <row r="4679" spans="1:5" x14ac:dyDescent="0.25">
      <c r="A4679" t="s">
        <v>97</v>
      </c>
      <c r="B4679">
        <v>2012</v>
      </c>
      <c r="C4679" t="s">
        <v>58</v>
      </c>
      <c r="D4679">
        <v>1.79354359339183</v>
      </c>
      <c r="E4679" t="s">
        <v>81</v>
      </c>
    </row>
    <row r="4680" spans="1:5" x14ac:dyDescent="0.25">
      <c r="A4680" t="s">
        <v>97</v>
      </c>
      <c r="B4680">
        <v>2013</v>
      </c>
      <c r="C4680" t="s">
        <v>58</v>
      </c>
      <c r="D4680">
        <v>2.2618006543844298</v>
      </c>
      <c r="E4680" t="s">
        <v>81</v>
      </c>
    </row>
    <row r="4681" spans="1:5" x14ac:dyDescent="0.25">
      <c r="A4681" t="s">
        <v>97</v>
      </c>
      <c r="B4681">
        <v>2014</v>
      </c>
      <c r="C4681" t="s">
        <v>58</v>
      </c>
      <c r="D4681">
        <v>3.2915694320920998</v>
      </c>
      <c r="E4681" t="s">
        <v>81</v>
      </c>
    </row>
    <row r="4682" spans="1:5" x14ac:dyDescent="0.25">
      <c r="A4682" t="s">
        <v>97</v>
      </c>
      <c r="B4682">
        <v>2015</v>
      </c>
      <c r="C4682" t="s">
        <v>58</v>
      </c>
      <c r="D4682">
        <v>3.04394152594617</v>
      </c>
      <c r="E4682" t="s">
        <v>81</v>
      </c>
    </row>
    <row r="4683" spans="1:5" x14ac:dyDescent="0.25">
      <c r="A4683" t="s">
        <v>97</v>
      </c>
      <c r="B4683">
        <v>2016</v>
      </c>
      <c r="C4683" t="s">
        <v>58</v>
      </c>
      <c r="D4683">
        <v>2.2974425215598102</v>
      </c>
      <c r="E4683" t="s">
        <v>81</v>
      </c>
    </row>
    <row r="4684" spans="1:5" x14ac:dyDescent="0.25">
      <c r="A4684" t="s">
        <v>5</v>
      </c>
      <c r="B4684">
        <v>2025</v>
      </c>
      <c r="C4684" t="s">
        <v>58</v>
      </c>
      <c r="D4684">
        <v>9.4554463838452598</v>
      </c>
      <c r="E4684" t="s">
        <v>81</v>
      </c>
    </row>
    <row r="4685" spans="1:5" x14ac:dyDescent="0.25">
      <c r="A4685" t="s">
        <v>9</v>
      </c>
      <c r="B4685">
        <v>2013</v>
      </c>
      <c r="C4685" t="s">
        <v>58</v>
      </c>
      <c r="D4685">
        <v>11.233505032051999</v>
      </c>
      <c r="E4685" t="s">
        <v>81</v>
      </c>
    </row>
    <row r="4686" spans="1:5" x14ac:dyDescent="0.25">
      <c r="A4686" t="s">
        <v>9</v>
      </c>
      <c r="B4686">
        <v>2022</v>
      </c>
      <c r="C4686" t="s">
        <v>58</v>
      </c>
      <c r="D4686">
        <v>14.7725466852367</v>
      </c>
      <c r="E4686" t="s">
        <v>81</v>
      </c>
    </row>
    <row r="4687" spans="1:5" x14ac:dyDescent="0.25">
      <c r="A4687" t="s">
        <v>9</v>
      </c>
      <c r="B4687">
        <v>2023</v>
      </c>
      <c r="C4687" t="s">
        <v>58</v>
      </c>
      <c r="D4687">
        <v>13.2897725533195</v>
      </c>
      <c r="E4687" t="s">
        <v>81</v>
      </c>
    </row>
    <row r="4688" spans="1:5" x14ac:dyDescent="0.25">
      <c r="A4688" t="s">
        <v>9</v>
      </c>
      <c r="B4688">
        <v>2024</v>
      </c>
      <c r="C4688" t="s">
        <v>58</v>
      </c>
      <c r="D4688">
        <v>5.4797187490383399</v>
      </c>
      <c r="E4688" t="s">
        <v>81</v>
      </c>
    </row>
    <row r="4689" spans="1:5" x14ac:dyDescent="0.25">
      <c r="A4689" t="s">
        <v>9</v>
      </c>
      <c r="B4689">
        <v>2025</v>
      </c>
      <c r="C4689" t="s">
        <v>58</v>
      </c>
      <c r="D4689">
        <v>13.809232691911699</v>
      </c>
      <c r="E4689" t="s">
        <v>81</v>
      </c>
    </row>
    <row r="4690" spans="1:5" x14ac:dyDescent="0.25">
      <c r="A4690" t="s">
        <v>96</v>
      </c>
      <c r="B4690">
        <v>2016</v>
      </c>
      <c r="C4690" t="s">
        <v>58</v>
      </c>
      <c r="D4690">
        <v>0.666968044371827</v>
      </c>
      <c r="E4690" t="s">
        <v>81</v>
      </c>
    </row>
    <row r="4691" spans="1:5" x14ac:dyDescent="0.25">
      <c r="A4691" t="s">
        <v>10</v>
      </c>
      <c r="B4691">
        <v>2003</v>
      </c>
      <c r="C4691" t="s">
        <v>58</v>
      </c>
      <c r="D4691">
        <v>0.77635433314671898</v>
      </c>
      <c r="E4691" t="s">
        <v>81</v>
      </c>
    </row>
    <row r="4692" spans="1:5" x14ac:dyDescent="0.25">
      <c r="A4692" t="s">
        <v>10</v>
      </c>
      <c r="B4692">
        <v>2015</v>
      </c>
      <c r="C4692" t="s">
        <v>58</v>
      </c>
      <c r="D4692">
        <v>1.2936074100663</v>
      </c>
      <c r="E4692" t="s">
        <v>81</v>
      </c>
    </row>
    <row r="4693" spans="1:5" x14ac:dyDescent="0.25">
      <c r="A4693" t="s">
        <v>10</v>
      </c>
      <c r="B4693">
        <v>2016</v>
      </c>
      <c r="C4693" t="s">
        <v>58</v>
      </c>
      <c r="D4693">
        <v>1.6195737994739201</v>
      </c>
      <c r="E4693" t="s">
        <v>81</v>
      </c>
    </row>
    <row r="4694" spans="1:5" x14ac:dyDescent="0.25">
      <c r="A4694" t="s">
        <v>10</v>
      </c>
      <c r="B4694">
        <v>2017</v>
      </c>
      <c r="C4694" t="s">
        <v>58</v>
      </c>
      <c r="D4694">
        <v>2.2767967699816398</v>
      </c>
      <c r="E4694" t="s">
        <v>81</v>
      </c>
    </row>
    <row r="4695" spans="1:5" x14ac:dyDescent="0.25">
      <c r="A4695" t="s">
        <v>78</v>
      </c>
      <c r="B4695">
        <v>2011</v>
      </c>
      <c r="C4695" t="s">
        <v>58</v>
      </c>
      <c r="D4695">
        <v>1.2104245535587801</v>
      </c>
      <c r="E4695" t="s">
        <v>81</v>
      </c>
    </row>
    <row r="4696" spans="1:5" x14ac:dyDescent="0.25">
      <c r="A4696" t="s">
        <v>78</v>
      </c>
      <c r="B4696">
        <v>2012</v>
      </c>
      <c r="C4696" t="s">
        <v>58</v>
      </c>
      <c r="D4696">
        <v>1.2530338463176001</v>
      </c>
      <c r="E4696" t="s">
        <v>81</v>
      </c>
    </row>
    <row r="4697" spans="1:5" x14ac:dyDescent="0.25">
      <c r="A4697" t="s">
        <v>78</v>
      </c>
      <c r="B4697">
        <v>2013</v>
      </c>
      <c r="C4697" t="s">
        <v>58</v>
      </c>
      <c r="D4697">
        <v>0.97293294775991102</v>
      </c>
      <c r="E4697" t="s">
        <v>81</v>
      </c>
    </row>
    <row r="4698" spans="1:5" x14ac:dyDescent="0.25">
      <c r="A4698" t="s">
        <v>78</v>
      </c>
      <c r="B4698">
        <v>2022</v>
      </c>
      <c r="C4698" t="s">
        <v>58</v>
      </c>
      <c r="D4698">
        <v>0.98497587896784999</v>
      </c>
      <c r="E4698" t="s">
        <v>81</v>
      </c>
    </row>
    <row r="4699" spans="1:5" x14ac:dyDescent="0.25">
      <c r="A4699" t="s">
        <v>78</v>
      </c>
      <c r="B4699">
        <v>2023</v>
      </c>
      <c r="C4699" t="s">
        <v>58</v>
      </c>
      <c r="D4699">
        <v>1.1671889087387901</v>
      </c>
      <c r="E4699" t="s">
        <v>81</v>
      </c>
    </row>
    <row r="4700" spans="1:5" x14ac:dyDescent="0.25">
      <c r="A4700" t="s">
        <v>11</v>
      </c>
      <c r="B4700">
        <v>2010</v>
      </c>
      <c r="C4700" t="s">
        <v>58</v>
      </c>
      <c r="D4700">
        <v>5.0641081065187796</v>
      </c>
      <c r="E4700" t="s">
        <v>81</v>
      </c>
    </row>
    <row r="4701" spans="1:5" x14ac:dyDescent="0.25">
      <c r="A4701" t="s">
        <v>11</v>
      </c>
      <c r="B4701">
        <v>2011</v>
      </c>
      <c r="C4701" t="s">
        <v>58</v>
      </c>
      <c r="D4701">
        <v>5.4760776545030598</v>
      </c>
      <c r="E4701" t="s">
        <v>81</v>
      </c>
    </row>
    <row r="4702" spans="1:5" x14ac:dyDescent="0.25">
      <c r="A4702" t="s">
        <v>11</v>
      </c>
      <c r="B4702">
        <v>2012</v>
      </c>
      <c r="C4702" t="s">
        <v>58</v>
      </c>
      <c r="D4702">
        <v>5.3908786380800402</v>
      </c>
      <c r="E4702" t="s">
        <v>81</v>
      </c>
    </row>
    <row r="4703" spans="1:5" x14ac:dyDescent="0.25">
      <c r="A4703" t="s">
        <v>11</v>
      </c>
      <c r="B4703">
        <v>2013</v>
      </c>
      <c r="C4703" t="s">
        <v>58</v>
      </c>
      <c r="D4703">
        <v>6.5699264093814502</v>
      </c>
      <c r="E4703" t="s">
        <v>81</v>
      </c>
    </row>
    <row r="4704" spans="1:5" x14ac:dyDescent="0.25">
      <c r="A4704" t="s">
        <v>11</v>
      </c>
      <c r="B4704">
        <v>2014</v>
      </c>
      <c r="C4704" t="s">
        <v>58</v>
      </c>
      <c r="D4704">
        <v>6.4258800288499396</v>
      </c>
      <c r="E4704" t="s">
        <v>81</v>
      </c>
    </row>
    <row r="4705" spans="1:5" x14ac:dyDescent="0.25">
      <c r="A4705" t="s">
        <v>11</v>
      </c>
      <c r="B4705">
        <v>2015</v>
      </c>
      <c r="C4705" t="s">
        <v>58</v>
      </c>
      <c r="D4705">
        <v>7.3597165438260896</v>
      </c>
      <c r="E4705" t="s">
        <v>81</v>
      </c>
    </row>
    <row r="4706" spans="1:5" x14ac:dyDescent="0.25">
      <c r="A4706" t="s">
        <v>11</v>
      </c>
      <c r="B4706">
        <v>2016</v>
      </c>
      <c r="C4706" t="s">
        <v>58</v>
      </c>
      <c r="D4706">
        <v>6.7427552686009298</v>
      </c>
      <c r="E4706" t="s">
        <v>81</v>
      </c>
    </row>
    <row r="4707" spans="1:5" x14ac:dyDescent="0.25">
      <c r="A4707" t="s">
        <v>11</v>
      </c>
      <c r="B4707">
        <v>2017</v>
      </c>
      <c r="C4707" t="s">
        <v>58</v>
      </c>
      <c r="D4707">
        <v>6.8124276741889798</v>
      </c>
      <c r="E4707" t="s">
        <v>81</v>
      </c>
    </row>
    <row r="4708" spans="1:5" x14ac:dyDescent="0.25">
      <c r="A4708" t="s">
        <v>11</v>
      </c>
      <c r="B4708">
        <v>2018</v>
      </c>
      <c r="C4708" t="s">
        <v>58</v>
      </c>
      <c r="D4708">
        <v>6.9617726850849699</v>
      </c>
      <c r="E4708" t="s">
        <v>81</v>
      </c>
    </row>
    <row r="4709" spans="1:5" x14ac:dyDescent="0.25">
      <c r="A4709" t="s">
        <v>11</v>
      </c>
      <c r="B4709">
        <v>2019</v>
      </c>
      <c r="C4709" t="s">
        <v>58</v>
      </c>
      <c r="D4709">
        <v>7.6133125611263104</v>
      </c>
      <c r="E4709" t="s">
        <v>81</v>
      </c>
    </row>
    <row r="4710" spans="1:5" x14ac:dyDescent="0.25">
      <c r="A4710" t="s">
        <v>11</v>
      </c>
      <c r="B4710">
        <v>2020</v>
      </c>
      <c r="C4710" t="s">
        <v>58</v>
      </c>
      <c r="D4710">
        <v>7.1882394535884</v>
      </c>
      <c r="E4710" t="s">
        <v>81</v>
      </c>
    </row>
    <row r="4711" spans="1:5" x14ac:dyDescent="0.25">
      <c r="A4711" t="s">
        <v>11</v>
      </c>
      <c r="B4711">
        <v>2021</v>
      </c>
      <c r="C4711" t="s">
        <v>58</v>
      </c>
      <c r="D4711">
        <v>7.5529013191537304</v>
      </c>
      <c r="E4711" t="s">
        <v>81</v>
      </c>
    </row>
    <row r="4712" spans="1:5" x14ac:dyDescent="0.25">
      <c r="A4712" t="s">
        <v>11</v>
      </c>
      <c r="B4712">
        <v>2022</v>
      </c>
      <c r="C4712" t="s">
        <v>58</v>
      </c>
      <c r="D4712">
        <v>8.9617554930873204</v>
      </c>
      <c r="E4712" t="s">
        <v>81</v>
      </c>
    </row>
    <row r="4713" spans="1:5" x14ac:dyDescent="0.25">
      <c r="A4713" t="s">
        <v>11</v>
      </c>
      <c r="B4713">
        <v>2023</v>
      </c>
      <c r="C4713" t="s">
        <v>58</v>
      </c>
      <c r="D4713">
        <v>10.3521490295125</v>
      </c>
      <c r="E4713" t="s">
        <v>81</v>
      </c>
    </row>
    <row r="4714" spans="1:5" x14ac:dyDescent="0.25">
      <c r="A4714" t="s">
        <v>11</v>
      </c>
      <c r="B4714">
        <v>2024</v>
      </c>
      <c r="C4714" t="s">
        <v>58</v>
      </c>
      <c r="D4714">
        <v>8.9305626883420004</v>
      </c>
      <c r="E4714" t="s">
        <v>81</v>
      </c>
    </row>
    <row r="4715" spans="1:5" x14ac:dyDescent="0.25">
      <c r="A4715" t="s">
        <v>11</v>
      </c>
      <c r="B4715">
        <v>2025</v>
      </c>
      <c r="C4715" t="s">
        <v>58</v>
      </c>
      <c r="D4715">
        <v>7.91072876980272</v>
      </c>
      <c r="E4715" t="s">
        <v>81</v>
      </c>
    </row>
    <row r="4716" spans="1:5" x14ac:dyDescent="0.25">
      <c r="A4716" t="s">
        <v>95</v>
      </c>
      <c r="B4716">
        <v>2025</v>
      </c>
      <c r="C4716" t="s">
        <v>58</v>
      </c>
      <c r="D4716">
        <v>6.6970453794237796</v>
      </c>
      <c r="E4716" t="s">
        <v>81</v>
      </c>
    </row>
    <row r="4717" spans="1:5" x14ac:dyDescent="0.25">
      <c r="A4717" t="s">
        <v>12</v>
      </c>
      <c r="B4717">
        <v>2010</v>
      </c>
      <c r="C4717" t="s">
        <v>58</v>
      </c>
      <c r="D4717">
        <v>1.3468666627568</v>
      </c>
      <c r="E4717" t="s">
        <v>81</v>
      </c>
    </row>
    <row r="4718" spans="1:5" x14ac:dyDescent="0.25">
      <c r="A4718" t="s">
        <v>12</v>
      </c>
      <c r="B4718">
        <v>2011</v>
      </c>
      <c r="C4718" t="s">
        <v>58</v>
      </c>
      <c r="D4718">
        <v>1.76205691439084</v>
      </c>
      <c r="E4718" t="s">
        <v>81</v>
      </c>
    </row>
    <row r="4719" spans="1:5" x14ac:dyDescent="0.25">
      <c r="A4719" t="s">
        <v>12</v>
      </c>
      <c r="B4719">
        <v>2012</v>
      </c>
      <c r="C4719" t="s">
        <v>58</v>
      </c>
      <c r="D4719">
        <v>2.2224768238166002</v>
      </c>
      <c r="E4719" t="s">
        <v>81</v>
      </c>
    </row>
    <row r="4720" spans="1:5" x14ac:dyDescent="0.25">
      <c r="A4720" t="s">
        <v>12</v>
      </c>
      <c r="B4720">
        <v>2015</v>
      </c>
      <c r="C4720" t="s">
        <v>58</v>
      </c>
      <c r="D4720">
        <v>10.6001890471524</v>
      </c>
      <c r="E4720" t="s">
        <v>81</v>
      </c>
    </row>
    <row r="4721" spans="1:5" x14ac:dyDescent="0.25">
      <c r="A4721" t="s">
        <v>12</v>
      </c>
      <c r="B4721">
        <v>2016</v>
      </c>
      <c r="C4721" t="s">
        <v>58</v>
      </c>
      <c r="D4721">
        <v>2.1198397110481602</v>
      </c>
      <c r="E4721" t="s">
        <v>81</v>
      </c>
    </row>
    <row r="4722" spans="1:5" x14ac:dyDescent="0.25">
      <c r="A4722" t="s">
        <v>12</v>
      </c>
      <c r="B4722">
        <v>2017</v>
      </c>
      <c r="C4722" t="s">
        <v>58</v>
      </c>
      <c r="D4722">
        <v>2.4886187062049099</v>
      </c>
      <c r="E4722" t="s">
        <v>81</v>
      </c>
    </row>
    <row r="4723" spans="1:5" x14ac:dyDescent="0.25">
      <c r="A4723" t="s">
        <v>12</v>
      </c>
      <c r="B4723">
        <v>2018</v>
      </c>
      <c r="C4723" t="s">
        <v>58</v>
      </c>
      <c r="D4723">
        <v>1.9388987281830501</v>
      </c>
      <c r="E4723" t="s">
        <v>81</v>
      </c>
    </row>
    <row r="4724" spans="1:5" x14ac:dyDescent="0.25">
      <c r="A4724" t="s">
        <v>12</v>
      </c>
      <c r="B4724">
        <v>2019</v>
      </c>
      <c r="C4724" t="s">
        <v>58</v>
      </c>
      <c r="D4724">
        <v>1.7795070992136801</v>
      </c>
      <c r="E4724" t="s">
        <v>81</v>
      </c>
    </row>
    <row r="4725" spans="1:5" x14ac:dyDescent="0.25">
      <c r="A4725" t="s">
        <v>12</v>
      </c>
      <c r="B4725">
        <v>2020</v>
      </c>
      <c r="C4725" t="s">
        <v>58</v>
      </c>
      <c r="D4725">
        <v>2.2085006135153602</v>
      </c>
      <c r="E4725" t="s">
        <v>81</v>
      </c>
    </row>
    <row r="4726" spans="1:5" x14ac:dyDescent="0.25">
      <c r="A4726" t="s">
        <v>12</v>
      </c>
      <c r="B4726">
        <v>2021</v>
      </c>
      <c r="C4726" t="s">
        <v>58</v>
      </c>
      <c r="D4726">
        <v>3.9869780470461702</v>
      </c>
      <c r="E4726" t="s">
        <v>81</v>
      </c>
    </row>
    <row r="4727" spans="1:5" x14ac:dyDescent="0.25">
      <c r="A4727" t="s">
        <v>12</v>
      </c>
      <c r="B4727">
        <v>2022</v>
      </c>
      <c r="C4727" t="s">
        <v>58</v>
      </c>
      <c r="D4727">
        <v>22.451931337905901</v>
      </c>
      <c r="E4727" t="s">
        <v>81</v>
      </c>
    </row>
    <row r="4728" spans="1:5" x14ac:dyDescent="0.25">
      <c r="A4728" t="s">
        <v>12</v>
      </c>
      <c r="B4728">
        <v>2023</v>
      </c>
      <c r="C4728" t="s">
        <v>58</v>
      </c>
      <c r="D4728">
        <v>4.1657505785721902</v>
      </c>
      <c r="E4728" t="s">
        <v>81</v>
      </c>
    </row>
    <row r="4729" spans="1:5" x14ac:dyDescent="0.25">
      <c r="A4729" t="s">
        <v>12</v>
      </c>
      <c r="B4729">
        <v>2024</v>
      </c>
      <c r="C4729" t="s">
        <v>58</v>
      </c>
      <c r="D4729">
        <v>1.93027086879018</v>
      </c>
      <c r="E4729" t="s">
        <v>81</v>
      </c>
    </row>
    <row r="4730" spans="1:5" x14ac:dyDescent="0.25">
      <c r="A4730" t="s">
        <v>12</v>
      </c>
      <c r="B4730">
        <v>2025</v>
      </c>
      <c r="C4730" t="s">
        <v>58</v>
      </c>
      <c r="D4730">
        <v>24.264152904307199</v>
      </c>
      <c r="E4730" t="s">
        <v>81</v>
      </c>
    </row>
    <row r="4731" spans="1:5" x14ac:dyDescent="0.25">
      <c r="A4731" t="s">
        <v>13</v>
      </c>
      <c r="B4731">
        <v>2010</v>
      </c>
      <c r="C4731" t="s">
        <v>58</v>
      </c>
      <c r="D4731">
        <v>2.3729835375054802</v>
      </c>
      <c r="E4731" t="s">
        <v>81</v>
      </c>
    </row>
    <row r="4732" spans="1:5" x14ac:dyDescent="0.25">
      <c r="A4732" t="s">
        <v>13</v>
      </c>
      <c r="B4732">
        <v>2014</v>
      </c>
      <c r="C4732" t="s">
        <v>58</v>
      </c>
      <c r="D4732">
        <v>2.3462409949721401</v>
      </c>
      <c r="E4732" t="s">
        <v>81</v>
      </c>
    </row>
    <row r="4733" spans="1:5" x14ac:dyDescent="0.25">
      <c r="A4733" t="s">
        <v>13</v>
      </c>
      <c r="B4733">
        <v>2016</v>
      </c>
      <c r="C4733" t="s">
        <v>58</v>
      </c>
      <c r="D4733">
        <v>2.11374643804271</v>
      </c>
      <c r="E4733" t="s">
        <v>81</v>
      </c>
    </row>
    <row r="4734" spans="1:5" x14ac:dyDescent="0.25">
      <c r="A4734" t="s">
        <v>13</v>
      </c>
      <c r="B4734">
        <v>2017</v>
      </c>
      <c r="C4734" t="s">
        <v>58</v>
      </c>
      <c r="D4734">
        <v>2.6193184203521498</v>
      </c>
      <c r="E4734" t="s">
        <v>81</v>
      </c>
    </row>
    <row r="4735" spans="1:5" x14ac:dyDescent="0.25">
      <c r="A4735" t="s">
        <v>13</v>
      </c>
      <c r="B4735">
        <v>2018</v>
      </c>
      <c r="C4735" t="s">
        <v>58</v>
      </c>
      <c r="D4735">
        <v>1.83207073431446</v>
      </c>
      <c r="E4735" t="s">
        <v>81</v>
      </c>
    </row>
    <row r="4736" spans="1:5" x14ac:dyDescent="0.25">
      <c r="A4736" t="s">
        <v>13</v>
      </c>
      <c r="B4736">
        <v>2019</v>
      </c>
      <c r="C4736" t="s">
        <v>58</v>
      </c>
      <c r="D4736">
        <v>1.86949640083482</v>
      </c>
      <c r="E4736" t="s">
        <v>81</v>
      </c>
    </row>
    <row r="4737" spans="1:5" x14ac:dyDescent="0.25">
      <c r="A4737" t="s">
        <v>13</v>
      </c>
      <c r="B4737">
        <v>2020</v>
      </c>
      <c r="C4737" t="s">
        <v>58</v>
      </c>
      <c r="D4737">
        <v>1.91525094612338</v>
      </c>
      <c r="E4737" t="s">
        <v>81</v>
      </c>
    </row>
    <row r="4738" spans="1:5" x14ac:dyDescent="0.25">
      <c r="A4738" t="s">
        <v>13</v>
      </c>
      <c r="B4738">
        <v>2021</v>
      </c>
      <c r="C4738" t="s">
        <v>58</v>
      </c>
      <c r="D4738">
        <v>1.8033390010311099</v>
      </c>
      <c r="E4738" t="s">
        <v>81</v>
      </c>
    </row>
    <row r="4739" spans="1:5" x14ac:dyDescent="0.25">
      <c r="A4739" t="s">
        <v>13</v>
      </c>
      <c r="B4739">
        <v>2022</v>
      </c>
      <c r="C4739" t="s">
        <v>58</v>
      </c>
      <c r="D4739">
        <v>2.2578591646764901</v>
      </c>
      <c r="E4739" t="s">
        <v>81</v>
      </c>
    </row>
    <row r="4740" spans="1:5" x14ac:dyDescent="0.25">
      <c r="A4740" t="s">
        <v>13</v>
      </c>
      <c r="B4740">
        <v>2023</v>
      </c>
      <c r="C4740" t="s">
        <v>58</v>
      </c>
      <c r="D4740">
        <v>2.1504833917623398</v>
      </c>
      <c r="E4740" t="s">
        <v>81</v>
      </c>
    </row>
    <row r="4741" spans="1:5" x14ac:dyDescent="0.25">
      <c r="A4741" t="s">
        <v>13</v>
      </c>
      <c r="B4741">
        <v>2024</v>
      </c>
      <c r="C4741" t="s">
        <v>58</v>
      </c>
      <c r="D4741">
        <v>1.93497845737769</v>
      </c>
      <c r="E4741" t="s">
        <v>81</v>
      </c>
    </row>
    <row r="4742" spans="1:5" x14ac:dyDescent="0.25">
      <c r="A4742" t="s">
        <v>13</v>
      </c>
      <c r="B4742">
        <v>2025</v>
      </c>
      <c r="C4742" t="s">
        <v>58</v>
      </c>
      <c r="D4742">
        <v>1.99112617990666</v>
      </c>
      <c r="E4742" t="s">
        <v>81</v>
      </c>
    </row>
    <row r="4743" spans="1:5" x14ac:dyDescent="0.25">
      <c r="A4743" t="s">
        <v>94</v>
      </c>
      <c r="B4743">
        <v>2018</v>
      </c>
      <c r="C4743" t="s">
        <v>58</v>
      </c>
      <c r="D4743">
        <v>2.1535576086833301</v>
      </c>
      <c r="E4743" t="s">
        <v>81</v>
      </c>
    </row>
    <row r="4744" spans="1:5" x14ac:dyDescent="0.25">
      <c r="A4744" t="s">
        <v>94</v>
      </c>
      <c r="B4744">
        <v>2020</v>
      </c>
      <c r="C4744" t="s">
        <v>58</v>
      </c>
      <c r="D4744">
        <v>3.1227084725691499</v>
      </c>
      <c r="E4744" t="s">
        <v>81</v>
      </c>
    </row>
    <row r="4745" spans="1:5" x14ac:dyDescent="0.25">
      <c r="A4745" t="s">
        <v>14</v>
      </c>
      <c r="B4745">
        <v>2015</v>
      </c>
      <c r="C4745" t="s">
        <v>58</v>
      </c>
      <c r="D4745">
        <v>0.26610387589906298</v>
      </c>
      <c r="E4745" t="s">
        <v>81</v>
      </c>
    </row>
    <row r="4746" spans="1:5" x14ac:dyDescent="0.25">
      <c r="A4746" t="s">
        <v>14</v>
      </c>
      <c r="B4746">
        <v>2025</v>
      </c>
      <c r="C4746" t="s">
        <v>58</v>
      </c>
      <c r="D4746">
        <v>8.7990415818301493</v>
      </c>
      <c r="E4746" t="s">
        <v>81</v>
      </c>
    </row>
    <row r="4747" spans="1:5" x14ac:dyDescent="0.25">
      <c r="A4747" t="s">
        <v>16</v>
      </c>
      <c r="B4747">
        <v>2008</v>
      </c>
      <c r="C4747" t="s">
        <v>58</v>
      </c>
      <c r="D4747">
        <v>1.5735755566546099</v>
      </c>
      <c r="E4747" t="s">
        <v>81</v>
      </c>
    </row>
    <row r="4748" spans="1:5" x14ac:dyDescent="0.25">
      <c r="A4748" t="s">
        <v>16</v>
      </c>
      <c r="B4748">
        <v>2009</v>
      </c>
      <c r="C4748" t="s">
        <v>58</v>
      </c>
      <c r="D4748">
        <v>1.07134499295431</v>
      </c>
      <c r="E4748" t="s">
        <v>81</v>
      </c>
    </row>
    <row r="4749" spans="1:5" x14ac:dyDescent="0.25">
      <c r="A4749" t="s">
        <v>16</v>
      </c>
      <c r="B4749">
        <v>2010</v>
      </c>
      <c r="C4749" t="s">
        <v>58</v>
      </c>
      <c r="D4749">
        <v>0.36279281778531602</v>
      </c>
      <c r="E4749" t="s">
        <v>81</v>
      </c>
    </row>
    <row r="4750" spans="1:5" x14ac:dyDescent="0.25">
      <c r="A4750" t="s">
        <v>16</v>
      </c>
      <c r="B4750">
        <v>2011</v>
      </c>
      <c r="C4750" t="s">
        <v>58</v>
      </c>
      <c r="D4750">
        <v>0.43148034160937798</v>
      </c>
      <c r="E4750" t="s">
        <v>81</v>
      </c>
    </row>
    <row r="4751" spans="1:5" x14ac:dyDescent="0.25">
      <c r="A4751" t="s">
        <v>16</v>
      </c>
      <c r="B4751">
        <v>2012</v>
      </c>
      <c r="C4751" t="s">
        <v>58</v>
      </c>
      <c r="D4751">
        <v>0.438640912082082</v>
      </c>
      <c r="E4751" t="s">
        <v>81</v>
      </c>
    </row>
    <row r="4752" spans="1:5" x14ac:dyDescent="0.25">
      <c r="A4752" t="s">
        <v>16</v>
      </c>
      <c r="B4752">
        <v>2013</v>
      </c>
      <c r="C4752" t="s">
        <v>58</v>
      </c>
      <c r="D4752">
        <v>0.51958168067377097</v>
      </c>
      <c r="E4752" t="s">
        <v>81</v>
      </c>
    </row>
    <row r="4753" spans="1:5" x14ac:dyDescent="0.25">
      <c r="A4753" t="s">
        <v>16</v>
      </c>
      <c r="B4753">
        <v>2014</v>
      </c>
      <c r="C4753" t="s">
        <v>58</v>
      </c>
      <c r="D4753">
        <v>0.44153191055306801</v>
      </c>
      <c r="E4753" t="s">
        <v>81</v>
      </c>
    </row>
    <row r="4754" spans="1:5" x14ac:dyDescent="0.25">
      <c r="A4754" t="s">
        <v>16</v>
      </c>
      <c r="B4754">
        <v>2015</v>
      </c>
      <c r="C4754" t="s">
        <v>58</v>
      </c>
      <c r="D4754">
        <v>0.43078829573108901</v>
      </c>
      <c r="E4754" t="s">
        <v>81</v>
      </c>
    </row>
    <row r="4755" spans="1:5" x14ac:dyDescent="0.25">
      <c r="A4755" t="s">
        <v>16</v>
      </c>
      <c r="B4755">
        <v>2016</v>
      </c>
      <c r="C4755" t="s">
        <v>58</v>
      </c>
      <c r="D4755">
        <v>0.58131181894355699</v>
      </c>
      <c r="E4755" t="s">
        <v>81</v>
      </c>
    </row>
    <row r="4756" spans="1:5" x14ac:dyDescent="0.25">
      <c r="A4756" t="s">
        <v>16</v>
      </c>
      <c r="B4756">
        <v>2017</v>
      </c>
      <c r="C4756" t="s">
        <v>58</v>
      </c>
      <c r="D4756">
        <v>0.57526191142671501</v>
      </c>
      <c r="E4756" t="s">
        <v>81</v>
      </c>
    </row>
    <row r="4757" spans="1:5" x14ac:dyDescent="0.25">
      <c r="A4757" t="s">
        <v>16</v>
      </c>
      <c r="B4757">
        <v>2018</v>
      </c>
      <c r="C4757" t="s">
        <v>58</v>
      </c>
      <c r="D4757">
        <v>0.42375979348165599</v>
      </c>
      <c r="E4757" t="s">
        <v>81</v>
      </c>
    </row>
    <row r="4758" spans="1:5" x14ac:dyDescent="0.25">
      <c r="A4758" t="s">
        <v>16</v>
      </c>
      <c r="B4758">
        <v>2019</v>
      </c>
      <c r="C4758" t="s">
        <v>58</v>
      </c>
      <c r="D4758">
        <v>0.69223447502027202</v>
      </c>
      <c r="E4758" t="s">
        <v>81</v>
      </c>
    </row>
    <row r="4759" spans="1:5" x14ac:dyDescent="0.25">
      <c r="A4759" t="s">
        <v>93</v>
      </c>
      <c r="B4759">
        <v>2015</v>
      </c>
      <c r="C4759" t="s">
        <v>58</v>
      </c>
      <c r="D4759">
        <v>1.0462857810636299</v>
      </c>
      <c r="E4759" t="s">
        <v>81</v>
      </c>
    </row>
    <row r="4760" spans="1:5" x14ac:dyDescent="0.25">
      <c r="A4760" t="s">
        <v>77</v>
      </c>
      <c r="B4760">
        <v>2025</v>
      </c>
      <c r="C4760" t="s">
        <v>58</v>
      </c>
      <c r="D4760">
        <v>11.8519792994867</v>
      </c>
      <c r="E4760" t="s">
        <v>81</v>
      </c>
    </row>
    <row r="4761" spans="1:5" x14ac:dyDescent="0.25">
      <c r="A4761" t="s">
        <v>17</v>
      </c>
      <c r="B4761">
        <v>2010</v>
      </c>
      <c r="C4761" t="s">
        <v>58</v>
      </c>
      <c r="D4761">
        <v>1.4353495826529501</v>
      </c>
      <c r="E4761" t="s">
        <v>81</v>
      </c>
    </row>
    <row r="4762" spans="1:5" x14ac:dyDescent="0.25">
      <c r="A4762" t="s">
        <v>17</v>
      </c>
      <c r="B4762">
        <v>2011</v>
      </c>
      <c r="C4762" t="s">
        <v>58</v>
      </c>
      <c r="D4762">
        <v>1.6894019717236</v>
      </c>
      <c r="E4762" t="s">
        <v>81</v>
      </c>
    </row>
    <row r="4763" spans="1:5" x14ac:dyDescent="0.25">
      <c r="A4763" t="s">
        <v>17</v>
      </c>
      <c r="B4763">
        <v>2012</v>
      </c>
      <c r="C4763" t="s">
        <v>58</v>
      </c>
      <c r="D4763">
        <v>2.0524109063839999</v>
      </c>
      <c r="E4763" t="s">
        <v>81</v>
      </c>
    </row>
    <row r="4764" spans="1:5" x14ac:dyDescent="0.25">
      <c r="A4764" t="s">
        <v>17</v>
      </c>
      <c r="B4764">
        <v>2013</v>
      </c>
      <c r="C4764" t="s">
        <v>58</v>
      </c>
      <c r="D4764">
        <v>1.94787465127059</v>
      </c>
      <c r="E4764" t="s">
        <v>81</v>
      </c>
    </row>
    <row r="4765" spans="1:5" x14ac:dyDescent="0.25">
      <c r="A4765" t="s">
        <v>17</v>
      </c>
      <c r="B4765">
        <v>2014</v>
      </c>
      <c r="C4765" t="s">
        <v>58</v>
      </c>
      <c r="D4765">
        <v>1.57435775925058</v>
      </c>
      <c r="E4765" t="s">
        <v>81</v>
      </c>
    </row>
    <row r="4766" spans="1:5" x14ac:dyDescent="0.25">
      <c r="A4766" t="s">
        <v>17</v>
      </c>
      <c r="B4766">
        <v>2015</v>
      </c>
      <c r="C4766" t="s">
        <v>58</v>
      </c>
      <c r="D4766">
        <v>1.29041942924335</v>
      </c>
      <c r="E4766" t="s">
        <v>81</v>
      </c>
    </row>
    <row r="4767" spans="1:5" x14ac:dyDescent="0.25">
      <c r="A4767" t="s">
        <v>17</v>
      </c>
      <c r="B4767">
        <v>2016</v>
      </c>
      <c r="C4767" t="s">
        <v>58</v>
      </c>
      <c r="D4767">
        <v>1.40159268897542</v>
      </c>
      <c r="E4767" t="s">
        <v>81</v>
      </c>
    </row>
    <row r="4768" spans="1:5" x14ac:dyDescent="0.25">
      <c r="A4768" t="s">
        <v>17</v>
      </c>
      <c r="B4768">
        <v>2017</v>
      </c>
      <c r="C4768" t="s">
        <v>58</v>
      </c>
      <c r="D4768">
        <v>1.57024536925725</v>
      </c>
      <c r="E4768" t="s">
        <v>81</v>
      </c>
    </row>
    <row r="4769" spans="1:5" x14ac:dyDescent="0.25">
      <c r="A4769" t="s">
        <v>17</v>
      </c>
      <c r="B4769">
        <v>2018</v>
      </c>
      <c r="C4769" t="s">
        <v>58</v>
      </c>
      <c r="D4769">
        <v>1.62732043426836</v>
      </c>
      <c r="E4769" t="s">
        <v>81</v>
      </c>
    </row>
    <row r="4770" spans="1:5" x14ac:dyDescent="0.25">
      <c r="A4770" t="s">
        <v>17</v>
      </c>
      <c r="B4770">
        <v>2019</v>
      </c>
      <c r="C4770" t="s">
        <v>58</v>
      </c>
      <c r="D4770">
        <v>0.61954719939175196</v>
      </c>
      <c r="E4770" t="s">
        <v>81</v>
      </c>
    </row>
    <row r="4771" spans="1:5" x14ac:dyDescent="0.25">
      <c r="A4771" t="s">
        <v>17</v>
      </c>
      <c r="B4771">
        <v>2020</v>
      </c>
      <c r="C4771" t="s">
        <v>58</v>
      </c>
      <c r="D4771">
        <v>1.4865768837484701</v>
      </c>
      <c r="E4771" t="s">
        <v>81</v>
      </c>
    </row>
    <row r="4772" spans="1:5" x14ac:dyDescent="0.25">
      <c r="A4772" t="s">
        <v>17</v>
      </c>
      <c r="B4772">
        <v>2021</v>
      </c>
      <c r="C4772" t="s">
        <v>58</v>
      </c>
      <c r="D4772">
        <v>1.6007068195615901</v>
      </c>
      <c r="E4772" t="s">
        <v>81</v>
      </c>
    </row>
    <row r="4773" spans="1:5" x14ac:dyDescent="0.25">
      <c r="A4773" t="s">
        <v>17</v>
      </c>
      <c r="B4773">
        <v>2022</v>
      </c>
      <c r="C4773" t="s">
        <v>58</v>
      </c>
      <c r="D4773">
        <v>1.8103064918429601</v>
      </c>
      <c r="E4773" t="s">
        <v>81</v>
      </c>
    </row>
    <row r="4774" spans="1:5" x14ac:dyDescent="0.25">
      <c r="A4774" t="s">
        <v>17</v>
      </c>
      <c r="B4774">
        <v>2024</v>
      </c>
      <c r="C4774" t="s">
        <v>58</v>
      </c>
      <c r="D4774">
        <v>1.6292235783957301</v>
      </c>
      <c r="E4774" t="s">
        <v>81</v>
      </c>
    </row>
    <row r="4775" spans="1:5" x14ac:dyDescent="0.25">
      <c r="A4775" t="s">
        <v>18</v>
      </c>
      <c r="B4775">
        <v>2004</v>
      </c>
      <c r="C4775" t="s">
        <v>58</v>
      </c>
      <c r="D4775">
        <v>1.34505464666768</v>
      </c>
      <c r="E4775" t="s">
        <v>81</v>
      </c>
    </row>
    <row r="4776" spans="1:5" x14ac:dyDescent="0.25">
      <c r="A4776" t="s">
        <v>18</v>
      </c>
      <c r="B4776">
        <v>2005</v>
      </c>
      <c r="C4776" t="s">
        <v>58</v>
      </c>
      <c r="D4776">
        <v>1.3870719487793099</v>
      </c>
      <c r="E4776" t="s">
        <v>81</v>
      </c>
    </row>
    <row r="4777" spans="1:5" x14ac:dyDescent="0.25">
      <c r="A4777" t="s">
        <v>18</v>
      </c>
      <c r="B4777">
        <v>2006</v>
      </c>
      <c r="C4777" t="s">
        <v>58</v>
      </c>
      <c r="D4777">
        <v>1.7730611244079999</v>
      </c>
      <c r="E4777" t="s">
        <v>81</v>
      </c>
    </row>
    <row r="4778" spans="1:5" x14ac:dyDescent="0.25">
      <c r="A4778" t="s">
        <v>18</v>
      </c>
      <c r="B4778">
        <v>2007</v>
      </c>
      <c r="C4778" t="s">
        <v>58</v>
      </c>
      <c r="D4778">
        <v>1.8470340632554101</v>
      </c>
      <c r="E4778" t="s">
        <v>81</v>
      </c>
    </row>
    <row r="4779" spans="1:5" x14ac:dyDescent="0.25">
      <c r="A4779" t="s">
        <v>18</v>
      </c>
      <c r="B4779">
        <v>2008</v>
      </c>
      <c r="C4779" t="s">
        <v>58</v>
      </c>
      <c r="D4779">
        <v>2.1167925758697299</v>
      </c>
      <c r="E4779" t="s">
        <v>81</v>
      </c>
    </row>
    <row r="4780" spans="1:5" x14ac:dyDescent="0.25">
      <c r="A4780" t="s">
        <v>18</v>
      </c>
      <c r="B4780">
        <v>2009</v>
      </c>
      <c r="C4780" t="s">
        <v>58</v>
      </c>
      <c r="D4780">
        <v>1.87605415351719</v>
      </c>
      <c r="E4780" t="s">
        <v>81</v>
      </c>
    </row>
    <row r="4781" spans="1:5" x14ac:dyDescent="0.25">
      <c r="A4781" t="s">
        <v>18</v>
      </c>
      <c r="B4781">
        <v>2010</v>
      </c>
      <c r="C4781" t="s">
        <v>58</v>
      </c>
      <c r="D4781">
        <v>1.6001029149675099</v>
      </c>
      <c r="E4781" t="s">
        <v>81</v>
      </c>
    </row>
    <row r="4782" spans="1:5" x14ac:dyDescent="0.25">
      <c r="A4782" t="s">
        <v>18</v>
      </c>
      <c r="B4782">
        <v>2011</v>
      </c>
      <c r="C4782" t="s">
        <v>58</v>
      </c>
      <c r="D4782">
        <v>1.97604069557148</v>
      </c>
      <c r="E4782" t="s">
        <v>81</v>
      </c>
    </row>
    <row r="4783" spans="1:5" x14ac:dyDescent="0.25">
      <c r="A4783" t="s">
        <v>18</v>
      </c>
      <c r="B4783">
        <v>2012</v>
      </c>
      <c r="C4783" t="s">
        <v>58</v>
      </c>
      <c r="D4783">
        <v>2.4959312962473899</v>
      </c>
      <c r="E4783" t="s">
        <v>81</v>
      </c>
    </row>
    <row r="4784" spans="1:5" x14ac:dyDescent="0.25">
      <c r="A4784" t="s">
        <v>18</v>
      </c>
      <c r="B4784">
        <v>2013</v>
      </c>
      <c r="C4784" t="s">
        <v>58</v>
      </c>
      <c r="D4784">
        <v>2.5391535900769999</v>
      </c>
      <c r="E4784" t="s">
        <v>81</v>
      </c>
    </row>
    <row r="4785" spans="1:5" x14ac:dyDescent="0.25">
      <c r="A4785" t="s">
        <v>18</v>
      </c>
      <c r="B4785">
        <v>2014</v>
      </c>
      <c r="C4785" t="s">
        <v>58</v>
      </c>
      <c r="D4785">
        <v>2.1477533099945698</v>
      </c>
      <c r="E4785" t="s">
        <v>81</v>
      </c>
    </row>
    <row r="4786" spans="1:5" x14ac:dyDescent="0.25">
      <c r="A4786" t="s">
        <v>18</v>
      </c>
      <c r="B4786">
        <v>2015</v>
      </c>
      <c r="C4786" t="s">
        <v>58</v>
      </c>
      <c r="D4786">
        <v>1.2348808399250899</v>
      </c>
      <c r="E4786" t="s">
        <v>81</v>
      </c>
    </row>
    <row r="4787" spans="1:5" x14ac:dyDescent="0.25">
      <c r="A4787" t="s">
        <v>18</v>
      </c>
      <c r="B4787">
        <v>2016</v>
      </c>
      <c r="C4787" t="s">
        <v>58</v>
      </c>
      <c r="D4787">
        <v>1.65126420936561</v>
      </c>
      <c r="E4787" t="s">
        <v>81</v>
      </c>
    </row>
    <row r="4788" spans="1:5" x14ac:dyDescent="0.25">
      <c r="A4788" t="s">
        <v>18</v>
      </c>
      <c r="B4788">
        <v>2017</v>
      </c>
      <c r="C4788" t="s">
        <v>58</v>
      </c>
      <c r="D4788">
        <v>1.9888308961352901</v>
      </c>
      <c r="E4788" t="s">
        <v>81</v>
      </c>
    </row>
    <row r="4789" spans="1:5" x14ac:dyDescent="0.25">
      <c r="A4789" t="s">
        <v>18</v>
      </c>
      <c r="B4789">
        <v>2018</v>
      </c>
      <c r="C4789" t="s">
        <v>58</v>
      </c>
      <c r="D4789">
        <v>1.7039036489516</v>
      </c>
      <c r="E4789" t="s">
        <v>81</v>
      </c>
    </row>
    <row r="4790" spans="1:5" x14ac:dyDescent="0.25">
      <c r="A4790" t="s">
        <v>18</v>
      </c>
      <c r="B4790">
        <v>2019</v>
      </c>
      <c r="C4790" t="s">
        <v>58</v>
      </c>
      <c r="D4790">
        <v>1.46140008660455</v>
      </c>
      <c r="E4790" t="s">
        <v>81</v>
      </c>
    </row>
    <row r="4791" spans="1:5" x14ac:dyDescent="0.25">
      <c r="A4791" t="s">
        <v>18</v>
      </c>
      <c r="B4791">
        <v>2020</v>
      </c>
      <c r="C4791" t="s">
        <v>58</v>
      </c>
      <c r="D4791">
        <v>1.8243686723510899</v>
      </c>
      <c r="E4791" t="s">
        <v>81</v>
      </c>
    </row>
    <row r="4792" spans="1:5" x14ac:dyDescent="0.25">
      <c r="A4792" t="s">
        <v>18</v>
      </c>
      <c r="B4792">
        <v>2021</v>
      </c>
      <c r="C4792" t="s">
        <v>58</v>
      </c>
      <c r="D4792">
        <v>1.80326968415252</v>
      </c>
      <c r="E4792" t="s">
        <v>81</v>
      </c>
    </row>
    <row r="4793" spans="1:5" x14ac:dyDescent="0.25">
      <c r="A4793" t="s">
        <v>18</v>
      </c>
      <c r="B4793">
        <v>2022</v>
      </c>
      <c r="C4793" t="s">
        <v>58</v>
      </c>
      <c r="D4793">
        <v>1.84708989726085</v>
      </c>
      <c r="E4793" t="s">
        <v>81</v>
      </c>
    </row>
    <row r="4794" spans="1:5" x14ac:dyDescent="0.25">
      <c r="A4794" t="s">
        <v>18</v>
      </c>
      <c r="B4794">
        <v>2023</v>
      </c>
      <c r="C4794" t="s">
        <v>58</v>
      </c>
      <c r="D4794">
        <v>1.84415771040631</v>
      </c>
      <c r="E4794" t="s">
        <v>81</v>
      </c>
    </row>
    <row r="4795" spans="1:5" x14ac:dyDescent="0.25">
      <c r="A4795" t="s">
        <v>18</v>
      </c>
      <c r="B4795">
        <v>2024</v>
      </c>
      <c r="C4795" t="s">
        <v>58</v>
      </c>
      <c r="D4795">
        <v>1.4349690472532599</v>
      </c>
      <c r="E4795" t="s">
        <v>81</v>
      </c>
    </row>
    <row r="4796" spans="1:5" x14ac:dyDescent="0.25">
      <c r="A4796" t="s">
        <v>18</v>
      </c>
      <c r="B4796">
        <v>2025</v>
      </c>
      <c r="C4796" t="s">
        <v>58</v>
      </c>
      <c r="D4796">
        <v>1.8283938856269399</v>
      </c>
      <c r="E4796" t="s">
        <v>81</v>
      </c>
    </row>
    <row r="4797" spans="1:5" x14ac:dyDescent="0.25">
      <c r="A4797" t="s">
        <v>20</v>
      </c>
      <c r="B4797">
        <v>2014</v>
      </c>
      <c r="C4797" t="s">
        <v>58</v>
      </c>
      <c r="D4797">
        <v>1.79163551591401</v>
      </c>
      <c r="E4797" t="s">
        <v>81</v>
      </c>
    </row>
    <row r="4798" spans="1:5" x14ac:dyDescent="0.25">
      <c r="A4798" t="s">
        <v>20</v>
      </c>
      <c r="B4798">
        <v>2015</v>
      </c>
      <c r="C4798" t="s">
        <v>58</v>
      </c>
      <c r="D4798">
        <v>1.2635414386356101</v>
      </c>
      <c r="E4798" t="s">
        <v>81</v>
      </c>
    </row>
    <row r="4799" spans="1:5" x14ac:dyDescent="0.25">
      <c r="A4799" t="s">
        <v>20</v>
      </c>
      <c r="B4799">
        <v>2016</v>
      </c>
      <c r="C4799" t="s">
        <v>58</v>
      </c>
      <c r="D4799">
        <v>2.3618974868090699</v>
      </c>
      <c r="E4799" t="s">
        <v>81</v>
      </c>
    </row>
    <row r="4800" spans="1:5" x14ac:dyDescent="0.25">
      <c r="A4800" t="s">
        <v>20</v>
      </c>
      <c r="B4800">
        <v>2017</v>
      </c>
      <c r="C4800" t="s">
        <v>58</v>
      </c>
      <c r="D4800">
        <v>2.45177799320845</v>
      </c>
      <c r="E4800" t="s">
        <v>81</v>
      </c>
    </row>
    <row r="4801" spans="1:5" x14ac:dyDescent="0.25">
      <c r="A4801" t="s">
        <v>20</v>
      </c>
      <c r="B4801">
        <v>2020</v>
      </c>
      <c r="C4801" t="s">
        <v>58</v>
      </c>
      <c r="D4801">
        <v>3.4251268464132401</v>
      </c>
      <c r="E4801" t="s">
        <v>81</v>
      </c>
    </row>
    <row r="4802" spans="1:5" x14ac:dyDescent="0.25">
      <c r="A4802" t="s">
        <v>20</v>
      </c>
      <c r="B4802">
        <v>2022</v>
      </c>
      <c r="C4802" t="s">
        <v>58</v>
      </c>
      <c r="D4802">
        <v>2.7329204999024901</v>
      </c>
      <c r="E4802" t="s">
        <v>81</v>
      </c>
    </row>
    <row r="4803" spans="1:5" x14ac:dyDescent="0.25">
      <c r="A4803" t="s">
        <v>20</v>
      </c>
      <c r="B4803">
        <v>2023</v>
      </c>
      <c r="C4803" t="s">
        <v>58</v>
      </c>
      <c r="D4803">
        <v>3.2746766906203999</v>
      </c>
      <c r="E4803" t="s">
        <v>81</v>
      </c>
    </row>
    <row r="4804" spans="1:5" x14ac:dyDescent="0.25">
      <c r="A4804" t="s">
        <v>21</v>
      </c>
      <c r="B4804">
        <v>2000</v>
      </c>
      <c r="C4804" t="s">
        <v>58</v>
      </c>
      <c r="D4804">
        <v>2.5249757758123899</v>
      </c>
      <c r="E4804" t="s">
        <v>81</v>
      </c>
    </row>
    <row r="4805" spans="1:5" x14ac:dyDescent="0.25">
      <c r="A4805" t="s">
        <v>21</v>
      </c>
      <c r="B4805">
        <v>2001</v>
      </c>
      <c r="C4805" t="s">
        <v>58</v>
      </c>
      <c r="D4805">
        <v>2.56507109572064</v>
      </c>
      <c r="E4805" t="s">
        <v>81</v>
      </c>
    </row>
    <row r="4806" spans="1:5" x14ac:dyDescent="0.25">
      <c r="A4806" t="s">
        <v>21</v>
      </c>
      <c r="B4806">
        <v>2002</v>
      </c>
      <c r="C4806" t="s">
        <v>58</v>
      </c>
      <c r="D4806">
        <v>2.7735479773916101</v>
      </c>
      <c r="E4806" t="s">
        <v>81</v>
      </c>
    </row>
    <row r="4807" spans="1:5" x14ac:dyDescent="0.25">
      <c r="A4807" t="s">
        <v>21</v>
      </c>
      <c r="B4807">
        <v>2003</v>
      </c>
      <c r="C4807" t="s">
        <v>58</v>
      </c>
      <c r="D4807">
        <v>2.94433155546287</v>
      </c>
      <c r="E4807" t="s">
        <v>81</v>
      </c>
    </row>
    <row r="4808" spans="1:5" x14ac:dyDescent="0.25">
      <c r="A4808" t="s">
        <v>21</v>
      </c>
      <c r="B4808">
        <v>2004</v>
      </c>
      <c r="C4808" t="s">
        <v>58</v>
      </c>
      <c r="D4808">
        <v>3.7237789562272501</v>
      </c>
      <c r="E4808" t="s">
        <v>81</v>
      </c>
    </row>
    <row r="4809" spans="1:5" x14ac:dyDescent="0.25">
      <c r="A4809" t="s">
        <v>21</v>
      </c>
      <c r="B4809">
        <v>2005</v>
      </c>
      <c r="C4809" t="s">
        <v>58</v>
      </c>
      <c r="D4809">
        <v>3.56946681661351</v>
      </c>
      <c r="E4809" t="s">
        <v>81</v>
      </c>
    </row>
    <row r="4810" spans="1:5" x14ac:dyDescent="0.25">
      <c r="A4810" t="s">
        <v>21</v>
      </c>
      <c r="B4810">
        <v>2006</v>
      </c>
      <c r="C4810" t="s">
        <v>58</v>
      </c>
      <c r="D4810">
        <v>3.5234082929261201</v>
      </c>
      <c r="E4810" t="s">
        <v>81</v>
      </c>
    </row>
    <row r="4811" spans="1:5" x14ac:dyDescent="0.25">
      <c r="A4811" t="s">
        <v>21</v>
      </c>
      <c r="B4811">
        <v>2007</v>
      </c>
      <c r="C4811" t="s">
        <v>58</v>
      </c>
      <c r="D4811">
        <v>4.5353289764050997</v>
      </c>
      <c r="E4811" t="s">
        <v>81</v>
      </c>
    </row>
    <row r="4812" spans="1:5" x14ac:dyDescent="0.25">
      <c r="A4812" t="s">
        <v>21</v>
      </c>
      <c r="B4812">
        <v>2008</v>
      </c>
      <c r="C4812" t="s">
        <v>58</v>
      </c>
      <c r="D4812">
        <v>4.89020366163916</v>
      </c>
      <c r="E4812" t="s">
        <v>81</v>
      </c>
    </row>
    <row r="4813" spans="1:5" x14ac:dyDescent="0.25">
      <c r="A4813" t="s">
        <v>21</v>
      </c>
      <c r="B4813">
        <v>2009</v>
      </c>
      <c r="C4813" t="s">
        <v>58</v>
      </c>
      <c r="D4813">
        <v>4.64965198141011</v>
      </c>
      <c r="E4813" t="s">
        <v>81</v>
      </c>
    </row>
    <row r="4814" spans="1:5" x14ac:dyDescent="0.25">
      <c r="A4814" t="s">
        <v>21</v>
      </c>
      <c r="B4814">
        <v>2010</v>
      </c>
      <c r="C4814" t="s">
        <v>58</v>
      </c>
      <c r="D4814">
        <v>5.2064770024145304</v>
      </c>
      <c r="E4814" t="s">
        <v>81</v>
      </c>
    </row>
    <row r="4815" spans="1:5" x14ac:dyDescent="0.25">
      <c r="A4815" t="s">
        <v>21</v>
      </c>
      <c r="B4815">
        <v>2011</v>
      </c>
      <c r="C4815" t="s">
        <v>58</v>
      </c>
      <c r="D4815">
        <v>5.1182517174667703</v>
      </c>
      <c r="E4815" t="s">
        <v>81</v>
      </c>
    </row>
    <row r="4816" spans="1:5" x14ac:dyDescent="0.25">
      <c r="A4816" t="s">
        <v>21</v>
      </c>
      <c r="B4816">
        <v>2012</v>
      </c>
      <c r="C4816" t="s">
        <v>58</v>
      </c>
      <c r="D4816">
        <v>5.3775749059071503</v>
      </c>
      <c r="E4816" t="s">
        <v>81</v>
      </c>
    </row>
    <row r="4817" spans="1:5" x14ac:dyDescent="0.25">
      <c r="A4817" t="s">
        <v>21</v>
      </c>
      <c r="B4817">
        <v>2013</v>
      </c>
      <c r="C4817" t="s">
        <v>58</v>
      </c>
      <c r="D4817">
        <v>6.5263801574740601</v>
      </c>
      <c r="E4817" t="s">
        <v>81</v>
      </c>
    </row>
    <row r="4818" spans="1:5" x14ac:dyDescent="0.25">
      <c r="A4818" t="s">
        <v>21</v>
      </c>
      <c r="B4818">
        <v>2014</v>
      </c>
      <c r="C4818" t="s">
        <v>58</v>
      </c>
      <c r="D4818">
        <v>6.4186786454792504</v>
      </c>
      <c r="E4818" t="s">
        <v>81</v>
      </c>
    </row>
    <row r="4819" spans="1:5" x14ac:dyDescent="0.25">
      <c r="A4819" t="s">
        <v>21</v>
      </c>
      <c r="B4819">
        <v>2015</v>
      </c>
      <c r="C4819" t="s">
        <v>58</v>
      </c>
      <c r="D4819">
        <v>6.24471684073725</v>
      </c>
      <c r="E4819" t="s">
        <v>81</v>
      </c>
    </row>
    <row r="4820" spans="1:5" x14ac:dyDescent="0.25">
      <c r="A4820" t="s">
        <v>21</v>
      </c>
      <c r="B4820">
        <v>2016</v>
      </c>
      <c r="C4820" t="s">
        <v>58</v>
      </c>
      <c r="D4820">
        <v>6.9178692655754999</v>
      </c>
      <c r="E4820" t="s">
        <v>81</v>
      </c>
    </row>
    <row r="4821" spans="1:5" x14ac:dyDescent="0.25">
      <c r="A4821" t="s">
        <v>21</v>
      </c>
      <c r="B4821">
        <v>2017</v>
      </c>
      <c r="C4821" t="s">
        <v>58</v>
      </c>
      <c r="D4821">
        <v>6.9879957634363699</v>
      </c>
      <c r="E4821" t="s">
        <v>81</v>
      </c>
    </row>
    <row r="4822" spans="1:5" x14ac:dyDescent="0.25">
      <c r="A4822" t="s">
        <v>21</v>
      </c>
      <c r="B4822">
        <v>2018</v>
      </c>
      <c r="C4822" t="s">
        <v>58</v>
      </c>
      <c r="D4822">
        <v>8.3249639654463792</v>
      </c>
      <c r="E4822" t="s">
        <v>81</v>
      </c>
    </row>
    <row r="4823" spans="1:5" x14ac:dyDescent="0.25">
      <c r="A4823" t="s">
        <v>21</v>
      </c>
      <c r="B4823">
        <v>2019</v>
      </c>
      <c r="C4823" t="s">
        <v>58</v>
      </c>
      <c r="D4823">
        <v>7.48090494493111</v>
      </c>
      <c r="E4823" t="s">
        <v>81</v>
      </c>
    </row>
    <row r="4824" spans="1:5" x14ac:dyDescent="0.25">
      <c r="A4824" t="s">
        <v>21</v>
      </c>
      <c r="B4824">
        <v>2020</v>
      </c>
      <c r="C4824" t="s">
        <v>58</v>
      </c>
      <c r="D4824">
        <v>7.21169425348846</v>
      </c>
      <c r="E4824" t="s">
        <v>81</v>
      </c>
    </row>
    <row r="4825" spans="1:5" x14ac:dyDescent="0.25">
      <c r="A4825" t="s">
        <v>21</v>
      </c>
      <c r="B4825">
        <v>2021</v>
      </c>
      <c r="C4825" t="s">
        <v>58</v>
      </c>
      <c r="D4825">
        <v>8.1722805654302793</v>
      </c>
      <c r="E4825" t="s">
        <v>81</v>
      </c>
    </row>
    <row r="4826" spans="1:5" x14ac:dyDescent="0.25">
      <c r="A4826" t="s">
        <v>21</v>
      </c>
      <c r="B4826">
        <v>2022</v>
      </c>
      <c r="C4826" t="s">
        <v>58</v>
      </c>
      <c r="D4826">
        <v>9.2979290107484101</v>
      </c>
      <c r="E4826" t="s">
        <v>81</v>
      </c>
    </row>
    <row r="4827" spans="1:5" x14ac:dyDescent="0.25">
      <c r="A4827" t="s">
        <v>21</v>
      </c>
      <c r="B4827">
        <v>2023</v>
      </c>
      <c r="C4827" t="s">
        <v>58</v>
      </c>
      <c r="D4827">
        <v>8.5400771475990602</v>
      </c>
      <c r="E4827" t="s">
        <v>81</v>
      </c>
    </row>
    <row r="4828" spans="1:5" x14ac:dyDescent="0.25">
      <c r="A4828" t="s">
        <v>21</v>
      </c>
      <c r="B4828">
        <v>2024</v>
      </c>
      <c r="C4828" t="s">
        <v>58</v>
      </c>
      <c r="D4828">
        <v>8.6341467862194694</v>
      </c>
      <c r="E4828" t="s">
        <v>81</v>
      </c>
    </row>
    <row r="4829" spans="1:5" x14ac:dyDescent="0.25">
      <c r="A4829" t="s">
        <v>22</v>
      </c>
      <c r="B4829">
        <v>2015</v>
      </c>
      <c r="C4829" t="s">
        <v>58</v>
      </c>
      <c r="D4829">
        <v>9.3329935914110909</v>
      </c>
      <c r="E4829" t="s">
        <v>81</v>
      </c>
    </row>
    <row r="4830" spans="1:5" x14ac:dyDescent="0.25">
      <c r="A4830" t="s">
        <v>22</v>
      </c>
      <c r="B4830">
        <v>2017</v>
      </c>
      <c r="C4830" t="s">
        <v>58</v>
      </c>
      <c r="D4830">
        <v>7.8852699114162803</v>
      </c>
      <c r="E4830" t="s">
        <v>81</v>
      </c>
    </row>
    <row r="4831" spans="1:5" x14ac:dyDescent="0.25">
      <c r="A4831" t="s">
        <v>22</v>
      </c>
      <c r="B4831">
        <v>2018</v>
      </c>
      <c r="C4831" t="s">
        <v>58</v>
      </c>
      <c r="D4831">
        <v>9.08740687485564</v>
      </c>
      <c r="E4831" t="s">
        <v>81</v>
      </c>
    </row>
    <row r="4832" spans="1:5" x14ac:dyDescent="0.25">
      <c r="A4832" t="s">
        <v>22</v>
      </c>
      <c r="B4832">
        <v>2019</v>
      </c>
      <c r="C4832" t="s">
        <v>58</v>
      </c>
      <c r="D4832">
        <v>10.699275393177301</v>
      </c>
      <c r="E4832" t="s">
        <v>81</v>
      </c>
    </row>
    <row r="4833" spans="1:5" x14ac:dyDescent="0.25">
      <c r="A4833" t="s">
        <v>22</v>
      </c>
      <c r="B4833">
        <v>2020</v>
      </c>
      <c r="C4833" t="s">
        <v>58</v>
      </c>
      <c r="D4833">
        <v>7.5119675836172499</v>
      </c>
      <c r="E4833" t="s">
        <v>81</v>
      </c>
    </row>
    <row r="4834" spans="1:5" x14ac:dyDescent="0.25">
      <c r="A4834" t="s">
        <v>22</v>
      </c>
      <c r="B4834">
        <v>2021</v>
      </c>
      <c r="C4834" t="s">
        <v>58</v>
      </c>
      <c r="D4834">
        <v>10.1801664366544</v>
      </c>
      <c r="E4834" t="s">
        <v>81</v>
      </c>
    </row>
    <row r="4835" spans="1:5" x14ac:dyDescent="0.25">
      <c r="A4835" t="s">
        <v>22</v>
      </c>
      <c r="B4835">
        <v>2022</v>
      </c>
      <c r="C4835" t="s">
        <v>58</v>
      </c>
      <c r="D4835">
        <v>13.945009331342501</v>
      </c>
      <c r="E4835" t="s">
        <v>81</v>
      </c>
    </row>
    <row r="4836" spans="1:5" x14ac:dyDescent="0.25">
      <c r="A4836" t="s">
        <v>22</v>
      </c>
      <c r="B4836">
        <v>2023</v>
      </c>
      <c r="C4836" t="s">
        <v>58</v>
      </c>
      <c r="D4836">
        <v>13.1687730678052</v>
      </c>
      <c r="E4836" t="s">
        <v>81</v>
      </c>
    </row>
    <row r="4837" spans="1:5" x14ac:dyDescent="0.25">
      <c r="A4837" t="s">
        <v>22</v>
      </c>
      <c r="B4837">
        <v>2024</v>
      </c>
      <c r="C4837" t="s">
        <v>58</v>
      </c>
      <c r="D4837">
        <v>11.768804770582999</v>
      </c>
      <c r="E4837" t="s">
        <v>81</v>
      </c>
    </row>
    <row r="4838" spans="1:5" x14ac:dyDescent="0.25">
      <c r="A4838" t="s">
        <v>22</v>
      </c>
      <c r="B4838">
        <v>2025</v>
      </c>
      <c r="C4838" t="s">
        <v>58</v>
      </c>
      <c r="D4838">
        <v>12.493820472584799</v>
      </c>
      <c r="E4838" t="s">
        <v>81</v>
      </c>
    </row>
    <row r="4839" spans="1:5" x14ac:dyDescent="0.25">
      <c r="A4839" t="s">
        <v>23</v>
      </c>
      <c r="B4839">
        <v>2011</v>
      </c>
      <c r="C4839" t="s">
        <v>58</v>
      </c>
      <c r="D4839">
        <v>0.81912675392443701</v>
      </c>
      <c r="E4839" t="s">
        <v>81</v>
      </c>
    </row>
    <row r="4840" spans="1:5" x14ac:dyDescent="0.25">
      <c r="A4840" t="s">
        <v>23</v>
      </c>
      <c r="B4840">
        <v>2013</v>
      </c>
      <c r="C4840" t="s">
        <v>58</v>
      </c>
      <c r="D4840">
        <v>1.2217444253685299</v>
      </c>
      <c r="E4840" t="s">
        <v>81</v>
      </c>
    </row>
    <row r="4841" spans="1:5" x14ac:dyDescent="0.25">
      <c r="A4841" t="s">
        <v>23</v>
      </c>
      <c r="B4841">
        <v>2014</v>
      </c>
      <c r="C4841" t="s">
        <v>58</v>
      </c>
      <c r="D4841">
        <v>0.98284243622095102</v>
      </c>
      <c r="E4841" t="s">
        <v>81</v>
      </c>
    </row>
    <row r="4842" spans="1:5" x14ac:dyDescent="0.25">
      <c r="A4842" t="s">
        <v>23</v>
      </c>
      <c r="B4842">
        <v>2015</v>
      </c>
      <c r="C4842" t="s">
        <v>58</v>
      </c>
      <c r="D4842">
        <v>0.63771568891083297</v>
      </c>
      <c r="E4842" t="s">
        <v>81</v>
      </c>
    </row>
    <row r="4843" spans="1:5" x14ac:dyDescent="0.25">
      <c r="A4843" t="s">
        <v>23</v>
      </c>
      <c r="B4843">
        <v>2016</v>
      </c>
      <c r="C4843" t="s">
        <v>58</v>
      </c>
      <c r="D4843">
        <v>0.87461669955726995</v>
      </c>
      <c r="E4843" t="s">
        <v>81</v>
      </c>
    </row>
    <row r="4844" spans="1:5" x14ac:dyDescent="0.25">
      <c r="A4844" t="s">
        <v>23</v>
      </c>
      <c r="B4844">
        <v>2020</v>
      </c>
      <c r="C4844" t="s">
        <v>58</v>
      </c>
      <c r="D4844">
        <v>1.4038314402421099</v>
      </c>
      <c r="E4844" t="s">
        <v>81</v>
      </c>
    </row>
    <row r="4845" spans="1:5" x14ac:dyDescent="0.25">
      <c r="A4845" t="s">
        <v>23</v>
      </c>
      <c r="B4845">
        <v>2021</v>
      </c>
      <c r="C4845" t="s">
        <v>58</v>
      </c>
      <c r="D4845">
        <v>1.37488696749359</v>
      </c>
      <c r="E4845" t="s">
        <v>81</v>
      </c>
    </row>
    <row r="4846" spans="1:5" x14ac:dyDescent="0.25">
      <c r="A4846" t="s">
        <v>23</v>
      </c>
      <c r="B4846">
        <v>2022</v>
      </c>
      <c r="C4846" t="s">
        <v>58</v>
      </c>
      <c r="D4846">
        <v>1.5299115947918001</v>
      </c>
      <c r="E4846" t="s">
        <v>81</v>
      </c>
    </row>
    <row r="4847" spans="1:5" x14ac:dyDescent="0.25">
      <c r="A4847" t="s">
        <v>23</v>
      </c>
      <c r="B4847">
        <v>2023</v>
      </c>
      <c r="C4847" t="s">
        <v>58</v>
      </c>
      <c r="D4847">
        <v>1.72590170001462</v>
      </c>
      <c r="E4847" t="s">
        <v>81</v>
      </c>
    </row>
    <row r="4848" spans="1:5" x14ac:dyDescent="0.25">
      <c r="A4848" t="s">
        <v>25</v>
      </c>
      <c r="B4848">
        <v>2010</v>
      </c>
      <c r="C4848" t="s">
        <v>58</v>
      </c>
      <c r="D4848">
        <v>3.8153052804537699</v>
      </c>
      <c r="E4848" t="s">
        <v>81</v>
      </c>
    </row>
    <row r="4849" spans="1:5" x14ac:dyDescent="0.25">
      <c r="A4849" t="s">
        <v>25</v>
      </c>
      <c r="B4849">
        <v>2011</v>
      </c>
      <c r="C4849" t="s">
        <v>58</v>
      </c>
      <c r="D4849">
        <v>1.52277970882291</v>
      </c>
      <c r="E4849" t="s">
        <v>81</v>
      </c>
    </row>
    <row r="4850" spans="1:5" x14ac:dyDescent="0.25">
      <c r="A4850" t="s">
        <v>25</v>
      </c>
      <c r="B4850">
        <v>2012</v>
      </c>
      <c r="C4850" t="s">
        <v>58</v>
      </c>
      <c r="D4850">
        <v>2.743472048359</v>
      </c>
      <c r="E4850" t="s">
        <v>81</v>
      </c>
    </row>
    <row r="4851" spans="1:5" x14ac:dyDescent="0.25">
      <c r="A4851" t="s">
        <v>25</v>
      </c>
      <c r="B4851">
        <v>2017</v>
      </c>
      <c r="C4851" t="s">
        <v>58</v>
      </c>
      <c r="D4851">
        <v>2.2878542058262101</v>
      </c>
      <c r="E4851" t="s">
        <v>81</v>
      </c>
    </row>
    <row r="4852" spans="1:5" x14ac:dyDescent="0.25">
      <c r="A4852" t="s">
        <v>25</v>
      </c>
      <c r="B4852">
        <v>2019</v>
      </c>
      <c r="C4852" t="s">
        <v>58</v>
      </c>
      <c r="D4852">
        <v>1.78009224605905</v>
      </c>
      <c r="E4852" t="s">
        <v>81</v>
      </c>
    </row>
    <row r="4853" spans="1:5" x14ac:dyDescent="0.25">
      <c r="A4853" t="s">
        <v>25</v>
      </c>
      <c r="B4853">
        <v>2020</v>
      </c>
      <c r="C4853" t="s">
        <v>58</v>
      </c>
      <c r="D4853">
        <v>2.2064411475978898</v>
      </c>
      <c r="E4853" t="s">
        <v>81</v>
      </c>
    </row>
    <row r="4854" spans="1:5" x14ac:dyDescent="0.25">
      <c r="A4854" t="s">
        <v>25</v>
      </c>
      <c r="B4854">
        <v>2021</v>
      </c>
      <c r="C4854" t="s">
        <v>58</v>
      </c>
      <c r="D4854">
        <v>2.0608569273828401</v>
      </c>
      <c r="E4854" t="s">
        <v>81</v>
      </c>
    </row>
    <row r="4855" spans="1:5" x14ac:dyDescent="0.25">
      <c r="A4855" t="s">
        <v>25</v>
      </c>
      <c r="B4855">
        <v>2022</v>
      </c>
      <c r="C4855" t="s">
        <v>58</v>
      </c>
      <c r="D4855">
        <v>2.4198297883495901</v>
      </c>
      <c r="E4855" t="s">
        <v>81</v>
      </c>
    </row>
    <row r="4856" spans="1:5" x14ac:dyDescent="0.25">
      <c r="A4856" t="s">
        <v>25</v>
      </c>
      <c r="B4856">
        <v>2023</v>
      </c>
      <c r="C4856" t="s">
        <v>58</v>
      </c>
      <c r="D4856">
        <v>2.2502650746675701</v>
      </c>
      <c r="E4856" t="s">
        <v>81</v>
      </c>
    </row>
    <row r="4857" spans="1:5" x14ac:dyDescent="0.25">
      <c r="A4857" t="s">
        <v>25</v>
      </c>
      <c r="B4857">
        <v>2024</v>
      </c>
      <c r="C4857" t="s">
        <v>58</v>
      </c>
      <c r="D4857">
        <v>2.2371714012574802</v>
      </c>
      <c r="E4857" t="s">
        <v>81</v>
      </c>
    </row>
    <row r="4858" spans="1:5" x14ac:dyDescent="0.25">
      <c r="A4858" t="s">
        <v>25</v>
      </c>
      <c r="B4858">
        <v>2025</v>
      </c>
      <c r="C4858" t="s">
        <v>58</v>
      </c>
      <c r="D4858">
        <v>2.1995992435482301</v>
      </c>
      <c r="E4858" t="s">
        <v>81</v>
      </c>
    </row>
    <row r="4859" spans="1:5" x14ac:dyDescent="0.25">
      <c r="A4859" t="s">
        <v>28</v>
      </c>
      <c r="B4859">
        <v>2013</v>
      </c>
      <c r="C4859" t="s">
        <v>58</v>
      </c>
      <c r="D4859">
        <v>2.9856201205233699</v>
      </c>
      <c r="E4859" t="s">
        <v>81</v>
      </c>
    </row>
    <row r="4860" spans="1:5" x14ac:dyDescent="0.25">
      <c r="A4860" t="s">
        <v>28</v>
      </c>
      <c r="B4860">
        <v>2014</v>
      </c>
      <c r="C4860" t="s">
        <v>58</v>
      </c>
      <c r="D4860">
        <v>1.73920781226645</v>
      </c>
      <c r="E4860" t="s">
        <v>81</v>
      </c>
    </row>
    <row r="4861" spans="1:5" x14ac:dyDescent="0.25">
      <c r="A4861" t="s">
        <v>28</v>
      </c>
      <c r="B4861">
        <v>2015</v>
      </c>
      <c r="C4861" t="s">
        <v>58</v>
      </c>
      <c r="D4861">
        <v>1.6152642995890001</v>
      </c>
      <c r="E4861" t="s">
        <v>81</v>
      </c>
    </row>
    <row r="4862" spans="1:5" x14ac:dyDescent="0.25">
      <c r="A4862" t="s">
        <v>28</v>
      </c>
      <c r="B4862">
        <v>2016</v>
      </c>
      <c r="C4862" t="s">
        <v>58</v>
      </c>
      <c r="D4862">
        <v>1.73141634959626</v>
      </c>
      <c r="E4862" t="s">
        <v>81</v>
      </c>
    </row>
    <row r="4863" spans="1:5" x14ac:dyDescent="0.25">
      <c r="A4863" t="s">
        <v>28</v>
      </c>
      <c r="B4863">
        <v>2017</v>
      </c>
      <c r="C4863" t="s">
        <v>58</v>
      </c>
      <c r="D4863">
        <v>1.6733093905465699</v>
      </c>
      <c r="E4863" t="s">
        <v>81</v>
      </c>
    </row>
    <row r="4864" spans="1:5" x14ac:dyDescent="0.25">
      <c r="A4864" t="s">
        <v>28</v>
      </c>
      <c r="B4864">
        <v>2018</v>
      </c>
      <c r="C4864" t="s">
        <v>58</v>
      </c>
      <c r="D4864">
        <v>1.8494636017727399</v>
      </c>
      <c r="E4864" t="s">
        <v>81</v>
      </c>
    </row>
    <row r="4865" spans="1:5" x14ac:dyDescent="0.25">
      <c r="A4865" t="s">
        <v>28</v>
      </c>
      <c r="B4865">
        <v>2019</v>
      </c>
      <c r="C4865" t="s">
        <v>58</v>
      </c>
      <c r="D4865">
        <v>1.69320167602629</v>
      </c>
      <c r="E4865" t="s">
        <v>81</v>
      </c>
    </row>
    <row r="4866" spans="1:5" x14ac:dyDescent="0.25">
      <c r="A4866" t="s">
        <v>28</v>
      </c>
      <c r="B4866">
        <v>2020</v>
      </c>
      <c r="C4866" t="s">
        <v>58</v>
      </c>
      <c r="D4866">
        <v>1.5139891468883999</v>
      </c>
      <c r="E4866" t="s">
        <v>81</v>
      </c>
    </row>
    <row r="4867" spans="1:5" x14ac:dyDescent="0.25">
      <c r="A4867" t="s">
        <v>28</v>
      </c>
      <c r="B4867">
        <v>2021</v>
      </c>
      <c r="C4867" t="s">
        <v>58</v>
      </c>
      <c r="D4867">
        <v>1.6145003886393201</v>
      </c>
      <c r="E4867" t="s">
        <v>81</v>
      </c>
    </row>
    <row r="4868" spans="1:5" x14ac:dyDescent="0.25">
      <c r="A4868" t="s">
        <v>28</v>
      </c>
      <c r="B4868">
        <v>2022</v>
      </c>
      <c r="C4868" t="s">
        <v>58</v>
      </c>
      <c r="D4868">
        <v>2.0258616778551</v>
      </c>
      <c r="E4868" t="s">
        <v>81</v>
      </c>
    </row>
    <row r="4869" spans="1:5" x14ac:dyDescent="0.25">
      <c r="A4869" t="s">
        <v>28</v>
      </c>
      <c r="B4869">
        <v>2023</v>
      </c>
      <c r="C4869" t="s">
        <v>58</v>
      </c>
      <c r="D4869">
        <v>2.60622176715985</v>
      </c>
      <c r="E4869" t="s">
        <v>81</v>
      </c>
    </row>
    <row r="4870" spans="1:5" x14ac:dyDescent="0.25">
      <c r="A4870" t="s">
        <v>28</v>
      </c>
      <c r="B4870">
        <v>2024</v>
      </c>
      <c r="C4870" t="s">
        <v>58</v>
      </c>
      <c r="D4870">
        <v>2.1635036225459898</v>
      </c>
      <c r="E4870" t="s">
        <v>81</v>
      </c>
    </row>
    <row r="4871" spans="1:5" x14ac:dyDescent="0.25">
      <c r="A4871" t="s">
        <v>92</v>
      </c>
      <c r="B4871">
        <v>2010</v>
      </c>
      <c r="C4871" t="s">
        <v>58</v>
      </c>
      <c r="D4871">
        <v>0.77749986432885598</v>
      </c>
      <c r="E4871" t="s">
        <v>81</v>
      </c>
    </row>
    <row r="4872" spans="1:5" x14ac:dyDescent="0.25">
      <c r="A4872" t="s">
        <v>75</v>
      </c>
      <c r="B4872">
        <v>2001</v>
      </c>
      <c r="C4872" t="s">
        <v>58</v>
      </c>
      <c r="D4872">
        <v>1.1480056218679699</v>
      </c>
      <c r="E4872" t="s">
        <v>81</v>
      </c>
    </row>
    <row r="4873" spans="1:5" x14ac:dyDescent="0.25">
      <c r="A4873" t="s">
        <v>91</v>
      </c>
      <c r="B4873">
        <v>2017</v>
      </c>
      <c r="C4873" t="s">
        <v>58</v>
      </c>
      <c r="D4873">
        <v>8.2630401178700996</v>
      </c>
      <c r="E4873" t="s">
        <v>81</v>
      </c>
    </row>
    <row r="4874" spans="1:5" x14ac:dyDescent="0.25">
      <c r="A4874" t="s">
        <v>91</v>
      </c>
      <c r="B4874">
        <v>2018</v>
      </c>
      <c r="C4874" t="s">
        <v>58</v>
      </c>
      <c r="D4874">
        <v>10.309749822714901</v>
      </c>
      <c r="E4874" t="s">
        <v>81</v>
      </c>
    </row>
    <row r="4875" spans="1:5" x14ac:dyDescent="0.25">
      <c r="A4875" t="s">
        <v>91</v>
      </c>
      <c r="B4875">
        <v>2019</v>
      </c>
      <c r="C4875" t="s">
        <v>58</v>
      </c>
      <c r="D4875">
        <v>8.6080961566806504</v>
      </c>
      <c r="E4875" t="s">
        <v>81</v>
      </c>
    </row>
    <row r="4876" spans="1:5" x14ac:dyDescent="0.25">
      <c r="A4876" t="s">
        <v>91</v>
      </c>
      <c r="B4876">
        <v>2020</v>
      </c>
      <c r="C4876" t="s">
        <v>58</v>
      </c>
      <c r="D4876">
        <v>9.9465696730514104</v>
      </c>
      <c r="E4876" t="s">
        <v>81</v>
      </c>
    </row>
    <row r="4877" spans="1:5" x14ac:dyDescent="0.25">
      <c r="A4877" t="s">
        <v>91</v>
      </c>
      <c r="B4877">
        <v>2021</v>
      </c>
      <c r="C4877" t="s">
        <v>58</v>
      </c>
      <c r="D4877">
        <v>11.0429340082972</v>
      </c>
      <c r="E4877" t="s">
        <v>81</v>
      </c>
    </row>
    <row r="4878" spans="1:5" x14ac:dyDescent="0.25">
      <c r="A4878" t="s">
        <v>91</v>
      </c>
      <c r="B4878">
        <v>2022</v>
      </c>
      <c r="C4878" t="s">
        <v>58</v>
      </c>
      <c r="D4878">
        <v>12.204380294169001</v>
      </c>
      <c r="E4878" t="s">
        <v>81</v>
      </c>
    </row>
    <row r="4879" spans="1:5" x14ac:dyDescent="0.25">
      <c r="A4879" t="s">
        <v>91</v>
      </c>
      <c r="B4879">
        <v>2023</v>
      </c>
      <c r="C4879" t="s">
        <v>58</v>
      </c>
      <c r="D4879">
        <v>12.334955231949101</v>
      </c>
      <c r="E4879" t="s">
        <v>81</v>
      </c>
    </row>
    <row r="4880" spans="1:5" x14ac:dyDescent="0.25">
      <c r="A4880" t="s">
        <v>91</v>
      </c>
      <c r="B4880">
        <v>2024</v>
      </c>
      <c r="C4880" t="s">
        <v>58</v>
      </c>
      <c r="D4880">
        <v>12.268837822331699</v>
      </c>
      <c r="E4880" t="s">
        <v>81</v>
      </c>
    </row>
    <row r="4881" spans="1:5" x14ac:dyDescent="0.25">
      <c r="A4881" t="s">
        <v>91</v>
      </c>
      <c r="B4881">
        <v>2025</v>
      </c>
      <c r="C4881" t="s">
        <v>58</v>
      </c>
      <c r="D4881">
        <v>11.8267527853779</v>
      </c>
      <c r="E4881" t="s">
        <v>81</v>
      </c>
    </row>
    <row r="4882" spans="1:5" x14ac:dyDescent="0.25">
      <c r="A4882" t="s">
        <v>29</v>
      </c>
      <c r="B4882">
        <v>2000</v>
      </c>
      <c r="C4882" t="s">
        <v>58</v>
      </c>
      <c r="D4882">
        <v>1.0651018491829201</v>
      </c>
      <c r="E4882" t="s">
        <v>81</v>
      </c>
    </row>
    <row r="4883" spans="1:5" x14ac:dyDescent="0.25">
      <c r="A4883" t="s">
        <v>29</v>
      </c>
      <c r="B4883">
        <v>2001</v>
      </c>
      <c r="C4883" t="s">
        <v>58</v>
      </c>
      <c r="D4883">
        <v>1.23678275772623</v>
      </c>
      <c r="E4883" t="s">
        <v>81</v>
      </c>
    </row>
    <row r="4884" spans="1:5" x14ac:dyDescent="0.25">
      <c r="A4884" t="s">
        <v>29</v>
      </c>
      <c r="B4884">
        <v>2002</v>
      </c>
      <c r="C4884" t="s">
        <v>58</v>
      </c>
      <c r="D4884">
        <v>1.4211488971891699</v>
      </c>
      <c r="E4884" t="s">
        <v>81</v>
      </c>
    </row>
    <row r="4885" spans="1:5" x14ac:dyDescent="0.25">
      <c r="A4885" t="s">
        <v>29</v>
      </c>
      <c r="B4885">
        <v>2003</v>
      </c>
      <c r="C4885" t="s">
        <v>58</v>
      </c>
      <c r="D4885">
        <v>1.88072542113334</v>
      </c>
      <c r="E4885" t="s">
        <v>81</v>
      </c>
    </row>
    <row r="4886" spans="1:5" x14ac:dyDescent="0.25">
      <c r="A4886" t="s">
        <v>29</v>
      </c>
      <c r="B4886">
        <v>2004</v>
      </c>
      <c r="C4886" t="s">
        <v>58</v>
      </c>
      <c r="D4886">
        <v>1.6682251527751999</v>
      </c>
      <c r="E4886" t="s">
        <v>81</v>
      </c>
    </row>
    <row r="4887" spans="1:5" x14ac:dyDescent="0.25">
      <c r="A4887" t="s">
        <v>29</v>
      </c>
      <c r="B4887">
        <v>2005</v>
      </c>
      <c r="C4887" t="s">
        <v>58</v>
      </c>
      <c r="D4887">
        <v>2.17812885941769</v>
      </c>
      <c r="E4887" t="s">
        <v>81</v>
      </c>
    </row>
    <row r="4888" spans="1:5" x14ac:dyDescent="0.25">
      <c r="A4888" t="s">
        <v>29</v>
      </c>
      <c r="B4888">
        <v>2006</v>
      </c>
      <c r="C4888" t="s">
        <v>58</v>
      </c>
      <c r="D4888">
        <v>2.6807361061822199</v>
      </c>
      <c r="E4888" t="s">
        <v>81</v>
      </c>
    </row>
    <row r="4889" spans="1:5" x14ac:dyDescent="0.25">
      <c r="A4889" t="s">
        <v>29</v>
      </c>
      <c r="B4889">
        <v>2007</v>
      </c>
      <c r="C4889" t="s">
        <v>58</v>
      </c>
      <c r="D4889">
        <v>3.1814903859617498</v>
      </c>
      <c r="E4889" t="s">
        <v>81</v>
      </c>
    </row>
    <row r="4890" spans="1:5" x14ac:dyDescent="0.25">
      <c r="A4890" t="s">
        <v>29</v>
      </c>
      <c r="B4890">
        <v>2008</v>
      </c>
      <c r="C4890" t="s">
        <v>58</v>
      </c>
      <c r="D4890">
        <v>3.7873382156922499</v>
      </c>
      <c r="E4890" t="s">
        <v>81</v>
      </c>
    </row>
    <row r="4891" spans="1:5" x14ac:dyDescent="0.25">
      <c r="A4891" t="s">
        <v>29</v>
      </c>
      <c r="B4891">
        <v>2009</v>
      </c>
      <c r="C4891" t="s">
        <v>58</v>
      </c>
      <c r="D4891">
        <v>2.97126605588302</v>
      </c>
      <c r="E4891" t="s">
        <v>81</v>
      </c>
    </row>
    <row r="4892" spans="1:5" x14ac:dyDescent="0.25">
      <c r="A4892" t="s">
        <v>29</v>
      </c>
      <c r="B4892">
        <v>2010</v>
      </c>
      <c r="C4892" t="s">
        <v>58</v>
      </c>
      <c r="D4892">
        <v>3.2745392279058398</v>
      </c>
      <c r="E4892" t="s">
        <v>81</v>
      </c>
    </row>
    <row r="4893" spans="1:5" x14ac:dyDescent="0.25">
      <c r="A4893" t="s">
        <v>29</v>
      </c>
      <c r="B4893">
        <v>2011</v>
      </c>
      <c r="C4893" t="s">
        <v>58</v>
      </c>
      <c r="D4893">
        <v>4.3492164177124897</v>
      </c>
      <c r="E4893" t="s">
        <v>81</v>
      </c>
    </row>
    <row r="4894" spans="1:5" x14ac:dyDescent="0.25">
      <c r="A4894" t="s">
        <v>29</v>
      </c>
      <c r="B4894">
        <v>2012</v>
      </c>
      <c r="C4894" t="s">
        <v>58</v>
      </c>
      <c r="D4894">
        <v>4.3920168076825696</v>
      </c>
      <c r="E4894" t="s">
        <v>81</v>
      </c>
    </row>
    <row r="4895" spans="1:5" x14ac:dyDescent="0.25">
      <c r="A4895" t="s">
        <v>29</v>
      </c>
      <c r="B4895">
        <v>2013</v>
      </c>
      <c r="C4895" t="s">
        <v>58</v>
      </c>
      <c r="D4895">
        <v>4.8776480541117504</v>
      </c>
      <c r="E4895" t="s">
        <v>81</v>
      </c>
    </row>
    <row r="4896" spans="1:5" x14ac:dyDescent="0.25">
      <c r="A4896" t="s">
        <v>29</v>
      </c>
      <c r="B4896">
        <v>2014</v>
      </c>
      <c r="C4896" t="s">
        <v>58</v>
      </c>
      <c r="D4896">
        <v>4.5682835029303597</v>
      </c>
      <c r="E4896" t="s">
        <v>81</v>
      </c>
    </row>
    <row r="4897" spans="1:5" x14ac:dyDescent="0.25">
      <c r="A4897" t="s">
        <v>29</v>
      </c>
      <c r="B4897">
        <v>2015</v>
      </c>
      <c r="C4897" t="s">
        <v>58</v>
      </c>
      <c r="D4897">
        <v>3.9465307596524202</v>
      </c>
      <c r="E4897" t="s">
        <v>81</v>
      </c>
    </row>
    <row r="4898" spans="1:5" x14ac:dyDescent="0.25">
      <c r="A4898" t="s">
        <v>29</v>
      </c>
      <c r="B4898">
        <v>2016</v>
      </c>
      <c r="C4898" t="s">
        <v>58</v>
      </c>
      <c r="D4898">
        <v>4.2612643932514098</v>
      </c>
      <c r="E4898" t="s">
        <v>81</v>
      </c>
    </row>
    <row r="4899" spans="1:5" x14ac:dyDescent="0.25">
      <c r="A4899" t="s">
        <v>29</v>
      </c>
      <c r="B4899">
        <v>2017</v>
      </c>
      <c r="C4899" t="s">
        <v>58</v>
      </c>
      <c r="D4899">
        <v>5.00329013821435</v>
      </c>
      <c r="E4899" t="s">
        <v>81</v>
      </c>
    </row>
    <row r="4900" spans="1:5" x14ac:dyDescent="0.25">
      <c r="A4900" t="s">
        <v>29</v>
      </c>
      <c r="B4900">
        <v>2018</v>
      </c>
      <c r="C4900" t="s">
        <v>58</v>
      </c>
      <c r="D4900">
        <v>5.15082128886778</v>
      </c>
      <c r="E4900" t="s">
        <v>81</v>
      </c>
    </row>
    <row r="4901" spans="1:5" x14ac:dyDescent="0.25">
      <c r="A4901" t="s">
        <v>29</v>
      </c>
      <c r="B4901">
        <v>2019</v>
      </c>
      <c r="C4901" t="s">
        <v>58</v>
      </c>
      <c r="D4901">
        <v>4.9453002819208196</v>
      </c>
      <c r="E4901" t="s">
        <v>81</v>
      </c>
    </row>
    <row r="4902" spans="1:5" x14ac:dyDescent="0.25">
      <c r="A4902" t="s">
        <v>29</v>
      </c>
      <c r="B4902">
        <v>2020</v>
      </c>
      <c r="C4902" t="s">
        <v>58</v>
      </c>
      <c r="D4902">
        <v>4.6924814986874299</v>
      </c>
      <c r="E4902" t="s">
        <v>81</v>
      </c>
    </row>
    <row r="4903" spans="1:5" x14ac:dyDescent="0.25">
      <c r="A4903" t="s">
        <v>29</v>
      </c>
      <c r="B4903">
        <v>2021</v>
      </c>
      <c r="C4903" t="s">
        <v>58</v>
      </c>
      <c r="D4903">
        <v>5.3788975256085898</v>
      </c>
      <c r="E4903" t="s">
        <v>81</v>
      </c>
    </row>
    <row r="4904" spans="1:5" x14ac:dyDescent="0.25">
      <c r="A4904" t="s">
        <v>29</v>
      </c>
      <c r="B4904">
        <v>2022</v>
      </c>
      <c r="C4904" t="s">
        <v>58</v>
      </c>
      <c r="D4904">
        <v>6.0087266950144098</v>
      </c>
      <c r="E4904" t="s">
        <v>81</v>
      </c>
    </row>
    <row r="4905" spans="1:5" x14ac:dyDescent="0.25">
      <c r="A4905" t="s">
        <v>29</v>
      </c>
      <c r="B4905">
        <v>2023</v>
      </c>
      <c r="C4905" t="s">
        <v>58</v>
      </c>
      <c r="D4905">
        <v>7.0137381382469997</v>
      </c>
      <c r="E4905" t="s">
        <v>81</v>
      </c>
    </row>
    <row r="4906" spans="1:5" x14ac:dyDescent="0.25">
      <c r="A4906" t="s">
        <v>29</v>
      </c>
      <c r="B4906">
        <v>2024</v>
      </c>
      <c r="C4906" t="s">
        <v>58</v>
      </c>
      <c r="D4906">
        <v>6.4658229588754601</v>
      </c>
      <c r="E4906" t="s">
        <v>81</v>
      </c>
    </row>
    <row r="4907" spans="1:5" x14ac:dyDescent="0.25">
      <c r="A4907" t="s">
        <v>29</v>
      </c>
      <c r="B4907">
        <v>2025</v>
      </c>
      <c r="C4907" t="s">
        <v>58</v>
      </c>
      <c r="D4907">
        <v>6.2113867147433197</v>
      </c>
      <c r="E4907" t="s">
        <v>81</v>
      </c>
    </row>
    <row r="4908" spans="1:5" x14ac:dyDescent="0.25">
      <c r="A4908" t="s">
        <v>74</v>
      </c>
      <c r="B4908">
        <v>2010</v>
      </c>
      <c r="C4908" t="s">
        <v>58</v>
      </c>
      <c r="D4908">
        <v>5.9492771080706897</v>
      </c>
      <c r="E4908" t="s">
        <v>81</v>
      </c>
    </row>
    <row r="4909" spans="1:5" x14ac:dyDescent="0.25">
      <c r="A4909" t="s">
        <v>74</v>
      </c>
      <c r="B4909">
        <v>2011</v>
      </c>
      <c r="C4909" t="s">
        <v>58</v>
      </c>
      <c r="D4909">
        <v>7.6654780202518804</v>
      </c>
      <c r="E4909" t="s">
        <v>81</v>
      </c>
    </row>
    <row r="4910" spans="1:5" x14ac:dyDescent="0.25">
      <c r="A4910" t="s">
        <v>74</v>
      </c>
      <c r="B4910">
        <v>2012</v>
      </c>
      <c r="C4910" t="s">
        <v>58</v>
      </c>
      <c r="D4910">
        <v>9.4252284313794306</v>
      </c>
      <c r="E4910" t="s">
        <v>81</v>
      </c>
    </row>
    <row r="4911" spans="1:5" x14ac:dyDescent="0.25">
      <c r="A4911" t="s">
        <v>74</v>
      </c>
      <c r="B4911">
        <v>2013</v>
      </c>
      <c r="C4911" t="s">
        <v>58</v>
      </c>
      <c r="D4911">
        <v>8.0128294000124303</v>
      </c>
      <c r="E4911" t="s">
        <v>81</v>
      </c>
    </row>
    <row r="4912" spans="1:5" x14ac:dyDescent="0.25">
      <c r="A4912" t="s">
        <v>74</v>
      </c>
      <c r="B4912">
        <v>2014</v>
      </c>
      <c r="C4912" t="s">
        <v>58</v>
      </c>
      <c r="D4912">
        <v>7.7013058310951896</v>
      </c>
      <c r="E4912" t="s">
        <v>81</v>
      </c>
    </row>
    <row r="4913" spans="1:5" x14ac:dyDescent="0.25">
      <c r="A4913" t="s">
        <v>74</v>
      </c>
      <c r="B4913">
        <v>2015</v>
      </c>
      <c r="C4913" t="s">
        <v>58</v>
      </c>
      <c r="D4913">
        <v>6.7495919958030397</v>
      </c>
      <c r="E4913" t="s">
        <v>81</v>
      </c>
    </row>
    <row r="4914" spans="1:5" x14ac:dyDescent="0.25">
      <c r="A4914" t="s">
        <v>74</v>
      </c>
      <c r="B4914">
        <v>2016</v>
      </c>
      <c r="C4914" t="s">
        <v>58</v>
      </c>
      <c r="D4914">
        <v>7.2814063738063703</v>
      </c>
      <c r="E4914" t="s">
        <v>81</v>
      </c>
    </row>
    <row r="4915" spans="1:5" x14ac:dyDescent="0.25">
      <c r="A4915" t="s">
        <v>74</v>
      </c>
      <c r="B4915">
        <v>2017</v>
      </c>
      <c r="C4915" t="s">
        <v>58</v>
      </c>
      <c r="D4915">
        <v>7.3926808055727404</v>
      </c>
      <c r="E4915" t="s">
        <v>81</v>
      </c>
    </row>
    <row r="4916" spans="1:5" x14ac:dyDescent="0.25">
      <c r="A4916" t="s">
        <v>74</v>
      </c>
      <c r="B4916">
        <v>2018</v>
      </c>
      <c r="C4916" t="s">
        <v>58</v>
      </c>
      <c r="D4916">
        <v>8.1946527955349406</v>
      </c>
      <c r="E4916" t="s">
        <v>81</v>
      </c>
    </row>
    <row r="4917" spans="1:5" x14ac:dyDescent="0.25">
      <c r="A4917" t="s">
        <v>74</v>
      </c>
      <c r="B4917">
        <v>2019</v>
      </c>
      <c r="C4917" t="s">
        <v>58</v>
      </c>
      <c r="D4917">
        <v>7.95280384544089</v>
      </c>
      <c r="E4917" t="s">
        <v>81</v>
      </c>
    </row>
    <row r="4918" spans="1:5" x14ac:dyDescent="0.25">
      <c r="A4918" t="s">
        <v>74</v>
      </c>
      <c r="B4918">
        <v>2020</v>
      </c>
      <c r="C4918" t="s">
        <v>58</v>
      </c>
      <c r="D4918">
        <v>7.1224653127530502</v>
      </c>
      <c r="E4918" t="s">
        <v>81</v>
      </c>
    </row>
    <row r="4919" spans="1:5" x14ac:dyDescent="0.25">
      <c r="A4919" t="s">
        <v>74</v>
      </c>
      <c r="B4919">
        <v>2021</v>
      </c>
      <c r="C4919" t="s">
        <v>58</v>
      </c>
      <c r="D4919">
        <v>8.5139454530263308</v>
      </c>
      <c r="E4919" t="s">
        <v>81</v>
      </c>
    </row>
    <row r="4920" spans="1:5" x14ac:dyDescent="0.25">
      <c r="A4920" t="s">
        <v>74</v>
      </c>
      <c r="B4920">
        <v>2022</v>
      </c>
      <c r="C4920" t="s">
        <v>58</v>
      </c>
      <c r="D4920">
        <v>8.7290013945181695</v>
      </c>
      <c r="E4920" t="s">
        <v>81</v>
      </c>
    </row>
    <row r="4921" spans="1:5" x14ac:dyDescent="0.25">
      <c r="A4921" t="s">
        <v>74</v>
      </c>
      <c r="B4921">
        <v>2023</v>
      </c>
      <c r="C4921" t="s">
        <v>58</v>
      </c>
      <c r="D4921">
        <v>7.5896297055181696</v>
      </c>
      <c r="E4921" t="s">
        <v>81</v>
      </c>
    </row>
    <row r="4922" spans="1:5" x14ac:dyDescent="0.25">
      <c r="A4922" t="s">
        <v>74</v>
      </c>
      <c r="B4922">
        <v>2024</v>
      </c>
      <c r="C4922" t="s">
        <v>58</v>
      </c>
      <c r="D4922">
        <v>5.97716628948604</v>
      </c>
      <c r="E4922" t="s">
        <v>81</v>
      </c>
    </row>
    <row r="4923" spans="1:5" x14ac:dyDescent="0.25">
      <c r="A4923" t="s">
        <v>74</v>
      </c>
      <c r="B4923">
        <v>2025</v>
      </c>
      <c r="C4923" t="s">
        <v>58</v>
      </c>
      <c r="D4923">
        <v>6.6864908249301704</v>
      </c>
      <c r="E4923" t="s">
        <v>81</v>
      </c>
    </row>
    <row r="4924" spans="1:5" x14ac:dyDescent="0.25">
      <c r="A4924" t="s">
        <v>90</v>
      </c>
      <c r="B4924">
        <v>2011</v>
      </c>
      <c r="C4924" t="s">
        <v>58</v>
      </c>
      <c r="D4924">
        <v>0.64943113942506003</v>
      </c>
      <c r="E4924" t="s">
        <v>81</v>
      </c>
    </row>
    <row r="4925" spans="1:5" x14ac:dyDescent="0.25">
      <c r="A4925" t="s">
        <v>32</v>
      </c>
      <c r="B4925">
        <v>2013</v>
      </c>
      <c r="C4925" t="s">
        <v>58</v>
      </c>
      <c r="D4925">
        <v>9.76240865932156E-2</v>
      </c>
      <c r="E4925" t="s">
        <v>81</v>
      </c>
    </row>
    <row r="4926" spans="1:5" x14ac:dyDescent="0.25">
      <c r="A4926" t="s">
        <v>33</v>
      </c>
      <c r="B4926">
        <v>2003</v>
      </c>
      <c r="C4926" t="s">
        <v>58</v>
      </c>
      <c r="D4926">
        <v>0.76697827353524095</v>
      </c>
      <c r="E4926" t="s">
        <v>81</v>
      </c>
    </row>
    <row r="4927" spans="1:5" x14ac:dyDescent="0.25">
      <c r="A4927" t="s">
        <v>33</v>
      </c>
      <c r="B4927">
        <v>2004</v>
      </c>
      <c r="C4927" t="s">
        <v>58</v>
      </c>
      <c r="D4927">
        <v>0.94178360905702996</v>
      </c>
      <c r="E4927" t="s">
        <v>81</v>
      </c>
    </row>
    <row r="4928" spans="1:5" x14ac:dyDescent="0.25">
      <c r="A4928" t="s">
        <v>33</v>
      </c>
      <c r="B4928">
        <v>2005</v>
      </c>
      <c r="C4928" t="s">
        <v>58</v>
      </c>
      <c r="D4928">
        <v>0.85082654458082696</v>
      </c>
      <c r="E4928" t="s">
        <v>81</v>
      </c>
    </row>
    <row r="4929" spans="1:5" x14ac:dyDescent="0.25">
      <c r="A4929" t="s">
        <v>33</v>
      </c>
      <c r="B4929">
        <v>2006</v>
      </c>
      <c r="C4929" t="s">
        <v>58</v>
      </c>
      <c r="D4929">
        <v>1.0271437895356601</v>
      </c>
      <c r="E4929" t="s">
        <v>81</v>
      </c>
    </row>
    <row r="4930" spans="1:5" x14ac:dyDescent="0.25">
      <c r="A4930" t="s">
        <v>33</v>
      </c>
      <c r="B4930">
        <v>2007</v>
      </c>
      <c r="C4930" t="s">
        <v>58</v>
      </c>
      <c r="D4930">
        <v>2.57391449390561</v>
      </c>
      <c r="E4930" t="s">
        <v>81</v>
      </c>
    </row>
    <row r="4931" spans="1:5" x14ac:dyDescent="0.25">
      <c r="A4931" t="s">
        <v>33</v>
      </c>
      <c r="B4931">
        <v>2008</v>
      </c>
      <c r="C4931" t="s">
        <v>58</v>
      </c>
      <c r="D4931">
        <v>1.7052844985934501</v>
      </c>
      <c r="E4931" t="s">
        <v>81</v>
      </c>
    </row>
    <row r="4932" spans="1:5" x14ac:dyDescent="0.25">
      <c r="A4932" t="s">
        <v>33</v>
      </c>
      <c r="B4932">
        <v>2009</v>
      </c>
      <c r="C4932" t="s">
        <v>58</v>
      </c>
      <c r="D4932">
        <v>1.1745140757735899</v>
      </c>
      <c r="E4932" t="s">
        <v>81</v>
      </c>
    </row>
    <row r="4933" spans="1:5" x14ac:dyDescent="0.25">
      <c r="A4933" t="s">
        <v>33</v>
      </c>
      <c r="B4933">
        <v>2010</v>
      </c>
      <c r="C4933" t="s">
        <v>58</v>
      </c>
      <c r="D4933">
        <v>1.4606347831377799</v>
      </c>
      <c r="E4933" t="s">
        <v>81</v>
      </c>
    </row>
    <row r="4934" spans="1:5" x14ac:dyDescent="0.25">
      <c r="A4934" t="s">
        <v>33</v>
      </c>
      <c r="B4934">
        <v>2011</v>
      </c>
      <c r="C4934" t="s">
        <v>58</v>
      </c>
      <c r="D4934">
        <v>1.9012706198699001</v>
      </c>
      <c r="E4934" t="s">
        <v>81</v>
      </c>
    </row>
    <row r="4935" spans="1:5" x14ac:dyDescent="0.25">
      <c r="A4935" t="s">
        <v>33</v>
      </c>
      <c r="B4935">
        <v>2012</v>
      </c>
      <c r="C4935" t="s">
        <v>58</v>
      </c>
      <c r="D4935">
        <v>2.28952524165445</v>
      </c>
      <c r="E4935" t="s">
        <v>81</v>
      </c>
    </row>
    <row r="4936" spans="1:5" x14ac:dyDescent="0.25">
      <c r="A4936" t="s">
        <v>33</v>
      </c>
      <c r="B4936">
        <v>2013</v>
      </c>
      <c r="C4936" t="s">
        <v>58</v>
      </c>
      <c r="D4936">
        <v>2.3699157175704202</v>
      </c>
      <c r="E4936" t="s">
        <v>81</v>
      </c>
    </row>
    <row r="4937" spans="1:5" x14ac:dyDescent="0.25">
      <c r="A4937" t="s">
        <v>33</v>
      </c>
      <c r="B4937">
        <v>2014</v>
      </c>
      <c r="C4937" t="s">
        <v>58</v>
      </c>
      <c r="D4937">
        <v>1.54375718430917</v>
      </c>
      <c r="E4937" t="s">
        <v>81</v>
      </c>
    </row>
    <row r="4938" spans="1:5" x14ac:dyDescent="0.25">
      <c r="A4938" t="s">
        <v>33</v>
      </c>
      <c r="B4938">
        <v>2015</v>
      </c>
      <c r="C4938" t="s">
        <v>58</v>
      </c>
      <c r="D4938">
        <v>1.2760335087861601</v>
      </c>
      <c r="E4938" t="s">
        <v>81</v>
      </c>
    </row>
    <row r="4939" spans="1:5" x14ac:dyDescent="0.25">
      <c r="A4939" t="s">
        <v>33</v>
      </c>
      <c r="B4939">
        <v>2016</v>
      </c>
      <c r="C4939" t="s">
        <v>58</v>
      </c>
      <c r="D4939">
        <v>1.36245648940027</v>
      </c>
      <c r="E4939" t="s">
        <v>81</v>
      </c>
    </row>
    <row r="4940" spans="1:5" x14ac:dyDescent="0.25">
      <c r="A4940" t="s">
        <v>33</v>
      </c>
      <c r="B4940">
        <v>2017</v>
      </c>
      <c r="C4940" t="s">
        <v>58</v>
      </c>
      <c r="D4940">
        <v>1.92305550271501</v>
      </c>
      <c r="E4940" t="s">
        <v>81</v>
      </c>
    </row>
    <row r="4941" spans="1:5" x14ac:dyDescent="0.25">
      <c r="A4941" t="s">
        <v>33</v>
      </c>
      <c r="B4941">
        <v>2018</v>
      </c>
      <c r="C4941" t="s">
        <v>58</v>
      </c>
      <c r="D4941">
        <v>1.75799418537484</v>
      </c>
      <c r="E4941" t="s">
        <v>81</v>
      </c>
    </row>
    <row r="4942" spans="1:5" x14ac:dyDescent="0.25">
      <c r="A4942" t="s">
        <v>33</v>
      </c>
      <c r="B4942">
        <v>2019</v>
      </c>
      <c r="C4942" t="s">
        <v>58</v>
      </c>
      <c r="D4942">
        <v>1.27936771536445</v>
      </c>
      <c r="E4942" t="s">
        <v>81</v>
      </c>
    </row>
    <row r="4943" spans="1:5" x14ac:dyDescent="0.25">
      <c r="A4943" t="s">
        <v>33</v>
      </c>
      <c r="B4943">
        <v>2020</v>
      </c>
      <c r="C4943" t="s">
        <v>58</v>
      </c>
      <c r="D4943">
        <v>1.4101462177938999</v>
      </c>
      <c r="E4943" t="s">
        <v>81</v>
      </c>
    </row>
    <row r="4944" spans="1:5" x14ac:dyDescent="0.25">
      <c r="A4944" t="s">
        <v>33</v>
      </c>
      <c r="B4944">
        <v>2021</v>
      </c>
      <c r="C4944" t="s">
        <v>58</v>
      </c>
      <c r="D4944">
        <v>1.42871045046317</v>
      </c>
      <c r="E4944" t="s">
        <v>81</v>
      </c>
    </row>
    <row r="4945" spans="1:5" x14ac:dyDescent="0.25">
      <c r="A4945" t="s">
        <v>33</v>
      </c>
      <c r="B4945">
        <v>2022</v>
      </c>
      <c r="C4945" t="s">
        <v>58</v>
      </c>
      <c r="D4945">
        <v>1.5613051338827599</v>
      </c>
      <c r="E4945" t="s">
        <v>81</v>
      </c>
    </row>
    <row r="4946" spans="1:5" x14ac:dyDescent="0.25">
      <c r="A4946" t="s">
        <v>33</v>
      </c>
      <c r="B4946">
        <v>2023</v>
      </c>
      <c r="C4946" t="s">
        <v>58</v>
      </c>
      <c r="D4946">
        <v>1.69754901265157</v>
      </c>
      <c r="E4946" t="s">
        <v>81</v>
      </c>
    </row>
    <row r="4947" spans="1:5" x14ac:dyDescent="0.25">
      <c r="A4947" t="s">
        <v>72</v>
      </c>
      <c r="B4947">
        <v>2010</v>
      </c>
      <c r="C4947" t="s">
        <v>58</v>
      </c>
      <c r="D4947">
        <v>3.54815882779757</v>
      </c>
      <c r="E4947" t="s">
        <v>81</v>
      </c>
    </row>
    <row r="4948" spans="1:5" x14ac:dyDescent="0.25">
      <c r="A4948" t="s">
        <v>72</v>
      </c>
      <c r="B4948">
        <v>2011</v>
      </c>
      <c r="C4948" t="s">
        <v>58</v>
      </c>
      <c r="D4948">
        <v>1.9159666675518501</v>
      </c>
      <c r="E4948" t="s">
        <v>81</v>
      </c>
    </row>
    <row r="4949" spans="1:5" x14ac:dyDescent="0.25">
      <c r="A4949" t="s">
        <v>72</v>
      </c>
      <c r="B4949">
        <v>2012</v>
      </c>
      <c r="C4949" t="s">
        <v>58</v>
      </c>
      <c r="D4949">
        <v>2.5745628067266</v>
      </c>
      <c r="E4949" t="s">
        <v>81</v>
      </c>
    </row>
    <row r="4950" spans="1:5" x14ac:dyDescent="0.25">
      <c r="A4950" t="s">
        <v>72</v>
      </c>
      <c r="B4950">
        <v>2013</v>
      </c>
      <c r="C4950" t="s">
        <v>58</v>
      </c>
      <c r="D4950">
        <v>2.8046440481809398</v>
      </c>
      <c r="E4950" t="s">
        <v>81</v>
      </c>
    </row>
    <row r="4951" spans="1:5" x14ac:dyDescent="0.25">
      <c r="A4951" t="s">
        <v>72</v>
      </c>
      <c r="B4951">
        <v>2014</v>
      </c>
      <c r="C4951" t="s">
        <v>58</v>
      </c>
      <c r="D4951">
        <v>3.2117309619255199</v>
      </c>
      <c r="E4951" t="s">
        <v>81</v>
      </c>
    </row>
    <row r="4952" spans="1:5" x14ac:dyDescent="0.25">
      <c r="A4952" t="s">
        <v>72</v>
      </c>
      <c r="B4952">
        <v>2015</v>
      </c>
      <c r="C4952" t="s">
        <v>58</v>
      </c>
      <c r="D4952">
        <v>2.2737605029458798</v>
      </c>
      <c r="E4952" t="s">
        <v>81</v>
      </c>
    </row>
    <row r="4953" spans="1:5" x14ac:dyDescent="0.25">
      <c r="A4953" t="s">
        <v>72</v>
      </c>
      <c r="B4953">
        <v>2017</v>
      </c>
      <c r="C4953" t="s">
        <v>58</v>
      </c>
      <c r="D4953">
        <v>2.1862497476602498</v>
      </c>
      <c r="E4953" t="s">
        <v>81</v>
      </c>
    </row>
    <row r="4954" spans="1:5" x14ac:dyDescent="0.25">
      <c r="A4954" t="s">
        <v>72</v>
      </c>
      <c r="B4954">
        <v>2019</v>
      </c>
      <c r="C4954" t="s">
        <v>58</v>
      </c>
      <c r="D4954">
        <v>2.5654798496445901</v>
      </c>
      <c r="E4954" t="s">
        <v>81</v>
      </c>
    </row>
    <row r="4955" spans="1:5" x14ac:dyDescent="0.25">
      <c r="A4955" t="s">
        <v>72</v>
      </c>
      <c r="B4955">
        <v>2020</v>
      </c>
      <c r="C4955" t="s">
        <v>58</v>
      </c>
      <c r="D4955">
        <v>2.86740370880272</v>
      </c>
      <c r="E4955" t="s">
        <v>81</v>
      </c>
    </row>
    <row r="4956" spans="1:5" x14ac:dyDescent="0.25">
      <c r="A4956" t="s">
        <v>72</v>
      </c>
      <c r="B4956">
        <v>2021</v>
      </c>
      <c r="C4956" t="s">
        <v>58</v>
      </c>
      <c r="D4956">
        <v>2.5351341501744602</v>
      </c>
      <c r="E4956" t="s">
        <v>81</v>
      </c>
    </row>
    <row r="4957" spans="1:5" x14ac:dyDescent="0.25">
      <c r="A4957" t="s">
        <v>72</v>
      </c>
      <c r="B4957">
        <v>2022</v>
      </c>
      <c r="C4957" t="s">
        <v>58</v>
      </c>
      <c r="D4957">
        <v>2.9092249091909101</v>
      </c>
      <c r="E4957" t="s">
        <v>81</v>
      </c>
    </row>
    <row r="4958" spans="1:5" x14ac:dyDescent="0.25">
      <c r="A4958" t="s">
        <v>72</v>
      </c>
      <c r="B4958">
        <v>2023</v>
      </c>
      <c r="C4958" t="s">
        <v>58</v>
      </c>
      <c r="D4958">
        <v>4.3358708896819502</v>
      </c>
      <c r="E4958" t="s">
        <v>81</v>
      </c>
    </row>
    <row r="4959" spans="1:5" x14ac:dyDescent="0.25">
      <c r="A4959" t="s">
        <v>72</v>
      </c>
      <c r="B4959">
        <v>2024</v>
      </c>
      <c r="C4959" t="s">
        <v>58</v>
      </c>
      <c r="D4959">
        <v>3.5502692484213298</v>
      </c>
      <c r="E4959" t="s">
        <v>81</v>
      </c>
    </row>
    <row r="4960" spans="1:5" x14ac:dyDescent="0.25">
      <c r="A4960" t="s">
        <v>72</v>
      </c>
      <c r="B4960">
        <v>2025</v>
      </c>
      <c r="C4960" t="s">
        <v>58</v>
      </c>
      <c r="D4960">
        <v>3.6300002678182599</v>
      </c>
      <c r="E4960" t="s">
        <v>81</v>
      </c>
    </row>
    <row r="4961" spans="1:5" x14ac:dyDescent="0.25">
      <c r="A4961" t="s">
        <v>71</v>
      </c>
      <c r="B4961">
        <v>2012</v>
      </c>
      <c r="C4961" t="s">
        <v>58</v>
      </c>
      <c r="D4961">
        <v>18.4545527670528</v>
      </c>
      <c r="E4961" t="s">
        <v>81</v>
      </c>
    </row>
    <row r="4962" spans="1:5" x14ac:dyDescent="0.25">
      <c r="A4962" t="s">
        <v>71</v>
      </c>
      <c r="B4962">
        <v>2014</v>
      </c>
      <c r="C4962" t="s">
        <v>58</v>
      </c>
      <c r="D4962">
        <v>15.065224215336499</v>
      </c>
      <c r="E4962" t="s">
        <v>81</v>
      </c>
    </row>
    <row r="4963" spans="1:5" x14ac:dyDescent="0.25">
      <c r="A4963" t="s">
        <v>71</v>
      </c>
      <c r="B4963">
        <v>2016</v>
      </c>
      <c r="C4963" t="s">
        <v>58</v>
      </c>
      <c r="D4963">
        <v>12.5150709149538</v>
      </c>
      <c r="E4963" t="s">
        <v>81</v>
      </c>
    </row>
    <row r="4964" spans="1:5" x14ac:dyDescent="0.25">
      <c r="A4964" t="s">
        <v>71</v>
      </c>
      <c r="B4964">
        <v>2017</v>
      </c>
      <c r="C4964" t="s">
        <v>58</v>
      </c>
      <c r="D4964">
        <v>12.947372504098</v>
      </c>
      <c r="E4964" t="s">
        <v>81</v>
      </c>
    </row>
    <row r="4965" spans="1:5" x14ac:dyDescent="0.25">
      <c r="A4965" t="s">
        <v>71</v>
      </c>
      <c r="B4965">
        <v>2019</v>
      </c>
      <c r="C4965" t="s">
        <v>58</v>
      </c>
      <c r="D4965">
        <v>10.8240374969192</v>
      </c>
      <c r="E4965" t="s">
        <v>81</v>
      </c>
    </row>
    <row r="4966" spans="1:5" x14ac:dyDescent="0.25">
      <c r="A4966" t="s">
        <v>71</v>
      </c>
      <c r="B4966">
        <v>2020</v>
      </c>
      <c r="C4966" t="s">
        <v>58</v>
      </c>
      <c r="D4966">
        <v>4.2694738704507396</v>
      </c>
      <c r="E4966" t="s">
        <v>81</v>
      </c>
    </row>
    <row r="4967" spans="1:5" x14ac:dyDescent="0.25">
      <c r="A4967" t="s">
        <v>71</v>
      </c>
      <c r="B4967">
        <v>2021</v>
      </c>
      <c r="C4967" t="s">
        <v>58</v>
      </c>
      <c r="D4967">
        <v>7.0527239850913004</v>
      </c>
      <c r="E4967" t="s">
        <v>81</v>
      </c>
    </row>
    <row r="4968" spans="1:5" x14ac:dyDescent="0.25">
      <c r="A4968" t="s">
        <v>71</v>
      </c>
      <c r="B4968">
        <v>2022</v>
      </c>
      <c r="C4968" t="s">
        <v>58</v>
      </c>
      <c r="D4968">
        <v>13.2042758552205</v>
      </c>
      <c r="E4968" t="s">
        <v>81</v>
      </c>
    </row>
    <row r="4969" spans="1:5" x14ac:dyDescent="0.25">
      <c r="A4969" t="s">
        <v>71</v>
      </c>
      <c r="B4969">
        <v>2023</v>
      </c>
      <c r="C4969" t="s">
        <v>58</v>
      </c>
      <c r="D4969">
        <v>13.1934635747869</v>
      </c>
      <c r="E4969" t="s">
        <v>81</v>
      </c>
    </row>
    <row r="4970" spans="1:5" x14ac:dyDescent="0.25">
      <c r="A4970" t="s">
        <v>71</v>
      </c>
      <c r="B4970">
        <v>2024</v>
      </c>
      <c r="C4970" t="s">
        <v>58</v>
      </c>
      <c r="D4970">
        <v>4.70363634821756</v>
      </c>
      <c r="E4970" t="s">
        <v>81</v>
      </c>
    </row>
    <row r="4971" spans="1:5" x14ac:dyDescent="0.25">
      <c r="A4971" t="s">
        <v>35</v>
      </c>
      <c r="B4971">
        <v>2010</v>
      </c>
      <c r="C4971" t="s">
        <v>58</v>
      </c>
      <c r="D4971">
        <v>1.49120615623282</v>
      </c>
      <c r="E4971" t="s">
        <v>81</v>
      </c>
    </row>
    <row r="4972" spans="1:5" x14ac:dyDescent="0.25">
      <c r="A4972" t="s">
        <v>35</v>
      </c>
      <c r="B4972">
        <v>2011</v>
      </c>
      <c r="C4972" t="s">
        <v>58</v>
      </c>
      <c r="D4972">
        <v>1.95175398895998</v>
      </c>
      <c r="E4972" t="s">
        <v>81</v>
      </c>
    </row>
    <row r="4973" spans="1:5" x14ac:dyDescent="0.25">
      <c r="A4973" t="s">
        <v>35</v>
      </c>
      <c r="B4973">
        <v>2012</v>
      </c>
      <c r="C4973" t="s">
        <v>58</v>
      </c>
      <c r="D4973">
        <v>2.3938474711328501</v>
      </c>
      <c r="E4973" t="s">
        <v>81</v>
      </c>
    </row>
    <row r="4974" spans="1:5" x14ac:dyDescent="0.25">
      <c r="A4974" t="s">
        <v>35</v>
      </c>
      <c r="B4974">
        <v>2013</v>
      </c>
      <c r="C4974" t="s">
        <v>58</v>
      </c>
      <c r="D4974">
        <v>2.3556696342839198</v>
      </c>
      <c r="E4974" t="s">
        <v>81</v>
      </c>
    </row>
    <row r="4975" spans="1:5" x14ac:dyDescent="0.25">
      <c r="A4975" t="s">
        <v>35</v>
      </c>
      <c r="B4975">
        <v>2014</v>
      </c>
      <c r="C4975" t="s">
        <v>58</v>
      </c>
      <c r="D4975">
        <v>1.8049420473693101</v>
      </c>
      <c r="E4975" t="s">
        <v>81</v>
      </c>
    </row>
    <row r="4976" spans="1:5" x14ac:dyDescent="0.25">
      <c r="A4976" t="s">
        <v>35</v>
      </c>
      <c r="B4976">
        <v>2015</v>
      </c>
      <c r="C4976" t="s">
        <v>58</v>
      </c>
      <c r="D4976">
        <v>1.43420379095949</v>
      </c>
      <c r="E4976" t="s">
        <v>81</v>
      </c>
    </row>
    <row r="4977" spans="1:5" x14ac:dyDescent="0.25">
      <c r="A4977" t="s">
        <v>35</v>
      </c>
      <c r="B4977">
        <v>2016</v>
      </c>
      <c r="C4977" t="s">
        <v>58</v>
      </c>
      <c r="D4977">
        <v>1.6672390956718599</v>
      </c>
      <c r="E4977" t="s">
        <v>81</v>
      </c>
    </row>
    <row r="4978" spans="1:5" x14ac:dyDescent="0.25">
      <c r="A4978" t="s">
        <v>35</v>
      </c>
      <c r="B4978">
        <v>2017</v>
      </c>
      <c r="C4978" t="s">
        <v>58</v>
      </c>
      <c r="D4978">
        <v>2.0558502394973299</v>
      </c>
      <c r="E4978" t="s">
        <v>81</v>
      </c>
    </row>
    <row r="4979" spans="1:5" x14ac:dyDescent="0.25">
      <c r="A4979" t="s">
        <v>35</v>
      </c>
      <c r="B4979">
        <v>2018</v>
      </c>
      <c r="C4979" t="s">
        <v>58</v>
      </c>
      <c r="D4979">
        <v>1.7728758511749101</v>
      </c>
      <c r="E4979" t="s">
        <v>81</v>
      </c>
    </row>
    <row r="4980" spans="1:5" x14ac:dyDescent="0.25">
      <c r="A4980" t="s">
        <v>35</v>
      </c>
      <c r="B4980">
        <v>2019</v>
      </c>
      <c r="C4980" t="s">
        <v>58</v>
      </c>
      <c r="D4980">
        <v>1.49639904016674</v>
      </c>
      <c r="E4980" t="s">
        <v>81</v>
      </c>
    </row>
    <row r="4981" spans="1:5" x14ac:dyDescent="0.25">
      <c r="A4981" t="s">
        <v>35</v>
      </c>
      <c r="B4981">
        <v>2020</v>
      </c>
      <c r="C4981" t="s">
        <v>58</v>
      </c>
      <c r="D4981">
        <v>1.55207150672351</v>
      </c>
      <c r="E4981" t="s">
        <v>81</v>
      </c>
    </row>
    <row r="4982" spans="1:5" x14ac:dyDescent="0.25">
      <c r="A4982" t="s">
        <v>35</v>
      </c>
      <c r="B4982">
        <v>2021</v>
      </c>
      <c r="C4982" t="s">
        <v>58</v>
      </c>
      <c r="D4982">
        <v>1.5753191465429801</v>
      </c>
      <c r="E4982" t="s">
        <v>81</v>
      </c>
    </row>
    <row r="4983" spans="1:5" x14ac:dyDescent="0.25">
      <c r="A4983" t="s">
        <v>35</v>
      </c>
      <c r="B4983">
        <v>2022</v>
      </c>
      <c r="C4983" t="s">
        <v>58</v>
      </c>
      <c r="D4983">
        <v>1.65640116700532</v>
      </c>
      <c r="E4983" t="s">
        <v>81</v>
      </c>
    </row>
    <row r="4984" spans="1:5" x14ac:dyDescent="0.25">
      <c r="A4984" t="s">
        <v>35</v>
      </c>
      <c r="B4984">
        <v>2023</v>
      </c>
      <c r="C4984" t="s">
        <v>58</v>
      </c>
      <c r="D4984">
        <v>1.9056425315734</v>
      </c>
      <c r="E4984" t="s">
        <v>81</v>
      </c>
    </row>
    <row r="4985" spans="1:5" x14ac:dyDescent="0.25">
      <c r="A4985" t="s">
        <v>35</v>
      </c>
      <c r="B4985">
        <v>2024</v>
      </c>
      <c r="C4985" t="s">
        <v>58</v>
      </c>
      <c r="D4985">
        <v>1.68166260837548</v>
      </c>
      <c r="E4985" t="s">
        <v>81</v>
      </c>
    </row>
    <row r="4986" spans="1:5" x14ac:dyDescent="0.25">
      <c r="A4986" t="s">
        <v>35</v>
      </c>
      <c r="B4986">
        <v>2025</v>
      </c>
      <c r="C4986" t="s">
        <v>58</v>
      </c>
      <c r="D4986">
        <v>1.7533096184731101</v>
      </c>
      <c r="E4986" t="s">
        <v>81</v>
      </c>
    </row>
    <row r="4987" spans="1:5" x14ac:dyDescent="0.25">
      <c r="A4987" t="s">
        <v>36</v>
      </c>
      <c r="B4987">
        <v>2010</v>
      </c>
      <c r="C4987" t="s">
        <v>58</v>
      </c>
      <c r="D4987">
        <v>1.30570761324975</v>
      </c>
      <c r="E4987" t="s">
        <v>81</v>
      </c>
    </row>
    <row r="4988" spans="1:5" x14ac:dyDescent="0.25">
      <c r="A4988" t="s">
        <v>36</v>
      </c>
      <c r="B4988">
        <v>2011</v>
      </c>
      <c r="C4988" t="s">
        <v>58</v>
      </c>
      <c r="D4988">
        <v>1.6798461615940401</v>
      </c>
      <c r="E4988" t="s">
        <v>81</v>
      </c>
    </row>
    <row r="4989" spans="1:5" x14ac:dyDescent="0.25">
      <c r="A4989" t="s">
        <v>36</v>
      </c>
      <c r="B4989">
        <v>2012</v>
      </c>
      <c r="C4989" t="s">
        <v>58</v>
      </c>
      <c r="D4989">
        <v>2.3545230509041302</v>
      </c>
      <c r="E4989" t="s">
        <v>81</v>
      </c>
    </row>
    <row r="4990" spans="1:5" x14ac:dyDescent="0.25">
      <c r="A4990" t="s">
        <v>36</v>
      </c>
      <c r="B4990">
        <v>2013</v>
      </c>
      <c r="C4990" t="s">
        <v>58</v>
      </c>
      <c r="D4990">
        <v>2.43714892255562</v>
      </c>
      <c r="E4990" t="s">
        <v>81</v>
      </c>
    </row>
    <row r="4991" spans="1:5" x14ac:dyDescent="0.25">
      <c r="A4991" t="s">
        <v>36</v>
      </c>
      <c r="B4991">
        <v>2024</v>
      </c>
      <c r="C4991" t="s">
        <v>58</v>
      </c>
      <c r="D4991">
        <v>5.6697277111633397</v>
      </c>
      <c r="E4991" t="s">
        <v>81</v>
      </c>
    </row>
    <row r="4992" spans="1:5" x14ac:dyDescent="0.25">
      <c r="A4992" t="s">
        <v>36</v>
      </c>
      <c r="B4992">
        <v>2025</v>
      </c>
      <c r="C4992" t="s">
        <v>58</v>
      </c>
      <c r="D4992">
        <v>5.5034359125109802</v>
      </c>
      <c r="E4992" t="s">
        <v>81</v>
      </c>
    </row>
    <row r="4993" spans="1:5" x14ac:dyDescent="0.25">
      <c r="A4993" t="s">
        <v>37</v>
      </c>
      <c r="B4993">
        <v>2000</v>
      </c>
      <c r="C4993" t="s">
        <v>58</v>
      </c>
      <c r="D4993">
        <v>1.5955002657434401</v>
      </c>
      <c r="E4993" t="s">
        <v>81</v>
      </c>
    </row>
    <row r="4994" spans="1:5" x14ac:dyDescent="0.25">
      <c r="A4994" t="s">
        <v>37</v>
      </c>
      <c r="B4994">
        <v>2001</v>
      </c>
      <c r="C4994" t="s">
        <v>58</v>
      </c>
      <c r="D4994">
        <v>2.2160998582326799</v>
      </c>
      <c r="E4994" t="s">
        <v>81</v>
      </c>
    </row>
    <row r="4995" spans="1:5" x14ac:dyDescent="0.25">
      <c r="A4995" t="s">
        <v>37</v>
      </c>
      <c r="B4995">
        <v>2002</v>
      </c>
      <c r="C4995" t="s">
        <v>58</v>
      </c>
      <c r="D4995">
        <v>2.6534360550002098</v>
      </c>
      <c r="E4995" t="s">
        <v>81</v>
      </c>
    </row>
    <row r="4996" spans="1:5" x14ac:dyDescent="0.25">
      <c r="A4996" t="s">
        <v>37</v>
      </c>
      <c r="B4996">
        <v>2003</v>
      </c>
      <c r="C4996" t="s">
        <v>58</v>
      </c>
      <c r="D4996">
        <v>1.51889523859986</v>
      </c>
      <c r="E4996" t="s">
        <v>81</v>
      </c>
    </row>
    <row r="4997" spans="1:5" x14ac:dyDescent="0.25">
      <c r="A4997" t="s">
        <v>37</v>
      </c>
      <c r="B4997">
        <v>2004</v>
      </c>
      <c r="C4997" t="s">
        <v>58</v>
      </c>
      <c r="D4997">
        <v>1.31164109771744</v>
      </c>
      <c r="E4997" t="s">
        <v>81</v>
      </c>
    </row>
    <row r="4998" spans="1:5" x14ac:dyDescent="0.25">
      <c r="A4998" t="s">
        <v>37</v>
      </c>
      <c r="B4998">
        <v>2005</v>
      </c>
      <c r="C4998" t="s">
        <v>58</v>
      </c>
      <c r="D4998">
        <v>1.4086426065563</v>
      </c>
      <c r="E4998" t="s">
        <v>81</v>
      </c>
    </row>
    <row r="4999" spans="1:5" x14ac:dyDescent="0.25">
      <c r="A4999" t="s">
        <v>37</v>
      </c>
      <c r="B4999">
        <v>2006</v>
      </c>
      <c r="C4999" t="s">
        <v>58</v>
      </c>
      <c r="D4999">
        <v>1.4483433925562801</v>
      </c>
      <c r="E4999" t="s">
        <v>81</v>
      </c>
    </row>
    <row r="5000" spans="1:5" x14ac:dyDescent="0.25">
      <c r="A5000" t="s">
        <v>37</v>
      </c>
      <c r="B5000">
        <v>2007</v>
      </c>
      <c r="C5000" t="s">
        <v>58</v>
      </c>
      <c r="D5000">
        <v>2.0488010659029001</v>
      </c>
      <c r="E5000" t="s">
        <v>81</v>
      </c>
    </row>
    <row r="5001" spans="1:5" x14ac:dyDescent="0.25">
      <c r="A5001" t="s">
        <v>37</v>
      </c>
      <c r="B5001">
        <v>2008</v>
      </c>
      <c r="C5001" t="s">
        <v>58</v>
      </c>
      <c r="D5001">
        <v>4.1573333204714196</v>
      </c>
      <c r="E5001" t="s">
        <v>81</v>
      </c>
    </row>
    <row r="5002" spans="1:5" x14ac:dyDescent="0.25">
      <c r="A5002" t="s">
        <v>37</v>
      </c>
      <c r="B5002">
        <v>2009</v>
      </c>
      <c r="C5002" t="s">
        <v>58</v>
      </c>
      <c r="D5002">
        <v>2.73875414072694</v>
      </c>
      <c r="E5002" t="s">
        <v>81</v>
      </c>
    </row>
    <row r="5003" spans="1:5" x14ac:dyDescent="0.25">
      <c r="A5003" t="s">
        <v>37</v>
      </c>
      <c r="B5003">
        <v>2010</v>
      </c>
      <c r="C5003" t="s">
        <v>58</v>
      </c>
      <c r="D5003">
        <v>9.5304610416693301</v>
      </c>
      <c r="E5003" t="s">
        <v>81</v>
      </c>
    </row>
    <row r="5004" spans="1:5" x14ac:dyDescent="0.25">
      <c r="A5004" t="s">
        <v>37</v>
      </c>
      <c r="B5004">
        <v>2011</v>
      </c>
      <c r="C5004" t="s">
        <v>58</v>
      </c>
      <c r="D5004">
        <v>22.9740558849225</v>
      </c>
      <c r="E5004" t="s">
        <v>81</v>
      </c>
    </row>
    <row r="5005" spans="1:5" x14ac:dyDescent="0.25">
      <c r="A5005" t="s">
        <v>37</v>
      </c>
      <c r="B5005">
        <v>2012</v>
      </c>
      <c r="C5005" t="s">
        <v>58</v>
      </c>
      <c r="D5005">
        <v>41.153836585054997</v>
      </c>
      <c r="E5005" t="s">
        <v>81</v>
      </c>
    </row>
    <row r="5006" spans="1:5" x14ac:dyDescent="0.25">
      <c r="A5006" t="s">
        <v>37</v>
      </c>
      <c r="B5006">
        <v>2013</v>
      </c>
      <c r="C5006" t="s">
        <v>58</v>
      </c>
      <c r="D5006">
        <v>45.0975430750795</v>
      </c>
      <c r="E5006" t="s">
        <v>81</v>
      </c>
    </row>
    <row r="5007" spans="1:5" x14ac:dyDescent="0.25">
      <c r="A5007" t="s">
        <v>37</v>
      </c>
      <c r="B5007">
        <v>2014</v>
      </c>
      <c r="C5007" t="s">
        <v>58</v>
      </c>
      <c r="D5007">
        <v>36.708696924562702</v>
      </c>
      <c r="E5007" t="s">
        <v>81</v>
      </c>
    </row>
    <row r="5008" spans="1:5" x14ac:dyDescent="0.25">
      <c r="A5008" t="s">
        <v>37</v>
      </c>
      <c r="B5008">
        <v>2015</v>
      </c>
      <c r="C5008" t="s">
        <v>58</v>
      </c>
      <c r="D5008">
        <v>38.335073091614497</v>
      </c>
      <c r="E5008" t="s">
        <v>81</v>
      </c>
    </row>
    <row r="5009" spans="1:5" x14ac:dyDescent="0.25">
      <c r="A5009" t="s">
        <v>37</v>
      </c>
      <c r="B5009">
        <v>2016</v>
      </c>
      <c r="C5009" t="s">
        <v>58</v>
      </c>
      <c r="D5009">
        <v>6.9909713018409203</v>
      </c>
      <c r="E5009" t="s">
        <v>81</v>
      </c>
    </row>
    <row r="5010" spans="1:5" x14ac:dyDescent="0.25">
      <c r="A5010" t="s">
        <v>37</v>
      </c>
      <c r="B5010">
        <v>2017</v>
      </c>
      <c r="C5010" t="s">
        <v>58</v>
      </c>
      <c r="D5010">
        <v>6.6320264418105301</v>
      </c>
      <c r="E5010" t="s">
        <v>81</v>
      </c>
    </row>
    <row r="5011" spans="1:5" x14ac:dyDescent="0.25">
      <c r="A5011" t="s">
        <v>37</v>
      </c>
      <c r="B5011">
        <v>2018</v>
      </c>
      <c r="C5011" t="s">
        <v>58</v>
      </c>
      <c r="D5011">
        <v>6.5469714798174197</v>
      </c>
      <c r="E5011" t="s">
        <v>81</v>
      </c>
    </row>
    <row r="5012" spans="1:5" x14ac:dyDescent="0.25">
      <c r="A5012" t="s">
        <v>37</v>
      </c>
      <c r="B5012">
        <v>2019</v>
      </c>
      <c r="C5012" t="s">
        <v>58</v>
      </c>
      <c r="D5012">
        <v>6.5299869862320099</v>
      </c>
      <c r="E5012" t="s">
        <v>81</v>
      </c>
    </row>
    <row r="5013" spans="1:5" x14ac:dyDescent="0.25">
      <c r="A5013" t="s">
        <v>37</v>
      </c>
      <c r="B5013">
        <v>2020</v>
      </c>
      <c r="C5013" t="s">
        <v>58</v>
      </c>
      <c r="D5013">
        <v>6.2919028559184103</v>
      </c>
      <c r="E5013" t="s">
        <v>81</v>
      </c>
    </row>
    <row r="5014" spans="1:5" x14ac:dyDescent="0.25">
      <c r="A5014" t="s">
        <v>37</v>
      </c>
      <c r="B5014">
        <v>2021</v>
      </c>
      <c r="C5014" t="s">
        <v>58</v>
      </c>
      <c r="D5014">
        <v>8.3859778924256307</v>
      </c>
      <c r="E5014" t="s">
        <v>81</v>
      </c>
    </row>
    <row r="5015" spans="1:5" x14ac:dyDescent="0.25">
      <c r="A5015" t="s">
        <v>37</v>
      </c>
      <c r="B5015">
        <v>2022</v>
      </c>
      <c r="C5015" t="s">
        <v>58</v>
      </c>
      <c r="D5015">
        <v>9.2091820401657696</v>
      </c>
      <c r="E5015" t="s">
        <v>81</v>
      </c>
    </row>
    <row r="5016" spans="1:5" x14ac:dyDescent="0.25">
      <c r="A5016" t="s">
        <v>37</v>
      </c>
      <c r="B5016">
        <v>2023</v>
      </c>
      <c r="C5016" t="s">
        <v>58</v>
      </c>
      <c r="D5016">
        <v>8.57398175581889</v>
      </c>
      <c r="E5016" t="s">
        <v>81</v>
      </c>
    </row>
    <row r="5017" spans="1:5" x14ac:dyDescent="0.25">
      <c r="A5017" t="s">
        <v>37</v>
      </c>
      <c r="B5017">
        <v>2024</v>
      </c>
      <c r="C5017" t="s">
        <v>58</v>
      </c>
      <c r="D5017">
        <v>7.6119773219306701</v>
      </c>
      <c r="E5017" t="s">
        <v>81</v>
      </c>
    </row>
    <row r="5018" spans="1:5" x14ac:dyDescent="0.25">
      <c r="A5018" t="s">
        <v>37</v>
      </c>
      <c r="B5018">
        <v>2025</v>
      </c>
      <c r="C5018" t="s">
        <v>58</v>
      </c>
      <c r="D5018">
        <v>9.1451824842609</v>
      </c>
      <c r="E5018" t="s">
        <v>81</v>
      </c>
    </row>
    <row r="5019" spans="1:5" x14ac:dyDescent="0.25">
      <c r="A5019" t="s">
        <v>89</v>
      </c>
      <c r="B5019">
        <v>2000</v>
      </c>
      <c r="C5019" t="s">
        <v>58</v>
      </c>
      <c r="D5019">
        <v>0.76156837429121704</v>
      </c>
      <c r="E5019" t="s">
        <v>81</v>
      </c>
    </row>
    <row r="5020" spans="1:5" x14ac:dyDescent="0.25">
      <c r="A5020" t="s">
        <v>89</v>
      </c>
      <c r="B5020">
        <v>2001</v>
      </c>
      <c r="C5020" t="s">
        <v>58</v>
      </c>
      <c r="D5020">
        <v>0.91291896376155302</v>
      </c>
      <c r="E5020" t="s">
        <v>81</v>
      </c>
    </row>
    <row r="5021" spans="1:5" x14ac:dyDescent="0.25">
      <c r="A5021" t="s">
        <v>89</v>
      </c>
      <c r="B5021">
        <v>2002</v>
      </c>
      <c r="C5021" t="s">
        <v>58</v>
      </c>
      <c r="D5021">
        <v>3.9886201265730699</v>
      </c>
      <c r="E5021" t="s">
        <v>81</v>
      </c>
    </row>
    <row r="5022" spans="1:5" x14ac:dyDescent="0.25">
      <c r="A5022" t="s">
        <v>89</v>
      </c>
      <c r="B5022">
        <v>2003</v>
      </c>
      <c r="C5022" t="s">
        <v>58</v>
      </c>
      <c r="D5022" t="s">
        <v>39</v>
      </c>
      <c r="E5022" t="s">
        <v>81</v>
      </c>
    </row>
    <row r="5023" spans="1:5" x14ac:dyDescent="0.25">
      <c r="A5023" t="s">
        <v>89</v>
      </c>
      <c r="B5023">
        <v>2004</v>
      </c>
      <c r="C5023" t="s">
        <v>58</v>
      </c>
      <c r="D5023">
        <v>0.46088078373708902</v>
      </c>
      <c r="E5023" t="s">
        <v>81</v>
      </c>
    </row>
    <row r="5024" spans="1:5" x14ac:dyDescent="0.25">
      <c r="A5024" t="s">
        <v>89</v>
      </c>
      <c r="B5024">
        <v>2005</v>
      </c>
      <c r="C5024" t="s">
        <v>58</v>
      </c>
      <c r="D5024" t="s">
        <v>39</v>
      </c>
      <c r="E5024" t="s">
        <v>81</v>
      </c>
    </row>
    <row r="5025" spans="1:5" x14ac:dyDescent="0.25">
      <c r="A5025" t="s">
        <v>89</v>
      </c>
      <c r="B5025">
        <v>2006</v>
      </c>
      <c r="C5025" t="s">
        <v>58</v>
      </c>
      <c r="D5025" t="s">
        <v>39</v>
      </c>
      <c r="E5025" t="s">
        <v>81</v>
      </c>
    </row>
    <row r="5026" spans="1:5" x14ac:dyDescent="0.25">
      <c r="A5026" t="s">
        <v>89</v>
      </c>
      <c r="B5026">
        <v>2008</v>
      </c>
      <c r="C5026" t="s">
        <v>58</v>
      </c>
      <c r="D5026">
        <v>1.0139389308671101</v>
      </c>
      <c r="E5026" t="s">
        <v>81</v>
      </c>
    </row>
    <row r="5027" spans="1:5" x14ac:dyDescent="0.25">
      <c r="A5027" t="s">
        <v>89</v>
      </c>
      <c r="B5027">
        <v>2009</v>
      </c>
      <c r="C5027" t="s">
        <v>58</v>
      </c>
      <c r="D5027">
        <v>4.7771675067879897</v>
      </c>
      <c r="E5027" t="s">
        <v>81</v>
      </c>
    </row>
    <row r="5028" spans="1:5" x14ac:dyDescent="0.25">
      <c r="A5028" t="s">
        <v>70</v>
      </c>
      <c r="B5028">
        <v>2001</v>
      </c>
      <c r="C5028" t="s">
        <v>58</v>
      </c>
      <c r="D5028">
        <v>1.04773504142608</v>
      </c>
      <c r="E5028" t="s">
        <v>81</v>
      </c>
    </row>
    <row r="5029" spans="1:5" x14ac:dyDescent="0.25">
      <c r="A5029" t="s">
        <v>70</v>
      </c>
      <c r="B5029">
        <v>2015</v>
      </c>
      <c r="C5029" t="s">
        <v>58</v>
      </c>
      <c r="D5029">
        <v>1.68247019195089</v>
      </c>
      <c r="E5029" t="s">
        <v>81</v>
      </c>
    </row>
    <row r="5030" spans="1:5" x14ac:dyDescent="0.25">
      <c r="A5030" t="s">
        <v>70</v>
      </c>
      <c r="B5030">
        <v>2018</v>
      </c>
      <c r="C5030" t="s">
        <v>58</v>
      </c>
      <c r="D5030">
        <v>1.83289083242881</v>
      </c>
      <c r="E5030" t="s">
        <v>81</v>
      </c>
    </row>
    <row r="5031" spans="1:5" x14ac:dyDescent="0.25">
      <c r="A5031" t="s">
        <v>70</v>
      </c>
      <c r="B5031">
        <v>2019</v>
      </c>
      <c r="C5031" t="s">
        <v>58</v>
      </c>
      <c r="D5031">
        <v>1.5438100187199699</v>
      </c>
      <c r="E5031" t="s">
        <v>81</v>
      </c>
    </row>
    <row r="5032" spans="1:5" x14ac:dyDescent="0.25">
      <c r="A5032" t="s">
        <v>70</v>
      </c>
      <c r="B5032">
        <v>2020</v>
      </c>
      <c r="C5032" t="s">
        <v>58</v>
      </c>
      <c r="D5032">
        <v>1.48204443666425</v>
      </c>
      <c r="E5032" t="s">
        <v>81</v>
      </c>
    </row>
    <row r="5033" spans="1:5" x14ac:dyDescent="0.25">
      <c r="A5033" t="s">
        <v>70</v>
      </c>
      <c r="B5033">
        <v>2021</v>
      </c>
      <c r="C5033" t="s">
        <v>58</v>
      </c>
      <c r="D5033">
        <v>1.65700818742838</v>
      </c>
      <c r="E5033" t="s">
        <v>81</v>
      </c>
    </row>
    <row r="5034" spans="1:5" x14ac:dyDescent="0.25">
      <c r="A5034" t="s">
        <v>70</v>
      </c>
      <c r="B5034">
        <v>2022</v>
      </c>
      <c r="C5034" t="s">
        <v>58</v>
      </c>
      <c r="D5034">
        <v>1.7781035710540201</v>
      </c>
      <c r="E5034" t="s">
        <v>81</v>
      </c>
    </row>
    <row r="5035" spans="1:5" x14ac:dyDescent="0.25">
      <c r="A5035" t="s">
        <v>70</v>
      </c>
      <c r="B5035">
        <v>2023</v>
      </c>
      <c r="C5035" t="s">
        <v>58</v>
      </c>
      <c r="D5035">
        <v>2.0674840609462102</v>
      </c>
      <c r="E5035" t="s">
        <v>81</v>
      </c>
    </row>
    <row r="5036" spans="1:5" x14ac:dyDescent="0.25">
      <c r="A5036" t="s">
        <v>70</v>
      </c>
      <c r="B5036">
        <v>2024</v>
      </c>
      <c r="C5036" t="s">
        <v>58</v>
      </c>
      <c r="D5036">
        <v>2.0079295051134598</v>
      </c>
      <c r="E5036" t="s">
        <v>81</v>
      </c>
    </row>
    <row r="5037" spans="1:5" x14ac:dyDescent="0.25">
      <c r="A5037" t="s">
        <v>70</v>
      </c>
      <c r="B5037">
        <v>2025</v>
      </c>
      <c r="C5037" t="s">
        <v>58</v>
      </c>
      <c r="D5037">
        <v>1.8389742239062301</v>
      </c>
      <c r="E5037" t="s">
        <v>81</v>
      </c>
    </row>
    <row r="5038" spans="1:5" x14ac:dyDescent="0.25">
      <c r="A5038" t="s">
        <v>40</v>
      </c>
      <c r="B5038">
        <v>2016</v>
      </c>
      <c r="C5038" t="s">
        <v>58</v>
      </c>
      <c r="D5038">
        <v>7.5191601811404496</v>
      </c>
      <c r="E5038" t="s">
        <v>81</v>
      </c>
    </row>
    <row r="5039" spans="1:5" x14ac:dyDescent="0.25">
      <c r="A5039" t="s">
        <v>40</v>
      </c>
      <c r="B5039">
        <v>2017</v>
      </c>
      <c r="C5039" t="s">
        <v>58</v>
      </c>
      <c r="D5039">
        <v>7.5741415753660801</v>
      </c>
      <c r="E5039" t="s">
        <v>81</v>
      </c>
    </row>
    <row r="5040" spans="1:5" x14ac:dyDescent="0.25">
      <c r="A5040" t="s">
        <v>40</v>
      </c>
      <c r="B5040">
        <v>2018</v>
      </c>
      <c r="C5040" t="s">
        <v>58</v>
      </c>
      <c r="D5040">
        <v>8.2368533865651994</v>
      </c>
      <c r="E5040" t="s">
        <v>81</v>
      </c>
    </row>
    <row r="5041" spans="1:5" x14ac:dyDescent="0.25">
      <c r="A5041" t="s">
        <v>40</v>
      </c>
      <c r="B5041">
        <v>2019</v>
      </c>
      <c r="C5041" t="s">
        <v>58</v>
      </c>
      <c r="D5041">
        <v>9.3429408465470694</v>
      </c>
      <c r="E5041" t="s">
        <v>81</v>
      </c>
    </row>
    <row r="5042" spans="1:5" x14ac:dyDescent="0.25">
      <c r="A5042" t="s">
        <v>40</v>
      </c>
      <c r="B5042">
        <v>2020</v>
      </c>
      <c r="C5042" t="s">
        <v>58</v>
      </c>
      <c r="D5042">
        <v>9.1236241031769207</v>
      </c>
      <c r="E5042" t="s">
        <v>81</v>
      </c>
    </row>
    <row r="5043" spans="1:5" x14ac:dyDescent="0.25">
      <c r="A5043" t="s">
        <v>40</v>
      </c>
      <c r="B5043">
        <v>2021</v>
      </c>
      <c r="C5043" t="s">
        <v>58</v>
      </c>
      <c r="D5043">
        <v>10.9140850214983</v>
      </c>
      <c r="E5043" t="s">
        <v>81</v>
      </c>
    </row>
    <row r="5044" spans="1:5" x14ac:dyDescent="0.25">
      <c r="A5044" t="s">
        <v>40</v>
      </c>
      <c r="B5044">
        <v>2022</v>
      </c>
      <c r="C5044" t="s">
        <v>58</v>
      </c>
      <c r="D5044">
        <v>12.406171046366399</v>
      </c>
      <c r="E5044" t="s">
        <v>81</v>
      </c>
    </row>
    <row r="5045" spans="1:5" x14ac:dyDescent="0.25">
      <c r="A5045" t="s">
        <v>40</v>
      </c>
      <c r="B5045">
        <v>2023</v>
      </c>
      <c r="C5045" t="s">
        <v>58</v>
      </c>
      <c r="D5045">
        <v>14.0276640676738</v>
      </c>
      <c r="E5045" t="s">
        <v>81</v>
      </c>
    </row>
    <row r="5046" spans="1:5" x14ac:dyDescent="0.25">
      <c r="A5046" t="s">
        <v>40</v>
      </c>
      <c r="B5046">
        <v>2024</v>
      </c>
      <c r="C5046" t="s">
        <v>58</v>
      </c>
      <c r="D5046">
        <v>11.5533960960435</v>
      </c>
      <c r="E5046" t="s">
        <v>81</v>
      </c>
    </row>
    <row r="5047" spans="1:5" x14ac:dyDescent="0.25">
      <c r="A5047" t="s">
        <v>40</v>
      </c>
      <c r="B5047">
        <v>2025</v>
      </c>
      <c r="C5047" t="s">
        <v>58</v>
      </c>
      <c r="D5047">
        <v>12.012123769095799</v>
      </c>
      <c r="E5047" t="s">
        <v>81</v>
      </c>
    </row>
    <row r="5048" spans="1:5" x14ac:dyDescent="0.25">
      <c r="A5048" t="s">
        <v>67</v>
      </c>
      <c r="B5048">
        <v>2018</v>
      </c>
      <c r="C5048" t="s">
        <v>58</v>
      </c>
      <c r="D5048">
        <v>2.4282538090348398</v>
      </c>
      <c r="E5048" t="s">
        <v>81</v>
      </c>
    </row>
    <row r="5049" spans="1:5" x14ac:dyDescent="0.25">
      <c r="A5049" t="s">
        <v>67</v>
      </c>
      <c r="B5049">
        <v>2019</v>
      </c>
      <c r="C5049" t="s">
        <v>58</v>
      </c>
      <c r="D5049">
        <v>2.32501970186342</v>
      </c>
      <c r="E5049" t="s">
        <v>81</v>
      </c>
    </row>
    <row r="5050" spans="1:5" x14ac:dyDescent="0.25">
      <c r="A5050" t="s">
        <v>41</v>
      </c>
      <c r="B5050">
        <v>2018</v>
      </c>
      <c r="C5050" t="s">
        <v>58</v>
      </c>
      <c r="D5050">
        <v>0.80545487868066301</v>
      </c>
      <c r="E5050" t="s">
        <v>81</v>
      </c>
    </row>
    <row r="5051" spans="1:5" x14ac:dyDescent="0.25">
      <c r="A5051" t="s">
        <v>42</v>
      </c>
      <c r="B5051">
        <v>2010</v>
      </c>
      <c r="C5051" t="s">
        <v>58</v>
      </c>
      <c r="D5051">
        <v>1.3208872478704199</v>
      </c>
      <c r="E5051" t="s">
        <v>81</v>
      </c>
    </row>
    <row r="5052" spans="1:5" x14ac:dyDescent="0.25">
      <c r="A5052" t="s">
        <v>42</v>
      </c>
      <c r="B5052">
        <v>2011</v>
      </c>
      <c r="C5052" t="s">
        <v>58</v>
      </c>
      <c r="D5052">
        <v>1.52343233487753</v>
      </c>
      <c r="E5052" t="s">
        <v>81</v>
      </c>
    </row>
    <row r="5053" spans="1:5" x14ac:dyDescent="0.25">
      <c r="A5053" t="s">
        <v>42</v>
      </c>
      <c r="B5053">
        <v>2012</v>
      </c>
      <c r="C5053" t="s">
        <v>58</v>
      </c>
      <c r="D5053">
        <v>1.9949119510501201</v>
      </c>
      <c r="E5053" t="s">
        <v>81</v>
      </c>
    </row>
    <row r="5054" spans="1:5" x14ac:dyDescent="0.25">
      <c r="A5054" t="s">
        <v>42</v>
      </c>
      <c r="B5054">
        <v>2013</v>
      </c>
      <c r="C5054" t="s">
        <v>58</v>
      </c>
      <c r="D5054">
        <v>2.1643333814590999</v>
      </c>
      <c r="E5054" t="s">
        <v>81</v>
      </c>
    </row>
    <row r="5055" spans="1:5" x14ac:dyDescent="0.25">
      <c r="A5055" t="s">
        <v>42</v>
      </c>
      <c r="B5055">
        <v>2014</v>
      </c>
      <c r="C5055" t="s">
        <v>58</v>
      </c>
      <c r="D5055">
        <v>1.49933309828632</v>
      </c>
      <c r="E5055" t="s">
        <v>81</v>
      </c>
    </row>
    <row r="5056" spans="1:5" x14ac:dyDescent="0.25">
      <c r="A5056" t="s">
        <v>42</v>
      </c>
      <c r="B5056">
        <v>2015</v>
      </c>
      <c r="C5056" t="s">
        <v>58</v>
      </c>
      <c r="D5056">
        <v>1.08956617998454</v>
      </c>
      <c r="E5056" t="s">
        <v>81</v>
      </c>
    </row>
    <row r="5057" spans="1:5" x14ac:dyDescent="0.25">
      <c r="A5057" t="s">
        <v>42</v>
      </c>
      <c r="B5057">
        <v>2016</v>
      </c>
      <c r="C5057" t="s">
        <v>58</v>
      </c>
      <c r="D5057">
        <v>1.20238923867354</v>
      </c>
      <c r="E5057" t="s">
        <v>81</v>
      </c>
    </row>
    <row r="5058" spans="1:5" x14ac:dyDescent="0.25">
      <c r="A5058" t="s">
        <v>42</v>
      </c>
      <c r="B5058">
        <v>2017</v>
      </c>
      <c r="C5058" t="s">
        <v>58</v>
      </c>
      <c r="D5058">
        <v>1.6321100112393701</v>
      </c>
      <c r="E5058" t="s">
        <v>81</v>
      </c>
    </row>
    <row r="5059" spans="1:5" x14ac:dyDescent="0.25">
      <c r="A5059" t="s">
        <v>42</v>
      </c>
      <c r="B5059">
        <v>2018</v>
      </c>
      <c r="C5059" t="s">
        <v>58</v>
      </c>
      <c r="D5059">
        <v>1.68094361484072</v>
      </c>
      <c r="E5059" t="s">
        <v>81</v>
      </c>
    </row>
    <row r="5060" spans="1:5" x14ac:dyDescent="0.25">
      <c r="A5060" t="s">
        <v>42</v>
      </c>
      <c r="B5060">
        <v>2019</v>
      </c>
      <c r="C5060" t="s">
        <v>58</v>
      </c>
      <c r="D5060">
        <v>1.45179230675173</v>
      </c>
      <c r="E5060" t="s">
        <v>81</v>
      </c>
    </row>
    <row r="5061" spans="1:5" x14ac:dyDescent="0.25">
      <c r="A5061" t="s">
        <v>42</v>
      </c>
      <c r="B5061">
        <v>2020</v>
      </c>
      <c r="C5061" t="s">
        <v>58</v>
      </c>
      <c r="D5061">
        <v>1.14944554798429</v>
      </c>
      <c r="E5061" t="s">
        <v>81</v>
      </c>
    </row>
    <row r="5062" spans="1:5" x14ac:dyDescent="0.25">
      <c r="A5062" t="s">
        <v>42</v>
      </c>
      <c r="B5062">
        <v>2024</v>
      </c>
      <c r="C5062" t="s">
        <v>58</v>
      </c>
      <c r="D5062">
        <v>1.45415888975137</v>
      </c>
      <c r="E5062" t="s">
        <v>81</v>
      </c>
    </row>
    <row r="5063" spans="1:5" x14ac:dyDescent="0.25">
      <c r="A5063" t="s">
        <v>42</v>
      </c>
      <c r="B5063">
        <v>2025</v>
      </c>
      <c r="C5063" t="s">
        <v>58</v>
      </c>
      <c r="D5063">
        <v>1.7588427095683099</v>
      </c>
      <c r="E5063" t="s">
        <v>81</v>
      </c>
    </row>
    <row r="5064" spans="1:5" x14ac:dyDescent="0.25">
      <c r="A5064" t="s">
        <v>43</v>
      </c>
      <c r="B5064">
        <v>2010</v>
      </c>
      <c r="C5064" t="s">
        <v>58</v>
      </c>
      <c r="D5064">
        <v>1.1528492727525801</v>
      </c>
      <c r="E5064" t="s">
        <v>81</v>
      </c>
    </row>
    <row r="5065" spans="1:5" x14ac:dyDescent="0.25">
      <c r="A5065" t="s">
        <v>43</v>
      </c>
      <c r="B5065">
        <v>2011</v>
      </c>
      <c r="C5065" t="s">
        <v>58</v>
      </c>
      <c r="D5065">
        <v>1.14636258340853</v>
      </c>
      <c r="E5065" t="s">
        <v>81</v>
      </c>
    </row>
    <row r="5066" spans="1:5" x14ac:dyDescent="0.25">
      <c r="A5066" t="s">
        <v>43</v>
      </c>
      <c r="B5066">
        <v>2012</v>
      </c>
      <c r="C5066" t="s">
        <v>58</v>
      </c>
      <c r="D5066">
        <v>1.40293188946419</v>
      </c>
      <c r="E5066" t="s">
        <v>81</v>
      </c>
    </row>
    <row r="5067" spans="1:5" x14ac:dyDescent="0.25">
      <c r="A5067" t="s">
        <v>43</v>
      </c>
      <c r="B5067">
        <v>2013</v>
      </c>
      <c r="C5067" t="s">
        <v>58</v>
      </c>
      <c r="D5067">
        <v>1.39293943074727</v>
      </c>
      <c r="E5067" t="s">
        <v>81</v>
      </c>
    </row>
    <row r="5068" spans="1:5" x14ac:dyDescent="0.25">
      <c r="A5068" t="s">
        <v>43</v>
      </c>
      <c r="B5068">
        <v>2014</v>
      </c>
      <c r="C5068" t="s">
        <v>58</v>
      </c>
      <c r="D5068">
        <v>0.96462195134558604</v>
      </c>
      <c r="E5068" t="s">
        <v>81</v>
      </c>
    </row>
    <row r="5069" spans="1:5" x14ac:dyDescent="0.25">
      <c r="A5069" t="s">
        <v>43</v>
      </c>
      <c r="B5069">
        <v>2015</v>
      </c>
      <c r="C5069" t="s">
        <v>58</v>
      </c>
      <c r="D5069">
        <v>1.25828762407008</v>
      </c>
      <c r="E5069" t="s">
        <v>81</v>
      </c>
    </row>
    <row r="5070" spans="1:5" x14ac:dyDescent="0.25">
      <c r="A5070" t="s">
        <v>43</v>
      </c>
      <c r="B5070">
        <v>2016</v>
      </c>
      <c r="C5070" t="s">
        <v>58</v>
      </c>
      <c r="D5070">
        <v>0.24540935273657499</v>
      </c>
      <c r="E5070" t="s">
        <v>81</v>
      </c>
    </row>
    <row r="5071" spans="1:5" x14ac:dyDescent="0.25">
      <c r="A5071" t="s">
        <v>43</v>
      </c>
      <c r="B5071">
        <v>2017</v>
      </c>
      <c r="C5071" t="s">
        <v>58</v>
      </c>
      <c r="D5071">
        <v>1.57337861765856</v>
      </c>
      <c r="E5071" t="s">
        <v>81</v>
      </c>
    </row>
    <row r="5072" spans="1:5" x14ac:dyDescent="0.25">
      <c r="A5072" t="s">
        <v>43</v>
      </c>
      <c r="B5072">
        <v>2018</v>
      </c>
      <c r="C5072" t="s">
        <v>58</v>
      </c>
      <c r="D5072">
        <v>1.5421942225991501</v>
      </c>
      <c r="E5072" t="s">
        <v>81</v>
      </c>
    </row>
    <row r="5073" spans="1:5" x14ac:dyDescent="0.25">
      <c r="A5073" t="s">
        <v>43</v>
      </c>
      <c r="B5073">
        <v>2019</v>
      </c>
      <c r="C5073" t="s">
        <v>58</v>
      </c>
      <c r="D5073">
        <v>1.7361861334800099</v>
      </c>
      <c r="E5073" t="s">
        <v>81</v>
      </c>
    </row>
    <row r="5074" spans="1:5" x14ac:dyDescent="0.25">
      <c r="A5074" t="s">
        <v>43</v>
      </c>
      <c r="B5074">
        <v>2020</v>
      </c>
      <c r="C5074" t="s">
        <v>58</v>
      </c>
      <c r="D5074">
        <v>1.5587937985976299</v>
      </c>
      <c r="E5074" t="s">
        <v>81</v>
      </c>
    </row>
    <row r="5075" spans="1:5" x14ac:dyDescent="0.25">
      <c r="A5075" t="s">
        <v>43</v>
      </c>
      <c r="B5075">
        <v>2021</v>
      </c>
      <c r="C5075" t="s">
        <v>58</v>
      </c>
      <c r="D5075">
        <v>1.74416982863201</v>
      </c>
      <c r="E5075" t="s">
        <v>81</v>
      </c>
    </row>
    <row r="5076" spans="1:5" x14ac:dyDescent="0.25">
      <c r="A5076" t="s">
        <v>43</v>
      </c>
      <c r="B5076">
        <v>2022</v>
      </c>
      <c r="C5076" t="s">
        <v>58</v>
      </c>
      <c r="D5076">
        <v>1.9130765732213699</v>
      </c>
      <c r="E5076" t="s">
        <v>81</v>
      </c>
    </row>
    <row r="5077" spans="1:5" x14ac:dyDescent="0.25">
      <c r="A5077" t="s">
        <v>43</v>
      </c>
      <c r="B5077">
        <v>2023</v>
      </c>
      <c r="C5077" t="s">
        <v>58</v>
      </c>
      <c r="D5077">
        <v>2.23476077702639</v>
      </c>
      <c r="E5077" t="s">
        <v>81</v>
      </c>
    </row>
    <row r="5078" spans="1:5" x14ac:dyDescent="0.25">
      <c r="A5078" t="s">
        <v>43</v>
      </c>
      <c r="B5078">
        <v>2024</v>
      </c>
      <c r="C5078" t="s">
        <v>58</v>
      </c>
      <c r="D5078">
        <v>1.7129744969130001</v>
      </c>
      <c r="E5078" t="s">
        <v>81</v>
      </c>
    </row>
    <row r="5079" spans="1:5" x14ac:dyDescent="0.25">
      <c r="A5079" t="s">
        <v>43</v>
      </c>
      <c r="B5079">
        <v>2025</v>
      </c>
      <c r="C5079" t="s">
        <v>58</v>
      </c>
      <c r="D5079">
        <v>1.80966770225399</v>
      </c>
      <c r="E5079" t="s">
        <v>81</v>
      </c>
    </row>
    <row r="5080" spans="1:5" x14ac:dyDescent="0.25">
      <c r="A5080" t="s">
        <v>88</v>
      </c>
      <c r="B5080">
        <v>2010</v>
      </c>
      <c r="C5080" t="s">
        <v>58</v>
      </c>
      <c r="D5080">
        <v>2.6704950105964298</v>
      </c>
      <c r="E5080" t="s">
        <v>81</v>
      </c>
    </row>
    <row r="5081" spans="1:5" x14ac:dyDescent="0.25">
      <c r="A5081" t="s">
        <v>44</v>
      </c>
      <c r="B5081">
        <v>2010</v>
      </c>
      <c r="C5081" t="s">
        <v>58</v>
      </c>
      <c r="D5081">
        <v>1.55807085167068</v>
      </c>
      <c r="E5081" t="s">
        <v>81</v>
      </c>
    </row>
    <row r="5082" spans="1:5" x14ac:dyDescent="0.25">
      <c r="A5082" t="s">
        <v>44</v>
      </c>
      <c r="B5082">
        <v>2011</v>
      </c>
      <c r="C5082" t="s">
        <v>58</v>
      </c>
      <c r="D5082">
        <v>2.0841204389081001</v>
      </c>
      <c r="E5082" t="s">
        <v>81</v>
      </c>
    </row>
    <row r="5083" spans="1:5" x14ac:dyDescent="0.25">
      <c r="A5083" t="s">
        <v>44</v>
      </c>
      <c r="B5083">
        <v>2012</v>
      </c>
      <c r="C5083" t="s">
        <v>58</v>
      </c>
      <c r="D5083">
        <v>3.2515645763190402</v>
      </c>
      <c r="E5083" t="s">
        <v>81</v>
      </c>
    </row>
    <row r="5084" spans="1:5" x14ac:dyDescent="0.25">
      <c r="A5084" t="s">
        <v>44</v>
      </c>
      <c r="B5084">
        <v>2013</v>
      </c>
      <c r="C5084" t="s">
        <v>58</v>
      </c>
      <c r="D5084">
        <v>2.78049512027204</v>
      </c>
      <c r="E5084" t="s">
        <v>81</v>
      </c>
    </row>
    <row r="5085" spans="1:5" x14ac:dyDescent="0.25">
      <c r="A5085" t="s">
        <v>44</v>
      </c>
      <c r="B5085">
        <v>2014</v>
      </c>
      <c r="C5085" t="s">
        <v>58</v>
      </c>
      <c r="D5085">
        <v>2.35280641428667</v>
      </c>
      <c r="E5085" t="s">
        <v>81</v>
      </c>
    </row>
    <row r="5086" spans="1:5" x14ac:dyDescent="0.25">
      <c r="A5086" t="s">
        <v>44</v>
      </c>
      <c r="B5086">
        <v>2015</v>
      </c>
      <c r="C5086" t="s">
        <v>58</v>
      </c>
      <c r="D5086">
        <v>2.18262428876396</v>
      </c>
      <c r="E5086" t="s">
        <v>81</v>
      </c>
    </row>
    <row r="5087" spans="1:5" x14ac:dyDescent="0.25">
      <c r="A5087" t="s">
        <v>44</v>
      </c>
      <c r="B5087">
        <v>2016</v>
      </c>
      <c r="C5087" t="s">
        <v>58</v>
      </c>
      <c r="D5087">
        <v>2.3941960146875698</v>
      </c>
      <c r="E5087" t="s">
        <v>81</v>
      </c>
    </row>
    <row r="5088" spans="1:5" x14ac:dyDescent="0.25">
      <c r="A5088" t="s">
        <v>44</v>
      </c>
      <c r="B5088">
        <v>2017</v>
      </c>
      <c r="C5088" t="s">
        <v>58</v>
      </c>
      <c r="D5088">
        <v>2.7527494252757201</v>
      </c>
      <c r="E5088" t="s">
        <v>81</v>
      </c>
    </row>
    <row r="5089" spans="1:5" x14ac:dyDescent="0.25">
      <c r="A5089" t="s">
        <v>44</v>
      </c>
      <c r="B5089">
        <v>2018</v>
      </c>
      <c r="C5089" t="s">
        <v>58</v>
      </c>
      <c r="D5089">
        <v>3.0135988408227501</v>
      </c>
      <c r="E5089" t="s">
        <v>81</v>
      </c>
    </row>
    <row r="5090" spans="1:5" x14ac:dyDescent="0.25">
      <c r="A5090" t="s">
        <v>44</v>
      </c>
      <c r="B5090">
        <v>2019</v>
      </c>
      <c r="C5090" t="s">
        <v>58</v>
      </c>
      <c r="D5090">
        <v>2.6884776925177398</v>
      </c>
      <c r="E5090" t="s">
        <v>81</v>
      </c>
    </row>
    <row r="5091" spans="1:5" x14ac:dyDescent="0.25">
      <c r="A5091" t="s">
        <v>44</v>
      </c>
      <c r="B5091">
        <v>2020</v>
      </c>
      <c r="C5091" t="s">
        <v>58</v>
      </c>
      <c r="D5091">
        <v>2.5992668379190902</v>
      </c>
      <c r="E5091" t="s">
        <v>81</v>
      </c>
    </row>
    <row r="5092" spans="1:5" x14ac:dyDescent="0.25">
      <c r="A5092" t="s">
        <v>44</v>
      </c>
      <c r="B5092">
        <v>2021</v>
      </c>
      <c r="C5092" t="s">
        <v>58</v>
      </c>
      <c r="D5092">
        <v>2.8024207186383898</v>
      </c>
      <c r="E5092" t="s">
        <v>81</v>
      </c>
    </row>
    <row r="5093" spans="1:5" x14ac:dyDescent="0.25">
      <c r="A5093" t="s">
        <v>44</v>
      </c>
      <c r="B5093">
        <v>2022</v>
      </c>
      <c r="C5093" t="s">
        <v>58</v>
      </c>
      <c r="D5093">
        <v>3.61815067831688</v>
      </c>
      <c r="E5093" t="s">
        <v>81</v>
      </c>
    </row>
    <row r="5094" spans="1:5" x14ac:dyDescent="0.25">
      <c r="A5094" t="s">
        <v>44</v>
      </c>
      <c r="B5094">
        <v>2023</v>
      </c>
      <c r="C5094" t="s">
        <v>58</v>
      </c>
      <c r="D5094">
        <v>3.7023083151498302</v>
      </c>
      <c r="E5094" t="s">
        <v>81</v>
      </c>
    </row>
    <row r="5095" spans="1:5" x14ac:dyDescent="0.25">
      <c r="A5095" t="s">
        <v>44</v>
      </c>
      <c r="B5095">
        <v>2024</v>
      </c>
      <c r="C5095" t="s">
        <v>58</v>
      </c>
      <c r="D5095">
        <v>3.5783166012538099</v>
      </c>
      <c r="E5095" t="s">
        <v>81</v>
      </c>
    </row>
    <row r="5096" spans="1:5" x14ac:dyDescent="0.25">
      <c r="A5096" t="s">
        <v>44</v>
      </c>
      <c r="B5096">
        <v>2025</v>
      </c>
      <c r="C5096" t="s">
        <v>58</v>
      </c>
      <c r="D5096">
        <v>3.8983183362235998</v>
      </c>
      <c r="E5096" t="s">
        <v>81</v>
      </c>
    </row>
    <row r="5097" spans="1:5" x14ac:dyDescent="0.25">
      <c r="A5097" t="s">
        <v>87</v>
      </c>
      <c r="B5097">
        <v>2013</v>
      </c>
      <c r="C5097" t="s">
        <v>58</v>
      </c>
      <c r="D5097">
        <v>0.637676244435607</v>
      </c>
      <c r="E5097" t="s">
        <v>81</v>
      </c>
    </row>
    <row r="5098" spans="1:5" x14ac:dyDescent="0.25">
      <c r="A5098" t="s">
        <v>45</v>
      </c>
      <c r="B5098">
        <v>2015</v>
      </c>
      <c r="C5098" t="s">
        <v>58</v>
      </c>
      <c r="D5098">
        <v>8.8227399209568294</v>
      </c>
      <c r="E5098" t="s">
        <v>81</v>
      </c>
    </row>
    <row r="5099" spans="1:5" x14ac:dyDescent="0.25">
      <c r="A5099" t="s">
        <v>45</v>
      </c>
      <c r="B5099">
        <v>2016</v>
      </c>
      <c r="C5099" t="s">
        <v>58</v>
      </c>
      <c r="D5099">
        <v>10.481558490316401</v>
      </c>
      <c r="E5099" t="s">
        <v>81</v>
      </c>
    </row>
    <row r="5100" spans="1:5" x14ac:dyDescent="0.25">
      <c r="A5100" t="s">
        <v>45</v>
      </c>
      <c r="B5100">
        <v>2017</v>
      </c>
      <c r="C5100" t="s">
        <v>58</v>
      </c>
      <c r="D5100">
        <v>10.898144799673499</v>
      </c>
      <c r="E5100" t="s">
        <v>81</v>
      </c>
    </row>
    <row r="5101" spans="1:5" x14ac:dyDescent="0.25">
      <c r="A5101" t="s">
        <v>45</v>
      </c>
      <c r="B5101">
        <v>2018</v>
      </c>
      <c r="C5101" t="s">
        <v>58</v>
      </c>
      <c r="D5101">
        <v>11.879131966851499</v>
      </c>
      <c r="E5101" t="s">
        <v>81</v>
      </c>
    </row>
    <row r="5102" spans="1:5" x14ac:dyDescent="0.25">
      <c r="A5102" t="s">
        <v>45</v>
      </c>
      <c r="B5102">
        <v>2019</v>
      </c>
      <c r="C5102" t="s">
        <v>58</v>
      </c>
      <c r="D5102">
        <v>13.797511217895501</v>
      </c>
      <c r="E5102" t="s">
        <v>81</v>
      </c>
    </row>
    <row r="5103" spans="1:5" x14ac:dyDescent="0.25">
      <c r="A5103" t="s">
        <v>45</v>
      </c>
      <c r="B5103">
        <v>2020</v>
      </c>
      <c r="C5103" t="s">
        <v>58</v>
      </c>
      <c r="D5103">
        <v>13.3944292534106</v>
      </c>
      <c r="E5103" t="s">
        <v>81</v>
      </c>
    </row>
    <row r="5104" spans="1:5" x14ac:dyDescent="0.25">
      <c r="A5104" t="s">
        <v>45</v>
      </c>
      <c r="B5104">
        <v>2021</v>
      </c>
      <c r="C5104" t="s">
        <v>58</v>
      </c>
      <c r="D5104">
        <v>13.683571134963</v>
      </c>
      <c r="E5104" t="s">
        <v>81</v>
      </c>
    </row>
    <row r="5105" spans="1:5" x14ac:dyDescent="0.25">
      <c r="A5105" t="s">
        <v>45</v>
      </c>
      <c r="B5105">
        <v>2022</v>
      </c>
      <c r="C5105" t="s">
        <v>58</v>
      </c>
      <c r="D5105">
        <v>16.076996167649799</v>
      </c>
      <c r="E5105" t="s">
        <v>81</v>
      </c>
    </row>
    <row r="5106" spans="1:5" x14ac:dyDescent="0.25">
      <c r="A5106" t="s">
        <v>45</v>
      </c>
      <c r="B5106">
        <v>2023</v>
      </c>
      <c r="C5106" t="s">
        <v>58</v>
      </c>
      <c r="D5106">
        <v>21.622595664969399</v>
      </c>
      <c r="E5106" t="s">
        <v>81</v>
      </c>
    </row>
    <row r="5107" spans="1:5" x14ac:dyDescent="0.25">
      <c r="A5107" t="s">
        <v>45</v>
      </c>
      <c r="B5107">
        <v>2024</v>
      </c>
      <c r="C5107" t="s">
        <v>58</v>
      </c>
      <c r="D5107">
        <v>12.1376064785069</v>
      </c>
      <c r="E5107" t="s">
        <v>81</v>
      </c>
    </row>
    <row r="5108" spans="1:5" x14ac:dyDescent="0.25">
      <c r="A5108" t="s">
        <v>86</v>
      </c>
      <c r="B5108">
        <v>2013</v>
      </c>
      <c r="C5108" t="s">
        <v>58</v>
      </c>
      <c r="D5108">
        <v>8.0396799098079992</v>
      </c>
      <c r="E5108" t="s">
        <v>81</v>
      </c>
    </row>
    <row r="5109" spans="1:5" x14ac:dyDescent="0.25">
      <c r="A5109" t="s">
        <v>86</v>
      </c>
      <c r="B5109">
        <v>2015</v>
      </c>
      <c r="C5109" t="s">
        <v>58</v>
      </c>
      <c r="D5109">
        <v>6.11830307570599</v>
      </c>
      <c r="E5109" t="s">
        <v>81</v>
      </c>
    </row>
    <row r="5110" spans="1:5" x14ac:dyDescent="0.25">
      <c r="A5110" t="s">
        <v>86</v>
      </c>
      <c r="B5110">
        <v>2017</v>
      </c>
      <c r="C5110" t="s">
        <v>58</v>
      </c>
      <c r="D5110">
        <v>5.2552931412652102</v>
      </c>
      <c r="E5110" t="s">
        <v>81</v>
      </c>
    </row>
    <row r="5111" spans="1:5" x14ac:dyDescent="0.25">
      <c r="A5111" t="s">
        <v>86</v>
      </c>
      <c r="B5111">
        <v>2018</v>
      </c>
      <c r="C5111" t="s">
        <v>58</v>
      </c>
      <c r="D5111">
        <v>6.6748256070050402</v>
      </c>
      <c r="E5111" t="s">
        <v>81</v>
      </c>
    </row>
    <row r="5112" spans="1:5" x14ac:dyDescent="0.25">
      <c r="A5112" t="s">
        <v>86</v>
      </c>
      <c r="B5112">
        <v>2019</v>
      </c>
      <c r="C5112" t="s">
        <v>58</v>
      </c>
      <c r="D5112">
        <v>6.6185698636004204</v>
      </c>
      <c r="E5112" t="s">
        <v>81</v>
      </c>
    </row>
    <row r="5113" spans="1:5" x14ac:dyDescent="0.25">
      <c r="A5113" t="s">
        <v>86</v>
      </c>
      <c r="B5113">
        <v>2020</v>
      </c>
      <c r="C5113" t="s">
        <v>58</v>
      </c>
      <c r="D5113">
        <v>5.6469204766151604</v>
      </c>
      <c r="E5113" t="s">
        <v>81</v>
      </c>
    </row>
    <row r="5114" spans="1:5" x14ac:dyDescent="0.25">
      <c r="A5114" t="s">
        <v>86</v>
      </c>
      <c r="B5114">
        <v>2021</v>
      </c>
      <c r="C5114" t="s">
        <v>58</v>
      </c>
      <c r="D5114">
        <v>6.4722858280240896</v>
      </c>
      <c r="E5114" t="s">
        <v>81</v>
      </c>
    </row>
    <row r="5115" spans="1:5" x14ac:dyDescent="0.25">
      <c r="A5115" t="s">
        <v>85</v>
      </c>
      <c r="B5115">
        <v>2021</v>
      </c>
      <c r="C5115" t="s">
        <v>58</v>
      </c>
      <c r="D5115">
        <v>2.3090791088802298</v>
      </c>
      <c r="E5115" t="s">
        <v>81</v>
      </c>
    </row>
    <row r="5116" spans="1:5" x14ac:dyDescent="0.25">
      <c r="A5116" t="s">
        <v>85</v>
      </c>
      <c r="B5116">
        <v>2022</v>
      </c>
      <c r="C5116" t="s">
        <v>58</v>
      </c>
      <c r="D5116">
        <v>2.7964777689349001</v>
      </c>
      <c r="E5116" t="s">
        <v>81</v>
      </c>
    </row>
    <row r="5117" spans="1:5" x14ac:dyDescent="0.25">
      <c r="A5117" t="s">
        <v>85</v>
      </c>
      <c r="B5117">
        <v>2023</v>
      </c>
      <c r="C5117" t="s">
        <v>58</v>
      </c>
      <c r="D5117">
        <v>2.1966024897782699</v>
      </c>
      <c r="E5117" t="s">
        <v>81</v>
      </c>
    </row>
    <row r="5118" spans="1:5" x14ac:dyDescent="0.25">
      <c r="A5118" t="s">
        <v>85</v>
      </c>
      <c r="B5118">
        <v>2024</v>
      </c>
      <c r="C5118" t="s">
        <v>58</v>
      </c>
      <c r="D5118">
        <v>2.6457411601932499</v>
      </c>
      <c r="E5118" t="s">
        <v>81</v>
      </c>
    </row>
    <row r="5119" spans="1:5" x14ac:dyDescent="0.25">
      <c r="A5119" t="s">
        <v>85</v>
      </c>
      <c r="B5119">
        <v>2025</v>
      </c>
      <c r="C5119" t="s">
        <v>58</v>
      </c>
      <c r="D5119">
        <v>2.1278220718700598</v>
      </c>
      <c r="E5119" t="s">
        <v>81</v>
      </c>
    </row>
    <row r="5120" spans="1:5" x14ac:dyDescent="0.25">
      <c r="A5120" t="s">
        <v>46</v>
      </c>
      <c r="B5120">
        <v>2010</v>
      </c>
      <c r="C5120" t="s">
        <v>58</v>
      </c>
      <c r="D5120">
        <v>0.79164314942380598</v>
      </c>
      <c r="E5120" t="s">
        <v>81</v>
      </c>
    </row>
    <row r="5121" spans="1:5" x14ac:dyDescent="0.25">
      <c r="A5121" t="s">
        <v>46</v>
      </c>
      <c r="B5121">
        <v>2011</v>
      </c>
      <c r="C5121" t="s">
        <v>58</v>
      </c>
      <c r="D5121">
        <v>1.19934529266204</v>
      </c>
      <c r="E5121" t="s">
        <v>81</v>
      </c>
    </row>
    <row r="5122" spans="1:5" x14ac:dyDescent="0.25">
      <c r="A5122" t="s">
        <v>46</v>
      </c>
      <c r="B5122">
        <v>2012</v>
      </c>
      <c r="C5122" t="s">
        <v>58</v>
      </c>
      <c r="D5122">
        <v>1.7546944828775499</v>
      </c>
      <c r="E5122" t="s">
        <v>81</v>
      </c>
    </row>
    <row r="5123" spans="1:5" x14ac:dyDescent="0.25">
      <c r="A5123" t="s">
        <v>46</v>
      </c>
      <c r="B5123">
        <v>2013</v>
      </c>
      <c r="C5123" t="s">
        <v>58</v>
      </c>
      <c r="D5123">
        <v>2.0174262267019598</v>
      </c>
      <c r="E5123" t="s">
        <v>81</v>
      </c>
    </row>
    <row r="5124" spans="1:5" x14ac:dyDescent="0.25">
      <c r="A5124" t="s">
        <v>46</v>
      </c>
      <c r="B5124">
        <v>2014</v>
      </c>
      <c r="C5124" t="s">
        <v>58</v>
      </c>
      <c r="D5124">
        <v>1.65135167078198</v>
      </c>
      <c r="E5124" t="s">
        <v>81</v>
      </c>
    </row>
    <row r="5125" spans="1:5" x14ac:dyDescent="0.25">
      <c r="A5125" t="s">
        <v>46</v>
      </c>
      <c r="B5125">
        <v>2015</v>
      </c>
      <c r="C5125" t="s">
        <v>58</v>
      </c>
      <c r="D5125">
        <v>1.1649683967761899</v>
      </c>
      <c r="E5125" t="s">
        <v>81</v>
      </c>
    </row>
    <row r="5126" spans="1:5" x14ac:dyDescent="0.25">
      <c r="A5126" t="s">
        <v>46</v>
      </c>
      <c r="B5126">
        <v>2016</v>
      </c>
      <c r="C5126" t="s">
        <v>58</v>
      </c>
      <c r="D5126">
        <v>1.4543849319359301</v>
      </c>
      <c r="E5126" t="s">
        <v>81</v>
      </c>
    </row>
    <row r="5127" spans="1:5" x14ac:dyDescent="0.25">
      <c r="A5127" t="s">
        <v>46</v>
      </c>
      <c r="B5127">
        <v>2017</v>
      </c>
      <c r="C5127" t="s">
        <v>58</v>
      </c>
      <c r="D5127">
        <v>1.8198810343087299</v>
      </c>
      <c r="E5127" t="s">
        <v>81</v>
      </c>
    </row>
    <row r="5128" spans="1:5" x14ac:dyDescent="0.25">
      <c r="A5128" t="s">
        <v>46</v>
      </c>
      <c r="B5128">
        <v>2018</v>
      </c>
      <c r="C5128" t="s">
        <v>58</v>
      </c>
      <c r="D5128">
        <v>1.9142302575940799</v>
      </c>
      <c r="E5128" t="s">
        <v>81</v>
      </c>
    </row>
    <row r="5129" spans="1:5" x14ac:dyDescent="0.25">
      <c r="A5129" t="s">
        <v>46</v>
      </c>
      <c r="B5129">
        <v>2019</v>
      </c>
      <c r="C5129" t="s">
        <v>58</v>
      </c>
      <c r="D5129">
        <v>1.6423683883642901</v>
      </c>
      <c r="E5129" t="s">
        <v>81</v>
      </c>
    </row>
    <row r="5130" spans="1:5" x14ac:dyDescent="0.25">
      <c r="A5130" t="s">
        <v>46</v>
      </c>
      <c r="B5130">
        <v>2022</v>
      </c>
      <c r="C5130" t="s">
        <v>58</v>
      </c>
      <c r="D5130">
        <v>1.3048004607472099</v>
      </c>
      <c r="E5130" t="s">
        <v>81</v>
      </c>
    </row>
    <row r="5131" spans="1:5" x14ac:dyDescent="0.25">
      <c r="A5131" t="s">
        <v>47</v>
      </c>
      <c r="B5131">
        <v>2003</v>
      </c>
      <c r="C5131" t="s">
        <v>58</v>
      </c>
      <c r="D5131">
        <v>2.2912189040138902</v>
      </c>
      <c r="E5131" t="s">
        <v>81</v>
      </c>
    </row>
    <row r="5132" spans="1:5" x14ac:dyDescent="0.25">
      <c r="A5132" t="s">
        <v>47</v>
      </c>
      <c r="B5132">
        <v>2004</v>
      </c>
      <c r="C5132" t="s">
        <v>58</v>
      </c>
      <c r="D5132">
        <v>2.7119400167635499</v>
      </c>
      <c r="E5132" t="s">
        <v>81</v>
      </c>
    </row>
    <row r="5133" spans="1:5" x14ac:dyDescent="0.25">
      <c r="A5133" t="s">
        <v>47</v>
      </c>
      <c r="B5133">
        <v>2005</v>
      </c>
      <c r="C5133" t="s">
        <v>58</v>
      </c>
      <c r="D5133">
        <v>3.0303887359316999</v>
      </c>
      <c r="E5133" t="s">
        <v>81</v>
      </c>
    </row>
    <row r="5134" spans="1:5" x14ac:dyDescent="0.25">
      <c r="A5134" t="s">
        <v>47</v>
      </c>
      <c r="B5134">
        <v>2006</v>
      </c>
      <c r="C5134" t="s">
        <v>58</v>
      </c>
      <c r="D5134">
        <v>5.8644872820151104</v>
      </c>
      <c r="E5134" t="s">
        <v>81</v>
      </c>
    </row>
    <row r="5135" spans="1:5" x14ac:dyDescent="0.25">
      <c r="A5135" t="s">
        <v>47</v>
      </c>
      <c r="B5135">
        <v>2007</v>
      </c>
      <c r="C5135" t="s">
        <v>58</v>
      </c>
      <c r="D5135">
        <v>1.41858190307133</v>
      </c>
      <c r="E5135" t="s">
        <v>81</v>
      </c>
    </row>
    <row r="5136" spans="1:5" x14ac:dyDescent="0.25">
      <c r="A5136" t="s">
        <v>47</v>
      </c>
      <c r="B5136">
        <v>2008</v>
      </c>
      <c r="C5136" t="s">
        <v>58</v>
      </c>
      <c r="D5136">
        <v>5.5240314870015697</v>
      </c>
      <c r="E5136" t="s">
        <v>81</v>
      </c>
    </row>
    <row r="5137" spans="1:5" x14ac:dyDescent="0.25">
      <c r="A5137" t="s">
        <v>47</v>
      </c>
      <c r="B5137">
        <v>2010</v>
      </c>
      <c r="C5137" t="s">
        <v>58</v>
      </c>
      <c r="D5137">
        <v>4.0485239477820301</v>
      </c>
      <c r="E5137" t="s">
        <v>81</v>
      </c>
    </row>
    <row r="5138" spans="1:5" x14ac:dyDescent="0.25">
      <c r="A5138" t="s">
        <v>47</v>
      </c>
      <c r="B5138">
        <v>2011</v>
      </c>
      <c r="C5138" t="s">
        <v>58</v>
      </c>
      <c r="D5138">
        <v>6.2700912439604899</v>
      </c>
      <c r="E5138" t="s">
        <v>81</v>
      </c>
    </row>
    <row r="5139" spans="1:5" x14ac:dyDescent="0.25">
      <c r="A5139" t="s">
        <v>47</v>
      </c>
      <c r="B5139">
        <v>2012</v>
      </c>
      <c r="C5139" t="s">
        <v>58</v>
      </c>
      <c r="D5139">
        <v>6.9152284735508101</v>
      </c>
      <c r="E5139" t="s">
        <v>81</v>
      </c>
    </row>
    <row r="5140" spans="1:5" x14ac:dyDescent="0.25">
      <c r="A5140" t="s">
        <v>47</v>
      </c>
      <c r="B5140">
        <v>2013</v>
      </c>
      <c r="C5140" t="s">
        <v>58</v>
      </c>
      <c r="D5140">
        <v>7.2277171101439803</v>
      </c>
      <c r="E5140" t="s">
        <v>81</v>
      </c>
    </row>
    <row r="5141" spans="1:5" x14ac:dyDescent="0.25">
      <c r="A5141" t="s">
        <v>47</v>
      </c>
      <c r="B5141">
        <v>2014</v>
      </c>
      <c r="C5141" t="s">
        <v>58</v>
      </c>
      <c r="D5141">
        <v>5.64260656555322</v>
      </c>
      <c r="E5141" t="s">
        <v>81</v>
      </c>
    </row>
    <row r="5142" spans="1:5" x14ac:dyDescent="0.25">
      <c r="A5142" t="s">
        <v>47</v>
      </c>
      <c r="B5142">
        <v>2015</v>
      </c>
      <c r="C5142" t="s">
        <v>58</v>
      </c>
      <c r="D5142">
        <v>1.4201446523536301</v>
      </c>
      <c r="E5142" t="s">
        <v>81</v>
      </c>
    </row>
    <row r="5143" spans="1:5" x14ac:dyDescent="0.25">
      <c r="A5143" t="s">
        <v>47</v>
      </c>
      <c r="B5143">
        <v>2016</v>
      </c>
      <c r="C5143" t="s">
        <v>58</v>
      </c>
      <c r="D5143">
        <v>1.5695325316348601</v>
      </c>
      <c r="E5143" t="s">
        <v>81</v>
      </c>
    </row>
    <row r="5144" spans="1:5" x14ac:dyDescent="0.25">
      <c r="A5144" t="s">
        <v>47</v>
      </c>
      <c r="B5144">
        <v>2017</v>
      </c>
      <c r="C5144" t="s">
        <v>58</v>
      </c>
      <c r="D5144">
        <v>2.0703917653928698</v>
      </c>
      <c r="E5144" t="s">
        <v>81</v>
      </c>
    </row>
    <row r="5145" spans="1:5" x14ac:dyDescent="0.25">
      <c r="A5145" t="s">
        <v>47</v>
      </c>
      <c r="B5145">
        <v>2018</v>
      </c>
      <c r="C5145" t="s">
        <v>58</v>
      </c>
      <c r="D5145">
        <v>2.0124573437519899</v>
      </c>
      <c r="E5145" t="s">
        <v>81</v>
      </c>
    </row>
    <row r="5146" spans="1:5" x14ac:dyDescent="0.25">
      <c r="A5146" t="s">
        <v>47</v>
      </c>
      <c r="B5146">
        <v>2019</v>
      </c>
      <c r="C5146" t="s">
        <v>58</v>
      </c>
      <c r="D5146">
        <v>1.6070198682026999</v>
      </c>
      <c r="E5146" t="s">
        <v>81</v>
      </c>
    </row>
    <row r="5147" spans="1:5" x14ac:dyDescent="0.25">
      <c r="A5147" t="s">
        <v>47</v>
      </c>
      <c r="B5147">
        <v>2020</v>
      </c>
      <c r="C5147" t="s">
        <v>58</v>
      </c>
      <c r="D5147">
        <v>1.7212325686785599</v>
      </c>
      <c r="E5147" t="s">
        <v>81</v>
      </c>
    </row>
    <row r="5148" spans="1:5" x14ac:dyDescent="0.25">
      <c r="A5148" t="s">
        <v>47</v>
      </c>
      <c r="B5148">
        <v>2021</v>
      </c>
      <c r="C5148" t="s">
        <v>58</v>
      </c>
      <c r="D5148">
        <v>1.7098461848416699</v>
      </c>
      <c r="E5148" t="s">
        <v>81</v>
      </c>
    </row>
    <row r="5149" spans="1:5" x14ac:dyDescent="0.25">
      <c r="A5149" t="s">
        <v>47</v>
      </c>
      <c r="B5149">
        <v>2022</v>
      </c>
      <c r="C5149" t="s">
        <v>58</v>
      </c>
      <c r="D5149">
        <v>2.01433060868606</v>
      </c>
      <c r="E5149" t="s">
        <v>81</v>
      </c>
    </row>
    <row r="5150" spans="1:5" x14ac:dyDescent="0.25">
      <c r="A5150" t="s">
        <v>62</v>
      </c>
      <c r="B5150">
        <v>2011</v>
      </c>
      <c r="C5150" t="s">
        <v>58</v>
      </c>
      <c r="D5150">
        <v>4.0961913608917797</v>
      </c>
      <c r="E5150" t="s">
        <v>81</v>
      </c>
    </row>
    <row r="5151" spans="1:5" x14ac:dyDescent="0.25">
      <c r="A5151" t="s">
        <v>62</v>
      </c>
      <c r="B5151">
        <v>2012</v>
      </c>
      <c r="C5151" t="s">
        <v>58</v>
      </c>
      <c r="D5151">
        <v>5.74788624928423</v>
      </c>
      <c r="E5151" t="s">
        <v>81</v>
      </c>
    </row>
    <row r="5152" spans="1:5" x14ac:dyDescent="0.25">
      <c r="A5152" t="s">
        <v>62</v>
      </c>
      <c r="B5152">
        <v>2013</v>
      </c>
      <c r="C5152" t="s">
        <v>58</v>
      </c>
      <c r="D5152">
        <v>5.0591920578939398</v>
      </c>
      <c r="E5152" t="s">
        <v>81</v>
      </c>
    </row>
    <row r="5153" spans="1:5" x14ac:dyDescent="0.25">
      <c r="A5153" t="s">
        <v>62</v>
      </c>
      <c r="B5153">
        <v>2014</v>
      </c>
      <c r="C5153" t="s">
        <v>58</v>
      </c>
      <c r="D5153">
        <v>5.27512697744592</v>
      </c>
      <c r="E5153" t="s">
        <v>81</v>
      </c>
    </row>
    <row r="5154" spans="1:5" x14ac:dyDescent="0.25">
      <c r="A5154" t="s">
        <v>62</v>
      </c>
      <c r="B5154">
        <v>2015</v>
      </c>
      <c r="C5154" t="s">
        <v>58</v>
      </c>
      <c r="D5154">
        <v>4.3631370868963897</v>
      </c>
      <c r="E5154" t="s">
        <v>81</v>
      </c>
    </row>
    <row r="5155" spans="1:5" x14ac:dyDescent="0.25">
      <c r="A5155" t="s">
        <v>62</v>
      </c>
      <c r="B5155">
        <v>2017</v>
      </c>
      <c r="C5155" t="s">
        <v>58</v>
      </c>
      <c r="D5155">
        <v>5.4786922059722496</v>
      </c>
      <c r="E5155" t="s">
        <v>81</v>
      </c>
    </row>
    <row r="5156" spans="1:5" x14ac:dyDescent="0.25">
      <c r="A5156" t="s">
        <v>62</v>
      </c>
      <c r="B5156">
        <v>2018</v>
      </c>
      <c r="C5156" t="s">
        <v>58</v>
      </c>
      <c r="D5156">
        <v>5.7691383307314696</v>
      </c>
      <c r="E5156" t="s">
        <v>81</v>
      </c>
    </row>
    <row r="5157" spans="1:5" x14ac:dyDescent="0.25">
      <c r="A5157" t="s">
        <v>62</v>
      </c>
      <c r="B5157">
        <v>2019</v>
      </c>
      <c r="C5157" t="s">
        <v>58</v>
      </c>
      <c r="D5157">
        <v>4.2723346915359599</v>
      </c>
      <c r="E5157" t="s">
        <v>81</v>
      </c>
    </row>
    <row r="5158" spans="1:5" x14ac:dyDescent="0.25">
      <c r="A5158" t="s">
        <v>62</v>
      </c>
      <c r="B5158">
        <v>2020</v>
      </c>
      <c r="C5158" t="s">
        <v>58</v>
      </c>
      <c r="D5158">
        <v>3.7141361641935</v>
      </c>
      <c r="E5158" t="s">
        <v>81</v>
      </c>
    </row>
    <row r="5159" spans="1:5" x14ac:dyDescent="0.25">
      <c r="A5159" t="s">
        <v>62</v>
      </c>
      <c r="B5159">
        <v>2021</v>
      </c>
      <c r="C5159" t="s">
        <v>58</v>
      </c>
      <c r="D5159">
        <v>6.9045939257747202</v>
      </c>
      <c r="E5159" t="s">
        <v>81</v>
      </c>
    </row>
    <row r="5160" spans="1:5" x14ac:dyDescent="0.25">
      <c r="A5160" t="s">
        <v>62</v>
      </c>
      <c r="B5160">
        <v>2022</v>
      </c>
      <c r="C5160" t="s">
        <v>58</v>
      </c>
      <c r="D5160">
        <v>8.1025978368363898</v>
      </c>
      <c r="E5160" t="s">
        <v>81</v>
      </c>
    </row>
    <row r="5161" spans="1:5" x14ac:dyDescent="0.25">
      <c r="A5161" t="s">
        <v>62</v>
      </c>
      <c r="B5161">
        <v>2023</v>
      </c>
      <c r="C5161" t="s">
        <v>58</v>
      </c>
      <c r="D5161">
        <v>5.3193799774239503</v>
      </c>
      <c r="E5161" t="s">
        <v>81</v>
      </c>
    </row>
    <row r="5162" spans="1:5" x14ac:dyDescent="0.25">
      <c r="A5162" t="s">
        <v>62</v>
      </c>
      <c r="B5162">
        <v>2024</v>
      </c>
      <c r="C5162" t="s">
        <v>58</v>
      </c>
      <c r="D5162">
        <v>4.18048478090404</v>
      </c>
      <c r="E5162" t="s">
        <v>81</v>
      </c>
    </row>
    <row r="5163" spans="1:5" x14ac:dyDescent="0.25">
      <c r="A5163" t="s">
        <v>62</v>
      </c>
      <c r="B5163">
        <v>2025</v>
      </c>
      <c r="C5163" t="s">
        <v>58</v>
      </c>
      <c r="D5163">
        <v>4.0316330994908398</v>
      </c>
      <c r="E5163" t="s">
        <v>81</v>
      </c>
    </row>
    <row r="5164" spans="1:5" x14ac:dyDescent="0.25">
      <c r="A5164" t="s">
        <v>84</v>
      </c>
      <c r="B5164">
        <v>2023</v>
      </c>
      <c r="C5164" t="s">
        <v>58</v>
      </c>
      <c r="D5164">
        <v>8.9304878286248695</v>
      </c>
      <c r="E5164" t="s">
        <v>81</v>
      </c>
    </row>
    <row r="5165" spans="1:5" x14ac:dyDescent="0.25">
      <c r="A5165" t="s">
        <v>84</v>
      </c>
      <c r="B5165">
        <v>2025</v>
      </c>
      <c r="C5165" t="s">
        <v>58</v>
      </c>
      <c r="D5165">
        <v>9.1473881342827905</v>
      </c>
      <c r="E5165" t="s">
        <v>81</v>
      </c>
    </row>
    <row r="5166" spans="1:5" x14ac:dyDescent="0.25">
      <c r="A5166" t="s">
        <v>49</v>
      </c>
      <c r="B5166">
        <v>2002</v>
      </c>
      <c r="C5166" t="s">
        <v>58</v>
      </c>
      <c r="D5166">
        <v>1.2982874928586099</v>
      </c>
      <c r="E5166" t="s">
        <v>81</v>
      </c>
    </row>
    <row r="5167" spans="1:5" x14ac:dyDescent="0.25">
      <c r="A5167" t="s">
        <v>49</v>
      </c>
      <c r="B5167">
        <v>2003</v>
      </c>
      <c r="C5167" t="s">
        <v>58</v>
      </c>
      <c r="D5167">
        <v>1.3031134143766501</v>
      </c>
      <c r="E5167" t="s">
        <v>81</v>
      </c>
    </row>
    <row r="5168" spans="1:5" x14ac:dyDescent="0.25">
      <c r="A5168" t="s">
        <v>49</v>
      </c>
      <c r="B5168">
        <v>2004</v>
      </c>
      <c r="C5168" t="s">
        <v>58</v>
      </c>
      <c r="D5168">
        <v>1.6091162313945</v>
      </c>
      <c r="E5168" t="s">
        <v>81</v>
      </c>
    </row>
    <row r="5169" spans="1:5" x14ac:dyDescent="0.25">
      <c r="A5169" t="s">
        <v>49</v>
      </c>
      <c r="B5169">
        <v>2005</v>
      </c>
      <c r="C5169" t="s">
        <v>58</v>
      </c>
      <c r="D5169">
        <v>1.6506910703871001</v>
      </c>
      <c r="E5169" t="s">
        <v>81</v>
      </c>
    </row>
    <row r="5170" spans="1:5" x14ac:dyDescent="0.25">
      <c r="A5170" t="s">
        <v>49</v>
      </c>
      <c r="B5170">
        <v>2006</v>
      </c>
      <c r="C5170" t="s">
        <v>58</v>
      </c>
      <c r="D5170">
        <v>1.7497993405691701</v>
      </c>
      <c r="E5170" t="s">
        <v>81</v>
      </c>
    </row>
    <row r="5171" spans="1:5" x14ac:dyDescent="0.25">
      <c r="A5171" t="s">
        <v>49</v>
      </c>
      <c r="B5171">
        <v>2007</v>
      </c>
      <c r="C5171" t="s">
        <v>58</v>
      </c>
      <c r="D5171">
        <v>2.2088028783887799</v>
      </c>
      <c r="E5171" t="s">
        <v>81</v>
      </c>
    </row>
    <row r="5172" spans="1:5" x14ac:dyDescent="0.25">
      <c r="A5172" t="s">
        <v>49</v>
      </c>
      <c r="B5172">
        <v>2008</v>
      </c>
      <c r="C5172" t="s">
        <v>58</v>
      </c>
      <c r="D5172">
        <v>2.4947512974571202</v>
      </c>
      <c r="E5172" t="s">
        <v>81</v>
      </c>
    </row>
    <row r="5173" spans="1:5" x14ac:dyDescent="0.25">
      <c r="A5173" t="s">
        <v>49</v>
      </c>
      <c r="B5173">
        <v>2009</v>
      </c>
      <c r="C5173" t="s">
        <v>58</v>
      </c>
      <c r="D5173">
        <v>2.0594938780779901</v>
      </c>
      <c r="E5173" t="s">
        <v>81</v>
      </c>
    </row>
    <row r="5174" spans="1:5" x14ac:dyDescent="0.25">
      <c r="A5174" t="s">
        <v>49</v>
      </c>
      <c r="B5174">
        <v>2010</v>
      </c>
      <c r="C5174" t="s">
        <v>58</v>
      </c>
      <c r="D5174">
        <v>2.1009480120252002</v>
      </c>
      <c r="E5174" t="s">
        <v>81</v>
      </c>
    </row>
    <row r="5175" spans="1:5" x14ac:dyDescent="0.25">
      <c r="A5175" t="s">
        <v>49</v>
      </c>
      <c r="B5175">
        <v>2011</v>
      </c>
      <c r="C5175" t="s">
        <v>58</v>
      </c>
      <c r="D5175">
        <v>2.63220321482348</v>
      </c>
      <c r="E5175" t="s">
        <v>81</v>
      </c>
    </row>
    <row r="5176" spans="1:5" x14ac:dyDescent="0.25">
      <c r="A5176" t="s">
        <v>49</v>
      </c>
      <c r="B5176">
        <v>2012</v>
      </c>
      <c r="C5176" t="s">
        <v>58</v>
      </c>
      <c r="D5176">
        <v>2.9966729315621601</v>
      </c>
      <c r="E5176" t="s">
        <v>81</v>
      </c>
    </row>
    <row r="5177" spans="1:5" x14ac:dyDescent="0.25">
      <c r="A5177" t="s">
        <v>49</v>
      </c>
      <c r="B5177">
        <v>2013</v>
      </c>
      <c r="C5177" t="s">
        <v>58</v>
      </c>
      <c r="D5177">
        <v>3.09025008076331</v>
      </c>
      <c r="E5177" t="s">
        <v>81</v>
      </c>
    </row>
    <row r="5178" spans="1:5" x14ac:dyDescent="0.25">
      <c r="A5178" t="s">
        <v>49</v>
      </c>
      <c r="B5178">
        <v>2014</v>
      </c>
      <c r="C5178" t="s">
        <v>58</v>
      </c>
      <c r="D5178">
        <v>2.5392749609135699</v>
      </c>
      <c r="E5178" t="s">
        <v>81</v>
      </c>
    </row>
    <row r="5179" spans="1:5" x14ac:dyDescent="0.25">
      <c r="A5179" t="s">
        <v>49</v>
      </c>
      <c r="B5179">
        <v>2015</v>
      </c>
      <c r="C5179" t="s">
        <v>58</v>
      </c>
      <c r="D5179">
        <v>2.1471767909736701</v>
      </c>
      <c r="E5179" t="s">
        <v>81</v>
      </c>
    </row>
    <row r="5180" spans="1:5" x14ac:dyDescent="0.25">
      <c r="A5180" t="s">
        <v>49</v>
      </c>
      <c r="B5180">
        <v>2016</v>
      </c>
      <c r="C5180" t="s">
        <v>58</v>
      </c>
      <c r="D5180">
        <v>2.3044906262034299</v>
      </c>
      <c r="E5180" t="s">
        <v>81</v>
      </c>
    </row>
    <row r="5181" spans="1:5" x14ac:dyDescent="0.25">
      <c r="A5181" t="s">
        <v>49</v>
      </c>
      <c r="B5181">
        <v>2017</v>
      </c>
      <c r="C5181" t="s">
        <v>58</v>
      </c>
      <c r="D5181">
        <v>2.72758745480398</v>
      </c>
      <c r="E5181" t="s">
        <v>81</v>
      </c>
    </row>
    <row r="5182" spans="1:5" x14ac:dyDescent="0.25">
      <c r="A5182" t="s">
        <v>49</v>
      </c>
      <c r="B5182">
        <v>2018</v>
      </c>
      <c r="C5182" t="s">
        <v>58</v>
      </c>
      <c r="D5182">
        <v>2.7705277419235301</v>
      </c>
      <c r="E5182" t="s">
        <v>81</v>
      </c>
    </row>
    <row r="5183" spans="1:5" x14ac:dyDescent="0.25">
      <c r="A5183" t="s">
        <v>49</v>
      </c>
      <c r="B5183">
        <v>2019</v>
      </c>
      <c r="C5183" t="s">
        <v>58</v>
      </c>
      <c r="D5183">
        <v>2.5390533511642301</v>
      </c>
      <c r="E5183" t="s">
        <v>81</v>
      </c>
    </row>
    <row r="5184" spans="1:5" x14ac:dyDescent="0.25">
      <c r="A5184" t="s">
        <v>49</v>
      </c>
      <c r="B5184">
        <v>2020</v>
      </c>
      <c r="C5184" t="s">
        <v>58</v>
      </c>
      <c r="D5184">
        <v>2.5212179520487399</v>
      </c>
      <c r="E5184" t="s">
        <v>81</v>
      </c>
    </row>
    <row r="5185" spans="1:5" x14ac:dyDescent="0.25">
      <c r="A5185" t="s">
        <v>49</v>
      </c>
      <c r="B5185">
        <v>2021</v>
      </c>
      <c r="C5185" t="s">
        <v>58</v>
      </c>
      <c r="D5185">
        <v>2.8992117554250698</v>
      </c>
      <c r="E5185" t="s">
        <v>81</v>
      </c>
    </row>
    <row r="5186" spans="1:5" x14ac:dyDescent="0.25">
      <c r="A5186" t="s">
        <v>49</v>
      </c>
      <c r="B5186">
        <v>2022</v>
      </c>
      <c r="C5186" t="s">
        <v>58</v>
      </c>
      <c r="D5186">
        <v>3.7215393379270498</v>
      </c>
      <c r="E5186" t="s">
        <v>81</v>
      </c>
    </row>
    <row r="5187" spans="1:5" x14ac:dyDescent="0.25">
      <c r="A5187" t="s">
        <v>49</v>
      </c>
      <c r="B5187">
        <v>2023</v>
      </c>
      <c r="C5187" t="s">
        <v>58</v>
      </c>
      <c r="D5187">
        <v>3.5983601662343201</v>
      </c>
      <c r="E5187" t="s">
        <v>81</v>
      </c>
    </row>
    <row r="5188" spans="1:5" x14ac:dyDescent="0.25">
      <c r="A5188" t="s">
        <v>49</v>
      </c>
      <c r="B5188">
        <v>2024</v>
      </c>
      <c r="C5188" t="s">
        <v>58</v>
      </c>
      <c r="D5188">
        <v>3.1184647615624401</v>
      </c>
      <c r="E5188" t="s">
        <v>81</v>
      </c>
    </row>
    <row r="5189" spans="1:5" x14ac:dyDescent="0.25">
      <c r="A5189" t="s">
        <v>49</v>
      </c>
      <c r="B5189">
        <v>2025</v>
      </c>
      <c r="C5189" t="s">
        <v>58</v>
      </c>
      <c r="D5189">
        <v>3.6335591370334002</v>
      </c>
      <c r="E5189" t="s">
        <v>81</v>
      </c>
    </row>
    <row r="5190" spans="1:5" x14ac:dyDescent="0.25">
      <c r="A5190" t="s">
        <v>50</v>
      </c>
      <c r="B5190">
        <v>2010</v>
      </c>
      <c r="C5190" t="s">
        <v>58</v>
      </c>
      <c r="D5190">
        <v>1.90119824231441</v>
      </c>
      <c r="E5190" t="s">
        <v>81</v>
      </c>
    </row>
    <row r="5191" spans="1:5" x14ac:dyDescent="0.25">
      <c r="A5191" t="s">
        <v>50</v>
      </c>
      <c r="B5191">
        <v>2011</v>
      </c>
      <c r="C5191" t="s">
        <v>58</v>
      </c>
      <c r="D5191">
        <v>2.17107358184886</v>
      </c>
      <c r="E5191" t="s">
        <v>81</v>
      </c>
    </row>
    <row r="5192" spans="1:5" x14ac:dyDescent="0.25">
      <c r="A5192" t="s">
        <v>50</v>
      </c>
      <c r="B5192">
        <v>2012</v>
      </c>
      <c r="C5192" t="s">
        <v>58</v>
      </c>
      <c r="D5192">
        <v>2.2638227388967902</v>
      </c>
      <c r="E5192" t="s">
        <v>81</v>
      </c>
    </row>
    <row r="5193" spans="1:5" x14ac:dyDescent="0.25">
      <c r="A5193" t="s">
        <v>50</v>
      </c>
      <c r="B5193">
        <v>2013</v>
      </c>
      <c r="C5193" t="s">
        <v>58</v>
      </c>
      <c r="D5193">
        <v>2.14009779076759</v>
      </c>
      <c r="E5193" t="s">
        <v>81</v>
      </c>
    </row>
    <row r="5194" spans="1:5" x14ac:dyDescent="0.25">
      <c r="A5194" t="s">
        <v>50</v>
      </c>
      <c r="B5194">
        <v>2014</v>
      </c>
      <c r="C5194" t="s">
        <v>58</v>
      </c>
      <c r="D5194">
        <v>1.61708531470053</v>
      </c>
      <c r="E5194" t="s">
        <v>81</v>
      </c>
    </row>
    <row r="5195" spans="1:5" x14ac:dyDescent="0.25">
      <c r="A5195" t="s">
        <v>50</v>
      </c>
      <c r="B5195">
        <v>2015</v>
      </c>
      <c r="C5195" t="s">
        <v>58</v>
      </c>
      <c r="D5195">
        <v>1.33845186845102</v>
      </c>
      <c r="E5195" t="s">
        <v>81</v>
      </c>
    </row>
    <row r="5196" spans="1:5" x14ac:dyDescent="0.25">
      <c r="A5196" t="s">
        <v>50</v>
      </c>
      <c r="B5196">
        <v>2016</v>
      </c>
      <c r="C5196" t="s">
        <v>58</v>
      </c>
      <c r="D5196">
        <v>1.5356895528711301</v>
      </c>
      <c r="E5196" t="s">
        <v>81</v>
      </c>
    </row>
    <row r="5197" spans="1:5" x14ac:dyDescent="0.25">
      <c r="A5197" t="s">
        <v>50</v>
      </c>
      <c r="B5197">
        <v>2017</v>
      </c>
      <c r="C5197" t="s">
        <v>58</v>
      </c>
      <c r="D5197">
        <v>1.8707162767405601</v>
      </c>
      <c r="E5197" t="s">
        <v>81</v>
      </c>
    </row>
    <row r="5198" spans="1:5" x14ac:dyDescent="0.25">
      <c r="A5198" t="s">
        <v>50</v>
      </c>
      <c r="B5198">
        <v>2018</v>
      </c>
      <c r="C5198" t="s">
        <v>58</v>
      </c>
      <c r="D5198">
        <v>1.58546933305223</v>
      </c>
      <c r="E5198" t="s">
        <v>81</v>
      </c>
    </row>
    <row r="5199" spans="1:5" x14ac:dyDescent="0.25">
      <c r="A5199" t="s">
        <v>50</v>
      </c>
      <c r="B5199">
        <v>2019</v>
      </c>
      <c r="C5199" t="s">
        <v>58</v>
      </c>
      <c r="D5199">
        <v>1.6744885577736199</v>
      </c>
      <c r="E5199" t="s">
        <v>81</v>
      </c>
    </row>
    <row r="5200" spans="1:5" x14ac:dyDescent="0.25">
      <c r="A5200" t="s">
        <v>50</v>
      </c>
      <c r="B5200">
        <v>2020</v>
      </c>
      <c r="C5200" t="s">
        <v>58</v>
      </c>
      <c r="D5200">
        <v>1.5474847853957201</v>
      </c>
      <c r="E5200" t="s">
        <v>81</v>
      </c>
    </row>
    <row r="5201" spans="1:5" x14ac:dyDescent="0.25">
      <c r="A5201" t="s">
        <v>50</v>
      </c>
      <c r="B5201">
        <v>2021</v>
      </c>
      <c r="C5201" t="s">
        <v>58</v>
      </c>
      <c r="D5201">
        <v>1.55958472350247</v>
      </c>
      <c r="E5201" t="s">
        <v>81</v>
      </c>
    </row>
    <row r="5202" spans="1:5" x14ac:dyDescent="0.25">
      <c r="A5202" t="s">
        <v>50</v>
      </c>
      <c r="B5202">
        <v>2022</v>
      </c>
      <c r="C5202" t="s">
        <v>58</v>
      </c>
      <c r="D5202">
        <v>1.78573989793759</v>
      </c>
      <c r="E5202" t="s">
        <v>81</v>
      </c>
    </row>
    <row r="5203" spans="1:5" x14ac:dyDescent="0.25">
      <c r="A5203" t="s">
        <v>50</v>
      </c>
      <c r="B5203">
        <v>2023</v>
      </c>
      <c r="C5203" t="s">
        <v>58</v>
      </c>
      <c r="D5203">
        <v>1.97468932964712</v>
      </c>
      <c r="E5203" t="s">
        <v>81</v>
      </c>
    </row>
    <row r="5204" spans="1:5" x14ac:dyDescent="0.25">
      <c r="A5204" t="s">
        <v>50</v>
      </c>
      <c r="B5204">
        <v>2024</v>
      </c>
      <c r="C5204" t="s">
        <v>58</v>
      </c>
      <c r="D5204">
        <v>1.6333748675111599</v>
      </c>
      <c r="E5204" t="s">
        <v>81</v>
      </c>
    </row>
    <row r="5205" spans="1:5" x14ac:dyDescent="0.25">
      <c r="A5205" t="s">
        <v>50</v>
      </c>
      <c r="B5205">
        <v>2025</v>
      </c>
      <c r="C5205" t="s">
        <v>58</v>
      </c>
      <c r="D5205">
        <v>1.72562157081977</v>
      </c>
      <c r="E5205" t="s">
        <v>81</v>
      </c>
    </row>
    <row r="5206" spans="1:5" x14ac:dyDescent="0.25">
      <c r="A5206" t="s">
        <v>83</v>
      </c>
      <c r="B5206">
        <v>2012</v>
      </c>
      <c r="C5206" t="s">
        <v>58</v>
      </c>
      <c r="D5206">
        <v>0.59174640458015304</v>
      </c>
      <c r="E5206" t="s">
        <v>81</v>
      </c>
    </row>
    <row r="5207" spans="1:5" x14ac:dyDescent="0.25">
      <c r="A5207" t="s">
        <v>51</v>
      </c>
      <c r="B5207">
        <v>2014</v>
      </c>
      <c r="C5207" t="s">
        <v>58</v>
      </c>
      <c r="D5207">
        <v>1.4895420191731901</v>
      </c>
      <c r="E5207" t="s">
        <v>81</v>
      </c>
    </row>
    <row r="5208" spans="1:5" x14ac:dyDescent="0.25">
      <c r="A5208" t="s">
        <v>51</v>
      </c>
      <c r="B5208">
        <v>2021</v>
      </c>
      <c r="C5208" t="s">
        <v>58</v>
      </c>
      <c r="D5208">
        <v>1.41024148367818</v>
      </c>
      <c r="E5208" t="s">
        <v>81</v>
      </c>
    </row>
    <row r="5209" spans="1:5" x14ac:dyDescent="0.25">
      <c r="A5209" t="s">
        <v>51</v>
      </c>
      <c r="B5209">
        <v>2022</v>
      </c>
      <c r="C5209" t="s">
        <v>58</v>
      </c>
      <c r="D5209">
        <v>1.71457910309772</v>
      </c>
      <c r="E5209" t="s">
        <v>81</v>
      </c>
    </row>
    <row r="5210" spans="1:5" x14ac:dyDescent="0.25">
      <c r="A5210" t="s">
        <v>52</v>
      </c>
      <c r="B5210">
        <v>2000</v>
      </c>
      <c r="C5210" t="s">
        <v>58</v>
      </c>
      <c r="D5210">
        <v>0.734869641732806</v>
      </c>
      <c r="E5210" t="s">
        <v>81</v>
      </c>
    </row>
    <row r="5211" spans="1:5" x14ac:dyDescent="0.25">
      <c r="A5211" t="s">
        <v>52</v>
      </c>
      <c r="B5211">
        <v>2001</v>
      </c>
      <c r="C5211" t="s">
        <v>58</v>
      </c>
      <c r="D5211">
        <v>0.88212408556852595</v>
      </c>
      <c r="E5211" t="s">
        <v>81</v>
      </c>
    </row>
    <row r="5212" spans="1:5" x14ac:dyDescent="0.25">
      <c r="A5212" t="s">
        <v>52</v>
      </c>
      <c r="B5212">
        <v>2002</v>
      </c>
      <c r="C5212" t="s">
        <v>58</v>
      </c>
      <c r="D5212">
        <v>0.87747383603917894</v>
      </c>
      <c r="E5212" t="s">
        <v>81</v>
      </c>
    </row>
    <row r="5213" spans="1:5" x14ac:dyDescent="0.25">
      <c r="A5213" t="s">
        <v>52</v>
      </c>
      <c r="B5213">
        <v>2003</v>
      </c>
      <c r="C5213" t="s">
        <v>58</v>
      </c>
      <c r="D5213">
        <v>0.863052925683226</v>
      </c>
      <c r="E5213" t="s">
        <v>81</v>
      </c>
    </row>
    <row r="5214" spans="1:5" x14ac:dyDescent="0.25">
      <c r="A5214" t="s">
        <v>52</v>
      </c>
      <c r="B5214">
        <v>2004</v>
      </c>
      <c r="C5214" t="s">
        <v>58</v>
      </c>
      <c r="D5214">
        <v>1.2024820368342</v>
      </c>
      <c r="E5214" t="s">
        <v>81</v>
      </c>
    </row>
    <row r="5215" spans="1:5" x14ac:dyDescent="0.25">
      <c r="A5215" t="s">
        <v>52</v>
      </c>
      <c r="B5215">
        <v>2005</v>
      </c>
      <c r="C5215" t="s">
        <v>58</v>
      </c>
      <c r="D5215">
        <v>1.14044101268938</v>
      </c>
      <c r="E5215" t="s">
        <v>81</v>
      </c>
    </row>
    <row r="5216" spans="1:5" x14ac:dyDescent="0.25">
      <c r="A5216" t="s">
        <v>52</v>
      </c>
      <c r="B5216">
        <v>2006</v>
      </c>
      <c r="C5216" t="s">
        <v>58</v>
      </c>
      <c r="D5216">
        <v>1.25364370065426</v>
      </c>
      <c r="E5216" t="s">
        <v>81</v>
      </c>
    </row>
    <row r="5217" spans="1:5" x14ac:dyDescent="0.25">
      <c r="A5217" t="s">
        <v>52</v>
      </c>
      <c r="B5217">
        <v>2007</v>
      </c>
      <c r="C5217" t="s">
        <v>58</v>
      </c>
      <c r="D5217">
        <v>1.50873922125517</v>
      </c>
      <c r="E5217" t="s">
        <v>81</v>
      </c>
    </row>
    <row r="5218" spans="1:5" x14ac:dyDescent="0.25">
      <c r="A5218" t="s">
        <v>52</v>
      </c>
      <c r="B5218">
        <v>2008</v>
      </c>
      <c r="C5218" t="s">
        <v>58</v>
      </c>
      <c r="D5218">
        <v>2.8197016025213002</v>
      </c>
      <c r="E5218" t="s">
        <v>81</v>
      </c>
    </row>
    <row r="5219" spans="1:5" x14ac:dyDescent="0.25">
      <c r="A5219" t="s">
        <v>52</v>
      </c>
      <c r="B5219">
        <v>2009</v>
      </c>
      <c r="C5219" t="s">
        <v>58</v>
      </c>
      <c r="D5219">
        <v>1.72761251216048</v>
      </c>
      <c r="E5219" t="s">
        <v>81</v>
      </c>
    </row>
    <row r="5220" spans="1:5" x14ac:dyDescent="0.25">
      <c r="A5220" t="s">
        <v>52</v>
      </c>
      <c r="B5220">
        <v>2010</v>
      </c>
      <c r="C5220" t="s">
        <v>58</v>
      </c>
      <c r="D5220">
        <v>1.5825957730524001</v>
      </c>
      <c r="E5220" t="s">
        <v>81</v>
      </c>
    </row>
    <row r="5221" spans="1:5" x14ac:dyDescent="0.25">
      <c r="A5221" t="s">
        <v>52</v>
      </c>
      <c r="B5221">
        <v>2011</v>
      </c>
      <c r="C5221" t="s">
        <v>58</v>
      </c>
      <c r="D5221">
        <v>2.2433189059015999</v>
      </c>
      <c r="E5221" t="s">
        <v>81</v>
      </c>
    </row>
    <row r="5222" spans="1:5" x14ac:dyDescent="0.25">
      <c r="A5222" t="s">
        <v>52</v>
      </c>
      <c r="B5222">
        <v>2012</v>
      </c>
      <c r="C5222" t="s">
        <v>58</v>
      </c>
      <c r="D5222">
        <v>3.01120897768577</v>
      </c>
      <c r="E5222" t="s">
        <v>81</v>
      </c>
    </row>
    <row r="5223" spans="1:5" x14ac:dyDescent="0.25">
      <c r="A5223" t="s">
        <v>52</v>
      </c>
      <c r="B5223">
        <v>2013</v>
      </c>
      <c r="C5223" t="s">
        <v>58</v>
      </c>
      <c r="D5223">
        <v>2.9766661725736698</v>
      </c>
      <c r="E5223" t="s">
        <v>81</v>
      </c>
    </row>
    <row r="5224" spans="1:5" x14ac:dyDescent="0.25">
      <c r="A5224" t="s">
        <v>52</v>
      </c>
      <c r="B5224">
        <v>2014</v>
      </c>
      <c r="C5224" t="s">
        <v>58</v>
      </c>
      <c r="D5224">
        <v>2.28532699638673</v>
      </c>
      <c r="E5224" t="s">
        <v>81</v>
      </c>
    </row>
    <row r="5225" spans="1:5" x14ac:dyDescent="0.25">
      <c r="A5225" t="s">
        <v>52</v>
      </c>
      <c r="B5225">
        <v>2015</v>
      </c>
      <c r="C5225" t="s">
        <v>58</v>
      </c>
      <c r="D5225">
        <v>2.1167400994076999</v>
      </c>
      <c r="E5225" t="s">
        <v>81</v>
      </c>
    </row>
    <row r="5226" spans="1:5" x14ac:dyDescent="0.25">
      <c r="A5226" t="s">
        <v>52</v>
      </c>
      <c r="B5226">
        <v>2016</v>
      </c>
      <c r="C5226" t="s">
        <v>58</v>
      </c>
      <c r="D5226">
        <v>1.73164255954813</v>
      </c>
      <c r="E5226" t="s">
        <v>81</v>
      </c>
    </row>
    <row r="5227" spans="1:5" x14ac:dyDescent="0.25">
      <c r="A5227" t="s">
        <v>52</v>
      </c>
      <c r="B5227">
        <v>2017</v>
      </c>
      <c r="C5227" t="s">
        <v>58</v>
      </c>
      <c r="D5227">
        <v>2.4133862438097902</v>
      </c>
      <c r="E5227" t="s">
        <v>81</v>
      </c>
    </row>
    <row r="5228" spans="1:5" x14ac:dyDescent="0.25">
      <c r="A5228" t="s">
        <v>52</v>
      </c>
      <c r="B5228">
        <v>2018</v>
      </c>
      <c r="C5228" t="s">
        <v>58</v>
      </c>
      <c r="D5228">
        <v>1.9589761786567199</v>
      </c>
      <c r="E5228" t="s">
        <v>81</v>
      </c>
    </row>
    <row r="5229" spans="1:5" x14ac:dyDescent="0.25">
      <c r="A5229" t="s">
        <v>52</v>
      </c>
      <c r="B5229">
        <v>2019</v>
      </c>
      <c r="C5229" t="s">
        <v>58</v>
      </c>
      <c r="D5229">
        <v>1.8965740607850501</v>
      </c>
      <c r="E5229" t="s">
        <v>81</v>
      </c>
    </row>
    <row r="5230" spans="1:5" x14ac:dyDescent="0.25">
      <c r="A5230" t="s">
        <v>52</v>
      </c>
      <c r="B5230">
        <v>2020</v>
      </c>
      <c r="C5230" t="s">
        <v>58</v>
      </c>
      <c r="D5230">
        <v>1.5437907428466699</v>
      </c>
      <c r="E5230" t="s">
        <v>81</v>
      </c>
    </row>
    <row r="5231" spans="1:5" x14ac:dyDescent="0.25">
      <c r="A5231" t="s">
        <v>52</v>
      </c>
      <c r="B5231">
        <v>2021</v>
      </c>
      <c r="C5231" t="s">
        <v>58</v>
      </c>
      <c r="D5231">
        <v>1.73006926220865</v>
      </c>
      <c r="E5231" t="s">
        <v>81</v>
      </c>
    </row>
    <row r="5232" spans="1:5" x14ac:dyDescent="0.25">
      <c r="A5232" t="s">
        <v>52</v>
      </c>
      <c r="B5232">
        <v>2022</v>
      </c>
      <c r="C5232" t="s">
        <v>58</v>
      </c>
      <c r="D5232">
        <v>2.2677665936566598</v>
      </c>
      <c r="E5232" t="s">
        <v>81</v>
      </c>
    </row>
    <row r="5233" spans="1:5" x14ac:dyDescent="0.25">
      <c r="A5233" t="s">
        <v>52</v>
      </c>
      <c r="B5233">
        <v>2023</v>
      </c>
      <c r="C5233" t="s">
        <v>58</v>
      </c>
      <c r="D5233">
        <v>2.2301520314538399</v>
      </c>
      <c r="E5233" t="s">
        <v>81</v>
      </c>
    </row>
    <row r="5234" spans="1:5" x14ac:dyDescent="0.25">
      <c r="A5234" t="s">
        <v>52</v>
      </c>
      <c r="B5234">
        <v>2024</v>
      </c>
      <c r="C5234" t="s">
        <v>58</v>
      </c>
      <c r="D5234">
        <v>1.8520431802838799</v>
      </c>
      <c r="E5234" t="s">
        <v>81</v>
      </c>
    </row>
    <row r="5235" spans="1:5" x14ac:dyDescent="0.25">
      <c r="A5235" t="s">
        <v>52</v>
      </c>
      <c r="B5235">
        <v>2025</v>
      </c>
      <c r="C5235" t="s">
        <v>58</v>
      </c>
      <c r="D5235">
        <v>1.9314808723030199</v>
      </c>
      <c r="E5235" t="s">
        <v>81</v>
      </c>
    </row>
    <row r="5236" spans="1:5" x14ac:dyDescent="0.25">
      <c r="A5236" t="s">
        <v>53</v>
      </c>
      <c r="B5236">
        <v>2010</v>
      </c>
      <c r="C5236" t="s">
        <v>58</v>
      </c>
      <c r="D5236">
        <v>124.54071351351401</v>
      </c>
      <c r="E5236" t="s">
        <v>81</v>
      </c>
    </row>
    <row r="5237" spans="1:5" x14ac:dyDescent="0.25">
      <c r="A5237" t="s">
        <v>53</v>
      </c>
      <c r="B5237">
        <v>2016</v>
      </c>
      <c r="C5237" t="s">
        <v>58</v>
      </c>
      <c r="D5237">
        <v>11.0733669438353</v>
      </c>
      <c r="E5237" t="s">
        <v>81</v>
      </c>
    </row>
    <row r="5238" spans="1:5" x14ac:dyDescent="0.25">
      <c r="A5238" t="s">
        <v>53</v>
      </c>
      <c r="B5238">
        <v>2017</v>
      </c>
      <c r="C5238" t="s">
        <v>58</v>
      </c>
      <c r="D5238">
        <v>11.3899319646926</v>
      </c>
      <c r="E5238" t="s">
        <v>81</v>
      </c>
    </row>
    <row r="5239" spans="1:5" x14ac:dyDescent="0.25">
      <c r="A5239" t="s">
        <v>53</v>
      </c>
      <c r="B5239">
        <v>2018</v>
      </c>
      <c r="C5239" t="s">
        <v>58</v>
      </c>
      <c r="D5239">
        <v>12.168884162366499</v>
      </c>
      <c r="E5239" t="s">
        <v>81</v>
      </c>
    </row>
    <row r="5240" spans="1:5" x14ac:dyDescent="0.25">
      <c r="A5240" t="s">
        <v>53</v>
      </c>
      <c r="B5240">
        <v>2019</v>
      </c>
      <c r="C5240" t="s">
        <v>58</v>
      </c>
      <c r="D5240">
        <v>12.0345566516667</v>
      </c>
      <c r="E5240" t="s">
        <v>81</v>
      </c>
    </row>
    <row r="5241" spans="1:5" x14ac:dyDescent="0.25">
      <c r="A5241" t="s">
        <v>53</v>
      </c>
      <c r="B5241">
        <v>2020</v>
      </c>
      <c r="C5241" t="s">
        <v>58</v>
      </c>
      <c r="D5241">
        <v>11.674605912990399</v>
      </c>
      <c r="E5241" t="s">
        <v>81</v>
      </c>
    </row>
    <row r="5242" spans="1:5" x14ac:dyDescent="0.25">
      <c r="A5242" t="s">
        <v>53</v>
      </c>
      <c r="B5242">
        <v>2021</v>
      </c>
      <c r="C5242" t="s">
        <v>58</v>
      </c>
      <c r="D5242">
        <v>12.5159052053737</v>
      </c>
      <c r="E5242" t="s">
        <v>81</v>
      </c>
    </row>
    <row r="5243" spans="1:5" x14ac:dyDescent="0.25">
      <c r="A5243" t="s">
        <v>53</v>
      </c>
      <c r="B5243">
        <v>2022</v>
      </c>
      <c r="C5243" t="s">
        <v>58</v>
      </c>
      <c r="D5243">
        <v>10.4856380312499</v>
      </c>
      <c r="E5243" t="s">
        <v>81</v>
      </c>
    </row>
    <row r="5244" spans="1:5" x14ac:dyDescent="0.25">
      <c r="A5244" t="s">
        <v>53</v>
      </c>
      <c r="B5244">
        <v>2023</v>
      </c>
      <c r="C5244" t="s">
        <v>58</v>
      </c>
      <c r="D5244">
        <v>13.4384949739504</v>
      </c>
      <c r="E5244" t="s">
        <v>81</v>
      </c>
    </row>
    <row r="5245" spans="1:5" x14ac:dyDescent="0.25">
      <c r="A5245" t="s">
        <v>53</v>
      </c>
      <c r="B5245">
        <v>2024</v>
      </c>
      <c r="C5245" t="s">
        <v>58</v>
      </c>
      <c r="D5245">
        <v>12.838950836590801</v>
      </c>
      <c r="E5245" t="s">
        <v>81</v>
      </c>
    </row>
    <row r="5246" spans="1:5" x14ac:dyDescent="0.25">
      <c r="A5246" t="s">
        <v>53</v>
      </c>
      <c r="B5246">
        <v>2025</v>
      </c>
      <c r="C5246" t="s">
        <v>58</v>
      </c>
      <c r="D5246">
        <v>11.9021623505598</v>
      </c>
      <c r="E5246" t="s">
        <v>81</v>
      </c>
    </row>
    <row r="5247" spans="1:5" x14ac:dyDescent="0.25">
      <c r="A5247" t="s">
        <v>82</v>
      </c>
      <c r="B5247">
        <v>2023</v>
      </c>
      <c r="C5247" t="s">
        <v>58</v>
      </c>
      <c r="D5247">
        <v>7.5042651615742599</v>
      </c>
      <c r="E5247" t="s">
        <v>81</v>
      </c>
    </row>
    <row r="5248" spans="1:5" x14ac:dyDescent="0.25">
      <c r="A5248" t="s">
        <v>82</v>
      </c>
      <c r="B5248">
        <v>2024</v>
      </c>
      <c r="C5248" t="s">
        <v>58</v>
      </c>
      <c r="D5248">
        <v>7.4831058863485396</v>
      </c>
      <c r="E5248" t="s">
        <v>81</v>
      </c>
    </row>
    <row r="5249" spans="1:5" x14ac:dyDescent="0.25">
      <c r="A5249" t="s">
        <v>82</v>
      </c>
      <c r="B5249">
        <v>2025</v>
      </c>
      <c r="C5249" t="s">
        <v>58</v>
      </c>
      <c r="D5249">
        <v>6.7978475444772402</v>
      </c>
      <c r="E5249" t="s">
        <v>81</v>
      </c>
    </row>
    <row r="5250" spans="1:5" x14ac:dyDescent="0.25">
      <c r="A5250" t="s">
        <v>54</v>
      </c>
      <c r="B5250">
        <v>2018</v>
      </c>
      <c r="C5250" t="s">
        <v>58</v>
      </c>
      <c r="D5250">
        <v>4.1439402265948297</v>
      </c>
      <c r="E5250" t="s">
        <v>81</v>
      </c>
    </row>
    <row r="5251" spans="1:5" x14ac:dyDescent="0.25">
      <c r="A5251" t="s">
        <v>54</v>
      </c>
      <c r="B5251">
        <v>2019</v>
      </c>
      <c r="C5251" t="s">
        <v>58</v>
      </c>
      <c r="D5251">
        <v>2.25941942672427</v>
      </c>
      <c r="E5251" t="s">
        <v>81</v>
      </c>
    </row>
    <row r="5252" spans="1:5" x14ac:dyDescent="0.25">
      <c r="A5252" t="s">
        <v>55</v>
      </c>
      <c r="B5252">
        <v>2013</v>
      </c>
      <c r="C5252" t="s">
        <v>58</v>
      </c>
      <c r="D5252">
        <v>10.0254838613651</v>
      </c>
      <c r="E5252" t="s">
        <v>81</v>
      </c>
    </row>
    <row r="5253" spans="1:5" x14ac:dyDescent="0.25">
      <c r="A5253" t="s">
        <v>55</v>
      </c>
      <c r="B5253">
        <v>2014</v>
      </c>
      <c r="C5253" t="s">
        <v>58</v>
      </c>
      <c r="D5253">
        <v>9.2789984204557392</v>
      </c>
      <c r="E5253" t="s">
        <v>81</v>
      </c>
    </row>
    <row r="5254" spans="1:5" x14ac:dyDescent="0.25">
      <c r="A5254" t="s">
        <v>55</v>
      </c>
      <c r="B5254">
        <v>2015</v>
      </c>
      <c r="C5254" t="s">
        <v>58</v>
      </c>
      <c r="D5254">
        <v>9.3769271872356104</v>
      </c>
      <c r="E5254" t="s">
        <v>81</v>
      </c>
    </row>
    <row r="5255" spans="1:5" x14ac:dyDescent="0.25">
      <c r="A5255" t="s">
        <v>55</v>
      </c>
      <c r="B5255">
        <v>2016</v>
      </c>
      <c r="C5255" t="s">
        <v>58</v>
      </c>
      <c r="D5255">
        <v>10.9866418518633</v>
      </c>
      <c r="E5255" t="s">
        <v>81</v>
      </c>
    </row>
    <row r="5256" spans="1:5" x14ac:dyDescent="0.25">
      <c r="A5256" t="s">
        <v>55</v>
      </c>
      <c r="B5256">
        <v>2017</v>
      </c>
      <c r="C5256" t="s">
        <v>58</v>
      </c>
      <c r="D5256">
        <v>9.5163205218759899</v>
      </c>
      <c r="E5256" t="s">
        <v>81</v>
      </c>
    </row>
    <row r="5257" spans="1:5" x14ac:dyDescent="0.25">
      <c r="A5257" t="s">
        <v>55</v>
      </c>
      <c r="B5257">
        <v>2018</v>
      </c>
      <c r="C5257" t="s">
        <v>58</v>
      </c>
      <c r="D5257">
        <v>10.1848741991667</v>
      </c>
      <c r="E5257" t="s">
        <v>81</v>
      </c>
    </row>
    <row r="5258" spans="1:5" x14ac:dyDescent="0.25">
      <c r="A5258" t="s">
        <v>55</v>
      </c>
      <c r="B5258">
        <v>2019</v>
      </c>
      <c r="C5258" t="s">
        <v>58</v>
      </c>
      <c r="D5258">
        <v>10.466082831774401</v>
      </c>
      <c r="E5258" t="s">
        <v>81</v>
      </c>
    </row>
    <row r="5259" spans="1:5" x14ac:dyDescent="0.25">
      <c r="A5259" t="s">
        <v>55</v>
      </c>
      <c r="B5259">
        <v>2020</v>
      </c>
      <c r="C5259" t="s">
        <v>58</v>
      </c>
      <c r="D5259">
        <v>9.4037334953314602</v>
      </c>
      <c r="E5259" t="s">
        <v>81</v>
      </c>
    </row>
    <row r="5260" spans="1:5" x14ac:dyDescent="0.25">
      <c r="A5260" t="s">
        <v>55</v>
      </c>
      <c r="B5260">
        <v>2021</v>
      </c>
      <c r="C5260" t="s">
        <v>58</v>
      </c>
      <c r="D5260">
        <v>11.8313493705355</v>
      </c>
      <c r="E5260" t="s">
        <v>81</v>
      </c>
    </row>
    <row r="5261" spans="1:5" x14ac:dyDescent="0.25">
      <c r="A5261" t="s">
        <v>55</v>
      </c>
      <c r="B5261">
        <v>2022</v>
      </c>
      <c r="C5261" t="s">
        <v>58</v>
      </c>
      <c r="D5261">
        <v>12.882867081025401</v>
      </c>
      <c r="E5261" t="s">
        <v>81</v>
      </c>
    </row>
    <row r="5262" spans="1:5" x14ac:dyDescent="0.25">
      <c r="A5262" t="s">
        <v>55</v>
      </c>
      <c r="B5262">
        <v>2023</v>
      </c>
      <c r="C5262" t="s">
        <v>58</v>
      </c>
      <c r="D5262">
        <v>13.722710019385501</v>
      </c>
      <c r="E5262" t="s">
        <v>81</v>
      </c>
    </row>
    <row r="5263" spans="1:5" x14ac:dyDescent="0.25">
      <c r="A5263" t="s">
        <v>55</v>
      </c>
      <c r="B5263">
        <v>2024</v>
      </c>
      <c r="C5263" t="s">
        <v>58</v>
      </c>
      <c r="D5263">
        <v>12.352141127144099</v>
      </c>
      <c r="E5263" t="s">
        <v>81</v>
      </c>
    </row>
    <row r="5264" spans="1:5" x14ac:dyDescent="0.25">
      <c r="A5264" t="s">
        <v>55</v>
      </c>
      <c r="B5264">
        <v>2025</v>
      </c>
      <c r="C5264" t="s">
        <v>58</v>
      </c>
      <c r="D5264">
        <v>13.855612323848201</v>
      </c>
      <c r="E5264" t="s">
        <v>81</v>
      </c>
    </row>
    <row r="5265" spans="1:5" x14ac:dyDescent="0.25">
      <c r="A5265" t="s">
        <v>56</v>
      </c>
      <c r="B5265">
        <v>2015</v>
      </c>
      <c r="C5265" t="s">
        <v>58</v>
      </c>
      <c r="D5265">
        <v>1.96604239246848</v>
      </c>
      <c r="E5265" t="s">
        <v>81</v>
      </c>
    </row>
    <row r="5266" spans="1:5" x14ac:dyDescent="0.25">
      <c r="A5266" t="s">
        <v>56</v>
      </c>
      <c r="B5266">
        <v>2016</v>
      </c>
      <c r="C5266" t="s">
        <v>58</v>
      </c>
      <c r="D5266">
        <v>2.4340467321277601</v>
      </c>
      <c r="E5266" t="s">
        <v>81</v>
      </c>
    </row>
    <row r="5267" spans="1:5" x14ac:dyDescent="0.25">
      <c r="A5267" t="s">
        <v>56</v>
      </c>
      <c r="B5267">
        <v>2017</v>
      </c>
      <c r="C5267" t="s">
        <v>58</v>
      </c>
      <c r="D5267">
        <v>2.6718155780167101</v>
      </c>
      <c r="E5267" t="s">
        <v>81</v>
      </c>
    </row>
    <row r="5268" spans="1:5" x14ac:dyDescent="0.25">
      <c r="A5268" t="s">
        <v>56</v>
      </c>
      <c r="B5268">
        <v>2018</v>
      </c>
      <c r="C5268" t="s">
        <v>58</v>
      </c>
      <c r="D5268">
        <v>2.4011643511569201</v>
      </c>
      <c r="E5268" t="s">
        <v>81</v>
      </c>
    </row>
    <row r="5269" spans="1:5" x14ac:dyDescent="0.25">
      <c r="A5269" t="s">
        <v>56</v>
      </c>
      <c r="B5269">
        <v>2019</v>
      </c>
      <c r="C5269" t="s">
        <v>58</v>
      </c>
      <c r="D5269">
        <v>2.3616507484306899</v>
      </c>
      <c r="E5269" t="s">
        <v>81</v>
      </c>
    </row>
    <row r="5270" spans="1:5" x14ac:dyDescent="0.25">
      <c r="A5270" t="s">
        <v>56</v>
      </c>
      <c r="B5270">
        <v>2020</v>
      </c>
      <c r="C5270" t="s">
        <v>58</v>
      </c>
      <c r="D5270">
        <v>2.3574782843632098</v>
      </c>
      <c r="E5270" t="s">
        <v>81</v>
      </c>
    </row>
    <row r="5271" spans="1:5" x14ac:dyDescent="0.25">
      <c r="A5271" t="s">
        <v>56</v>
      </c>
      <c r="B5271">
        <v>2021</v>
      </c>
      <c r="C5271" t="s">
        <v>58</v>
      </c>
      <c r="D5271">
        <v>2.4190231787716301</v>
      </c>
      <c r="E5271" t="s">
        <v>81</v>
      </c>
    </row>
    <row r="5272" spans="1:5" x14ac:dyDescent="0.25">
      <c r="A5272" t="s">
        <v>56</v>
      </c>
      <c r="B5272">
        <v>2022</v>
      </c>
      <c r="C5272" t="s">
        <v>58</v>
      </c>
      <c r="D5272">
        <v>2.62192965793247</v>
      </c>
      <c r="E5272" t="s">
        <v>81</v>
      </c>
    </row>
    <row r="5273" spans="1:5" x14ac:dyDescent="0.25">
      <c r="A5273" t="s">
        <v>56</v>
      </c>
      <c r="B5273">
        <v>2023</v>
      </c>
      <c r="C5273" t="s">
        <v>58</v>
      </c>
      <c r="D5273">
        <v>2.91987083617924</v>
      </c>
      <c r="E5273" t="s">
        <v>81</v>
      </c>
    </row>
    <row r="5274" spans="1:5" x14ac:dyDescent="0.25">
      <c r="A5274" t="s">
        <v>60</v>
      </c>
      <c r="B5274">
        <v>2012</v>
      </c>
      <c r="C5274" t="s">
        <v>58</v>
      </c>
      <c r="D5274">
        <v>1.2263023645403699</v>
      </c>
      <c r="E5274" t="s">
        <v>81</v>
      </c>
    </row>
    <row r="5275" spans="1:5" x14ac:dyDescent="0.25">
      <c r="A5275" t="s">
        <v>60</v>
      </c>
      <c r="B5275">
        <v>2015</v>
      </c>
      <c r="C5275" t="s">
        <v>58</v>
      </c>
      <c r="D5275">
        <v>1.96303146037728</v>
      </c>
      <c r="E5275" t="s">
        <v>81</v>
      </c>
    </row>
    <row r="5276" spans="1:5" x14ac:dyDescent="0.25">
      <c r="A5276" t="s">
        <v>97</v>
      </c>
      <c r="B5276">
        <v>2010</v>
      </c>
      <c r="C5276" t="s">
        <v>6</v>
      </c>
      <c r="D5276">
        <v>7803377</v>
      </c>
      <c r="E5276" t="s">
        <v>98</v>
      </c>
    </row>
    <row r="5277" spans="1:5" x14ac:dyDescent="0.25">
      <c r="A5277" t="s">
        <v>97</v>
      </c>
      <c r="B5277">
        <v>2011</v>
      </c>
      <c r="C5277" t="s">
        <v>6</v>
      </c>
      <c r="D5277">
        <v>6305922</v>
      </c>
      <c r="E5277" t="s">
        <v>98</v>
      </c>
    </row>
    <row r="5278" spans="1:5" x14ac:dyDescent="0.25">
      <c r="A5278" t="s">
        <v>97</v>
      </c>
      <c r="B5278">
        <v>2012</v>
      </c>
      <c r="C5278" t="s">
        <v>6</v>
      </c>
      <c r="D5278">
        <v>5693782</v>
      </c>
      <c r="E5278" t="s">
        <v>98</v>
      </c>
    </row>
    <row r="5279" spans="1:5" x14ac:dyDescent="0.25">
      <c r="A5279" t="s">
        <v>97</v>
      </c>
      <c r="B5279">
        <v>2013</v>
      </c>
      <c r="C5279" t="s">
        <v>6</v>
      </c>
      <c r="D5279">
        <v>8083236</v>
      </c>
      <c r="E5279" t="s">
        <v>98</v>
      </c>
    </row>
    <row r="5280" spans="1:5" x14ac:dyDescent="0.25">
      <c r="A5280" t="s">
        <v>97</v>
      </c>
      <c r="B5280">
        <v>2014</v>
      </c>
      <c r="C5280" t="s">
        <v>6</v>
      </c>
      <c r="D5280">
        <v>6740870.3820000002</v>
      </c>
      <c r="E5280" t="s">
        <v>98</v>
      </c>
    </row>
    <row r="5281" spans="1:5" x14ac:dyDescent="0.25">
      <c r="A5281" t="s">
        <v>97</v>
      </c>
      <c r="B5281">
        <v>2015</v>
      </c>
      <c r="C5281" t="s">
        <v>6</v>
      </c>
      <c r="D5281">
        <v>7182002.0700000003</v>
      </c>
      <c r="E5281" t="s">
        <v>98</v>
      </c>
    </row>
    <row r="5282" spans="1:5" x14ac:dyDescent="0.25">
      <c r="A5282" t="s">
        <v>97</v>
      </c>
      <c r="B5282">
        <v>2016</v>
      </c>
      <c r="C5282" t="s">
        <v>6</v>
      </c>
      <c r="D5282">
        <v>7855333</v>
      </c>
      <c r="E5282" t="s">
        <v>98</v>
      </c>
    </row>
    <row r="5283" spans="1:5" x14ac:dyDescent="0.25">
      <c r="A5283" t="s">
        <v>97</v>
      </c>
      <c r="B5283">
        <v>2017</v>
      </c>
      <c r="C5283" t="s">
        <v>6</v>
      </c>
      <c r="D5283">
        <v>1707804</v>
      </c>
      <c r="E5283" t="s">
        <v>98</v>
      </c>
    </row>
    <row r="5284" spans="1:5" x14ac:dyDescent="0.25">
      <c r="A5284" t="s">
        <v>125</v>
      </c>
      <c r="B5284">
        <v>2015</v>
      </c>
      <c r="C5284" t="s">
        <v>6</v>
      </c>
      <c r="D5284">
        <v>22940279.699999999</v>
      </c>
      <c r="E5284" t="s">
        <v>98</v>
      </c>
    </row>
    <row r="5285" spans="1:5" x14ac:dyDescent="0.25">
      <c r="A5285" t="s">
        <v>125</v>
      </c>
      <c r="B5285">
        <v>2016</v>
      </c>
      <c r="C5285" t="s">
        <v>6</v>
      </c>
      <c r="D5285">
        <v>17102644</v>
      </c>
      <c r="E5285" t="s">
        <v>98</v>
      </c>
    </row>
    <row r="5286" spans="1:5" x14ac:dyDescent="0.25">
      <c r="A5286" t="s">
        <v>125</v>
      </c>
      <c r="B5286">
        <v>2017</v>
      </c>
      <c r="C5286" t="s">
        <v>6</v>
      </c>
      <c r="D5286">
        <v>3346020.3930000002</v>
      </c>
      <c r="E5286" t="s">
        <v>98</v>
      </c>
    </row>
    <row r="5287" spans="1:5" x14ac:dyDescent="0.25">
      <c r="A5287" t="s">
        <v>125</v>
      </c>
      <c r="B5287">
        <v>2018</v>
      </c>
      <c r="C5287" t="s">
        <v>6</v>
      </c>
      <c r="D5287">
        <v>10715029.949999999</v>
      </c>
      <c r="E5287" t="s">
        <v>98</v>
      </c>
    </row>
    <row r="5288" spans="1:5" x14ac:dyDescent="0.25">
      <c r="A5288" t="s">
        <v>125</v>
      </c>
      <c r="B5288">
        <v>2019</v>
      </c>
      <c r="C5288" t="s">
        <v>6</v>
      </c>
      <c r="D5288">
        <v>2219653.3620000002</v>
      </c>
      <c r="E5288" t="s">
        <v>98</v>
      </c>
    </row>
    <row r="5289" spans="1:5" x14ac:dyDescent="0.25">
      <c r="A5289" t="s">
        <v>125</v>
      </c>
      <c r="B5289">
        <v>2020</v>
      </c>
      <c r="C5289" t="s">
        <v>6</v>
      </c>
      <c r="D5289">
        <v>1338125.1070000001</v>
      </c>
      <c r="E5289" t="s">
        <v>98</v>
      </c>
    </row>
    <row r="5290" spans="1:5" x14ac:dyDescent="0.25">
      <c r="A5290" t="s">
        <v>125</v>
      </c>
      <c r="B5290">
        <v>2021</v>
      </c>
      <c r="C5290" t="s">
        <v>6</v>
      </c>
      <c r="D5290">
        <v>1759431.4280000001</v>
      </c>
      <c r="E5290" t="s">
        <v>98</v>
      </c>
    </row>
    <row r="5291" spans="1:5" x14ac:dyDescent="0.25">
      <c r="A5291" t="s">
        <v>125</v>
      </c>
      <c r="B5291">
        <v>2022</v>
      </c>
      <c r="C5291" t="s">
        <v>6</v>
      </c>
      <c r="D5291">
        <v>3183759.3530000001</v>
      </c>
      <c r="E5291" t="s">
        <v>98</v>
      </c>
    </row>
    <row r="5292" spans="1:5" x14ac:dyDescent="0.25">
      <c r="A5292" t="s">
        <v>125</v>
      </c>
      <c r="B5292">
        <v>2023</v>
      </c>
      <c r="C5292" t="s">
        <v>6</v>
      </c>
      <c r="D5292">
        <v>2013158.5589999999</v>
      </c>
      <c r="E5292" t="s">
        <v>98</v>
      </c>
    </row>
    <row r="5293" spans="1:5" x14ac:dyDescent="0.25">
      <c r="A5293" t="s">
        <v>124</v>
      </c>
      <c r="B5293">
        <v>2010</v>
      </c>
      <c r="C5293" t="s">
        <v>6</v>
      </c>
      <c r="D5293">
        <v>11012958.02</v>
      </c>
      <c r="E5293" t="s">
        <v>98</v>
      </c>
    </row>
    <row r="5294" spans="1:5" x14ac:dyDescent="0.25">
      <c r="A5294" t="s">
        <v>124</v>
      </c>
      <c r="B5294">
        <v>2011</v>
      </c>
      <c r="C5294" t="s">
        <v>6</v>
      </c>
      <c r="D5294">
        <v>13946306.93</v>
      </c>
      <c r="E5294" t="s">
        <v>98</v>
      </c>
    </row>
    <row r="5295" spans="1:5" x14ac:dyDescent="0.25">
      <c r="A5295" t="s">
        <v>124</v>
      </c>
      <c r="B5295">
        <v>2012</v>
      </c>
      <c r="C5295" t="s">
        <v>6</v>
      </c>
      <c r="D5295">
        <v>14064482.85</v>
      </c>
      <c r="E5295" t="s">
        <v>98</v>
      </c>
    </row>
    <row r="5296" spans="1:5" x14ac:dyDescent="0.25">
      <c r="A5296" t="s">
        <v>124</v>
      </c>
      <c r="B5296">
        <v>2013</v>
      </c>
      <c r="C5296" t="s">
        <v>6</v>
      </c>
      <c r="D5296">
        <v>13043203.880000001</v>
      </c>
      <c r="E5296" t="s">
        <v>98</v>
      </c>
    </row>
    <row r="5297" spans="1:5" x14ac:dyDescent="0.25">
      <c r="A5297" t="s">
        <v>124</v>
      </c>
      <c r="B5297">
        <v>2014</v>
      </c>
      <c r="C5297" t="s">
        <v>6</v>
      </c>
      <c r="D5297">
        <v>10943223.85</v>
      </c>
      <c r="E5297" t="s">
        <v>98</v>
      </c>
    </row>
    <row r="5298" spans="1:5" x14ac:dyDescent="0.25">
      <c r="A5298" t="s">
        <v>124</v>
      </c>
      <c r="B5298">
        <v>2015</v>
      </c>
      <c r="C5298" t="s">
        <v>6</v>
      </c>
      <c r="D5298">
        <v>15278553.75</v>
      </c>
      <c r="E5298" t="s">
        <v>98</v>
      </c>
    </row>
    <row r="5299" spans="1:5" x14ac:dyDescent="0.25">
      <c r="A5299" t="s">
        <v>124</v>
      </c>
      <c r="B5299">
        <v>2016</v>
      </c>
      <c r="C5299" t="s">
        <v>6</v>
      </c>
      <c r="D5299">
        <v>15447464.92</v>
      </c>
      <c r="E5299" t="s">
        <v>98</v>
      </c>
    </row>
    <row r="5300" spans="1:5" x14ac:dyDescent="0.25">
      <c r="A5300" t="s">
        <v>124</v>
      </c>
      <c r="B5300">
        <v>2017</v>
      </c>
      <c r="C5300" t="s">
        <v>6</v>
      </c>
      <c r="D5300">
        <v>16535784.82</v>
      </c>
      <c r="E5300" t="s">
        <v>98</v>
      </c>
    </row>
    <row r="5301" spans="1:5" x14ac:dyDescent="0.25">
      <c r="A5301" t="s">
        <v>124</v>
      </c>
      <c r="B5301">
        <v>2018</v>
      </c>
      <c r="C5301" t="s">
        <v>6</v>
      </c>
      <c r="D5301">
        <v>18152750.879999999</v>
      </c>
      <c r="E5301" t="s">
        <v>98</v>
      </c>
    </row>
    <row r="5302" spans="1:5" x14ac:dyDescent="0.25">
      <c r="A5302" t="s">
        <v>124</v>
      </c>
      <c r="B5302">
        <v>2019</v>
      </c>
      <c r="C5302" t="s">
        <v>6</v>
      </c>
      <c r="D5302">
        <v>12315738.560000001</v>
      </c>
      <c r="E5302" t="s">
        <v>98</v>
      </c>
    </row>
    <row r="5303" spans="1:5" x14ac:dyDescent="0.25">
      <c r="A5303" t="s">
        <v>124</v>
      </c>
      <c r="B5303">
        <v>2020</v>
      </c>
      <c r="C5303" t="s">
        <v>6</v>
      </c>
      <c r="D5303">
        <v>13275891.890000001</v>
      </c>
      <c r="E5303" t="s">
        <v>98</v>
      </c>
    </row>
    <row r="5304" spans="1:5" x14ac:dyDescent="0.25">
      <c r="A5304" t="s">
        <v>124</v>
      </c>
      <c r="B5304">
        <v>2021</v>
      </c>
      <c r="C5304" t="s">
        <v>6</v>
      </c>
      <c r="D5304">
        <v>17371385.940000001</v>
      </c>
      <c r="E5304" t="s">
        <v>98</v>
      </c>
    </row>
    <row r="5305" spans="1:5" x14ac:dyDescent="0.25">
      <c r="A5305" t="s">
        <v>124</v>
      </c>
      <c r="B5305">
        <v>2022</v>
      </c>
      <c r="C5305" t="s">
        <v>6</v>
      </c>
      <c r="D5305">
        <v>18781173.140000001</v>
      </c>
      <c r="E5305" t="s">
        <v>98</v>
      </c>
    </row>
    <row r="5306" spans="1:5" x14ac:dyDescent="0.25">
      <c r="A5306" t="s">
        <v>124</v>
      </c>
      <c r="B5306">
        <v>2023</v>
      </c>
      <c r="C5306" t="s">
        <v>6</v>
      </c>
      <c r="D5306">
        <v>16787509.300000001</v>
      </c>
      <c r="E5306" t="s">
        <v>98</v>
      </c>
    </row>
    <row r="5307" spans="1:5" x14ac:dyDescent="0.25">
      <c r="A5307" t="s">
        <v>124</v>
      </c>
      <c r="B5307">
        <v>2024</v>
      </c>
      <c r="C5307" t="s">
        <v>6</v>
      </c>
      <c r="D5307">
        <v>17416507.52</v>
      </c>
      <c r="E5307" t="s">
        <v>98</v>
      </c>
    </row>
    <row r="5308" spans="1:5" x14ac:dyDescent="0.25">
      <c r="A5308" t="s">
        <v>124</v>
      </c>
      <c r="B5308">
        <v>2025</v>
      </c>
      <c r="C5308" t="s">
        <v>6</v>
      </c>
      <c r="D5308">
        <v>16856316.539999999</v>
      </c>
      <c r="E5308" t="s">
        <v>98</v>
      </c>
    </row>
    <row r="5309" spans="1:5" x14ac:dyDescent="0.25">
      <c r="A5309" t="s">
        <v>5</v>
      </c>
      <c r="B5309">
        <v>2010</v>
      </c>
      <c r="C5309" t="s">
        <v>6</v>
      </c>
      <c r="D5309">
        <v>10086560.002</v>
      </c>
      <c r="E5309" t="s">
        <v>98</v>
      </c>
    </row>
    <row r="5310" spans="1:5" x14ac:dyDescent="0.25">
      <c r="A5310" t="s">
        <v>5</v>
      </c>
      <c r="B5310">
        <v>2011</v>
      </c>
      <c r="C5310" t="s">
        <v>6</v>
      </c>
      <c r="D5310">
        <v>43823668.079999998</v>
      </c>
      <c r="E5310" t="s">
        <v>98</v>
      </c>
    </row>
    <row r="5311" spans="1:5" x14ac:dyDescent="0.25">
      <c r="A5311" t="s">
        <v>5</v>
      </c>
      <c r="B5311">
        <v>2012</v>
      </c>
      <c r="C5311" t="s">
        <v>6</v>
      </c>
      <c r="D5311">
        <v>45131342.593999997</v>
      </c>
      <c r="E5311" t="s">
        <v>98</v>
      </c>
    </row>
    <row r="5312" spans="1:5" x14ac:dyDescent="0.25">
      <c r="A5312" t="s">
        <v>5</v>
      </c>
      <c r="B5312">
        <v>2013</v>
      </c>
      <c r="C5312" t="s">
        <v>6</v>
      </c>
      <c r="D5312">
        <v>47036472.314000003</v>
      </c>
      <c r="E5312" t="s">
        <v>98</v>
      </c>
    </row>
    <row r="5313" spans="1:5" x14ac:dyDescent="0.25">
      <c r="A5313" t="s">
        <v>5</v>
      </c>
      <c r="B5313">
        <v>2014</v>
      </c>
      <c r="C5313" t="s">
        <v>6</v>
      </c>
      <c r="D5313">
        <v>48228801.545000002</v>
      </c>
      <c r="E5313" t="s">
        <v>98</v>
      </c>
    </row>
    <row r="5314" spans="1:5" x14ac:dyDescent="0.25">
      <c r="A5314" t="s">
        <v>5</v>
      </c>
      <c r="B5314">
        <v>2015</v>
      </c>
      <c r="C5314" t="s">
        <v>6</v>
      </c>
      <c r="D5314">
        <v>47427401.202</v>
      </c>
      <c r="E5314" t="s">
        <v>98</v>
      </c>
    </row>
    <row r="5315" spans="1:5" x14ac:dyDescent="0.25">
      <c r="A5315" t="s">
        <v>5</v>
      </c>
      <c r="B5315">
        <v>2016</v>
      </c>
      <c r="C5315" t="s">
        <v>6</v>
      </c>
      <c r="D5315">
        <v>45201397.730999999</v>
      </c>
      <c r="E5315" t="s">
        <v>98</v>
      </c>
    </row>
    <row r="5316" spans="1:5" x14ac:dyDescent="0.25">
      <c r="A5316" t="s">
        <v>5</v>
      </c>
      <c r="B5316">
        <v>2017</v>
      </c>
      <c r="C5316" t="s">
        <v>6</v>
      </c>
      <c r="D5316">
        <v>45621785.450000003</v>
      </c>
      <c r="E5316" t="s">
        <v>98</v>
      </c>
    </row>
    <row r="5317" spans="1:5" x14ac:dyDescent="0.25">
      <c r="A5317" t="s">
        <v>5</v>
      </c>
      <c r="B5317">
        <v>2018</v>
      </c>
      <c r="C5317" t="s">
        <v>6</v>
      </c>
      <c r="D5317">
        <v>47119037.060000002</v>
      </c>
      <c r="E5317" t="s">
        <v>98</v>
      </c>
    </row>
    <row r="5318" spans="1:5" x14ac:dyDescent="0.25">
      <c r="A5318" t="s">
        <v>5</v>
      </c>
      <c r="B5318">
        <v>2019</v>
      </c>
      <c r="C5318" t="s">
        <v>6</v>
      </c>
      <c r="D5318">
        <v>44130903.68</v>
      </c>
      <c r="E5318" t="s">
        <v>98</v>
      </c>
    </row>
    <row r="5319" spans="1:5" x14ac:dyDescent="0.25">
      <c r="A5319" t="s">
        <v>5</v>
      </c>
      <c r="B5319">
        <v>2020</v>
      </c>
      <c r="C5319" t="s">
        <v>6</v>
      </c>
      <c r="D5319">
        <v>42613647.479999997</v>
      </c>
      <c r="E5319" t="s">
        <v>98</v>
      </c>
    </row>
    <row r="5320" spans="1:5" x14ac:dyDescent="0.25">
      <c r="A5320" t="s">
        <v>5</v>
      </c>
      <c r="B5320">
        <v>2021</v>
      </c>
      <c r="C5320" t="s">
        <v>6</v>
      </c>
      <c r="D5320">
        <v>39237307.866999999</v>
      </c>
      <c r="E5320" t="s">
        <v>98</v>
      </c>
    </row>
    <row r="5321" spans="1:5" x14ac:dyDescent="0.25">
      <c r="A5321" t="s">
        <v>5</v>
      </c>
      <c r="B5321">
        <v>2022</v>
      </c>
      <c r="C5321" t="s">
        <v>6</v>
      </c>
      <c r="D5321">
        <v>49184165.859999999</v>
      </c>
      <c r="E5321" t="s">
        <v>98</v>
      </c>
    </row>
    <row r="5322" spans="1:5" x14ac:dyDescent="0.25">
      <c r="A5322" t="s">
        <v>5</v>
      </c>
      <c r="B5322">
        <v>2023</v>
      </c>
      <c r="C5322" t="s">
        <v>6</v>
      </c>
      <c r="D5322">
        <v>39286599.759999998</v>
      </c>
      <c r="E5322" t="s">
        <v>98</v>
      </c>
    </row>
    <row r="5323" spans="1:5" x14ac:dyDescent="0.25">
      <c r="A5323" t="s">
        <v>5</v>
      </c>
      <c r="B5323">
        <v>2024</v>
      </c>
      <c r="C5323" t="s">
        <v>6</v>
      </c>
      <c r="D5323">
        <v>47754260.25</v>
      </c>
      <c r="E5323" t="s">
        <v>98</v>
      </c>
    </row>
    <row r="5324" spans="1:5" x14ac:dyDescent="0.25">
      <c r="A5324" t="s">
        <v>5</v>
      </c>
      <c r="B5324">
        <v>2025</v>
      </c>
      <c r="C5324" t="s">
        <v>6</v>
      </c>
      <c r="D5324">
        <v>40705489.789999999</v>
      </c>
      <c r="E5324" t="s">
        <v>98</v>
      </c>
    </row>
    <row r="5325" spans="1:5" x14ac:dyDescent="0.25">
      <c r="A5325" t="s">
        <v>8</v>
      </c>
      <c r="B5325">
        <v>2010</v>
      </c>
      <c r="C5325" t="s">
        <v>6</v>
      </c>
      <c r="D5325">
        <v>7818600</v>
      </c>
      <c r="E5325" t="s">
        <v>98</v>
      </c>
    </row>
    <row r="5326" spans="1:5" x14ac:dyDescent="0.25">
      <c r="A5326" t="s">
        <v>8</v>
      </c>
      <c r="B5326">
        <v>2011</v>
      </c>
      <c r="C5326" t="s">
        <v>6</v>
      </c>
      <c r="D5326">
        <v>10250300</v>
      </c>
      <c r="E5326" t="s">
        <v>98</v>
      </c>
    </row>
    <row r="5327" spans="1:5" x14ac:dyDescent="0.25">
      <c r="A5327" t="s">
        <v>8</v>
      </c>
      <c r="B5327">
        <v>2012</v>
      </c>
      <c r="C5327" t="s">
        <v>6</v>
      </c>
      <c r="D5327">
        <v>9765300</v>
      </c>
      <c r="E5327" t="s">
        <v>98</v>
      </c>
    </row>
    <row r="5328" spans="1:5" x14ac:dyDescent="0.25">
      <c r="A5328" t="s">
        <v>8</v>
      </c>
      <c r="B5328">
        <v>2013</v>
      </c>
      <c r="C5328" t="s">
        <v>6</v>
      </c>
      <c r="D5328">
        <v>8284100</v>
      </c>
      <c r="E5328" t="s">
        <v>98</v>
      </c>
    </row>
    <row r="5329" spans="1:5" x14ac:dyDescent="0.25">
      <c r="A5329" t="s">
        <v>8</v>
      </c>
      <c r="B5329">
        <v>2014</v>
      </c>
      <c r="C5329" t="s">
        <v>6</v>
      </c>
      <c r="D5329">
        <v>5950100</v>
      </c>
      <c r="E5329" t="s">
        <v>98</v>
      </c>
    </row>
    <row r="5330" spans="1:5" x14ac:dyDescent="0.25">
      <c r="A5330" t="s">
        <v>8</v>
      </c>
      <c r="B5330">
        <v>2015</v>
      </c>
      <c r="C5330" t="s">
        <v>6</v>
      </c>
      <c r="D5330">
        <v>7132162</v>
      </c>
      <c r="E5330" t="s">
        <v>98</v>
      </c>
    </row>
    <row r="5331" spans="1:5" x14ac:dyDescent="0.25">
      <c r="A5331" t="s">
        <v>8</v>
      </c>
      <c r="B5331">
        <v>2016</v>
      </c>
      <c r="C5331" t="s">
        <v>6</v>
      </c>
      <c r="D5331">
        <v>7405216</v>
      </c>
      <c r="E5331" t="s">
        <v>98</v>
      </c>
    </row>
    <row r="5332" spans="1:5" x14ac:dyDescent="0.25">
      <c r="A5332" t="s">
        <v>8</v>
      </c>
      <c r="B5332">
        <v>2017</v>
      </c>
      <c r="C5332" t="s">
        <v>6</v>
      </c>
      <c r="D5332">
        <v>5386879</v>
      </c>
      <c r="E5332" t="s">
        <v>98</v>
      </c>
    </row>
    <row r="5333" spans="1:5" x14ac:dyDescent="0.25">
      <c r="A5333" t="s">
        <v>8</v>
      </c>
      <c r="B5333">
        <v>2022</v>
      </c>
      <c r="C5333" t="s">
        <v>6</v>
      </c>
      <c r="D5333">
        <v>10383625.282</v>
      </c>
      <c r="E5333" t="s">
        <v>98</v>
      </c>
    </row>
    <row r="5334" spans="1:5" x14ac:dyDescent="0.25">
      <c r="A5334" t="s">
        <v>123</v>
      </c>
      <c r="B5334">
        <v>2017</v>
      </c>
      <c r="C5334" t="s">
        <v>6</v>
      </c>
      <c r="D5334">
        <v>846376.74</v>
      </c>
      <c r="E5334" t="s">
        <v>98</v>
      </c>
    </row>
    <row r="5335" spans="1:5" x14ac:dyDescent="0.25">
      <c r="A5335" t="s">
        <v>122</v>
      </c>
      <c r="B5335">
        <v>2011</v>
      </c>
      <c r="C5335" t="s">
        <v>6</v>
      </c>
      <c r="D5335">
        <v>1106459</v>
      </c>
      <c r="E5335" t="s">
        <v>98</v>
      </c>
    </row>
    <row r="5336" spans="1:5" x14ac:dyDescent="0.25">
      <c r="A5336" t="s">
        <v>122</v>
      </c>
      <c r="B5336">
        <v>2012</v>
      </c>
      <c r="C5336" t="s">
        <v>6</v>
      </c>
      <c r="D5336">
        <v>1054128</v>
      </c>
      <c r="E5336" t="s">
        <v>98</v>
      </c>
    </row>
    <row r="5337" spans="1:5" x14ac:dyDescent="0.25">
      <c r="A5337" t="s">
        <v>122</v>
      </c>
      <c r="B5337">
        <v>2013</v>
      </c>
      <c r="C5337" t="s">
        <v>6</v>
      </c>
      <c r="D5337">
        <v>791501</v>
      </c>
      <c r="E5337" t="s">
        <v>98</v>
      </c>
    </row>
    <row r="5338" spans="1:5" x14ac:dyDescent="0.25">
      <c r="A5338" t="s">
        <v>122</v>
      </c>
      <c r="B5338">
        <v>2014</v>
      </c>
      <c r="C5338" t="s">
        <v>6</v>
      </c>
      <c r="D5338">
        <v>1147553</v>
      </c>
      <c r="E5338" t="s">
        <v>98</v>
      </c>
    </row>
    <row r="5339" spans="1:5" x14ac:dyDescent="0.25">
      <c r="A5339" t="s">
        <v>122</v>
      </c>
      <c r="B5339">
        <v>2015</v>
      </c>
      <c r="C5339" t="s">
        <v>6</v>
      </c>
      <c r="D5339">
        <v>1316539</v>
      </c>
      <c r="E5339" t="s">
        <v>98</v>
      </c>
    </row>
    <row r="5340" spans="1:5" x14ac:dyDescent="0.25">
      <c r="A5340" t="s">
        <v>122</v>
      </c>
      <c r="B5340">
        <v>2016</v>
      </c>
      <c r="C5340" t="s">
        <v>6</v>
      </c>
      <c r="D5340">
        <v>1816273</v>
      </c>
      <c r="E5340" t="s">
        <v>98</v>
      </c>
    </row>
    <row r="5341" spans="1:5" x14ac:dyDescent="0.25">
      <c r="A5341" t="s">
        <v>122</v>
      </c>
      <c r="B5341">
        <v>2017</v>
      </c>
      <c r="C5341" t="s">
        <v>6</v>
      </c>
      <c r="D5341">
        <v>2448591</v>
      </c>
      <c r="E5341" t="s">
        <v>98</v>
      </c>
    </row>
    <row r="5342" spans="1:5" x14ac:dyDescent="0.25">
      <c r="A5342" t="s">
        <v>122</v>
      </c>
      <c r="B5342">
        <v>2018</v>
      </c>
      <c r="C5342" t="s">
        <v>6</v>
      </c>
      <c r="D5342">
        <v>2461028</v>
      </c>
      <c r="E5342" t="s">
        <v>98</v>
      </c>
    </row>
    <row r="5343" spans="1:5" x14ac:dyDescent="0.25">
      <c r="A5343" t="s">
        <v>122</v>
      </c>
      <c r="B5343">
        <v>2019</v>
      </c>
      <c r="C5343" t="s">
        <v>6</v>
      </c>
      <c r="D5343">
        <v>2191491</v>
      </c>
      <c r="E5343" t="s">
        <v>98</v>
      </c>
    </row>
    <row r="5344" spans="1:5" x14ac:dyDescent="0.25">
      <c r="A5344" t="s">
        <v>122</v>
      </c>
      <c r="B5344">
        <v>2020</v>
      </c>
      <c r="C5344" t="s">
        <v>6</v>
      </c>
      <c r="D5344">
        <v>2954488.1439999999</v>
      </c>
      <c r="E5344" t="s">
        <v>98</v>
      </c>
    </row>
    <row r="5345" spans="1:5" x14ac:dyDescent="0.25">
      <c r="A5345" t="s">
        <v>122</v>
      </c>
      <c r="B5345">
        <v>2021</v>
      </c>
      <c r="C5345" t="s">
        <v>6</v>
      </c>
      <c r="D5345">
        <v>2920006</v>
      </c>
      <c r="E5345" t="s">
        <v>98</v>
      </c>
    </row>
    <row r="5346" spans="1:5" x14ac:dyDescent="0.25">
      <c r="A5346" t="s">
        <v>122</v>
      </c>
      <c r="B5346">
        <v>2022</v>
      </c>
      <c r="C5346" t="s">
        <v>6</v>
      </c>
      <c r="D5346">
        <v>3651993</v>
      </c>
      <c r="E5346" t="s">
        <v>98</v>
      </c>
    </row>
    <row r="5347" spans="1:5" x14ac:dyDescent="0.25">
      <c r="A5347" t="s">
        <v>122</v>
      </c>
      <c r="B5347">
        <v>2023</v>
      </c>
      <c r="C5347" t="s">
        <v>6</v>
      </c>
      <c r="D5347">
        <v>2688446</v>
      </c>
      <c r="E5347" t="s">
        <v>98</v>
      </c>
    </row>
    <row r="5348" spans="1:5" x14ac:dyDescent="0.25">
      <c r="A5348" t="s">
        <v>122</v>
      </c>
      <c r="B5348">
        <v>2024</v>
      </c>
      <c r="C5348" t="s">
        <v>6</v>
      </c>
      <c r="D5348">
        <v>2070592</v>
      </c>
      <c r="E5348" t="s">
        <v>98</v>
      </c>
    </row>
    <row r="5349" spans="1:5" x14ac:dyDescent="0.25">
      <c r="A5349" t="s">
        <v>9</v>
      </c>
      <c r="B5349">
        <v>2010</v>
      </c>
      <c r="C5349" t="s">
        <v>6</v>
      </c>
      <c r="D5349">
        <v>13344465.470000001</v>
      </c>
      <c r="E5349" t="s">
        <v>98</v>
      </c>
    </row>
    <row r="5350" spans="1:5" x14ac:dyDescent="0.25">
      <c r="A5350" t="s">
        <v>9</v>
      </c>
      <c r="B5350">
        <v>2011</v>
      </c>
      <c r="C5350" t="s">
        <v>6</v>
      </c>
      <c r="D5350">
        <v>15542088.4</v>
      </c>
      <c r="E5350" t="s">
        <v>98</v>
      </c>
    </row>
    <row r="5351" spans="1:5" x14ac:dyDescent="0.25">
      <c r="A5351" t="s">
        <v>9</v>
      </c>
      <c r="B5351">
        <v>2012</v>
      </c>
      <c r="C5351" t="s">
        <v>6</v>
      </c>
      <c r="D5351">
        <v>14816540.43</v>
      </c>
      <c r="E5351" t="s">
        <v>98</v>
      </c>
    </row>
    <row r="5352" spans="1:5" x14ac:dyDescent="0.25">
      <c r="A5352" t="s">
        <v>9</v>
      </c>
      <c r="B5352">
        <v>2013</v>
      </c>
      <c r="C5352" t="s">
        <v>6</v>
      </c>
      <c r="D5352">
        <v>14359289.859999999</v>
      </c>
      <c r="E5352" t="s">
        <v>98</v>
      </c>
    </row>
    <row r="5353" spans="1:5" x14ac:dyDescent="0.25">
      <c r="A5353" t="s">
        <v>9</v>
      </c>
      <c r="B5353">
        <v>2014</v>
      </c>
      <c r="C5353" t="s">
        <v>6</v>
      </c>
      <c r="D5353">
        <v>16306765.4</v>
      </c>
      <c r="E5353" t="s">
        <v>98</v>
      </c>
    </row>
    <row r="5354" spans="1:5" x14ac:dyDescent="0.25">
      <c r="A5354" t="s">
        <v>9</v>
      </c>
      <c r="B5354">
        <v>2015</v>
      </c>
      <c r="C5354" t="s">
        <v>6</v>
      </c>
      <c r="D5354">
        <v>13246701.869999999</v>
      </c>
      <c r="E5354" t="s">
        <v>98</v>
      </c>
    </row>
    <row r="5355" spans="1:5" x14ac:dyDescent="0.25">
      <c r="A5355" t="s">
        <v>9</v>
      </c>
      <c r="B5355">
        <v>2016</v>
      </c>
      <c r="C5355" t="s">
        <v>6</v>
      </c>
      <c r="D5355">
        <v>13480032.76</v>
      </c>
      <c r="E5355" t="s">
        <v>98</v>
      </c>
    </row>
    <row r="5356" spans="1:5" x14ac:dyDescent="0.25">
      <c r="A5356" t="s">
        <v>9</v>
      </c>
      <c r="B5356">
        <v>2017</v>
      </c>
      <c r="C5356" t="s">
        <v>6</v>
      </c>
      <c r="D5356">
        <v>16460097.560000001</v>
      </c>
      <c r="E5356" t="s">
        <v>98</v>
      </c>
    </row>
    <row r="5357" spans="1:5" x14ac:dyDescent="0.25">
      <c r="A5357" t="s">
        <v>9</v>
      </c>
      <c r="B5357">
        <v>2018</v>
      </c>
      <c r="C5357" t="s">
        <v>6</v>
      </c>
      <c r="D5357">
        <v>17523825.82</v>
      </c>
      <c r="E5357" t="s">
        <v>98</v>
      </c>
    </row>
    <row r="5358" spans="1:5" x14ac:dyDescent="0.25">
      <c r="A5358" t="s">
        <v>9</v>
      </c>
      <c r="B5358">
        <v>2019</v>
      </c>
      <c r="C5358" t="s">
        <v>6</v>
      </c>
      <c r="D5358">
        <v>13433402.647</v>
      </c>
      <c r="E5358" t="s">
        <v>98</v>
      </c>
    </row>
    <row r="5359" spans="1:5" x14ac:dyDescent="0.25">
      <c r="A5359" t="s">
        <v>9</v>
      </c>
      <c r="B5359">
        <v>2020</v>
      </c>
      <c r="C5359" t="s">
        <v>6</v>
      </c>
      <c r="D5359">
        <v>13353766.27</v>
      </c>
      <c r="E5359" t="s">
        <v>98</v>
      </c>
    </row>
    <row r="5360" spans="1:5" x14ac:dyDescent="0.25">
      <c r="A5360" t="s">
        <v>9</v>
      </c>
      <c r="B5360">
        <v>2021</v>
      </c>
      <c r="C5360" t="s">
        <v>6</v>
      </c>
      <c r="D5360">
        <v>13289686.369999999</v>
      </c>
      <c r="E5360" t="s">
        <v>98</v>
      </c>
    </row>
    <row r="5361" spans="1:5" x14ac:dyDescent="0.25">
      <c r="A5361" t="s">
        <v>9</v>
      </c>
      <c r="B5361">
        <v>2022</v>
      </c>
      <c r="C5361" t="s">
        <v>6</v>
      </c>
      <c r="D5361">
        <v>14188741.949999999</v>
      </c>
      <c r="E5361" t="s">
        <v>98</v>
      </c>
    </row>
    <row r="5362" spans="1:5" x14ac:dyDescent="0.25">
      <c r="A5362" t="s">
        <v>9</v>
      </c>
      <c r="B5362">
        <v>2023</v>
      </c>
      <c r="C5362" t="s">
        <v>6</v>
      </c>
      <c r="D5362">
        <v>13296447.83</v>
      </c>
      <c r="E5362" t="s">
        <v>98</v>
      </c>
    </row>
    <row r="5363" spans="1:5" x14ac:dyDescent="0.25">
      <c r="A5363" t="s">
        <v>9</v>
      </c>
      <c r="B5363">
        <v>2024</v>
      </c>
      <c r="C5363" t="s">
        <v>6</v>
      </c>
      <c r="D5363">
        <v>12632526.607999999</v>
      </c>
      <c r="E5363" t="s">
        <v>98</v>
      </c>
    </row>
    <row r="5364" spans="1:5" x14ac:dyDescent="0.25">
      <c r="A5364" t="s">
        <v>9</v>
      </c>
      <c r="B5364">
        <v>2025</v>
      </c>
      <c r="C5364" t="s">
        <v>6</v>
      </c>
      <c r="D5364">
        <v>11458086.905999999</v>
      </c>
      <c r="E5364" t="s">
        <v>98</v>
      </c>
    </row>
    <row r="5365" spans="1:5" x14ac:dyDescent="0.25">
      <c r="A5365" t="s">
        <v>121</v>
      </c>
      <c r="B5365">
        <v>2010</v>
      </c>
      <c r="C5365" t="s">
        <v>6</v>
      </c>
      <c r="D5365">
        <v>1964377</v>
      </c>
      <c r="E5365" t="s">
        <v>98</v>
      </c>
    </row>
    <row r="5366" spans="1:5" x14ac:dyDescent="0.25">
      <c r="A5366" t="s">
        <v>121</v>
      </c>
      <c r="B5366">
        <v>2011</v>
      </c>
      <c r="C5366" t="s">
        <v>6</v>
      </c>
      <c r="D5366">
        <v>1421485</v>
      </c>
      <c r="E5366" t="s">
        <v>98</v>
      </c>
    </row>
    <row r="5367" spans="1:5" x14ac:dyDescent="0.25">
      <c r="A5367" t="s">
        <v>121</v>
      </c>
      <c r="B5367">
        <v>2012</v>
      </c>
      <c r="C5367" t="s">
        <v>6</v>
      </c>
      <c r="D5367">
        <v>1126514</v>
      </c>
      <c r="E5367" t="s">
        <v>98</v>
      </c>
    </row>
    <row r="5368" spans="1:5" x14ac:dyDescent="0.25">
      <c r="A5368" t="s">
        <v>121</v>
      </c>
      <c r="B5368">
        <v>2013</v>
      </c>
      <c r="C5368" t="s">
        <v>6</v>
      </c>
      <c r="D5368">
        <v>1293874</v>
      </c>
      <c r="E5368" t="s">
        <v>98</v>
      </c>
    </row>
    <row r="5369" spans="1:5" x14ac:dyDescent="0.25">
      <c r="A5369" t="s">
        <v>121</v>
      </c>
      <c r="B5369">
        <v>2014</v>
      </c>
      <c r="C5369" t="s">
        <v>6</v>
      </c>
      <c r="D5369">
        <v>2098607</v>
      </c>
      <c r="E5369" t="s">
        <v>98</v>
      </c>
    </row>
    <row r="5370" spans="1:5" x14ac:dyDescent="0.25">
      <c r="A5370" t="s">
        <v>121</v>
      </c>
      <c r="B5370">
        <v>2015</v>
      </c>
      <c r="C5370" t="s">
        <v>6</v>
      </c>
      <c r="D5370">
        <v>1735669</v>
      </c>
      <c r="E5370" t="s">
        <v>98</v>
      </c>
    </row>
    <row r="5371" spans="1:5" x14ac:dyDescent="0.25">
      <c r="A5371" t="s">
        <v>121</v>
      </c>
      <c r="B5371">
        <v>2016</v>
      </c>
      <c r="C5371" t="s">
        <v>6</v>
      </c>
      <c r="D5371">
        <v>2245743</v>
      </c>
      <c r="E5371" t="s">
        <v>98</v>
      </c>
    </row>
    <row r="5372" spans="1:5" x14ac:dyDescent="0.25">
      <c r="A5372" t="s">
        <v>121</v>
      </c>
      <c r="B5372">
        <v>2017</v>
      </c>
      <c r="C5372" t="s">
        <v>6</v>
      </c>
      <c r="D5372">
        <v>2085802.44</v>
      </c>
      <c r="E5372" t="s">
        <v>98</v>
      </c>
    </row>
    <row r="5373" spans="1:5" x14ac:dyDescent="0.25">
      <c r="A5373" t="s">
        <v>121</v>
      </c>
      <c r="B5373">
        <v>2018</v>
      </c>
      <c r="C5373" t="s">
        <v>6</v>
      </c>
      <c r="D5373">
        <v>2129998.98</v>
      </c>
      <c r="E5373" t="s">
        <v>98</v>
      </c>
    </row>
    <row r="5374" spans="1:5" x14ac:dyDescent="0.25">
      <c r="A5374" t="s">
        <v>121</v>
      </c>
      <c r="B5374">
        <v>2019</v>
      </c>
      <c r="C5374" t="s">
        <v>6</v>
      </c>
      <c r="D5374">
        <v>2781566.15</v>
      </c>
      <c r="E5374" t="s">
        <v>98</v>
      </c>
    </row>
    <row r="5375" spans="1:5" x14ac:dyDescent="0.25">
      <c r="A5375" t="s">
        <v>121</v>
      </c>
      <c r="B5375">
        <v>2020</v>
      </c>
      <c r="C5375" t="s">
        <v>6</v>
      </c>
      <c r="D5375">
        <v>2359639.54</v>
      </c>
      <c r="E5375" t="s">
        <v>98</v>
      </c>
    </row>
    <row r="5376" spans="1:5" x14ac:dyDescent="0.25">
      <c r="A5376" t="s">
        <v>121</v>
      </c>
      <c r="B5376">
        <v>2021</v>
      </c>
      <c r="C5376" t="s">
        <v>6</v>
      </c>
      <c r="D5376">
        <v>1874533.9</v>
      </c>
      <c r="E5376" t="s">
        <v>98</v>
      </c>
    </row>
    <row r="5377" spans="1:5" x14ac:dyDescent="0.25">
      <c r="A5377" t="s">
        <v>121</v>
      </c>
      <c r="B5377">
        <v>2022</v>
      </c>
      <c r="C5377" t="s">
        <v>6</v>
      </c>
      <c r="D5377">
        <v>2748305.35</v>
      </c>
      <c r="E5377" t="s">
        <v>98</v>
      </c>
    </row>
    <row r="5378" spans="1:5" x14ac:dyDescent="0.25">
      <c r="A5378" t="s">
        <v>121</v>
      </c>
      <c r="B5378">
        <v>2023</v>
      </c>
      <c r="C5378" t="s">
        <v>6</v>
      </c>
      <c r="D5378">
        <v>2604563.59</v>
      </c>
      <c r="E5378" t="s">
        <v>98</v>
      </c>
    </row>
    <row r="5379" spans="1:5" x14ac:dyDescent="0.25">
      <c r="A5379" t="s">
        <v>121</v>
      </c>
      <c r="B5379">
        <v>2024</v>
      </c>
      <c r="C5379" t="s">
        <v>6</v>
      </c>
      <c r="D5379">
        <v>2956133.52</v>
      </c>
      <c r="E5379" t="s">
        <v>98</v>
      </c>
    </row>
    <row r="5380" spans="1:5" x14ac:dyDescent="0.25">
      <c r="A5380" t="s">
        <v>121</v>
      </c>
      <c r="B5380">
        <v>2025</v>
      </c>
      <c r="C5380" t="s">
        <v>6</v>
      </c>
      <c r="D5380">
        <v>2156157.52</v>
      </c>
      <c r="E5380" t="s">
        <v>98</v>
      </c>
    </row>
    <row r="5381" spans="1:5" x14ac:dyDescent="0.25">
      <c r="A5381" t="s">
        <v>10</v>
      </c>
      <c r="B5381">
        <v>2000</v>
      </c>
      <c r="C5381" t="s">
        <v>6</v>
      </c>
      <c r="D5381">
        <v>709296</v>
      </c>
      <c r="E5381" t="s">
        <v>98</v>
      </c>
    </row>
    <row r="5382" spans="1:5" x14ac:dyDescent="0.25">
      <c r="A5382" t="s">
        <v>10</v>
      </c>
      <c r="B5382">
        <v>2007</v>
      </c>
      <c r="C5382" t="s">
        <v>6</v>
      </c>
      <c r="D5382">
        <v>829400</v>
      </c>
      <c r="E5382" t="s">
        <v>98</v>
      </c>
    </row>
    <row r="5383" spans="1:5" x14ac:dyDescent="0.25">
      <c r="A5383" t="s">
        <v>10</v>
      </c>
      <c r="B5383">
        <v>2009</v>
      </c>
      <c r="C5383" t="s">
        <v>6</v>
      </c>
      <c r="D5383">
        <v>1395322</v>
      </c>
      <c r="E5383" t="s">
        <v>98</v>
      </c>
    </row>
    <row r="5384" spans="1:5" x14ac:dyDescent="0.25">
      <c r="A5384" t="s">
        <v>10</v>
      </c>
      <c r="B5384">
        <v>2010</v>
      </c>
      <c r="C5384" t="s">
        <v>6</v>
      </c>
      <c r="D5384">
        <v>2292319</v>
      </c>
      <c r="E5384" t="s">
        <v>98</v>
      </c>
    </row>
    <row r="5385" spans="1:5" x14ac:dyDescent="0.25">
      <c r="A5385" t="s">
        <v>10</v>
      </c>
      <c r="B5385">
        <v>2011</v>
      </c>
      <c r="C5385" t="s">
        <v>6</v>
      </c>
      <c r="D5385">
        <v>3411322</v>
      </c>
      <c r="E5385" t="s">
        <v>98</v>
      </c>
    </row>
    <row r="5386" spans="1:5" x14ac:dyDescent="0.25">
      <c r="A5386" t="s">
        <v>10</v>
      </c>
      <c r="B5386">
        <v>2012</v>
      </c>
      <c r="C5386" t="s">
        <v>6</v>
      </c>
      <c r="D5386">
        <v>2723040</v>
      </c>
      <c r="E5386" t="s">
        <v>98</v>
      </c>
    </row>
    <row r="5387" spans="1:5" x14ac:dyDescent="0.25">
      <c r="A5387" t="s">
        <v>10</v>
      </c>
      <c r="B5387">
        <v>2013</v>
      </c>
      <c r="C5387" t="s">
        <v>6</v>
      </c>
      <c r="D5387">
        <v>4678984</v>
      </c>
      <c r="E5387" t="s">
        <v>98</v>
      </c>
    </row>
    <row r="5388" spans="1:5" x14ac:dyDescent="0.25">
      <c r="A5388" t="s">
        <v>10</v>
      </c>
      <c r="B5388">
        <v>2014</v>
      </c>
      <c r="C5388" t="s">
        <v>6</v>
      </c>
      <c r="D5388">
        <v>8744314</v>
      </c>
      <c r="E5388" t="s">
        <v>98</v>
      </c>
    </row>
    <row r="5389" spans="1:5" x14ac:dyDescent="0.25">
      <c r="A5389" t="s">
        <v>10</v>
      </c>
      <c r="B5389">
        <v>2015</v>
      </c>
      <c r="C5389" t="s">
        <v>6</v>
      </c>
      <c r="D5389">
        <v>8198761</v>
      </c>
      <c r="E5389" t="s">
        <v>98</v>
      </c>
    </row>
    <row r="5390" spans="1:5" x14ac:dyDescent="0.25">
      <c r="A5390" t="s">
        <v>10</v>
      </c>
      <c r="B5390">
        <v>2016</v>
      </c>
      <c r="C5390" t="s">
        <v>6</v>
      </c>
      <c r="D5390">
        <v>6864827</v>
      </c>
      <c r="E5390" t="s">
        <v>98</v>
      </c>
    </row>
    <row r="5391" spans="1:5" x14ac:dyDescent="0.25">
      <c r="A5391" t="s">
        <v>10</v>
      </c>
      <c r="B5391">
        <v>2017</v>
      </c>
      <c r="C5391" t="s">
        <v>6</v>
      </c>
      <c r="D5391">
        <v>4250648</v>
      </c>
      <c r="E5391" t="s">
        <v>98</v>
      </c>
    </row>
    <row r="5392" spans="1:5" x14ac:dyDescent="0.25">
      <c r="A5392" t="s">
        <v>10</v>
      </c>
      <c r="B5392">
        <v>2018</v>
      </c>
      <c r="C5392" t="s">
        <v>6</v>
      </c>
      <c r="D5392">
        <v>4329607</v>
      </c>
      <c r="E5392" t="s">
        <v>98</v>
      </c>
    </row>
    <row r="5393" spans="1:5" x14ac:dyDescent="0.25">
      <c r="A5393" t="s">
        <v>10</v>
      </c>
      <c r="B5393">
        <v>2019</v>
      </c>
      <c r="C5393" t="s">
        <v>6</v>
      </c>
      <c r="D5393">
        <v>2563192</v>
      </c>
      <c r="E5393" t="s">
        <v>98</v>
      </c>
    </row>
    <row r="5394" spans="1:5" x14ac:dyDescent="0.25">
      <c r="A5394" t="s">
        <v>10</v>
      </c>
      <c r="B5394">
        <v>2020</v>
      </c>
      <c r="C5394" t="s">
        <v>6</v>
      </c>
      <c r="D5394">
        <v>1765375</v>
      </c>
      <c r="E5394" t="s">
        <v>98</v>
      </c>
    </row>
    <row r="5395" spans="1:5" x14ac:dyDescent="0.25">
      <c r="A5395" t="s">
        <v>10</v>
      </c>
      <c r="B5395">
        <v>2021</v>
      </c>
      <c r="C5395" t="s">
        <v>6</v>
      </c>
      <c r="D5395">
        <v>1602909</v>
      </c>
      <c r="E5395" t="s">
        <v>98</v>
      </c>
    </row>
    <row r="5396" spans="1:5" x14ac:dyDescent="0.25">
      <c r="A5396" t="s">
        <v>10</v>
      </c>
      <c r="B5396">
        <v>2022</v>
      </c>
      <c r="C5396" t="s">
        <v>6</v>
      </c>
      <c r="D5396">
        <v>1947569</v>
      </c>
      <c r="E5396" t="s">
        <v>98</v>
      </c>
    </row>
    <row r="5397" spans="1:5" x14ac:dyDescent="0.25">
      <c r="A5397" t="s">
        <v>10</v>
      </c>
      <c r="B5397">
        <v>2024</v>
      </c>
      <c r="C5397" t="s">
        <v>6</v>
      </c>
      <c r="D5397">
        <v>2115927</v>
      </c>
      <c r="E5397" t="s">
        <v>98</v>
      </c>
    </row>
    <row r="5398" spans="1:5" x14ac:dyDescent="0.25">
      <c r="A5398" t="s">
        <v>10</v>
      </c>
      <c r="B5398">
        <v>2025</v>
      </c>
      <c r="C5398" t="s">
        <v>6</v>
      </c>
      <c r="D5398">
        <v>3524025</v>
      </c>
      <c r="E5398" t="s">
        <v>98</v>
      </c>
    </row>
    <row r="5399" spans="1:5" x14ac:dyDescent="0.25">
      <c r="A5399" t="s">
        <v>120</v>
      </c>
      <c r="B5399">
        <v>2013</v>
      </c>
      <c r="C5399" t="s">
        <v>6</v>
      </c>
      <c r="D5399">
        <v>874475</v>
      </c>
      <c r="E5399" t="s">
        <v>98</v>
      </c>
    </row>
    <row r="5400" spans="1:5" x14ac:dyDescent="0.25">
      <c r="A5400" t="s">
        <v>120</v>
      </c>
      <c r="B5400">
        <v>2014</v>
      </c>
      <c r="C5400" t="s">
        <v>6</v>
      </c>
      <c r="D5400">
        <v>895300</v>
      </c>
      <c r="E5400" t="s">
        <v>98</v>
      </c>
    </row>
    <row r="5401" spans="1:5" x14ac:dyDescent="0.25">
      <c r="A5401" t="s">
        <v>120</v>
      </c>
      <c r="B5401">
        <v>2016</v>
      </c>
      <c r="C5401" t="s">
        <v>6</v>
      </c>
      <c r="D5401">
        <v>875176</v>
      </c>
      <c r="E5401" t="s">
        <v>98</v>
      </c>
    </row>
    <row r="5402" spans="1:5" x14ac:dyDescent="0.25">
      <c r="A5402" t="s">
        <v>120</v>
      </c>
      <c r="B5402">
        <v>2018</v>
      </c>
      <c r="C5402" t="s">
        <v>6</v>
      </c>
      <c r="D5402">
        <v>902418</v>
      </c>
      <c r="E5402" t="s">
        <v>98</v>
      </c>
    </row>
    <row r="5403" spans="1:5" x14ac:dyDescent="0.25">
      <c r="A5403" t="s">
        <v>120</v>
      </c>
      <c r="B5403">
        <v>2019</v>
      </c>
      <c r="C5403" t="s">
        <v>6</v>
      </c>
      <c r="D5403">
        <v>960052</v>
      </c>
      <c r="E5403" t="s">
        <v>98</v>
      </c>
    </row>
    <row r="5404" spans="1:5" x14ac:dyDescent="0.25">
      <c r="A5404" t="s">
        <v>120</v>
      </c>
      <c r="B5404">
        <v>2020</v>
      </c>
      <c r="C5404" t="s">
        <v>6</v>
      </c>
      <c r="D5404">
        <v>1684473</v>
      </c>
      <c r="E5404" t="s">
        <v>98</v>
      </c>
    </row>
    <row r="5405" spans="1:5" x14ac:dyDescent="0.25">
      <c r="A5405" t="s">
        <v>120</v>
      </c>
      <c r="B5405">
        <v>2021</v>
      </c>
      <c r="C5405" t="s">
        <v>6</v>
      </c>
      <c r="D5405">
        <v>1491885</v>
      </c>
      <c r="E5405" t="s">
        <v>98</v>
      </c>
    </row>
    <row r="5406" spans="1:5" x14ac:dyDescent="0.25">
      <c r="A5406" t="s">
        <v>120</v>
      </c>
      <c r="B5406">
        <v>2022</v>
      </c>
      <c r="C5406" t="s">
        <v>6</v>
      </c>
      <c r="D5406">
        <v>1693560.2050000001</v>
      </c>
      <c r="E5406" t="s">
        <v>98</v>
      </c>
    </row>
    <row r="5407" spans="1:5" x14ac:dyDescent="0.25">
      <c r="A5407" t="s">
        <v>120</v>
      </c>
      <c r="B5407">
        <v>2023</v>
      </c>
      <c r="C5407" t="s">
        <v>6</v>
      </c>
      <c r="D5407">
        <v>1769288</v>
      </c>
      <c r="E5407" t="s">
        <v>98</v>
      </c>
    </row>
    <row r="5408" spans="1:5" x14ac:dyDescent="0.25">
      <c r="A5408" t="s">
        <v>11</v>
      </c>
      <c r="B5408">
        <v>2010</v>
      </c>
      <c r="C5408" t="s">
        <v>6</v>
      </c>
      <c r="D5408">
        <v>34634587</v>
      </c>
      <c r="E5408" t="s">
        <v>98</v>
      </c>
    </row>
    <row r="5409" spans="1:5" x14ac:dyDescent="0.25">
      <c r="A5409" t="s">
        <v>11</v>
      </c>
      <c r="B5409">
        <v>2011</v>
      </c>
      <c r="C5409" t="s">
        <v>6</v>
      </c>
      <c r="D5409">
        <v>31019154</v>
      </c>
      <c r="E5409" t="s">
        <v>98</v>
      </c>
    </row>
    <row r="5410" spans="1:5" x14ac:dyDescent="0.25">
      <c r="A5410" t="s">
        <v>11</v>
      </c>
      <c r="B5410">
        <v>2012</v>
      </c>
      <c r="C5410" t="s">
        <v>6</v>
      </c>
      <c r="D5410">
        <v>30343118</v>
      </c>
      <c r="E5410" t="s">
        <v>98</v>
      </c>
    </row>
    <row r="5411" spans="1:5" x14ac:dyDescent="0.25">
      <c r="A5411" t="s">
        <v>11</v>
      </c>
      <c r="B5411">
        <v>2013</v>
      </c>
      <c r="C5411" t="s">
        <v>6</v>
      </c>
      <c r="D5411">
        <v>35366358</v>
      </c>
      <c r="E5411" t="s">
        <v>98</v>
      </c>
    </row>
    <row r="5412" spans="1:5" x14ac:dyDescent="0.25">
      <c r="A5412" t="s">
        <v>11</v>
      </c>
      <c r="B5412">
        <v>2014</v>
      </c>
      <c r="C5412" t="s">
        <v>6</v>
      </c>
      <c r="D5412">
        <v>33552974</v>
      </c>
      <c r="E5412" t="s">
        <v>98</v>
      </c>
    </row>
    <row r="5413" spans="1:5" x14ac:dyDescent="0.25">
      <c r="A5413" t="s">
        <v>11</v>
      </c>
      <c r="B5413">
        <v>2015</v>
      </c>
      <c r="C5413" t="s">
        <v>6</v>
      </c>
      <c r="D5413">
        <v>36296011</v>
      </c>
      <c r="E5413" t="s">
        <v>98</v>
      </c>
    </row>
    <row r="5414" spans="1:5" x14ac:dyDescent="0.25">
      <c r="A5414" t="s">
        <v>11</v>
      </c>
      <c r="B5414">
        <v>2016</v>
      </c>
      <c r="C5414" t="s">
        <v>6</v>
      </c>
      <c r="D5414">
        <v>26434699</v>
      </c>
      <c r="E5414" t="s">
        <v>98</v>
      </c>
    </row>
    <row r="5415" spans="1:5" x14ac:dyDescent="0.25">
      <c r="A5415" t="s">
        <v>11</v>
      </c>
      <c r="B5415">
        <v>2017</v>
      </c>
      <c r="C5415" t="s">
        <v>6</v>
      </c>
      <c r="D5415">
        <v>29578344</v>
      </c>
      <c r="E5415" t="s">
        <v>98</v>
      </c>
    </row>
    <row r="5416" spans="1:5" x14ac:dyDescent="0.25">
      <c r="A5416" t="s">
        <v>11</v>
      </c>
      <c r="B5416">
        <v>2018</v>
      </c>
      <c r="C5416" t="s">
        <v>6</v>
      </c>
      <c r="D5416">
        <v>27587160</v>
      </c>
      <c r="E5416" t="s">
        <v>98</v>
      </c>
    </row>
    <row r="5417" spans="1:5" x14ac:dyDescent="0.25">
      <c r="A5417" t="s">
        <v>11</v>
      </c>
      <c r="B5417">
        <v>2019</v>
      </c>
      <c r="C5417" t="s">
        <v>6</v>
      </c>
      <c r="D5417">
        <v>29346190</v>
      </c>
      <c r="E5417" t="s">
        <v>98</v>
      </c>
    </row>
    <row r="5418" spans="1:5" x14ac:dyDescent="0.25">
      <c r="A5418" t="s">
        <v>11</v>
      </c>
      <c r="B5418">
        <v>2020</v>
      </c>
      <c r="C5418" t="s">
        <v>6</v>
      </c>
      <c r="D5418">
        <v>36559436.402000003</v>
      </c>
      <c r="E5418" t="s">
        <v>98</v>
      </c>
    </row>
    <row r="5419" spans="1:5" x14ac:dyDescent="0.25">
      <c r="A5419" t="s">
        <v>11</v>
      </c>
      <c r="B5419">
        <v>2021</v>
      </c>
      <c r="C5419" t="s">
        <v>6</v>
      </c>
      <c r="D5419">
        <v>31018121.024999999</v>
      </c>
      <c r="E5419" t="s">
        <v>98</v>
      </c>
    </row>
    <row r="5420" spans="1:5" x14ac:dyDescent="0.25">
      <c r="A5420" t="s">
        <v>11</v>
      </c>
      <c r="B5420">
        <v>2022</v>
      </c>
      <c r="C5420" t="s">
        <v>6</v>
      </c>
      <c r="D5420">
        <v>37390128.254000001</v>
      </c>
      <c r="E5420" t="s">
        <v>98</v>
      </c>
    </row>
    <row r="5421" spans="1:5" x14ac:dyDescent="0.25">
      <c r="A5421" t="s">
        <v>11</v>
      </c>
      <c r="B5421">
        <v>2023</v>
      </c>
      <c r="C5421" t="s">
        <v>6</v>
      </c>
      <c r="D5421">
        <v>31157493.789000001</v>
      </c>
      <c r="E5421" t="s">
        <v>98</v>
      </c>
    </row>
    <row r="5422" spans="1:5" x14ac:dyDescent="0.25">
      <c r="A5422" t="s">
        <v>11</v>
      </c>
      <c r="B5422">
        <v>2024</v>
      </c>
      <c r="C5422" t="s">
        <v>6</v>
      </c>
      <c r="D5422">
        <v>37397050.818999998</v>
      </c>
      <c r="E5422" t="s">
        <v>98</v>
      </c>
    </row>
    <row r="5423" spans="1:5" x14ac:dyDescent="0.25">
      <c r="A5423" t="s">
        <v>11</v>
      </c>
      <c r="B5423">
        <v>2025</v>
      </c>
      <c r="C5423" t="s">
        <v>6</v>
      </c>
      <c r="D5423">
        <v>28211808.372000001</v>
      </c>
      <c r="E5423" t="s">
        <v>98</v>
      </c>
    </row>
    <row r="5424" spans="1:5" x14ac:dyDescent="0.25">
      <c r="A5424" t="s">
        <v>95</v>
      </c>
      <c r="B5424">
        <v>2003</v>
      </c>
      <c r="C5424" t="s">
        <v>6</v>
      </c>
      <c r="D5424">
        <v>6491211.5310000004</v>
      </c>
      <c r="E5424" t="s">
        <v>98</v>
      </c>
    </row>
    <row r="5425" spans="1:5" x14ac:dyDescent="0.25">
      <c r="A5425" t="s">
        <v>95</v>
      </c>
      <c r="B5425">
        <v>2004</v>
      </c>
      <c r="C5425" t="s">
        <v>6</v>
      </c>
      <c r="D5425">
        <v>7275331.1459999997</v>
      </c>
      <c r="E5425" t="s">
        <v>98</v>
      </c>
    </row>
    <row r="5426" spans="1:5" x14ac:dyDescent="0.25">
      <c r="A5426" t="s">
        <v>95</v>
      </c>
      <c r="B5426">
        <v>2005</v>
      </c>
      <c r="C5426" t="s">
        <v>6</v>
      </c>
      <c r="D5426">
        <v>7649241.7290000003</v>
      </c>
      <c r="E5426" t="s">
        <v>98</v>
      </c>
    </row>
    <row r="5427" spans="1:5" x14ac:dyDescent="0.25">
      <c r="A5427" t="s">
        <v>95</v>
      </c>
      <c r="B5427">
        <v>2006</v>
      </c>
      <c r="C5427" t="s">
        <v>6</v>
      </c>
      <c r="D5427">
        <v>8451534.7259999998</v>
      </c>
      <c r="E5427" t="s">
        <v>98</v>
      </c>
    </row>
    <row r="5428" spans="1:5" x14ac:dyDescent="0.25">
      <c r="A5428" t="s">
        <v>95</v>
      </c>
      <c r="B5428">
        <v>2007</v>
      </c>
      <c r="C5428" t="s">
        <v>6</v>
      </c>
      <c r="D5428">
        <v>7808316.8530000001</v>
      </c>
      <c r="E5428" t="s">
        <v>98</v>
      </c>
    </row>
    <row r="5429" spans="1:5" x14ac:dyDescent="0.25">
      <c r="A5429" t="s">
        <v>95</v>
      </c>
      <c r="B5429">
        <v>2008</v>
      </c>
      <c r="C5429" t="s">
        <v>6</v>
      </c>
      <c r="D5429">
        <v>8507140.6270000003</v>
      </c>
      <c r="E5429" t="s">
        <v>98</v>
      </c>
    </row>
    <row r="5430" spans="1:5" x14ac:dyDescent="0.25">
      <c r="A5430" t="s">
        <v>95</v>
      </c>
      <c r="B5430">
        <v>2009</v>
      </c>
      <c r="C5430" t="s">
        <v>6</v>
      </c>
      <c r="D5430">
        <v>7042005.0559999999</v>
      </c>
      <c r="E5430" t="s">
        <v>98</v>
      </c>
    </row>
    <row r="5431" spans="1:5" x14ac:dyDescent="0.25">
      <c r="A5431" t="s">
        <v>95</v>
      </c>
      <c r="B5431">
        <v>2010</v>
      </c>
      <c r="C5431" t="s">
        <v>6</v>
      </c>
      <c r="D5431">
        <v>10750642.607999999</v>
      </c>
      <c r="E5431" t="s">
        <v>98</v>
      </c>
    </row>
    <row r="5432" spans="1:5" x14ac:dyDescent="0.25">
      <c r="A5432" t="s">
        <v>95</v>
      </c>
      <c r="B5432">
        <v>2011</v>
      </c>
      <c r="C5432" t="s">
        <v>6</v>
      </c>
      <c r="D5432">
        <v>12419234.460000001</v>
      </c>
      <c r="E5432" t="s">
        <v>98</v>
      </c>
    </row>
    <row r="5433" spans="1:5" x14ac:dyDescent="0.25">
      <c r="A5433" t="s">
        <v>95</v>
      </c>
      <c r="B5433">
        <v>2012</v>
      </c>
      <c r="C5433" t="s">
        <v>6</v>
      </c>
      <c r="D5433">
        <v>10827761.106000001</v>
      </c>
      <c r="E5433" t="s">
        <v>98</v>
      </c>
    </row>
    <row r="5434" spans="1:5" x14ac:dyDescent="0.25">
      <c r="A5434" t="s">
        <v>95</v>
      </c>
      <c r="B5434">
        <v>2013</v>
      </c>
      <c r="C5434" t="s">
        <v>6</v>
      </c>
      <c r="D5434">
        <v>16354618.93</v>
      </c>
      <c r="E5434" t="s">
        <v>98</v>
      </c>
    </row>
    <row r="5435" spans="1:5" x14ac:dyDescent="0.25">
      <c r="A5435" t="s">
        <v>95</v>
      </c>
      <c r="B5435">
        <v>2014</v>
      </c>
      <c r="C5435" t="s">
        <v>6</v>
      </c>
      <c r="D5435">
        <v>16917782.342</v>
      </c>
      <c r="E5435" t="s">
        <v>98</v>
      </c>
    </row>
    <row r="5436" spans="1:5" x14ac:dyDescent="0.25">
      <c r="A5436" t="s">
        <v>95</v>
      </c>
      <c r="B5436">
        <v>2015</v>
      </c>
      <c r="C5436" t="s">
        <v>6</v>
      </c>
      <c r="D5436">
        <v>19274887.405000001</v>
      </c>
      <c r="E5436" t="s">
        <v>98</v>
      </c>
    </row>
    <row r="5437" spans="1:5" x14ac:dyDescent="0.25">
      <c r="A5437" t="s">
        <v>95</v>
      </c>
      <c r="B5437">
        <v>2016</v>
      </c>
      <c r="C5437" t="s">
        <v>6</v>
      </c>
      <c r="D5437">
        <v>15445772.487</v>
      </c>
      <c r="E5437" t="s">
        <v>98</v>
      </c>
    </row>
    <row r="5438" spans="1:5" x14ac:dyDescent="0.25">
      <c r="A5438" t="s">
        <v>95</v>
      </c>
      <c r="B5438">
        <v>2017</v>
      </c>
      <c r="C5438" t="s">
        <v>6</v>
      </c>
      <c r="D5438">
        <v>21947004.067000002</v>
      </c>
      <c r="E5438" t="s">
        <v>98</v>
      </c>
    </row>
    <row r="5439" spans="1:5" x14ac:dyDescent="0.25">
      <c r="A5439" t="s">
        <v>95</v>
      </c>
      <c r="B5439">
        <v>2018</v>
      </c>
      <c r="C5439" t="s">
        <v>6</v>
      </c>
      <c r="D5439">
        <v>22338270.936000001</v>
      </c>
      <c r="E5439" t="s">
        <v>98</v>
      </c>
    </row>
    <row r="5440" spans="1:5" x14ac:dyDescent="0.25">
      <c r="A5440" t="s">
        <v>95</v>
      </c>
      <c r="B5440">
        <v>2019</v>
      </c>
      <c r="C5440" t="s">
        <v>6</v>
      </c>
      <c r="D5440">
        <v>23893590.760000002</v>
      </c>
      <c r="E5440" t="s">
        <v>98</v>
      </c>
    </row>
    <row r="5441" spans="1:5" x14ac:dyDescent="0.25">
      <c r="A5441" t="s">
        <v>95</v>
      </c>
      <c r="B5441">
        <v>2020</v>
      </c>
      <c r="C5441" t="s">
        <v>6</v>
      </c>
      <c r="D5441">
        <v>29519908.420000002</v>
      </c>
      <c r="E5441" t="s">
        <v>98</v>
      </c>
    </row>
    <row r="5442" spans="1:5" x14ac:dyDescent="0.25">
      <c r="A5442" t="s">
        <v>95</v>
      </c>
      <c r="B5442">
        <v>2021</v>
      </c>
      <c r="C5442" t="s">
        <v>6</v>
      </c>
      <c r="D5442">
        <v>24664482.848000001</v>
      </c>
      <c r="E5442" t="s">
        <v>98</v>
      </c>
    </row>
    <row r="5443" spans="1:5" x14ac:dyDescent="0.25">
      <c r="A5443" t="s">
        <v>95</v>
      </c>
      <c r="B5443">
        <v>2022</v>
      </c>
      <c r="C5443" t="s">
        <v>6</v>
      </c>
      <c r="D5443">
        <v>28181400.699999999</v>
      </c>
      <c r="E5443" t="s">
        <v>98</v>
      </c>
    </row>
    <row r="5444" spans="1:5" x14ac:dyDescent="0.25">
      <c r="A5444" t="s">
        <v>95</v>
      </c>
      <c r="B5444">
        <v>2023</v>
      </c>
      <c r="C5444" t="s">
        <v>6</v>
      </c>
      <c r="D5444">
        <v>26486972.111000001</v>
      </c>
      <c r="E5444" t="s">
        <v>98</v>
      </c>
    </row>
    <row r="5445" spans="1:5" x14ac:dyDescent="0.25">
      <c r="A5445" t="s">
        <v>95</v>
      </c>
      <c r="B5445">
        <v>2024</v>
      </c>
      <c r="C5445" t="s">
        <v>6</v>
      </c>
      <c r="D5445">
        <v>33951945.432999998</v>
      </c>
      <c r="E5445" t="s">
        <v>98</v>
      </c>
    </row>
    <row r="5446" spans="1:5" x14ac:dyDescent="0.25">
      <c r="A5446" t="s">
        <v>95</v>
      </c>
      <c r="B5446">
        <v>2025</v>
      </c>
      <c r="C5446" t="s">
        <v>6</v>
      </c>
      <c r="D5446">
        <v>33359772.443</v>
      </c>
      <c r="E5446" t="s">
        <v>98</v>
      </c>
    </row>
    <row r="5447" spans="1:5" x14ac:dyDescent="0.25">
      <c r="A5447" t="s">
        <v>12</v>
      </c>
      <c r="B5447">
        <v>2010</v>
      </c>
      <c r="C5447" t="s">
        <v>6</v>
      </c>
      <c r="D5447">
        <v>1860787</v>
      </c>
      <c r="E5447" t="s">
        <v>98</v>
      </c>
    </row>
    <row r="5448" spans="1:5" x14ac:dyDescent="0.25">
      <c r="A5448" t="s">
        <v>12</v>
      </c>
      <c r="B5448">
        <v>2011</v>
      </c>
      <c r="C5448" t="s">
        <v>6</v>
      </c>
      <c r="D5448">
        <v>2583273</v>
      </c>
      <c r="E5448" t="s">
        <v>98</v>
      </c>
    </row>
    <row r="5449" spans="1:5" x14ac:dyDescent="0.25">
      <c r="A5449" t="s">
        <v>12</v>
      </c>
      <c r="B5449">
        <v>2012</v>
      </c>
      <c r="C5449" t="s">
        <v>6</v>
      </c>
      <c r="D5449">
        <v>1217872</v>
      </c>
      <c r="E5449" t="s">
        <v>98</v>
      </c>
    </row>
    <row r="5450" spans="1:5" x14ac:dyDescent="0.25">
      <c r="A5450" t="s">
        <v>12</v>
      </c>
      <c r="B5450">
        <v>2015</v>
      </c>
      <c r="C5450" t="s">
        <v>6</v>
      </c>
      <c r="D5450">
        <v>2783262.77</v>
      </c>
      <c r="E5450" t="s">
        <v>98</v>
      </c>
    </row>
    <row r="5451" spans="1:5" x14ac:dyDescent="0.25">
      <c r="A5451" t="s">
        <v>12</v>
      </c>
      <c r="B5451">
        <v>2016</v>
      </c>
      <c r="C5451" t="s">
        <v>6</v>
      </c>
      <c r="D5451">
        <v>5713968.267</v>
      </c>
      <c r="E5451" t="s">
        <v>98</v>
      </c>
    </row>
    <row r="5452" spans="1:5" x14ac:dyDescent="0.25">
      <c r="A5452" t="s">
        <v>12</v>
      </c>
      <c r="B5452">
        <v>2017</v>
      </c>
      <c r="C5452" t="s">
        <v>6</v>
      </c>
      <c r="D5452">
        <v>4964247.7649999997</v>
      </c>
      <c r="E5452" t="s">
        <v>98</v>
      </c>
    </row>
    <row r="5453" spans="1:5" x14ac:dyDescent="0.25">
      <c r="A5453" t="s">
        <v>12</v>
      </c>
      <c r="B5453">
        <v>2018</v>
      </c>
      <c r="C5453" t="s">
        <v>6</v>
      </c>
      <c r="D5453">
        <v>5933794.5060000001</v>
      </c>
      <c r="E5453" t="s">
        <v>98</v>
      </c>
    </row>
    <row r="5454" spans="1:5" x14ac:dyDescent="0.25">
      <c r="A5454" t="s">
        <v>12</v>
      </c>
      <c r="B5454">
        <v>2019</v>
      </c>
      <c r="C5454" t="s">
        <v>6</v>
      </c>
      <c r="D5454">
        <v>6319531.2010000004</v>
      </c>
      <c r="E5454" t="s">
        <v>98</v>
      </c>
    </row>
    <row r="5455" spans="1:5" x14ac:dyDescent="0.25">
      <c r="A5455" t="s">
        <v>12</v>
      </c>
      <c r="B5455">
        <v>2020</v>
      </c>
      <c r="C5455" t="s">
        <v>6</v>
      </c>
      <c r="D5455">
        <v>6856987.2220000001</v>
      </c>
      <c r="E5455" t="s">
        <v>98</v>
      </c>
    </row>
    <row r="5456" spans="1:5" x14ac:dyDescent="0.25">
      <c r="A5456" t="s">
        <v>12</v>
      </c>
      <c r="B5456">
        <v>2021</v>
      </c>
      <c r="C5456" t="s">
        <v>6</v>
      </c>
      <c r="D5456">
        <v>5710269.3080000002</v>
      </c>
      <c r="E5456" t="s">
        <v>98</v>
      </c>
    </row>
    <row r="5457" spans="1:5" x14ac:dyDescent="0.25">
      <c r="A5457" t="s">
        <v>12</v>
      </c>
      <c r="B5457">
        <v>2022</v>
      </c>
      <c r="C5457" t="s">
        <v>6</v>
      </c>
      <c r="D5457">
        <v>6246155</v>
      </c>
      <c r="E5457" t="s">
        <v>98</v>
      </c>
    </row>
    <row r="5458" spans="1:5" x14ac:dyDescent="0.25">
      <c r="A5458" t="s">
        <v>12</v>
      </c>
      <c r="B5458">
        <v>2023</v>
      </c>
      <c r="C5458" t="s">
        <v>6</v>
      </c>
      <c r="D5458">
        <v>6666104.6560000004</v>
      </c>
      <c r="E5458" t="s">
        <v>98</v>
      </c>
    </row>
    <row r="5459" spans="1:5" x14ac:dyDescent="0.25">
      <c r="A5459" t="s">
        <v>12</v>
      </c>
      <c r="B5459">
        <v>2024</v>
      </c>
      <c r="C5459" t="s">
        <v>6</v>
      </c>
      <c r="D5459">
        <v>4786201.34</v>
      </c>
      <c r="E5459" t="s">
        <v>98</v>
      </c>
    </row>
    <row r="5460" spans="1:5" x14ac:dyDescent="0.25">
      <c r="A5460" t="s">
        <v>12</v>
      </c>
      <c r="B5460">
        <v>2025</v>
      </c>
      <c r="C5460" t="s">
        <v>6</v>
      </c>
      <c r="D5460">
        <v>2464439</v>
      </c>
      <c r="E5460" t="s">
        <v>98</v>
      </c>
    </row>
    <row r="5461" spans="1:5" x14ac:dyDescent="0.25">
      <c r="A5461" t="s">
        <v>13</v>
      </c>
      <c r="B5461">
        <v>2010</v>
      </c>
      <c r="C5461" t="s">
        <v>6</v>
      </c>
      <c r="D5461">
        <v>7295575.9699999997</v>
      </c>
      <c r="E5461" t="s">
        <v>98</v>
      </c>
    </row>
    <row r="5462" spans="1:5" x14ac:dyDescent="0.25">
      <c r="A5462" t="s">
        <v>13</v>
      </c>
      <c r="B5462">
        <v>2014</v>
      </c>
      <c r="C5462" t="s">
        <v>6</v>
      </c>
      <c r="D5462">
        <v>30222501.690000001</v>
      </c>
      <c r="E5462" t="s">
        <v>98</v>
      </c>
    </row>
    <row r="5463" spans="1:5" x14ac:dyDescent="0.25">
      <c r="A5463" t="s">
        <v>13</v>
      </c>
      <c r="B5463">
        <v>2015</v>
      </c>
      <c r="C5463" t="s">
        <v>6</v>
      </c>
      <c r="D5463">
        <v>3283808.38</v>
      </c>
      <c r="E5463" t="s">
        <v>98</v>
      </c>
    </row>
    <row r="5464" spans="1:5" x14ac:dyDescent="0.25">
      <c r="A5464" t="s">
        <v>13</v>
      </c>
      <c r="B5464">
        <v>2016</v>
      </c>
      <c r="C5464" t="s">
        <v>6</v>
      </c>
      <c r="D5464">
        <v>28553760.469999999</v>
      </c>
      <c r="E5464" t="s">
        <v>98</v>
      </c>
    </row>
    <row r="5465" spans="1:5" x14ac:dyDescent="0.25">
      <c r="A5465" t="s">
        <v>13</v>
      </c>
      <c r="B5465">
        <v>2017</v>
      </c>
      <c r="C5465" t="s">
        <v>6</v>
      </c>
      <c r="D5465">
        <v>25498754.449999999</v>
      </c>
      <c r="E5465" t="s">
        <v>98</v>
      </c>
    </row>
    <row r="5466" spans="1:5" x14ac:dyDescent="0.25">
      <c r="A5466" t="s">
        <v>13</v>
      </c>
      <c r="B5466">
        <v>2018</v>
      </c>
      <c r="C5466" t="s">
        <v>6</v>
      </c>
      <c r="D5466">
        <v>32198118.949999999</v>
      </c>
      <c r="E5466" t="s">
        <v>98</v>
      </c>
    </row>
    <row r="5467" spans="1:5" x14ac:dyDescent="0.25">
      <c r="A5467" t="s">
        <v>13</v>
      </c>
      <c r="B5467">
        <v>2019</v>
      </c>
      <c r="C5467" t="s">
        <v>6</v>
      </c>
      <c r="D5467">
        <v>31197428.969999999</v>
      </c>
      <c r="E5467" t="s">
        <v>98</v>
      </c>
    </row>
    <row r="5468" spans="1:5" x14ac:dyDescent="0.25">
      <c r="A5468" t="s">
        <v>13</v>
      </c>
      <c r="B5468">
        <v>2020</v>
      </c>
      <c r="C5468" t="s">
        <v>6</v>
      </c>
      <c r="D5468">
        <v>46408175.369999997</v>
      </c>
      <c r="E5468" t="s">
        <v>98</v>
      </c>
    </row>
    <row r="5469" spans="1:5" x14ac:dyDescent="0.25">
      <c r="A5469" t="s">
        <v>13</v>
      </c>
      <c r="B5469">
        <v>2021</v>
      </c>
      <c r="C5469" t="s">
        <v>6</v>
      </c>
      <c r="D5469">
        <v>39771255.689999998</v>
      </c>
      <c r="E5469" t="s">
        <v>98</v>
      </c>
    </row>
    <row r="5470" spans="1:5" x14ac:dyDescent="0.25">
      <c r="A5470" t="s">
        <v>13</v>
      </c>
      <c r="B5470">
        <v>2022</v>
      </c>
      <c r="C5470" t="s">
        <v>6</v>
      </c>
      <c r="D5470">
        <v>33992126.369999997</v>
      </c>
      <c r="E5470" t="s">
        <v>98</v>
      </c>
    </row>
    <row r="5471" spans="1:5" x14ac:dyDescent="0.25">
      <c r="A5471" t="s">
        <v>13</v>
      </c>
      <c r="B5471">
        <v>2023</v>
      </c>
      <c r="C5471" t="s">
        <v>6</v>
      </c>
      <c r="D5471">
        <v>30332627.510000002</v>
      </c>
      <c r="E5471" t="s">
        <v>98</v>
      </c>
    </row>
    <row r="5472" spans="1:5" x14ac:dyDescent="0.25">
      <c r="A5472" t="s">
        <v>13</v>
      </c>
      <c r="B5472">
        <v>2024</v>
      </c>
      <c r="C5472" t="s">
        <v>6</v>
      </c>
      <c r="D5472">
        <v>6208359.7000000002</v>
      </c>
      <c r="E5472" t="s">
        <v>98</v>
      </c>
    </row>
    <row r="5473" spans="1:5" x14ac:dyDescent="0.25">
      <c r="A5473" t="s">
        <v>13</v>
      </c>
      <c r="B5473">
        <v>2025</v>
      </c>
      <c r="C5473" t="s">
        <v>6</v>
      </c>
      <c r="D5473">
        <v>22649650.780000001</v>
      </c>
      <c r="E5473" t="s">
        <v>98</v>
      </c>
    </row>
    <row r="5474" spans="1:5" x14ac:dyDescent="0.25">
      <c r="A5474" t="s">
        <v>94</v>
      </c>
      <c r="B5474">
        <v>2018</v>
      </c>
      <c r="C5474" t="s">
        <v>6</v>
      </c>
      <c r="D5474">
        <v>1314027.8400000001</v>
      </c>
      <c r="E5474" t="s">
        <v>98</v>
      </c>
    </row>
    <row r="5475" spans="1:5" x14ac:dyDescent="0.25">
      <c r="A5475" t="s">
        <v>94</v>
      </c>
      <c r="B5475">
        <v>2020</v>
      </c>
      <c r="C5475" t="s">
        <v>6</v>
      </c>
      <c r="D5475">
        <v>2026781.9</v>
      </c>
      <c r="E5475" t="s">
        <v>98</v>
      </c>
    </row>
    <row r="5476" spans="1:5" x14ac:dyDescent="0.25">
      <c r="A5476" t="s">
        <v>14</v>
      </c>
      <c r="B5476">
        <v>2010</v>
      </c>
      <c r="C5476" t="s">
        <v>6</v>
      </c>
      <c r="D5476">
        <v>3148598</v>
      </c>
      <c r="E5476" t="s">
        <v>98</v>
      </c>
    </row>
    <row r="5477" spans="1:5" x14ac:dyDescent="0.25">
      <c r="A5477" t="s">
        <v>14</v>
      </c>
      <c r="B5477">
        <v>2011</v>
      </c>
      <c r="C5477" t="s">
        <v>6</v>
      </c>
      <c r="D5477">
        <v>2696958</v>
      </c>
      <c r="E5477" t="s">
        <v>98</v>
      </c>
    </row>
    <row r="5478" spans="1:5" x14ac:dyDescent="0.25">
      <c r="A5478" t="s">
        <v>14</v>
      </c>
      <c r="B5478">
        <v>2012</v>
      </c>
      <c r="C5478" t="s">
        <v>6</v>
      </c>
      <c r="D5478">
        <v>1502187</v>
      </c>
      <c r="E5478" t="s">
        <v>98</v>
      </c>
    </row>
    <row r="5479" spans="1:5" x14ac:dyDescent="0.25">
      <c r="A5479" t="s">
        <v>14</v>
      </c>
      <c r="B5479">
        <v>2013</v>
      </c>
      <c r="C5479" t="s">
        <v>6</v>
      </c>
      <c r="D5479">
        <v>2039065</v>
      </c>
      <c r="E5479" t="s">
        <v>98</v>
      </c>
    </row>
    <row r="5480" spans="1:5" x14ac:dyDescent="0.25">
      <c r="A5480" t="s">
        <v>14</v>
      </c>
      <c r="B5480">
        <v>2014</v>
      </c>
      <c r="C5480" t="s">
        <v>6</v>
      </c>
      <c r="D5480">
        <v>2753587</v>
      </c>
      <c r="E5480" t="s">
        <v>98</v>
      </c>
    </row>
    <row r="5481" spans="1:5" x14ac:dyDescent="0.25">
      <c r="A5481" t="s">
        <v>14</v>
      </c>
      <c r="B5481">
        <v>2015</v>
      </c>
      <c r="C5481" t="s">
        <v>6</v>
      </c>
      <c r="D5481">
        <v>85048797</v>
      </c>
      <c r="E5481" t="s">
        <v>98</v>
      </c>
    </row>
    <row r="5482" spans="1:5" x14ac:dyDescent="0.25">
      <c r="A5482" t="s">
        <v>14</v>
      </c>
      <c r="B5482">
        <v>2016</v>
      </c>
      <c r="C5482" t="s">
        <v>6</v>
      </c>
      <c r="D5482">
        <v>2251567.5890000002</v>
      </c>
      <c r="E5482" t="s">
        <v>98</v>
      </c>
    </row>
    <row r="5483" spans="1:5" x14ac:dyDescent="0.25">
      <c r="A5483" t="s">
        <v>14</v>
      </c>
      <c r="B5483">
        <v>2017</v>
      </c>
      <c r="C5483" t="s">
        <v>6</v>
      </c>
      <c r="D5483">
        <v>2753429.72</v>
      </c>
      <c r="E5483" t="s">
        <v>98</v>
      </c>
    </row>
    <row r="5484" spans="1:5" x14ac:dyDescent="0.25">
      <c r="A5484" t="s">
        <v>14</v>
      </c>
      <c r="B5484">
        <v>2018</v>
      </c>
      <c r="C5484" t="s">
        <v>6</v>
      </c>
      <c r="D5484">
        <v>3236745.7659999998</v>
      </c>
      <c r="E5484" t="s">
        <v>98</v>
      </c>
    </row>
    <row r="5485" spans="1:5" x14ac:dyDescent="0.25">
      <c r="A5485" t="s">
        <v>14</v>
      </c>
      <c r="B5485">
        <v>2019</v>
      </c>
      <c r="C5485" t="s">
        <v>6</v>
      </c>
      <c r="D5485">
        <v>3848208.0019999999</v>
      </c>
      <c r="E5485" t="s">
        <v>98</v>
      </c>
    </row>
    <row r="5486" spans="1:5" x14ac:dyDescent="0.25">
      <c r="A5486" t="s">
        <v>14</v>
      </c>
      <c r="B5486">
        <v>2020</v>
      </c>
      <c r="C5486" t="s">
        <v>6</v>
      </c>
      <c r="D5486">
        <v>3689472.4240000001</v>
      </c>
      <c r="E5486" t="s">
        <v>98</v>
      </c>
    </row>
    <row r="5487" spans="1:5" x14ac:dyDescent="0.25">
      <c r="A5487" t="s">
        <v>14</v>
      </c>
      <c r="B5487">
        <v>2021</v>
      </c>
      <c r="C5487" t="s">
        <v>6</v>
      </c>
      <c r="D5487">
        <v>3776335.77</v>
      </c>
      <c r="E5487" t="s">
        <v>98</v>
      </c>
    </row>
    <row r="5488" spans="1:5" x14ac:dyDescent="0.25">
      <c r="A5488" t="s">
        <v>14</v>
      </c>
      <c r="B5488">
        <v>2022</v>
      </c>
      <c r="C5488" t="s">
        <v>6</v>
      </c>
      <c r="D5488">
        <v>3647817.0060000001</v>
      </c>
      <c r="E5488" t="s">
        <v>98</v>
      </c>
    </row>
    <row r="5489" spans="1:5" x14ac:dyDescent="0.25">
      <c r="A5489" t="s">
        <v>14</v>
      </c>
      <c r="B5489">
        <v>2023</v>
      </c>
      <c r="C5489" t="s">
        <v>6</v>
      </c>
      <c r="D5489">
        <v>3692073.8420000002</v>
      </c>
      <c r="E5489" t="s">
        <v>98</v>
      </c>
    </row>
    <row r="5490" spans="1:5" x14ac:dyDescent="0.25">
      <c r="A5490" t="s">
        <v>14</v>
      </c>
      <c r="B5490">
        <v>2024</v>
      </c>
      <c r="C5490" t="s">
        <v>6</v>
      </c>
      <c r="D5490">
        <v>4723755.4819999998</v>
      </c>
      <c r="E5490" t="s">
        <v>98</v>
      </c>
    </row>
    <row r="5491" spans="1:5" x14ac:dyDescent="0.25">
      <c r="A5491" t="s">
        <v>14</v>
      </c>
      <c r="B5491">
        <v>2025</v>
      </c>
      <c r="C5491" t="s">
        <v>6</v>
      </c>
      <c r="D5491">
        <v>4072968.2209999999</v>
      </c>
      <c r="E5491" t="s">
        <v>98</v>
      </c>
    </row>
    <row r="5492" spans="1:5" x14ac:dyDescent="0.25">
      <c r="A5492" t="s">
        <v>119</v>
      </c>
      <c r="B5492">
        <v>2010</v>
      </c>
      <c r="C5492" t="s">
        <v>6</v>
      </c>
      <c r="D5492">
        <v>1730300</v>
      </c>
      <c r="E5492" t="s">
        <v>98</v>
      </c>
    </row>
    <row r="5493" spans="1:5" x14ac:dyDescent="0.25">
      <c r="A5493" t="s">
        <v>119</v>
      </c>
      <c r="B5493">
        <v>2011</v>
      </c>
      <c r="C5493" t="s">
        <v>6</v>
      </c>
      <c r="D5493">
        <v>1572500</v>
      </c>
      <c r="E5493" t="s">
        <v>98</v>
      </c>
    </row>
    <row r="5494" spans="1:5" x14ac:dyDescent="0.25">
      <c r="A5494" t="s">
        <v>119</v>
      </c>
      <c r="B5494">
        <v>2012</v>
      </c>
      <c r="C5494" t="s">
        <v>6</v>
      </c>
      <c r="D5494">
        <v>1428300</v>
      </c>
      <c r="E5494" t="s">
        <v>98</v>
      </c>
    </row>
    <row r="5495" spans="1:5" x14ac:dyDescent="0.25">
      <c r="A5495" t="s">
        <v>119</v>
      </c>
      <c r="B5495">
        <v>2013</v>
      </c>
      <c r="C5495" t="s">
        <v>6</v>
      </c>
      <c r="D5495">
        <v>1935267</v>
      </c>
      <c r="E5495" t="s">
        <v>98</v>
      </c>
    </row>
    <row r="5496" spans="1:5" x14ac:dyDescent="0.25">
      <c r="A5496" t="s">
        <v>119</v>
      </c>
      <c r="B5496">
        <v>2014</v>
      </c>
      <c r="C5496" t="s">
        <v>6</v>
      </c>
      <c r="D5496">
        <v>1874566</v>
      </c>
      <c r="E5496" t="s">
        <v>98</v>
      </c>
    </row>
    <row r="5497" spans="1:5" x14ac:dyDescent="0.25">
      <c r="A5497" t="s">
        <v>119</v>
      </c>
      <c r="B5497">
        <v>2015</v>
      </c>
      <c r="C5497" t="s">
        <v>6</v>
      </c>
      <c r="D5497">
        <v>1819350</v>
      </c>
      <c r="E5497" t="s">
        <v>98</v>
      </c>
    </row>
    <row r="5498" spans="1:5" x14ac:dyDescent="0.25">
      <c r="A5498" t="s">
        <v>119</v>
      </c>
      <c r="B5498">
        <v>2016</v>
      </c>
      <c r="C5498" t="s">
        <v>6</v>
      </c>
      <c r="D5498">
        <v>1680720</v>
      </c>
      <c r="E5498" t="s">
        <v>98</v>
      </c>
    </row>
    <row r="5499" spans="1:5" x14ac:dyDescent="0.25">
      <c r="A5499" t="s">
        <v>119</v>
      </c>
      <c r="B5499">
        <v>2017</v>
      </c>
      <c r="C5499" t="s">
        <v>6</v>
      </c>
      <c r="D5499">
        <v>1670376.6329999999</v>
      </c>
      <c r="E5499" t="s">
        <v>98</v>
      </c>
    </row>
    <row r="5500" spans="1:5" x14ac:dyDescent="0.25">
      <c r="A5500" t="s">
        <v>119</v>
      </c>
      <c r="B5500">
        <v>2018</v>
      </c>
      <c r="C5500" t="s">
        <v>6</v>
      </c>
      <c r="D5500">
        <v>1937082</v>
      </c>
      <c r="E5500" t="s">
        <v>98</v>
      </c>
    </row>
    <row r="5501" spans="1:5" x14ac:dyDescent="0.25">
      <c r="A5501" t="s">
        <v>119</v>
      </c>
      <c r="B5501">
        <v>2019</v>
      </c>
      <c r="C5501" t="s">
        <v>6</v>
      </c>
      <c r="D5501">
        <v>1758547</v>
      </c>
      <c r="E5501" t="s">
        <v>98</v>
      </c>
    </row>
    <row r="5502" spans="1:5" x14ac:dyDescent="0.25">
      <c r="A5502" t="s">
        <v>119</v>
      </c>
      <c r="B5502">
        <v>2020</v>
      </c>
      <c r="C5502" t="s">
        <v>6</v>
      </c>
      <c r="D5502">
        <v>1734843</v>
      </c>
      <c r="E5502" t="s">
        <v>98</v>
      </c>
    </row>
    <row r="5503" spans="1:5" x14ac:dyDescent="0.25">
      <c r="A5503" t="s">
        <v>119</v>
      </c>
      <c r="B5503">
        <v>2021</v>
      </c>
      <c r="C5503" t="s">
        <v>6</v>
      </c>
      <c r="D5503">
        <v>1145384.1540000001</v>
      </c>
      <c r="E5503" t="s">
        <v>98</v>
      </c>
    </row>
    <row r="5504" spans="1:5" x14ac:dyDescent="0.25">
      <c r="A5504" t="s">
        <v>119</v>
      </c>
      <c r="B5504">
        <v>2022</v>
      </c>
      <c r="C5504" t="s">
        <v>6</v>
      </c>
      <c r="D5504">
        <v>1659321</v>
      </c>
      <c r="E5504" t="s">
        <v>98</v>
      </c>
    </row>
    <row r="5505" spans="1:5" x14ac:dyDescent="0.25">
      <c r="A5505" t="s">
        <v>119</v>
      </c>
      <c r="B5505">
        <v>2023</v>
      </c>
      <c r="C5505" t="s">
        <v>6</v>
      </c>
      <c r="D5505">
        <v>1685571</v>
      </c>
      <c r="E5505" t="s">
        <v>98</v>
      </c>
    </row>
    <row r="5506" spans="1:5" x14ac:dyDescent="0.25">
      <c r="A5506" t="s">
        <v>119</v>
      </c>
      <c r="B5506">
        <v>2024</v>
      </c>
      <c r="C5506" t="s">
        <v>6</v>
      </c>
      <c r="D5506">
        <v>1946832</v>
      </c>
      <c r="E5506" t="s">
        <v>98</v>
      </c>
    </row>
    <row r="5507" spans="1:5" x14ac:dyDescent="0.25">
      <c r="A5507" t="s">
        <v>15</v>
      </c>
      <c r="B5507">
        <v>2010</v>
      </c>
      <c r="C5507" t="s">
        <v>6</v>
      </c>
      <c r="D5507">
        <v>1653300</v>
      </c>
      <c r="E5507" t="s">
        <v>98</v>
      </c>
    </row>
    <row r="5508" spans="1:5" x14ac:dyDescent="0.25">
      <c r="A5508" t="s">
        <v>15</v>
      </c>
      <c r="B5508">
        <v>2011</v>
      </c>
      <c r="C5508" t="s">
        <v>6</v>
      </c>
      <c r="D5508">
        <v>2514100</v>
      </c>
      <c r="E5508" t="s">
        <v>98</v>
      </c>
    </row>
    <row r="5509" spans="1:5" x14ac:dyDescent="0.25">
      <c r="A5509" t="s">
        <v>15</v>
      </c>
      <c r="B5509">
        <v>2012</v>
      </c>
      <c r="C5509" t="s">
        <v>6</v>
      </c>
      <c r="D5509">
        <v>2480300</v>
      </c>
      <c r="E5509" t="s">
        <v>98</v>
      </c>
    </row>
    <row r="5510" spans="1:5" x14ac:dyDescent="0.25">
      <c r="A5510" t="s">
        <v>15</v>
      </c>
      <c r="B5510">
        <v>2013</v>
      </c>
      <c r="C5510" t="s">
        <v>6</v>
      </c>
      <c r="D5510">
        <v>3189529</v>
      </c>
      <c r="E5510" t="s">
        <v>98</v>
      </c>
    </row>
    <row r="5511" spans="1:5" x14ac:dyDescent="0.25">
      <c r="A5511" t="s">
        <v>15</v>
      </c>
      <c r="B5511">
        <v>2014</v>
      </c>
      <c r="C5511" t="s">
        <v>6</v>
      </c>
      <c r="D5511">
        <v>5534204</v>
      </c>
      <c r="E5511" t="s">
        <v>98</v>
      </c>
    </row>
    <row r="5512" spans="1:5" x14ac:dyDescent="0.25">
      <c r="A5512" t="s">
        <v>15</v>
      </c>
      <c r="B5512">
        <v>2015</v>
      </c>
      <c r="C5512" t="s">
        <v>6</v>
      </c>
      <c r="D5512">
        <v>5262253</v>
      </c>
      <c r="E5512" t="s">
        <v>98</v>
      </c>
    </row>
    <row r="5513" spans="1:5" x14ac:dyDescent="0.25">
      <c r="A5513" t="s">
        <v>15</v>
      </c>
      <c r="B5513">
        <v>2016</v>
      </c>
      <c r="C5513" t="s">
        <v>6</v>
      </c>
      <c r="D5513">
        <v>5397815</v>
      </c>
      <c r="E5513" t="s">
        <v>98</v>
      </c>
    </row>
    <row r="5514" spans="1:5" x14ac:dyDescent="0.25">
      <c r="A5514" t="s">
        <v>15</v>
      </c>
      <c r="B5514">
        <v>2017</v>
      </c>
      <c r="C5514" t="s">
        <v>6</v>
      </c>
      <c r="D5514">
        <v>5914270.4800000004</v>
      </c>
      <c r="E5514" t="s">
        <v>98</v>
      </c>
    </row>
    <row r="5515" spans="1:5" x14ac:dyDescent="0.25">
      <c r="A5515" t="s">
        <v>15</v>
      </c>
      <c r="B5515">
        <v>2018</v>
      </c>
      <c r="C5515" t="s">
        <v>6</v>
      </c>
      <c r="D5515">
        <v>7526146.2580000004</v>
      </c>
      <c r="E5515" t="s">
        <v>98</v>
      </c>
    </row>
    <row r="5516" spans="1:5" x14ac:dyDescent="0.25">
      <c r="A5516" t="s">
        <v>15</v>
      </c>
      <c r="B5516">
        <v>2019</v>
      </c>
      <c r="C5516" t="s">
        <v>6</v>
      </c>
      <c r="D5516">
        <v>7951088.3550000004</v>
      </c>
      <c r="E5516" t="s">
        <v>98</v>
      </c>
    </row>
    <row r="5517" spans="1:5" x14ac:dyDescent="0.25">
      <c r="A5517" t="s">
        <v>15</v>
      </c>
      <c r="B5517">
        <v>2020</v>
      </c>
      <c r="C5517" t="s">
        <v>6</v>
      </c>
      <c r="D5517">
        <v>8110143.9060000004</v>
      </c>
      <c r="E5517" t="s">
        <v>98</v>
      </c>
    </row>
    <row r="5518" spans="1:5" x14ac:dyDescent="0.25">
      <c r="A5518" t="s">
        <v>15</v>
      </c>
      <c r="B5518">
        <v>2021</v>
      </c>
      <c r="C5518" t="s">
        <v>6</v>
      </c>
      <c r="D5518">
        <v>7801123.2920000004</v>
      </c>
      <c r="E5518" t="s">
        <v>98</v>
      </c>
    </row>
    <row r="5519" spans="1:5" x14ac:dyDescent="0.25">
      <c r="A5519" t="s">
        <v>15</v>
      </c>
      <c r="B5519">
        <v>2022</v>
      </c>
      <c r="C5519" t="s">
        <v>6</v>
      </c>
      <c r="D5519">
        <v>7968859.9460000005</v>
      </c>
      <c r="E5519" t="s">
        <v>98</v>
      </c>
    </row>
    <row r="5520" spans="1:5" x14ac:dyDescent="0.25">
      <c r="A5520" t="s">
        <v>15</v>
      </c>
      <c r="B5520">
        <v>2023</v>
      </c>
      <c r="C5520" t="s">
        <v>6</v>
      </c>
      <c r="D5520">
        <v>8216027.2769999998</v>
      </c>
      <c r="E5520" t="s">
        <v>98</v>
      </c>
    </row>
    <row r="5521" spans="1:5" x14ac:dyDescent="0.25">
      <c r="A5521" t="s">
        <v>15</v>
      </c>
      <c r="B5521">
        <v>2024</v>
      </c>
      <c r="C5521" t="s">
        <v>6</v>
      </c>
      <c r="D5521">
        <v>9393754.0209999997</v>
      </c>
      <c r="E5521" t="s">
        <v>98</v>
      </c>
    </row>
    <row r="5522" spans="1:5" x14ac:dyDescent="0.25">
      <c r="A5522" t="s">
        <v>15</v>
      </c>
      <c r="B5522">
        <v>2025</v>
      </c>
      <c r="C5522" t="s">
        <v>6</v>
      </c>
      <c r="D5522">
        <v>10048408.575999999</v>
      </c>
      <c r="E5522" t="s">
        <v>98</v>
      </c>
    </row>
    <row r="5523" spans="1:5" x14ac:dyDescent="0.25">
      <c r="A5523" t="s">
        <v>77</v>
      </c>
      <c r="B5523">
        <v>2010</v>
      </c>
      <c r="C5523" t="s">
        <v>6</v>
      </c>
      <c r="D5523">
        <v>7443200</v>
      </c>
      <c r="E5523" t="s">
        <v>98</v>
      </c>
    </row>
    <row r="5524" spans="1:5" x14ac:dyDescent="0.25">
      <c r="A5524" t="s">
        <v>77</v>
      </c>
      <c r="B5524">
        <v>2011</v>
      </c>
      <c r="C5524" t="s">
        <v>6</v>
      </c>
      <c r="D5524">
        <v>7992600</v>
      </c>
      <c r="E5524" t="s">
        <v>98</v>
      </c>
    </row>
    <row r="5525" spans="1:5" x14ac:dyDescent="0.25">
      <c r="A5525" t="s">
        <v>77</v>
      </c>
      <c r="B5525">
        <v>2012</v>
      </c>
      <c r="C5525" t="s">
        <v>6</v>
      </c>
      <c r="D5525">
        <v>6532600</v>
      </c>
      <c r="E5525" t="s">
        <v>98</v>
      </c>
    </row>
    <row r="5526" spans="1:5" x14ac:dyDescent="0.25">
      <c r="A5526" t="s">
        <v>77</v>
      </c>
      <c r="B5526">
        <v>2013</v>
      </c>
      <c r="C5526" t="s">
        <v>6</v>
      </c>
      <c r="D5526">
        <v>9833200</v>
      </c>
      <c r="E5526" t="s">
        <v>98</v>
      </c>
    </row>
    <row r="5527" spans="1:5" x14ac:dyDescent="0.25">
      <c r="A5527" t="s">
        <v>77</v>
      </c>
      <c r="B5527">
        <v>2014</v>
      </c>
      <c r="C5527" t="s">
        <v>6</v>
      </c>
      <c r="D5527">
        <v>8195052</v>
      </c>
      <c r="E5527" t="s">
        <v>98</v>
      </c>
    </row>
    <row r="5528" spans="1:5" x14ac:dyDescent="0.25">
      <c r="A5528" t="s">
        <v>77</v>
      </c>
      <c r="B5528">
        <v>2015</v>
      </c>
      <c r="C5528" t="s">
        <v>6</v>
      </c>
      <c r="D5528">
        <v>6966819</v>
      </c>
      <c r="E5528" t="s">
        <v>98</v>
      </c>
    </row>
    <row r="5529" spans="1:5" x14ac:dyDescent="0.25">
      <c r="A5529" t="s">
        <v>77</v>
      </c>
      <c r="B5529">
        <v>2016</v>
      </c>
      <c r="C5529" t="s">
        <v>6</v>
      </c>
      <c r="D5529">
        <v>8184941</v>
      </c>
      <c r="E5529" t="s">
        <v>98</v>
      </c>
    </row>
    <row r="5530" spans="1:5" x14ac:dyDescent="0.25">
      <c r="A5530" t="s">
        <v>77</v>
      </c>
      <c r="B5530">
        <v>2017</v>
      </c>
      <c r="C5530" t="s">
        <v>6</v>
      </c>
      <c r="D5530">
        <v>8455385</v>
      </c>
      <c r="E5530" t="s">
        <v>98</v>
      </c>
    </row>
    <row r="5531" spans="1:5" x14ac:dyDescent="0.25">
      <c r="A5531" t="s">
        <v>77</v>
      </c>
      <c r="B5531">
        <v>2018</v>
      </c>
      <c r="C5531" t="s">
        <v>6</v>
      </c>
      <c r="D5531">
        <v>7307138</v>
      </c>
      <c r="E5531" t="s">
        <v>98</v>
      </c>
    </row>
    <row r="5532" spans="1:5" x14ac:dyDescent="0.25">
      <c r="A5532" t="s">
        <v>77</v>
      </c>
      <c r="B5532">
        <v>2019</v>
      </c>
      <c r="C5532" t="s">
        <v>6</v>
      </c>
      <c r="D5532">
        <v>6981782</v>
      </c>
      <c r="E5532" t="s">
        <v>98</v>
      </c>
    </row>
    <row r="5533" spans="1:5" x14ac:dyDescent="0.25">
      <c r="A5533" t="s">
        <v>77</v>
      </c>
      <c r="B5533">
        <v>2020</v>
      </c>
      <c r="C5533" t="s">
        <v>6</v>
      </c>
      <c r="D5533">
        <v>6917453</v>
      </c>
      <c r="E5533" t="s">
        <v>98</v>
      </c>
    </row>
    <row r="5534" spans="1:5" x14ac:dyDescent="0.25">
      <c r="A5534" t="s">
        <v>77</v>
      </c>
      <c r="B5534">
        <v>2021</v>
      </c>
      <c r="C5534" t="s">
        <v>6</v>
      </c>
      <c r="D5534">
        <v>6437934</v>
      </c>
      <c r="E5534" t="s">
        <v>98</v>
      </c>
    </row>
    <row r="5535" spans="1:5" x14ac:dyDescent="0.25">
      <c r="A5535" t="s">
        <v>77</v>
      </c>
      <c r="B5535">
        <v>2022</v>
      </c>
      <c r="C5535" t="s">
        <v>6</v>
      </c>
      <c r="D5535">
        <v>6661517</v>
      </c>
      <c r="E5535" t="s">
        <v>98</v>
      </c>
    </row>
    <row r="5536" spans="1:5" x14ac:dyDescent="0.25">
      <c r="A5536" t="s">
        <v>77</v>
      </c>
      <c r="B5536">
        <v>2023</v>
      </c>
      <c r="C5536" t="s">
        <v>6</v>
      </c>
      <c r="D5536">
        <v>6901308</v>
      </c>
      <c r="E5536" t="s">
        <v>98</v>
      </c>
    </row>
    <row r="5537" spans="1:5" x14ac:dyDescent="0.25">
      <c r="A5537" t="s">
        <v>77</v>
      </c>
      <c r="B5537">
        <v>2024</v>
      </c>
      <c r="C5537" t="s">
        <v>6</v>
      </c>
      <c r="D5537">
        <v>8260234.7170000002</v>
      </c>
      <c r="E5537" t="s">
        <v>98</v>
      </c>
    </row>
    <row r="5538" spans="1:5" x14ac:dyDescent="0.25">
      <c r="A5538" t="s">
        <v>77</v>
      </c>
      <c r="B5538">
        <v>2025</v>
      </c>
      <c r="C5538" t="s">
        <v>6</v>
      </c>
      <c r="D5538">
        <v>7382351.2560000001</v>
      </c>
      <c r="E5538" t="s">
        <v>98</v>
      </c>
    </row>
    <row r="5539" spans="1:5" x14ac:dyDescent="0.25">
      <c r="A5539" t="s">
        <v>118</v>
      </c>
      <c r="B5539">
        <v>2002</v>
      </c>
      <c r="C5539" t="s">
        <v>6</v>
      </c>
      <c r="D5539">
        <v>15126314.988</v>
      </c>
      <c r="E5539" t="s">
        <v>98</v>
      </c>
    </row>
    <row r="5540" spans="1:5" x14ac:dyDescent="0.25">
      <c r="A5540" t="s">
        <v>118</v>
      </c>
      <c r="B5540">
        <v>2003</v>
      </c>
      <c r="C5540" t="s">
        <v>6</v>
      </c>
      <c r="D5540">
        <v>9522258.2929999996</v>
      </c>
      <c r="E5540" t="s">
        <v>98</v>
      </c>
    </row>
    <row r="5541" spans="1:5" x14ac:dyDescent="0.25">
      <c r="A5541" t="s">
        <v>118</v>
      </c>
      <c r="B5541">
        <v>2004</v>
      </c>
      <c r="C5541" t="s">
        <v>6</v>
      </c>
      <c r="D5541">
        <v>8249241.7470000004</v>
      </c>
      <c r="E5541" t="s">
        <v>98</v>
      </c>
    </row>
    <row r="5542" spans="1:5" x14ac:dyDescent="0.25">
      <c r="A5542" t="s">
        <v>118</v>
      </c>
      <c r="B5542">
        <v>2005</v>
      </c>
      <c r="C5542" t="s">
        <v>6</v>
      </c>
      <c r="D5542">
        <v>10302671.82</v>
      </c>
      <c r="E5542" t="s">
        <v>98</v>
      </c>
    </row>
    <row r="5543" spans="1:5" x14ac:dyDescent="0.25">
      <c r="A5543" t="s">
        <v>118</v>
      </c>
      <c r="B5543">
        <v>2006</v>
      </c>
      <c r="C5543" t="s">
        <v>6</v>
      </c>
      <c r="D5543">
        <v>14413239.609999999</v>
      </c>
      <c r="E5543" t="s">
        <v>98</v>
      </c>
    </row>
    <row r="5544" spans="1:5" x14ac:dyDescent="0.25">
      <c r="A5544" t="s">
        <v>118</v>
      </c>
      <c r="B5544">
        <v>2007</v>
      </c>
      <c r="C5544" t="s">
        <v>6</v>
      </c>
      <c r="D5544">
        <v>14542095.890000001</v>
      </c>
      <c r="E5544" t="s">
        <v>98</v>
      </c>
    </row>
    <row r="5545" spans="1:5" x14ac:dyDescent="0.25">
      <c r="A5545" t="s">
        <v>118</v>
      </c>
      <c r="B5545">
        <v>2008</v>
      </c>
      <c r="C5545" t="s">
        <v>6</v>
      </c>
      <c r="D5545">
        <v>14285362.847999999</v>
      </c>
      <c r="E5545" t="s">
        <v>98</v>
      </c>
    </row>
    <row r="5546" spans="1:5" x14ac:dyDescent="0.25">
      <c r="A5546" t="s">
        <v>118</v>
      </c>
      <c r="B5546">
        <v>2009</v>
      </c>
      <c r="C5546" t="s">
        <v>6</v>
      </c>
      <c r="D5546">
        <v>9509862.5170000009</v>
      </c>
      <c r="E5546" t="s">
        <v>98</v>
      </c>
    </row>
    <row r="5547" spans="1:5" x14ac:dyDescent="0.25">
      <c r="A5547" t="s">
        <v>118</v>
      </c>
      <c r="B5547">
        <v>2014</v>
      </c>
      <c r="C5547" t="s">
        <v>6</v>
      </c>
      <c r="D5547">
        <v>2776928.415</v>
      </c>
      <c r="E5547" t="s">
        <v>98</v>
      </c>
    </row>
    <row r="5548" spans="1:5" x14ac:dyDescent="0.25">
      <c r="A5548" t="s">
        <v>118</v>
      </c>
      <c r="B5548">
        <v>2015</v>
      </c>
      <c r="C5548" t="s">
        <v>6</v>
      </c>
      <c r="D5548">
        <v>3418759.9440000001</v>
      </c>
      <c r="E5548" t="s">
        <v>98</v>
      </c>
    </row>
    <row r="5549" spans="1:5" x14ac:dyDescent="0.25">
      <c r="A5549" t="s">
        <v>118</v>
      </c>
      <c r="B5549">
        <v>2016</v>
      </c>
      <c r="C5549" t="s">
        <v>6</v>
      </c>
      <c r="D5549">
        <v>3710172.3969999999</v>
      </c>
      <c r="E5549" t="s">
        <v>98</v>
      </c>
    </row>
    <row r="5550" spans="1:5" x14ac:dyDescent="0.25">
      <c r="A5550" t="s">
        <v>118</v>
      </c>
      <c r="B5550">
        <v>2017</v>
      </c>
      <c r="C5550" t="s">
        <v>6</v>
      </c>
      <c r="D5550">
        <v>4479746.148</v>
      </c>
      <c r="E5550" t="s">
        <v>98</v>
      </c>
    </row>
    <row r="5551" spans="1:5" x14ac:dyDescent="0.25">
      <c r="A5551" t="s">
        <v>118</v>
      </c>
      <c r="B5551">
        <v>2018</v>
      </c>
      <c r="C5551" t="s">
        <v>6</v>
      </c>
      <c r="D5551">
        <v>4830829.2439999999</v>
      </c>
      <c r="E5551" t="s">
        <v>98</v>
      </c>
    </row>
    <row r="5552" spans="1:5" x14ac:dyDescent="0.25">
      <c r="A5552" t="s">
        <v>118</v>
      </c>
      <c r="B5552">
        <v>2019</v>
      </c>
      <c r="C5552" t="s">
        <v>6</v>
      </c>
      <c r="D5552">
        <v>5063988.193</v>
      </c>
      <c r="E5552" t="s">
        <v>98</v>
      </c>
    </row>
    <row r="5553" spans="1:5" x14ac:dyDescent="0.25">
      <c r="A5553" t="s">
        <v>118</v>
      </c>
      <c r="B5553">
        <v>2020</v>
      </c>
      <c r="C5553" t="s">
        <v>6</v>
      </c>
      <c r="D5553">
        <v>6426738.8370000003</v>
      </c>
      <c r="E5553" t="s">
        <v>98</v>
      </c>
    </row>
    <row r="5554" spans="1:5" x14ac:dyDescent="0.25">
      <c r="A5554" t="s">
        <v>118</v>
      </c>
      <c r="B5554">
        <v>2021</v>
      </c>
      <c r="C5554" t="s">
        <v>6</v>
      </c>
      <c r="D5554">
        <v>6101980.4280000003</v>
      </c>
      <c r="E5554" t="s">
        <v>98</v>
      </c>
    </row>
    <row r="5555" spans="1:5" x14ac:dyDescent="0.25">
      <c r="A5555" t="s">
        <v>118</v>
      </c>
      <c r="B5555">
        <v>2022</v>
      </c>
      <c r="C5555" t="s">
        <v>6</v>
      </c>
      <c r="D5555">
        <v>5615841.4469999997</v>
      </c>
      <c r="E5555" t="s">
        <v>98</v>
      </c>
    </row>
    <row r="5556" spans="1:5" x14ac:dyDescent="0.25">
      <c r="A5556" t="s">
        <v>118</v>
      </c>
      <c r="B5556">
        <v>2023</v>
      </c>
      <c r="C5556" t="s">
        <v>6</v>
      </c>
      <c r="D5556">
        <v>6160035.1699999999</v>
      </c>
      <c r="E5556" t="s">
        <v>98</v>
      </c>
    </row>
    <row r="5557" spans="1:5" x14ac:dyDescent="0.25">
      <c r="A5557" t="s">
        <v>118</v>
      </c>
      <c r="B5557">
        <v>2024</v>
      </c>
      <c r="C5557" t="s">
        <v>6</v>
      </c>
      <c r="D5557">
        <v>6467466.5990000004</v>
      </c>
      <c r="E5557" t="s">
        <v>98</v>
      </c>
    </row>
    <row r="5558" spans="1:5" x14ac:dyDescent="0.25">
      <c r="A5558" t="s">
        <v>117</v>
      </c>
      <c r="B5558">
        <v>2010</v>
      </c>
      <c r="C5558" t="s">
        <v>6</v>
      </c>
      <c r="D5558">
        <v>58808742.158</v>
      </c>
      <c r="E5558" t="s">
        <v>98</v>
      </c>
    </row>
    <row r="5559" spans="1:5" x14ac:dyDescent="0.25">
      <c r="A5559" t="s">
        <v>117</v>
      </c>
      <c r="B5559">
        <v>2015</v>
      </c>
      <c r="C5559" t="s">
        <v>6</v>
      </c>
      <c r="D5559">
        <v>85972929.305000007</v>
      </c>
      <c r="E5559" t="s">
        <v>98</v>
      </c>
    </row>
    <row r="5560" spans="1:5" x14ac:dyDescent="0.25">
      <c r="A5560" t="s">
        <v>117</v>
      </c>
      <c r="B5560">
        <v>2016</v>
      </c>
      <c r="C5560" t="s">
        <v>6</v>
      </c>
      <c r="D5560">
        <v>123386907.40000001</v>
      </c>
      <c r="E5560" t="s">
        <v>98</v>
      </c>
    </row>
    <row r="5561" spans="1:5" x14ac:dyDescent="0.25">
      <c r="A5561" t="s">
        <v>117</v>
      </c>
      <c r="B5561">
        <v>2017</v>
      </c>
      <c r="C5561" t="s">
        <v>6</v>
      </c>
      <c r="D5561">
        <v>30068034.260000002</v>
      </c>
      <c r="E5561" t="s">
        <v>98</v>
      </c>
    </row>
    <row r="5562" spans="1:5" x14ac:dyDescent="0.25">
      <c r="A5562" t="s">
        <v>117</v>
      </c>
      <c r="B5562">
        <v>2018</v>
      </c>
      <c r="C5562" t="s">
        <v>6</v>
      </c>
      <c r="D5562">
        <v>33027795.859999999</v>
      </c>
      <c r="E5562" t="s">
        <v>98</v>
      </c>
    </row>
    <row r="5563" spans="1:5" x14ac:dyDescent="0.25">
      <c r="A5563" t="s">
        <v>117</v>
      </c>
      <c r="B5563">
        <v>2019</v>
      </c>
      <c r="C5563" t="s">
        <v>6</v>
      </c>
      <c r="D5563">
        <v>31876720.791999999</v>
      </c>
      <c r="E5563" t="s">
        <v>98</v>
      </c>
    </row>
    <row r="5564" spans="1:5" x14ac:dyDescent="0.25">
      <c r="A5564" t="s">
        <v>117</v>
      </c>
      <c r="B5564">
        <v>2020</v>
      </c>
      <c r="C5564" t="s">
        <v>6</v>
      </c>
      <c r="D5564">
        <v>36597563.553999998</v>
      </c>
      <c r="E5564" t="s">
        <v>98</v>
      </c>
    </row>
    <row r="5565" spans="1:5" x14ac:dyDescent="0.25">
      <c r="A5565" t="s">
        <v>117</v>
      </c>
      <c r="B5565">
        <v>2021</v>
      </c>
      <c r="C5565" t="s">
        <v>6</v>
      </c>
      <c r="D5565">
        <v>46785525.391999997</v>
      </c>
      <c r="E5565" t="s">
        <v>98</v>
      </c>
    </row>
    <row r="5566" spans="1:5" x14ac:dyDescent="0.25">
      <c r="A5566" t="s">
        <v>117</v>
      </c>
      <c r="B5566">
        <v>2022</v>
      </c>
      <c r="C5566" t="s">
        <v>6</v>
      </c>
      <c r="D5566">
        <v>49105176.454999998</v>
      </c>
      <c r="E5566" t="s">
        <v>98</v>
      </c>
    </row>
    <row r="5567" spans="1:5" x14ac:dyDescent="0.25">
      <c r="A5567" t="s">
        <v>117</v>
      </c>
      <c r="B5567">
        <v>2023</v>
      </c>
      <c r="C5567" t="s">
        <v>6</v>
      </c>
      <c r="D5567">
        <v>14092802.283</v>
      </c>
      <c r="E5567" t="s">
        <v>98</v>
      </c>
    </row>
    <row r="5568" spans="1:5" x14ac:dyDescent="0.25">
      <c r="A5568" t="s">
        <v>117</v>
      </c>
      <c r="B5568">
        <v>2024</v>
      </c>
      <c r="C5568" t="s">
        <v>6</v>
      </c>
      <c r="D5568">
        <v>23730254.197999999</v>
      </c>
      <c r="E5568" t="s">
        <v>98</v>
      </c>
    </row>
    <row r="5569" spans="1:5" x14ac:dyDescent="0.25">
      <c r="A5569" t="s">
        <v>117</v>
      </c>
      <c r="B5569">
        <v>2025</v>
      </c>
      <c r="C5569" t="s">
        <v>6</v>
      </c>
      <c r="D5569">
        <v>22236997.537999999</v>
      </c>
      <c r="E5569" t="s">
        <v>98</v>
      </c>
    </row>
    <row r="5570" spans="1:5" x14ac:dyDescent="0.25">
      <c r="A5570" t="s">
        <v>18</v>
      </c>
      <c r="B5570">
        <v>2012</v>
      </c>
      <c r="C5570" t="s">
        <v>6</v>
      </c>
      <c r="D5570">
        <v>1093804.8700000001</v>
      </c>
      <c r="E5570" t="s">
        <v>98</v>
      </c>
    </row>
    <row r="5571" spans="1:5" x14ac:dyDescent="0.25">
      <c r="A5571" t="s">
        <v>18</v>
      </c>
      <c r="B5571">
        <v>2013</v>
      </c>
      <c r="C5571" t="s">
        <v>6</v>
      </c>
      <c r="D5571">
        <v>732789.23</v>
      </c>
      <c r="E5571" t="s">
        <v>98</v>
      </c>
    </row>
    <row r="5572" spans="1:5" x14ac:dyDescent="0.25">
      <c r="A5572" t="s">
        <v>18</v>
      </c>
      <c r="B5572">
        <v>2017</v>
      </c>
      <c r="C5572" t="s">
        <v>6</v>
      </c>
      <c r="D5572">
        <v>910839.33</v>
      </c>
      <c r="E5572" t="s">
        <v>98</v>
      </c>
    </row>
    <row r="5573" spans="1:5" x14ac:dyDescent="0.25">
      <c r="A5573" t="s">
        <v>19</v>
      </c>
      <c r="B5573">
        <v>2014</v>
      </c>
      <c r="C5573" t="s">
        <v>6</v>
      </c>
      <c r="D5573">
        <v>94176271.799999997</v>
      </c>
      <c r="E5573" t="s">
        <v>98</v>
      </c>
    </row>
    <row r="5574" spans="1:5" x14ac:dyDescent="0.25">
      <c r="A5574" t="s">
        <v>116</v>
      </c>
      <c r="B5574">
        <v>2016</v>
      </c>
      <c r="C5574" t="s">
        <v>6</v>
      </c>
      <c r="D5574">
        <v>954320.88</v>
      </c>
      <c r="E5574" t="s">
        <v>98</v>
      </c>
    </row>
    <row r="5575" spans="1:5" x14ac:dyDescent="0.25">
      <c r="A5575" t="s">
        <v>116</v>
      </c>
      <c r="B5575">
        <v>2017</v>
      </c>
      <c r="C5575" t="s">
        <v>6</v>
      </c>
      <c r="D5575">
        <v>910188.1</v>
      </c>
      <c r="E5575" t="s">
        <v>98</v>
      </c>
    </row>
    <row r="5576" spans="1:5" x14ac:dyDescent="0.25">
      <c r="A5576" t="s">
        <v>20</v>
      </c>
      <c r="B5576">
        <v>2014</v>
      </c>
      <c r="C5576" t="s">
        <v>6</v>
      </c>
      <c r="D5576">
        <v>1375127.18</v>
      </c>
      <c r="E5576" t="s">
        <v>98</v>
      </c>
    </row>
    <row r="5577" spans="1:5" x14ac:dyDescent="0.25">
      <c r="A5577" t="s">
        <v>20</v>
      </c>
      <c r="B5577">
        <v>2015</v>
      </c>
      <c r="C5577" t="s">
        <v>6</v>
      </c>
      <c r="D5577">
        <v>2218240.46</v>
      </c>
      <c r="E5577" t="s">
        <v>98</v>
      </c>
    </row>
    <row r="5578" spans="1:5" x14ac:dyDescent="0.25">
      <c r="A5578" t="s">
        <v>20</v>
      </c>
      <c r="B5578">
        <v>2016</v>
      </c>
      <c r="C5578" t="s">
        <v>6</v>
      </c>
      <c r="D5578">
        <v>2395909.1</v>
      </c>
      <c r="E5578" t="s">
        <v>98</v>
      </c>
    </row>
    <row r="5579" spans="1:5" x14ac:dyDescent="0.25">
      <c r="A5579" t="s">
        <v>20</v>
      </c>
      <c r="B5579">
        <v>2017</v>
      </c>
      <c r="C5579" t="s">
        <v>6</v>
      </c>
      <c r="D5579">
        <v>2332154.4700000002</v>
      </c>
      <c r="E5579" t="s">
        <v>98</v>
      </c>
    </row>
    <row r="5580" spans="1:5" x14ac:dyDescent="0.25">
      <c r="A5580" t="s">
        <v>20</v>
      </c>
      <c r="B5580">
        <v>2018</v>
      </c>
      <c r="C5580" t="s">
        <v>6</v>
      </c>
      <c r="D5580">
        <v>2557677.2200000002</v>
      </c>
      <c r="E5580" t="s">
        <v>98</v>
      </c>
    </row>
    <row r="5581" spans="1:5" x14ac:dyDescent="0.25">
      <c r="A5581" t="s">
        <v>20</v>
      </c>
      <c r="B5581">
        <v>2019</v>
      </c>
      <c r="C5581" t="s">
        <v>6</v>
      </c>
      <c r="D5581">
        <v>2055955.28</v>
      </c>
      <c r="E5581" t="s">
        <v>98</v>
      </c>
    </row>
    <row r="5582" spans="1:5" x14ac:dyDescent="0.25">
      <c r="A5582" t="s">
        <v>20</v>
      </c>
      <c r="B5582">
        <v>2020</v>
      </c>
      <c r="C5582" t="s">
        <v>6</v>
      </c>
      <c r="D5582">
        <v>2408802.9300000002</v>
      </c>
      <c r="E5582" t="s">
        <v>98</v>
      </c>
    </row>
    <row r="5583" spans="1:5" x14ac:dyDescent="0.25">
      <c r="A5583" t="s">
        <v>20</v>
      </c>
      <c r="B5583">
        <v>2021</v>
      </c>
      <c r="C5583" t="s">
        <v>6</v>
      </c>
      <c r="D5583">
        <v>2410938.8199999998</v>
      </c>
      <c r="E5583" t="s">
        <v>98</v>
      </c>
    </row>
    <row r="5584" spans="1:5" x14ac:dyDescent="0.25">
      <c r="A5584" t="s">
        <v>20</v>
      </c>
      <c r="B5584">
        <v>2022</v>
      </c>
      <c r="C5584" t="s">
        <v>6</v>
      </c>
      <c r="D5584">
        <v>1580187.02</v>
      </c>
      <c r="E5584" t="s">
        <v>98</v>
      </c>
    </row>
    <row r="5585" spans="1:5" x14ac:dyDescent="0.25">
      <c r="A5585" t="s">
        <v>20</v>
      </c>
      <c r="B5585">
        <v>2023</v>
      </c>
      <c r="C5585" t="s">
        <v>6</v>
      </c>
      <c r="D5585">
        <v>2482163.7599999998</v>
      </c>
      <c r="E5585" t="s">
        <v>98</v>
      </c>
    </row>
    <row r="5586" spans="1:5" x14ac:dyDescent="0.25">
      <c r="A5586" t="s">
        <v>20</v>
      </c>
      <c r="B5586">
        <v>2024</v>
      </c>
      <c r="C5586" t="s">
        <v>6</v>
      </c>
      <c r="D5586">
        <v>3210572.96</v>
      </c>
      <c r="E5586" t="s">
        <v>98</v>
      </c>
    </row>
    <row r="5587" spans="1:5" x14ac:dyDescent="0.25">
      <c r="A5587" t="s">
        <v>20</v>
      </c>
      <c r="B5587">
        <v>2025</v>
      </c>
      <c r="C5587" t="s">
        <v>6</v>
      </c>
      <c r="D5587">
        <v>2111106.2000000002</v>
      </c>
      <c r="E5587" t="s">
        <v>98</v>
      </c>
    </row>
    <row r="5588" spans="1:5" x14ac:dyDescent="0.25">
      <c r="A5588" t="s">
        <v>115</v>
      </c>
      <c r="B5588">
        <v>2010</v>
      </c>
      <c r="C5588" t="s">
        <v>6</v>
      </c>
      <c r="D5588">
        <v>7220200</v>
      </c>
      <c r="E5588" t="s">
        <v>98</v>
      </c>
    </row>
    <row r="5589" spans="1:5" x14ac:dyDescent="0.25">
      <c r="A5589" t="s">
        <v>115</v>
      </c>
      <c r="B5589">
        <v>2011</v>
      </c>
      <c r="C5589" t="s">
        <v>6</v>
      </c>
      <c r="D5589">
        <v>7038200</v>
      </c>
      <c r="E5589" t="s">
        <v>98</v>
      </c>
    </row>
    <row r="5590" spans="1:5" x14ac:dyDescent="0.25">
      <c r="A5590" t="s">
        <v>115</v>
      </c>
      <c r="B5590">
        <v>2012</v>
      </c>
      <c r="C5590" t="s">
        <v>6</v>
      </c>
      <c r="D5590">
        <v>6505700</v>
      </c>
      <c r="E5590" t="s">
        <v>98</v>
      </c>
    </row>
    <row r="5591" spans="1:5" x14ac:dyDescent="0.25">
      <c r="A5591" t="s">
        <v>115</v>
      </c>
      <c r="B5591">
        <v>2013</v>
      </c>
      <c r="C5591" t="s">
        <v>6</v>
      </c>
      <c r="D5591">
        <v>8018102</v>
      </c>
      <c r="E5591" t="s">
        <v>98</v>
      </c>
    </row>
    <row r="5592" spans="1:5" x14ac:dyDescent="0.25">
      <c r="A5592" t="s">
        <v>115</v>
      </c>
      <c r="B5592">
        <v>2014</v>
      </c>
      <c r="C5592" t="s">
        <v>6</v>
      </c>
      <c r="D5592">
        <v>7462968</v>
      </c>
      <c r="E5592" t="s">
        <v>98</v>
      </c>
    </row>
    <row r="5593" spans="1:5" x14ac:dyDescent="0.25">
      <c r="A5593" t="s">
        <v>115</v>
      </c>
      <c r="B5593">
        <v>2015</v>
      </c>
      <c r="C5593" t="s">
        <v>6</v>
      </c>
      <c r="D5593">
        <v>7481946</v>
      </c>
      <c r="E5593" t="s">
        <v>98</v>
      </c>
    </row>
    <row r="5594" spans="1:5" x14ac:dyDescent="0.25">
      <c r="A5594" t="s">
        <v>115</v>
      </c>
      <c r="B5594">
        <v>2016</v>
      </c>
      <c r="C5594" t="s">
        <v>6</v>
      </c>
      <c r="D5594">
        <v>6602901</v>
      </c>
      <c r="E5594" t="s">
        <v>98</v>
      </c>
    </row>
    <row r="5595" spans="1:5" x14ac:dyDescent="0.25">
      <c r="A5595" t="s">
        <v>115</v>
      </c>
      <c r="B5595">
        <v>2017</v>
      </c>
      <c r="C5595" t="s">
        <v>6</v>
      </c>
      <c r="D5595">
        <v>8009194</v>
      </c>
      <c r="E5595" t="s">
        <v>98</v>
      </c>
    </row>
    <row r="5596" spans="1:5" x14ac:dyDescent="0.25">
      <c r="A5596" t="s">
        <v>115</v>
      </c>
      <c r="B5596">
        <v>2018</v>
      </c>
      <c r="C5596" t="s">
        <v>6</v>
      </c>
      <c r="D5596">
        <v>6631035</v>
      </c>
      <c r="E5596" t="s">
        <v>98</v>
      </c>
    </row>
    <row r="5597" spans="1:5" x14ac:dyDescent="0.25">
      <c r="A5597" t="s">
        <v>115</v>
      </c>
      <c r="B5597">
        <v>2019</v>
      </c>
      <c r="C5597" t="s">
        <v>6</v>
      </c>
      <c r="D5597">
        <v>8598480.0800000001</v>
      </c>
      <c r="E5597" t="s">
        <v>98</v>
      </c>
    </row>
    <row r="5598" spans="1:5" x14ac:dyDescent="0.25">
      <c r="A5598" t="s">
        <v>115</v>
      </c>
      <c r="B5598">
        <v>2020</v>
      </c>
      <c r="C5598" t="s">
        <v>6</v>
      </c>
      <c r="D5598">
        <v>8071932</v>
      </c>
      <c r="E5598" t="s">
        <v>98</v>
      </c>
    </row>
    <row r="5599" spans="1:5" x14ac:dyDescent="0.25">
      <c r="A5599" t="s">
        <v>115</v>
      </c>
      <c r="B5599">
        <v>2021</v>
      </c>
      <c r="C5599" t="s">
        <v>6</v>
      </c>
      <c r="D5599">
        <v>7073657</v>
      </c>
      <c r="E5599" t="s">
        <v>98</v>
      </c>
    </row>
    <row r="5600" spans="1:5" x14ac:dyDescent="0.25">
      <c r="A5600" t="s">
        <v>115</v>
      </c>
      <c r="B5600">
        <v>2022</v>
      </c>
      <c r="C5600" t="s">
        <v>6</v>
      </c>
      <c r="D5600">
        <v>8023489</v>
      </c>
      <c r="E5600" t="s">
        <v>98</v>
      </c>
    </row>
    <row r="5601" spans="1:5" x14ac:dyDescent="0.25">
      <c r="A5601" t="s">
        <v>115</v>
      </c>
      <c r="B5601">
        <v>2023</v>
      </c>
      <c r="C5601" t="s">
        <v>6</v>
      </c>
      <c r="D5601">
        <v>6081891</v>
      </c>
      <c r="E5601" t="s">
        <v>98</v>
      </c>
    </row>
    <row r="5602" spans="1:5" x14ac:dyDescent="0.25">
      <c r="A5602" t="s">
        <v>115</v>
      </c>
      <c r="B5602">
        <v>2024</v>
      </c>
      <c r="C5602" t="s">
        <v>6</v>
      </c>
      <c r="D5602">
        <v>7420539.3430000003</v>
      </c>
      <c r="E5602" t="s">
        <v>98</v>
      </c>
    </row>
    <row r="5603" spans="1:5" x14ac:dyDescent="0.25">
      <c r="A5603" t="s">
        <v>115</v>
      </c>
      <c r="B5603">
        <v>2025</v>
      </c>
      <c r="C5603" t="s">
        <v>6</v>
      </c>
      <c r="D5603">
        <v>7248269</v>
      </c>
      <c r="E5603" t="s">
        <v>98</v>
      </c>
    </row>
    <row r="5604" spans="1:5" x14ac:dyDescent="0.25">
      <c r="A5604" t="s">
        <v>21</v>
      </c>
      <c r="B5604">
        <v>2000</v>
      </c>
      <c r="C5604" t="s">
        <v>6</v>
      </c>
      <c r="D5604">
        <v>108933338.294</v>
      </c>
      <c r="E5604" t="s">
        <v>98</v>
      </c>
    </row>
    <row r="5605" spans="1:5" x14ac:dyDescent="0.25">
      <c r="A5605" t="s">
        <v>21</v>
      </c>
      <c r="B5605">
        <v>2001</v>
      </c>
      <c r="C5605" t="s">
        <v>6</v>
      </c>
      <c r="D5605">
        <v>103788030.781</v>
      </c>
      <c r="E5605" t="s">
        <v>98</v>
      </c>
    </row>
    <row r="5606" spans="1:5" x14ac:dyDescent="0.25">
      <c r="A5606" t="s">
        <v>21</v>
      </c>
      <c r="B5606">
        <v>2002</v>
      </c>
      <c r="C5606" t="s">
        <v>6</v>
      </c>
      <c r="D5606">
        <v>125324955.397</v>
      </c>
      <c r="E5606" t="s">
        <v>98</v>
      </c>
    </row>
    <row r="5607" spans="1:5" x14ac:dyDescent="0.25">
      <c r="A5607" t="s">
        <v>21</v>
      </c>
      <c r="B5607">
        <v>2003</v>
      </c>
      <c r="C5607" t="s">
        <v>6</v>
      </c>
      <c r="D5607">
        <v>116173552.097</v>
      </c>
      <c r="E5607" t="s">
        <v>98</v>
      </c>
    </row>
    <row r="5608" spans="1:5" x14ac:dyDescent="0.25">
      <c r="A5608" t="s">
        <v>21</v>
      </c>
      <c r="B5608">
        <v>2004</v>
      </c>
      <c r="C5608" t="s">
        <v>6</v>
      </c>
      <c r="D5608">
        <v>114666667.45999999</v>
      </c>
      <c r="E5608" t="s">
        <v>98</v>
      </c>
    </row>
    <row r="5609" spans="1:5" x14ac:dyDescent="0.25">
      <c r="A5609" t="s">
        <v>21</v>
      </c>
      <c r="B5609">
        <v>2005</v>
      </c>
      <c r="C5609" t="s">
        <v>6</v>
      </c>
      <c r="D5609">
        <v>115613190.691</v>
      </c>
      <c r="E5609" t="s">
        <v>98</v>
      </c>
    </row>
    <row r="5610" spans="1:5" x14ac:dyDescent="0.25">
      <c r="A5610" t="s">
        <v>21</v>
      </c>
      <c r="B5610">
        <v>2006</v>
      </c>
      <c r="C5610" t="s">
        <v>6</v>
      </c>
      <c r="D5610">
        <v>117213163.01800001</v>
      </c>
      <c r="E5610" t="s">
        <v>98</v>
      </c>
    </row>
    <row r="5611" spans="1:5" x14ac:dyDescent="0.25">
      <c r="A5611" t="s">
        <v>21</v>
      </c>
      <c r="B5611">
        <v>2007</v>
      </c>
      <c r="C5611" t="s">
        <v>6</v>
      </c>
      <c r="D5611">
        <v>111961967.277</v>
      </c>
      <c r="E5611" t="s">
        <v>98</v>
      </c>
    </row>
    <row r="5612" spans="1:5" x14ac:dyDescent="0.25">
      <c r="A5612" t="s">
        <v>21</v>
      </c>
      <c r="B5612">
        <v>2008</v>
      </c>
      <c r="C5612" t="s">
        <v>6</v>
      </c>
      <c r="D5612">
        <v>105276038.792</v>
      </c>
      <c r="E5612" t="s">
        <v>98</v>
      </c>
    </row>
    <row r="5613" spans="1:5" x14ac:dyDescent="0.25">
      <c r="A5613" t="s">
        <v>21</v>
      </c>
      <c r="B5613">
        <v>2009</v>
      </c>
      <c r="C5613" t="s">
        <v>6</v>
      </c>
      <c r="D5613">
        <v>106435636.12800001</v>
      </c>
      <c r="E5613" t="s">
        <v>98</v>
      </c>
    </row>
    <row r="5614" spans="1:5" x14ac:dyDescent="0.25">
      <c r="A5614" t="s">
        <v>21</v>
      </c>
      <c r="B5614">
        <v>2010</v>
      </c>
      <c r="C5614" t="s">
        <v>6</v>
      </c>
      <c r="D5614">
        <v>97952400</v>
      </c>
      <c r="E5614" t="s">
        <v>98</v>
      </c>
    </row>
    <row r="5615" spans="1:5" x14ac:dyDescent="0.25">
      <c r="A5615" t="s">
        <v>21</v>
      </c>
      <c r="B5615">
        <v>2011</v>
      </c>
      <c r="C5615" t="s">
        <v>6</v>
      </c>
      <c r="D5615">
        <v>107015800</v>
      </c>
      <c r="E5615" t="s">
        <v>98</v>
      </c>
    </row>
    <row r="5616" spans="1:5" x14ac:dyDescent="0.25">
      <c r="A5616" t="s">
        <v>21</v>
      </c>
      <c r="B5616">
        <v>2012</v>
      </c>
      <c r="C5616" t="s">
        <v>6</v>
      </c>
      <c r="D5616">
        <v>100403000</v>
      </c>
      <c r="E5616" t="s">
        <v>98</v>
      </c>
    </row>
    <row r="5617" spans="1:5" x14ac:dyDescent="0.25">
      <c r="A5617" t="s">
        <v>21</v>
      </c>
      <c r="B5617">
        <v>2013</v>
      </c>
      <c r="C5617" t="s">
        <v>6</v>
      </c>
      <c r="D5617">
        <v>110010300</v>
      </c>
      <c r="E5617" t="s">
        <v>98</v>
      </c>
    </row>
    <row r="5618" spans="1:5" x14ac:dyDescent="0.25">
      <c r="A5618" t="s">
        <v>21</v>
      </c>
      <c r="B5618">
        <v>2014</v>
      </c>
      <c r="C5618" t="s">
        <v>6</v>
      </c>
      <c r="D5618">
        <v>114043025</v>
      </c>
      <c r="E5618" t="s">
        <v>98</v>
      </c>
    </row>
    <row r="5619" spans="1:5" x14ac:dyDescent="0.25">
      <c r="A5619" t="s">
        <v>21</v>
      </c>
      <c r="B5619">
        <v>2015</v>
      </c>
      <c r="C5619" t="s">
        <v>6</v>
      </c>
      <c r="D5619">
        <v>102655517</v>
      </c>
      <c r="E5619" t="s">
        <v>98</v>
      </c>
    </row>
    <row r="5620" spans="1:5" x14ac:dyDescent="0.25">
      <c r="A5620" t="s">
        <v>21</v>
      </c>
      <c r="B5620">
        <v>2016</v>
      </c>
      <c r="C5620" t="s">
        <v>6</v>
      </c>
      <c r="D5620">
        <v>88692822</v>
      </c>
      <c r="E5620" t="s">
        <v>98</v>
      </c>
    </row>
    <row r="5621" spans="1:5" x14ac:dyDescent="0.25">
      <c r="A5621" t="s">
        <v>21</v>
      </c>
      <c r="B5621">
        <v>2017</v>
      </c>
      <c r="C5621" t="s">
        <v>6</v>
      </c>
      <c r="D5621">
        <v>100135428.398</v>
      </c>
      <c r="E5621" t="s">
        <v>98</v>
      </c>
    </row>
    <row r="5622" spans="1:5" x14ac:dyDescent="0.25">
      <c r="A5622" t="s">
        <v>21</v>
      </c>
      <c r="B5622">
        <v>2018</v>
      </c>
      <c r="C5622" t="s">
        <v>6</v>
      </c>
      <c r="D5622">
        <v>102312919.131</v>
      </c>
      <c r="E5622" t="s">
        <v>98</v>
      </c>
    </row>
    <row r="5623" spans="1:5" x14ac:dyDescent="0.25">
      <c r="A5623" t="s">
        <v>21</v>
      </c>
      <c r="B5623">
        <v>2019</v>
      </c>
      <c r="C5623" t="s">
        <v>6</v>
      </c>
      <c r="D5623">
        <v>96402281.088</v>
      </c>
      <c r="E5623" t="s">
        <v>98</v>
      </c>
    </row>
    <row r="5624" spans="1:5" x14ac:dyDescent="0.25">
      <c r="A5624" t="s">
        <v>21</v>
      </c>
      <c r="B5624">
        <v>2020</v>
      </c>
      <c r="C5624" t="s">
        <v>6</v>
      </c>
      <c r="D5624">
        <v>100677675.404</v>
      </c>
      <c r="E5624" t="s">
        <v>98</v>
      </c>
    </row>
    <row r="5625" spans="1:5" x14ac:dyDescent="0.25">
      <c r="A5625" t="s">
        <v>21</v>
      </c>
      <c r="B5625">
        <v>2021</v>
      </c>
      <c r="C5625" t="s">
        <v>6</v>
      </c>
      <c r="D5625">
        <v>94934396</v>
      </c>
      <c r="E5625" t="s">
        <v>98</v>
      </c>
    </row>
    <row r="5626" spans="1:5" x14ac:dyDescent="0.25">
      <c r="A5626" t="s">
        <v>21</v>
      </c>
      <c r="B5626">
        <v>2022</v>
      </c>
      <c r="C5626" t="s">
        <v>6</v>
      </c>
      <c r="D5626">
        <v>98294209.951000005</v>
      </c>
      <c r="E5626" t="s">
        <v>98</v>
      </c>
    </row>
    <row r="5627" spans="1:5" x14ac:dyDescent="0.25">
      <c r="A5627" t="s">
        <v>21</v>
      </c>
      <c r="B5627">
        <v>2023</v>
      </c>
      <c r="C5627" t="s">
        <v>6</v>
      </c>
      <c r="D5627">
        <v>95021790.450000003</v>
      </c>
      <c r="E5627" t="s">
        <v>98</v>
      </c>
    </row>
    <row r="5628" spans="1:5" x14ac:dyDescent="0.25">
      <c r="A5628" t="s">
        <v>21</v>
      </c>
      <c r="B5628">
        <v>2024</v>
      </c>
      <c r="C5628" t="s">
        <v>6</v>
      </c>
      <c r="D5628">
        <v>92167799.584999993</v>
      </c>
      <c r="E5628" t="s">
        <v>98</v>
      </c>
    </row>
    <row r="5629" spans="1:5" x14ac:dyDescent="0.25">
      <c r="A5629" t="s">
        <v>22</v>
      </c>
      <c r="B5629">
        <v>2008</v>
      </c>
      <c r="C5629" t="s">
        <v>6</v>
      </c>
      <c r="D5629">
        <v>83091403</v>
      </c>
      <c r="E5629" t="s">
        <v>98</v>
      </c>
    </row>
    <row r="5630" spans="1:5" x14ac:dyDescent="0.25">
      <c r="A5630" t="s">
        <v>22</v>
      </c>
      <c r="B5630">
        <v>2009</v>
      </c>
      <c r="C5630" t="s">
        <v>6</v>
      </c>
      <c r="D5630">
        <v>71195506.527999997</v>
      </c>
      <c r="E5630" t="s">
        <v>98</v>
      </c>
    </row>
    <row r="5631" spans="1:5" x14ac:dyDescent="0.25">
      <c r="A5631" t="s">
        <v>22</v>
      </c>
      <c r="B5631">
        <v>2010</v>
      </c>
      <c r="C5631" t="s">
        <v>6</v>
      </c>
      <c r="D5631">
        <v>66223660</v>
      </c>
      <c r="E5631" t="s">
        <v>98</v>
      </c>
    </row>
    <row r="5632" spans="1:5" x14ac:dyDescent="0.25">
      <c r="A5632" t="s">
        <v>22</v>
      </c>
      <c r="B5632">
        <v>2011</v>
      </c>
      <c r="C5632" t="s">
        <v>6</v>
      </c>
      <c r="D5632">
        <v>73024358.009000003</v>
      </c>
      <c r="E5632" t="s">
        <v>98</v>
      </c>
    </row>
    <row r="5633" spans="1:5" x14ac:dyDescent="0.25">
      <c r="A5633" t="s">
        <v>22</v>
      </c>
      <c r="B5633">
        <v>2012</v>
      </c>
      <c r="C5633" t="s">
        <v>6</v>
      </c>
      <c r="D5633">
        <v>74284855.716999993</v>
      </c>
      <c r="E5633" t="s">
        <v>98</v>
      </c>
    </row>
    <row r="5634" spans="1:5" x14ac:dyDescent="0.25">
      <c r="A5634" t="s">
        <v>22</v>
      </c>
      <c r="B5634">
        <v>2013</v>
      </c>
      <c r="C5634" t="s">
        <v>6</v>
      </c>
      <c r="D5634">
        <v>78181846.316</v>
      </c>
      <c r="E5634" t="s">
        <v>98</v>
      </c>
    </row>
    <row r="5635" spans="1:5" x14ac:dyDescent="0.25">
      <c r="A5635" t="s">
        <v>22</v>
      </c>
      <c r="B5635">
        <v>2014</v>
      </c>
      <c r="C5635" t="s">
        <v>6</v>
      </c>
      <c r="D5635">
        <v>76609744.541999996</v>
      </c>
      <c r="E5635" t="s">
        <v>98</v>
      </c>
    </row>
    <row r="5636" spans="1:5" x14ac:dyDescent="0.25">
      <c r="A5636" t="s">
        <v>22</v>
      </c>
      <c r="B5636">
        <v>2015</v>
      </c>
      <c r="C5636" t="s">
        <v>6</v>
      </c>
      <c r="D5636">
        <v>78522498.137999997</v>
      </c>
      <c r="E5636" t="s">
        <v>98</v>
      </c>
    </row>
    <row r="5637" spans="1:5" x14ac:dyDescent="0.25">
      <c r="A5637" t="s">
        <v>22</v>
      </c>
      <c r="B5637">
        <v>2016</v>
      </c>
      <c r="C5637" t="s">
        <v>6</v>
      </c>
      <c r="D5637">
        <v>69052646.392000005</v>
      </c>
      <c r="E5637" t="s">
        <v>98</v>
      </c>
    </row>
    <row r="5638" spans="1:5" x14ac:dyDescent="0.25">
      <c r="A5638" t="s">
        <v>22</v>
      </c>
      <c r="B5638">
        <v>2017</v>
      </c>
      <c r="C5638" t="s">
        <v>6</v>
      </c>
      <c r="D5638">
        <v>84444389.923999995</v>
      </c>
      <c r="E5638" t="s">
        <v>98</v>
      </c>
    </row>
    <row r="5639" spans="1:5" x14ac:dyDescent="0.25">
      <c r="A5639" t="s">
        <v>22</v>
      </c>
      <c r="B5639">
        <v>2018</v>
      </c>
      <c r="C5639" t="s">
        <v>6</v>
      </c>
      <c r="D5639">
        <v>93201501.224999994</v>
      </c>
      <c r="E5639" t="s">
        <v>98</v>
      </c>
    </row>
    <row r="5640" spans="1:5" x14ac:dyDescent="0.25">
      <c r="A5640" t="s">
        <v>22</v>
      </c>
      <c r="B5640">
        <v>2019</v>
      </c>
      <c r="C5640" t="s">
        <v>6</v>
      </c>
      <c r="D5640">
        <v>79123684.502000004</v>
      </c>
      <c r="E5640" t="s">
        <v>98</v>
      </c>
    </row>
    <row r="5641" spans="1:5" x14ac:dyDescent="0.25">
      <c r="A5641" t="s">
        <v>22</v>
      </c>
      <c r="B5641">
        <v>2020</v>
      </c>
      <c r="C5641" t="s">
        <v>6</v>
      </c>
      <c r="D5641">
        <v>103397173.081</v>
      </c>
      <c r="E5641" t="s">
        <v>98</v>
      </c>
    </row>
    <row r="5642" spans="1:5" x14ac:dyDescent="0.25">
      <c r="A5642" t="s">
        <v>22</v>
      </c>
      <c r="B5642">
        <v>2021</v>
      </c>
      <c r="C5642" t="s">
        <v>6</v>
      </c>
      <c r="D5642">
        <v>77646520.332000002</v>
      </c>
      <c r="E5642" t="s">
        <v>98</v>
      </c>
    </row>
    <row r="5643" spans="1:5" x14ac:dyDescent="0.25">
      <c r="A5643" t="s">
        <v>22</v>
      </c>
      <c r="B5643">
        <v>2022</v>
      </c>
      <c r="C5643" t="s">
        <v>6</v>
      </c>
      <c r="D5643">
        <v>94501955.783999994</v>
      </c>
      <c r="E5643" t="s">
        <v>98</v>
      </c>
    </row>
    <row r="5644" spans="1:5" x14ac:dyDescent="0.25">
      <c r="A5644" t="s">
        <v>22</v>
      </c>
      <c r="B5644">
        <v>2023</v>
      </c>
      <c r="C5644" t="s">
        <v>6</v>
      </c>
      <c r="D5644">
        <v>80907040.883000001</v>
      </c>
      <c r="E5644" t="s">
        <v>98</v>
      </c>
    </row>
    <row r="5645" spans="1:5" x14ac:dyDescent="0.25">
      <c r="A5645" t="s">
        <v>22</v>
      </c>
      <c r="B5645">
        <v>2024</v>
      </c>
      <c r="C5645" t="s">
        <v>6</v>
      </c>
      <c r="D5645">
        <v>85414302.371000007</v>
      </c>
      <c r="E5645" t="s">
        <v>98</v>
      </c>
    </row>
    <row r="5646" spans="1:5" x14ac:dyDescent="0.25">
      <c r="A5646" t="s">
        <v>22</v>
      </c>
      <c r="B5646">
        <v>2025</v>
      </c>
      <c r="C5646" t="s">
        <v>6</v>
      </c>
      <c r="D5646">
        <v>84631392.111000001</v>
      </c>
      <c r="E5646" t="s">
        <v>98</v>
      </c>
    </row>
    <row r="5647" spans="1:5" x14ac:dyDescent="0.25">
      <c r="A5647" t="s">
        <v>23</v>
      </c>
      <c r="B5647">
        <v>2012</v>
      </c>
      <c r="C5647" t="s">
        <v>6</v>
      </c>
      <c r="D5647">
        <v>717461.93</v>
      </c>
      <c r="E5647" t="s">
        <v>98</v>
      </c>
    </row>
    <row r="5648" spans="1:5" x14ac:dyDescent="0.25">
      <c r="A5648" t="s">
        <v>23</v>
      </c>
      <c r="B5648">
        <v>2013</v>
      </c>
      <c r="C5648" t="s">
        <v>6</v>
      </c>
      <c r="D5648">
        <v>856904.64</v>
      </c>
      <c r="E5648" t="s">
        <v>98</v>
      </c>
    </row>
    <row r="5649" spans="1:5" x14ac:dyDescent="0.25">
      <c r="A5649" t="s">
        <v>23</v>
      </c>
      <c r="B5649">
        <v>2014</v>
      </c>
      <c r="C5649" t="s">
        <v>6</v>
      </c>
      <c r="D5649">
        <v>887057.35</v>
      </c>
      <c r="E5649" t="s">
        <v>98</v>
      </c>
    </row>
    <row r="5650" spans="1:5" x14ac:dyDescent="0.25">
      <c r="A5650" t="s">
        <v>23</v>
      </c>
      <c r="B5650">
        <v>2015</v>
      </c>
      <c r="C5650" t="s">
        <v>6</v>
      </c>
      <c r="D5650">
        <v>1536392.28</v>
      </c>
      <c r="E5650" t="s">
        <v>98</v>
      </c>
    </row>
    <row r="5651" spans="1:5" x14ac:dyDescent="0.25">
      <c r="A5651" t="s">
        <v>23</v>
      </c>
      <c r="B5651">
        <v>2020</v>
      </c>
      <c r="C5651" t="s">
        <v>6</v>
      </c>
      <c r="D5651">
        <v>1523631.48</v>
      </c>
      <c r="E5651" t="s">
        <v>98</v>
      </c>
    </row>
    <row r="5652" spans="1:5" x14ac:dyDescent="0.25">
      <c r="A5652" t="s">
        <v>23</v>
      </c>
      <c r="B5652">
        <v>2021</v>
      </c>
      <c r="C5652" t="s">
        <v>6</v>
      </c>
      <c r="D5652">
        <v>1154039.892</v>
      </c>
      <c r="E5652" t="s">
        <v>98</v>
      </c>
    </row>
    <row r="5653" spans="1:5" x14ac:dyDescent="0.25">
      <c r="A5653" t="s">
        <v>24</v>
      </c>
      <c r="B5653">
        <v>2010</v>
      </c>
      <c r="C5653" t="s">
        <v>6</v>
      </c>
      <c r="D5653">
        <v>7540800</v>
      </c>
      <c r="E5653" t="s">
        <v>98</v>
      </c>
    </row>
    <row r="5654" spans="1:5" x14ac:dyDescent="0.25">
      <c r="A5654" t="s">
        <v>24</v>
      </c>
      <c r="B5654">
        <v>2011</v>
      </c>
      <c r="C5654" t="s">
        <v>6</v>
      </c>
      <c r="D5654">
        <v>7215600</v>
      </c>
      <c r="E5654" t="s">
        <v>98</v>
      </c>
    </row>
    <row r="5655" spans="1:5" x14ac:dyDescent="0.25">
      <c r="A5655" t="s">
        <v>24</v>
      </c>
      <c r="B5655">
        <v>2012</v>
      </c>
      <c r="C5655" t="s">
        <v>6</v>
      </c>
      <c r="D5655">
        <v>6776100</v>
      </c>
      <c r="E5655" t="s">
        <v>98</v>
      </c>
    </row>
    <row r="5656" spans="1:5" x14ac:dyDescent="0.25">
      <c r="A5656" t="s">
        <v>24</v>
      </c>
      <c r="B5656">
        <v>2013</v>
      </c>
      <c r="C5656" t="s">
        <v>6</v>
      </c>
      <c r="D5656">
        <v>6053898</v>
      </c>
      <c r="E5656" t="s">
        <v>98</v>
      </c>
    </row>
    <row r="5657" spans="1:5" x14ac:dyDescent="0.25">
      <c r="A5657" t="s">
        <v>24</v>
      </c>
      <c r="B5657">
        <v>2014</v>
      </c>
      <c r="C5657" t="s">
        <v>6</v>
      </c>
      <c r="D5657">
        <v>6468506</v>
      </c>
      <c r="E5657" t="s">
        <v>98</v>
      </c>
    </row>
    <row r="5658" spans="1:5" x14ac:dyDescent="0.25">
      <c r="A5658" t="s">
        <v>24</v>
      </c>
      <c r="B5658">
        <v>2015</v>
      </c>
      <c r="C5658" t="s">
        <v>6</v>
      </c>
      <c r="D5658">
        <v>6263084</v>
      </c>
      <c r="E5658" t="s">
        <v>98</v>
      </c>
    </row>
    <row r="5659" spans="1:5" x14ac:dyDescent="0.25">
      <c r="A5659" t="s">
        <v>24</v>
      </c>
      <c r="B5659">
        <v>2016</v>
      </c>
      <c r="C5659" t="s">
        <v>6</v>
      </c>
      <c r="D5659">
        <v>6853574</v>
      </c>
      <c r="E5659" t="s">
        <v>98</v>
      </c>
    </row>
    <row r="5660" spans="1:5" x14ac:dyDescent="0.25">
      <c r="A5660" t="s">
        <v>24</v>
      </c>
      <c r="B5660">
        <v>2017</v>
      </c>
      <c r="C5660" t="s">
        <v>6</v>
      </c>
      <c r="D5660">
        <v>5830671</v>
      </c>
      <c r="E5660" t="s">
        <v>98</v>
      </c>
    </row>
    <row r="5661" spans="1:5" x14ac:dyDescent="0.25">
      <c r="A5661" t="s">
        <v>24</v>
      </c>
      <c r="B5661">
        <v>2018</v>
      </c>
      <c r="C5661" t="s">
        <v>6</v>
      </c>
      <c r="D5661">
        <v>5868678</v>
      </c>
      <c r="E5661" t="s">
        <v>98</v>
      </c>
    </row>
    <row r="5662" spans="1:5" x14ac:dyDescent="0.25">
      <c r="A5662" t="s">
        <v>24</v>
      </c>
      <c r="B5662">
        <v>2019</v>
      </c>
      <c r="C5662" t="s">
        <v>6</v>
      </c>
      <c r="D5662">
        <v>7195161</v>
      </c>
      <c r="E5662" t="s">
        <v>98</v>
      </c>
    </row>
    <row r="5663" spans="1:5" x14ac:dyDescent="0.25">
      <c r="A5663" t="s">
        <v>24</v>
      </c>
      <c r="B5663">
        <v>2020</v>
      </c>
      <c r="C5663" t="s">
        <v>6</v>
      </c>
      <c r="D5663">
        <v>7061295</v>
      </c>
      <c r="E5663" t="s">
        <v>98</v>
      </c>
    </row>
    <row r="5664" spans="1:5" x14ac:dyDescent="0.25">
      <c r="A5664" t="s">
        <v>24</v>
      </c>
      <c r="B5664">
        <v>2021</v>
      </c>
      <c r="C5664" t="s">
        <v>6</v>
      </c>
      <c r="D5664">
        <v>6839255</v>
      </c>
      <c r="E5664" t="s">
        <v>98</v>
      </c>
    </row>
    <row r="5665" spans="1:5" x14ac:dyDescent="0.25">
      <c r="A5665" t="s">
        <v>24</v>
      </c>
      <c r="B5665">
        <v>2022</v>
      </c>
      <c r="C5665" t="s">
        <v>6</v>
      </c>
      <c r="D5665">
        <v>7415805</v>
      </c>
      <c r="E5665" t="s">
        <v>98</v>
      </c>
    </row>
    <row r="5666" spans="1:5" x14ac:dyDescent="0.25">
      <c r="A5666" t="s">
        <v>24</v>
      </c>
      <c r="B5666">
        <v>2023</v>
      </c>
      <c r="C5666" t="s">
        <v>6</v>
      </c>
      <c r="D5666">
        <v>6237454</v>
      </c>
      <c r="E5666" t="s">
        <v>98</v>
      </c>
    </row>
    <row r="5667" spans="1:5" x14ac:dyDescent="0.25">
      <c r="A5667" t="s">
        <v>24</v>
      </c>
      <c r="B5667">
        <v>2024</v>
      </c>
      <c r="C5667" t="s">
        <v>6</v>
      </c>
      <c r="D5667">
        <v>6332178</v>
      </c>
      <c r="E5667" t="s">
        <v>98</v>
      </c>
    </row>
    <row r="5668" spans="1:5" x14ac:dyDescent="0.25">
      <c r="A5668" t="s">
        <v>24</v>
      </c>
      <c r="B5668">
        <v>2025</v>
      </c>
      <c r="C5668" t="s">
        <v>6</v>
      </c>
      <c r="D5668">
        <v>6389481</v>
      </c>
      <c r="E5668" t="s">
        <v>98</v>
      </c>
    </row>
    <row r="5669" spans="1:5" x14ac:dyDescent="0.25">
      <c r="A5669" t="s">
        <v>25</v>
      </c>
      <c r="B5669">
        <v>2011</v>
      </c>
      <c r="C5669" t="s">
        <v>6</v>
      </c>
      <c r="D5669">
        <v>2321540</v>
      </c>
      <c r="E5669" t="s">
        <v>98</v>
      </c>
    </row>
    <row r="5670" spans="1:5" x14ac:dyDescent="0.25">
      <c r="A5670" t="s">
        <v>25</v>
      </c>
      <c r="B5670">
        <v>2021</v>
      </c>
      <c r="C5670" t="s">
        <v>6</v>
      </c>
      <c r="D5670">
        <v>2162582</v>
      </c>
      <c r="E5670" t="s">
        <v>98</v>
      </c>
    </row>
    <row r="5671" spans="1:5" x14ac:dyDescent="0.25">
      <c r="A5671" t="s">
        <v>25</v>
      </c>
      <c r="B5671">
        <v>2022</v>
      </c>
      <c r="C5671" t="s">
        <v>6</v>
      </c>
      <c r="D5671">
        <v>2809601</v>
      </c>
      <c r="E5671" t="s">
        <v>98</v>
      </c>
    </row>
    <row r="5672" spans="1:5" x14ac:dyDescent="0.25">
      <c r="A5672" t="s">
        <v>25</v>
      </c>
      <c r="B5672">
        <v>2023</v>
      </c>
      <c r="C5672" t="s">
        <v>6</v>
      </c>
      <c r="D5672">
        <v>2389368</v>
      </c>
      <c r="E5672" t="s">
        <v>98</v>
      </c>
    </row>
    <row r="5673" spans="1:5" x14ac:dyDescent="0.25">
      <c r="A5673" t="s">
        <v>25</v>
      </c>
      <c r="B5673">
        <v>2024</v>
      </c>
      <c r="C5673" t="s">
        <v>6</v>
      </c>
      <c r="D5673">
        <v>2351822</v>
      </c>
      <c r="E5673" t="s">
        <v>98</v>
      </c>
    </row>
    <row r="5674" spans="1:5" x14ac:dyDescent="0.25">
      <c r="A5674" t="s">
        <v>25</v>
      </c>
      <c r="B5674">
        <v>2025</v>
      </c>
      <c r="C5674" t="s">
        <v>6</v>
      </c>
      <c r="D5674">
        <v>2149414</v>
      </c>
      <c r="E5674" t="s">
        <v>98</v>
      </c>
    </row>
    <row r="5675" spans="1:5" x14ac:dyDescent="0.25">
      <c r="A5675" t="s">
        <v>26</v>
      </c>
      <c r="B5675">
        <v>2011</v>
      </c>
      <c r="C5675" t="s">
        <v>6</v>
      </c>
      <c r="D5675">
        <v>1118500</v>
      </c>
      <c r="E5675" t="s">
        <v>98</v>
      </c>
    </row>
    <row r="5676" spans="1:5" x14ac:dyDescent="0.25">
      <c r="A5676" t="s">
        <v>26</v>
      </c>
      <c r="B5676">
        <v>2012</v>
      </c>
      <c r="C5676" t="s">
        <v>6</v>
      </c>
      <c r="D5676">
        <v>1348100</v>
      </c>
      <c r="E5676" t="s">
        <v>98</v>
      </c>
    </row>
    <row r="5677" spans="1:5" x14ac:dyDescent="0.25">
      <c r="A5677" t="s">
        <v>26</v>
      </c>
      <c r="B5677">
        <v>2017</v>
      </c>
      <c r="C5677" t="s">
        <v>6</v>
      </c>
      <c r="D5677">
        <v>2748477</v>
      </c>
      <c r="E5677" t="s">
        <v>98</v>
      </c>
    </row>
    <row r="5678" spans="1:5" x14ac:dyDescent="0.25">
      <c r="A5678" t="s">
        <v>26</v>
      </c>
      <c r="B5678">
        <v>2018</v>
      </c>
      <c r="C5678" t="s">
        <v>6</v>
      </c>
      <c r="D5678">
        <v>2770447</v>
      </c>
      <c r="E5678" t="s">
        <v>98</v>
      </c>
    </row>
    <row r="5679" spans="1:5" x14ac:dyDescent="0.25">
      <c r="A5679" t="s">
        <v>26</v>
      </c>
      <c r="B5679">
        <v>2019</v>
      </c>
      <c r="C5679" t="s">
        <v>6</v>
      </c>
      <c r="D5679">
        <v>2871999</v>
      </c>
      <c r="E5679" t="s">
        <v>98</v>
      </c>
    </row>
    <row r="5680" spans="1:5" x14ac:dyDescent="0.25">
      <c r="A5680" t="s">
        <v>26</v>
      </c>
      <c r="B5680">
        <v>2020</v>
      </c>
      <c r="C5680" t="s">
        <v>6</v>
      </c>
      <c r="D5680">
        <v>3289961</v>
      </c>
      <c r="E5680" t="s">
        <v>98</v>
      </c>
    </row>
    <row r="5681" spans="1:5" x14ac:dyDescent="0.25">
      <c r="A5681" t="s">
        <v>26</v>
      </c>
      <c r="B5681">
        <v>2021</v>
      </c>
      <c r="C5681" t="s">
        <v>6</v>
      </c>
      <c r="D5681">
        <v>3352135</v>
      </c>
      <c r="E5681" t="s">
        <v>98</v>
      </c>
    </row>
    <row r="5682" spans="1:5" x14ac:dyDescent="0.25">
      <c r="A5682" t="s">
        <v>26</v>
      </c>
      <c r="B5682">
        <v>2022</v>
      </c>
      <c r="C5682" t="s">
        <v>6</v>
      </c>
      <c r="D5682">
        <v>3853405.605</v>
      </c>
      <c r="E5682" t="s">
        <v>98</v>
      </c>
    </row>
    <row r="5683" spans="1:5" x14ac:dyDescent="0.25">
      <c r="A5683" t="s">
        <v>26</v>
      </c>
      <c r="B5683">
        <v>2023</v>
      </c>
      <c r="C5683" t="s">
        <v>6</v>
      </c>
      <c r="D5683">
        <v>4268995.1399999997</v>
      </c>
      <c r="E5683" t="s">
        <v>98</v>
      </c>
    </row>
    <row r="5684" spans="1:5" x14ac:dyDescent="0.25">
      <c r="A5684" t="s">
        <v>26</v>
      </c>
      <c r="B5684">
        <v>2024</v>
      </c>
      <c r="C5684" t="s">
        <v>6</v>
      </c>
      <c r="D5684">
        <v>3255910.39</v>
      </c>
      <c r="E5684" t="s">
        <v>98</v>
      </c>
    </row>
    <row r="5685" spans="1:5" x14ac:dyDescent="0.25">
      <c r="A5685" t="s">
        <v>26</v>
      </c>
      <c r="B5685">
        <v>2025</v>
      </c>
      <c r="C5685" t="s">
        <v>6</v>
      </c>
      <c r="D5685">
        <v>7738665.7999999998</v>
      </c>
      <c r="E5685" t="s">
        <v>98</v>
      </c>
    </row>
    <row r="5686" spans="1:5" x14ac:dyDescent="0.25">
      <c r="A5686" t="s">
        <v>28</v>
      </c>
      <c r="B5686">
        <v>2014</v>
      </c>
      <c r="C5686" t="s">
        <v>6</v>
      </c>
      <c r="D5686">
        <v>1031783</v>
      </c>
      <c r="E5686" t="s">
        <v>98</v>
      </c>
    </row>
    <row r="5687" spans="1:5" x14ac:dyDescent="0.25">
      <c r="A5687" t="s">
        <v>28</v>
      </c>
      <c r="B5687">
        <v>2015</v>
      </c>
      <c r="C5687" t="s">
        <v>6</v>
      </c>
      <c r="D5687">
        <v>1047085.884</v>
      </c>
      <c r="E5687" t="s">
        <v>98</v>
      </c>
    </row>
    <row r="5688" spans="1:5" x14ac:dyDescent="0.25">
      <c r="A5688" t="s">
        <v>28</v>
      </c>
      <c r="B5688">
        <v>2016</v>
      </c>
      <c r="C5688" t="s">
        <v>6</v>
      </c>
      <c r="D5688">
        <v>1279025.4439999999</v>
      </c>
      <c r="E5688" t="s">
        <v>98</v>
      </c>
    </row>
    <row r="5689" spans="1:5" x14ac:dyDescent="0.25">
      <c r="A5689" t="s">
        <v>28</v>
      </c>
      <c r="B5689">
        <v>2019</v>
      </c>
      <c r="C5689" t="s">
        <v>6</v>
      </c>
      <c r="D5689">
        <v>1019881</v>
      </c>
      <c r="E5689" t="s">
        <v>98</v>
      </c>
    </row>
    <row r="5690" spans="1:5" x14ac:dyDescent="0.25">
      <c r="A5690" t="s">
        <v>75</v>
      </c>
      <c r="B5690">
        <v>2000</v>
      </c>
      <c r="C5690" t="s">
        <v>6</v>
      </c>
      <c r="D5690">
        <v>3261236</v>
      </c>
      <c r="E5690" t="s">
        <v>98</v>
      </c>
    </row>
    <row r="5691" spans="1:5" x14ac:dyDescent="0.25">
      <c r="A5691" t="s">
        <v>75</v>
      </c>
      <c r="B5691">
        <v>2001</v>
      </c>
      <c r="C5691" t="s">
        <v>6</v>
      </c>
      <c r="D5691">
        <v>4420958</v>
      </c>
      <c r="E5691" t="s">
        <v>98</v>
      </c>
    </row>
    <row r="5692" spans="1:5" x14ac:dyDescent="0.25">
      <c r="A5692" t="s">
        <v>75</v>
      </c>
      <c r="B5692">
        <v>2002</v>
      </c>
      <c r="C5692" t="s">
        <v>6</v>
      </c>
      <c r="D5692">
        <v>4974953</v>
      </c>
      <c r="E5692" t="s">
        <v>98</v>
      </c>
    </row>
    <row r="5693" spans="1:5" x14ac:dyDescent="0.25">
      <c r="A5693" t="s">
        <v>75</v>
      </c>
      <c r="B5693">
        <v>2003</v>
      </c>
      <c r="C5693" t="s">
        <v>6</v>
      </c>
      <c r="D5693">
        <v>4985435</v>
      </c>
      <c r="E5693" t="s">
        <v>98</v>
      </c>
    </row>
    <row r="5694" spans="1:5" x14ac:dyDescent="0.25">
      <c r="A5694" t="s">
        <v>75</v>
      </c>
      <c r="B5694">
        <v>2004</v>
      </c>
      <c r="C5694" t="s">
        <v>6</v>
      </c>
      <c r="D5694">
        <v>3959362</v>
      </c>
      <c r="E5694" t="s">
        <v>98</v>
      </c>
    </row>
    <row r="5695" spans="1:5" x14ac:dyDescent="0.25">
      <c r="A5695" t="s">
        <v>75</v>
      </c>
      <c r="B5695">
        <v>2005</v>
      </c>
      <c r="C5695" t="s">
        <v>6</v>
      </c>
      <c r="D5695">
        <v>6205681</v>
      </c>
      <c r="E5695" t="s">
        <v>98</v>
      </c>
    </row>
    <row r="5696" spans="1:5" x14ac:dyDescent="0.25">
      <c r="A5696" t="s">
        <v>75</v>
      </c>
      <c r="B5696">
        <v>2006</v>
      </c>
      <c r="C5696" t="s">
        <v>6</v>
      </c>
      <c r="D5696">
        <v>6279861</v>
      </c>
      <c r="E5696" t="s">
        <v>98</v>
      </c>
    </row>
    <row r="5697" spans="1:5" x14ac:dyDescent="0.25">
      <c r="A5697" t="s">
        <v>75</v>
      </c>
      <c r="B5697">
        <v>2007</v>
      </c>
      <c r="C5697" t="s">
        <v>6</v>
      </c>
      <c r="D5697">
        <v>5326296</v>
      </c>
      <c r="E5697" t="s">
        <v>98</v>
      </c>
    </row>
    <row r="5698" spans="1:5" x14ac:dyDescent="0.25">
      <c r="A5698" t="s">
        <v>75</v>
      </c>
      <c r="B5698">
        <v>2008</v>
      </c>
      <c r="C5698" t="s">
        <v>6</v>
      </c>
      <c r="D5698">
        <v>5543862</v>
      </c>
      <c r="E5698" t="s">
        <v>98</v>
      </c>
    </row>
    <row r="5699" spans="1:5" x14ac:dyDescent="0.25">
      <c r="A5699" t="s">
        <v>75</v>
      </c>
      <c r="B5699">
        <v>2009</v>
      </c>
      <c r="C5699" t="s">
        <v>6</v>
      </c>
      <c r="D5699">
        <v>5199342</v>
      </c>
      <c r="E5699" t="s">
        <v>98</v>
      </c>
    </row>
    <row r="5700" spans="1:5" x14ac:dyDescent="0.25">
      <c r="A5700" t="s">
        <v>75</v>
      </c>
      <c r="B5700">
        <v>2010</v>
      </c>
      <c r="C5700" t="s">
        <v>6</v>
      </c>
      <c r="D5700">
        <v>4645528</v>
      </c>
      <c r="E5700" t="s">
        <v>98</v>
      </c>
    </row>
    <row r="5701" spans="1:5" x14ac:dyDescent="0.25">
      <c r="A5701" t="s">
        <v>75</v>
      </c>
      <c r="B5701">
        <v>2011</v>
      </c>
      <c r="C5701" t="s">
        <v>6</v>
      </c>
      <c r="D5701">
        <v>6360264</v>
      </c>
      <c r="E5701" t="s">
        <v>98</v>
      </c>
    </row>
    <row r="5702" spans="1:5" x14ac:dyDescent="0.25">
      <c r="A5702" t="s">
        <v>75</v>
      </c>
      <c r="B5702">
        <v>2012</v>
      </c>
      <c r="C5702" t="s">
        <v>6</v>
      </c>
      <c r="D5702">
        <v>5671466</v>
      </c>
      <c r="E5702" t="s">
        <v>98</v>
      </c>
    </row>
    <row r="5703" spans="1:5" x14ac:dyDescent="0.25">
      <c r="A5703" t="s">
        <v>75</v>
      </c>
      <c r="B5703">
        <v>2013</v>
      </c>
      <c r="C5703" t="s">
        <v>6</v>
      </c>
      <c r="D5703">
        <v>5856800</v>
      </c>
      <c r="E5703" t="s">
        <v>98</v>
      </c>
    </row>
    <row r="5704" spans="1:5" x14ac:dyDescent="0.25">
      <c r="A5704" t="s">
        <v>75</v>
      </c>
      <c r="B5704">
        <v>2014</v>
      </c>
      <c r="C5704" t="s">
        <v>6</v>
      </c>
      <c r="D5704">
        <v>5573010</v>
      </c>
      <c r="E5704" t="s">
        <v>98</v>
      </c>
    </row>
    <row r="5705" spans="1:5" x14ac:dyDescent="0.25">
      <c r="A5705" t="s">
        <v>75</v>
      </c>
      <c r="B5705">
        <v>2015</v>
      </c>
      <c r="C5705" t="s">
        <v>6</v>
      </c>
      <c r="D5705">
        <v>5490409</v>
      </c>
      <c r="E5705" t="s">
        <v>98</v>
      </c>
    </row>
    <row r="5706" spans="1:5" x14ac:dyDescent="0.25">
      <c r="A5706" t="s">
        <v>75</v>
      </c>
      <c r="B5706">
        <v>2016</v>
      </c>
      <c r="C5706" t="s">
        <v>6</v>
      </c>
      <c r="D5706">
        <v>7792828</v>
      </c>
      <c r="E5706" t="s">
        <v>98</v>
      </c>
    </row>
    <row r="5707" spans="1:5" x14ac:dyDescent="0.25">
      <c r="A5707" t="s">
        <v>75</v>
      </c>
      <c r="B5707">
        <v>2017</v>
      </c>
      <c r="C5707" t="s">
        <v>6</v>
      </c>
      <c r="D5707">
        <v>10347417.403999999</v>
      </c>
      <c r="E5707" t="s">
        <v>98</v>
      </c>
    </row>
    <row r="5708" spans="1:5" x14ac:dyDescent="0.25">
      <c r="A5708" t="s">
        <v>75</v>
      </c>
      <c r="B5708">
        <v>2018</v>
      </c>
      <c r="C5708" t="s">
        <v>6</v>
      </c>
      <c r="D5708">
        <v>3726062</v>
      </c>
      <c r="E5708" t="s">
        <v>98</v>
      </c>
    </row>
    <row r="5709" spans="1:5" x14ac:dyDescent="0.25">
      <c r="A5709" t="s">
        <v>75</v>
      </c>
      <c r="B5709">
        <v>2019</v>
      </c>
      <c r="C5709" t="s">
        <v>6</v>
      </c>
      <c r="D5709">
        <v>4140445.787</v>
      </c>
      <c r="E5709" t="s">
        <v>98</v>
      </c>
    </row>
    <row r="5710" spans="1:5" x14ac:dyDescent="0.25">
      <c r="A5710" t="s">
        <v>75</v>
      </c>
      <c r="B5710">
        <v>2020</v>
      </c>
      <c r="C5710" t="s">
        <v>6</v>
      </c>
      <c r="D5710">
        <v>5724028</v>
      </c>
      <c r="E5710" t="s">
        <v>98</v>
      </c>
    </row>
    <row r="5711" spans="1:5" x14ac:dyDescent="0.25">
      <c r="A5711" t="s">
        <v>75</v>
      </c>
      <c r="B5711">
        <v>2021</v>
      </c>
      <c r="C5711" t="s">
        <v>6</v>
      </c>
      <c r="D5711">
        <v>4312057</v>
      </c>
      <c r="E5711" t="s">
        <v>98</v>
      </c>
    </row>
    <row r="5712" spans="1:5" x14ac:dyDescent="0.25">
      <c r="A5712" t="s">
        <v>75</v>
      </c>
      <c r="B5712">
        <v>2022</v>
      </c>
      <c r="C5712" t="s">
        <v>6</v>
      </c>
      <c r="D5712">
        <v>3896291.4750000001</v>
      </c>
      <c r="E5712" t="s">
        <v>98</v>
      </c>
    </row>
    <row r="5713" spans="1:5" x14ac:dyDescent="0.25">
      <c r="A5713" t="s">
        <v>75</v>
      </c>
      <c r="B5713">
        <v>2023</v>
      </c>
      <c r="C5713" t="s">
        <v>6</v>
      </c>
      <c r="D5713">
        <v>3848308.3390000002</v>
      </c>
      <c r="E5713" t="s">
        <v>98</v>
      </c>
    </row>
    <row r="5714" spans="1:5" x14ac:dyDescent="0.25">
      <c r="A5714" t="s">
        <v>75</v>
      </c>
      <c r="B5714">
        <v>2024</v>
      </c>
      <c r="C5714" t="s">
        <v>6</v>
      </c>
      <c r="D5714">
        <v>6700163.8099999996</v>
      </c>
      <c r="E5714" t="s">
        <v>98</v>
      </c>
    </row>
    <row r="5715" spans="1:5" x14ac:dyDescent="0.25">
      <c r="A5715" t="s">
        <v>75</v>
      </c>
      <c r="B5715">
        <v>2025</v>
      </c>
      <c r="C5715" t="s">
        <v>6</v>
      </c>
      <c r="D5715">
        <v>7555045.9349999996</v>
      </c>
      <c r="E5715" t="s">
        <v>98</v>
      </c>
    </row>
    <row r="5716" spans="1:5" x14ac:dyDescent="0.25">
      <c r="A5716" t="s">
        <v>91</v>
      </c>
      <c r="B5716">
        <v>2017</v>
      </c>
      <c r="C5716" t="s">
        <v>6</v>
      </c>
      <c r="D5716">
        <v>20799386.383000001</v>
      </c>
      <c r="E5716" t="s">
        <v>98</v>
      </c>
    </row>
    <row r="5717" spans="1:5" x14ac:dyDescent="0.25">
      <c r="A5717" t="s">
        <v>91</v>
      </c>
      <c r="B5717">
        <v>2018</v>
      </c>
      <c r="C5717" t="s">
        <v>6</v>
      </c>
      <c r="D5717">
        <v>23111893.201000001</v>
      </c>
      <c r="E5717" t="s">
        <v>98</v>
      </c>
    </row>
    <row r="5718" spans="1:5" x14ac:dyDescent="0.25">
      <c r="A5718" t="s">
        <v>91</v>
      </c>
      <c r="B5718">
        <v>2019</v>
      </c>
      <c r="C5718" t="s">
        <v>6</v>
      </c>
      <c r="D5718">
        <v>21614898.274999999</v>
      </c>
      <c r="E5718" t="s">
        <v>98</v>
      </c>
    </row>
    <row r="5719" spans="1:5" x14ac:dyDescent="0.25">
      <c r="A5719" t="s">
        <v>91</v>
      </c>
      <c r="B5719">
        <v>2020</v>
      </c>
      <c r="C5719" t="s">
        <v>6</v>
      </c>
      <c r="D5719">
        <v>19550345.579999998</v>
      </c>
      <c r="E5719" t="s">
        <v>98</v>
      </c>
    </row>
    <row r="5720" spans="1:5" x14ac:dyDescent="0.25">
      <c r="A5720" t="s">
        <v>91</v>
      </c>
      <c r="B5720">
        <v>2021</v>
      </c>
      <c r="C5720" t="s">
        <v>6</v>
      </c>
      <c r="D5720">
        <v>22589314.919</v>
      </c>
      <c r="E5720" t="s">
        <v>98</v>
      </c>
    </row>
    <row r="5721" spans="1:5" x14ac:dyDescent="0.25">
      <c r="A5721" t="s">
        <v>91</v>
      </c>
      <c r="B5721">
        <v>2022</v>
      </c>
      <c r="C5721" t="s">
        <v>6</v>
      </c>
      <c r="D5721">
        <v>24335617.145</v>
      </c>
      <c r="E5721" t="s">
        <v>98</v>
      </c>
    </row>
    <row r="5722" spans="1:5" x14ac:dyDescent="0.25">
      <c r="A5722" t="s">
        <v>91</v>
      </c>
      <c r="B5722">
        <v>2023</v>
      </c>
      <c r="C5722" t="s">
        <v>6</v>
      </c>
      <c r="D5722">
        <v>22159757.395</v>
      </c>
      <c r="E5722" t="s">
        <v>98</v>
      </c>
    </row>
    <row r="5723" spans="1:5" x14ac:dyDescent="0.25">
      <c r="A5723" t="s">
        <v>91</v>
      </c>
      <c r="B5723">
        <v>2024</v>
      </c>
      <c r="C5723" t="s">
        <v>6</v>
      </c>
      <c r="D5723">
        <v>35565649.421999998</v>
      </c>
      <c r="E5723" t="s">
        <v>98</v>
      </c>
    </row>
    <row r="5724" spans="1:5" x14ac:dyDescent="0.25">
      <c r="A5724" t="s">
        <v>91</v>
      </c>
      <c r="B5724">
        <v>2025</v>
      </c>
      <c r="C5724" t="s">
        <v>6</v>
      </c>
      <c r="D5724">
        <v>19493269.101</v>
      </c>
      <c r="E5724" t="s">
        <v>98</v>
      </c>
    </row>
    <row r="5725" spans="1:5" x14ac:dyDescent="0.25">
      <c r="A5725" t="s">
        <v>29</v>
      </c>
      <c r="B5725">
        <v>2000</v>
      </c>
      <c r="C5725" t="s">
        <v>6</v>
      </c>
      <c r="D5725">
        <v>64582156</v>
      </c>
      <c r="E5725" t="s">
        <v>98</v>
      </c>
    </row>
    <row r="5726" spans="1:5" x14ac:dyDescent="0.25">
      <c r="A5726" t="s">
        <v>29</v>
      </c>
      <c r="B5726">
        <v>2001</v>
      </c>
      <c r="C5726" t="s">
        <v>6</v>
      </c>
      <c r="D5726">
        <v>71955036</v>
      </c>
      <c r="E5726" t="s">
        <v>98</v>
      </c>
    </row>
    <row r="5727" spans="1:5" x14ac:dyDescent="0.25">
      <c r="A5727" t="s">
        <v>29</v>
      </c>
      <c r="B5727">
        <v>2002</v>
      </c>
      <c r="C5727" t="s">
        <v>6</v>
      </c>
      <c r="D5727">
        <v>84109703</v>
      </c>
      <c r="E5727" t="s">
        <v>98</v>
      </c>
    </row>
    <row r="5728" spans="1:5" x14ac:dyDescent="0.25">
      <c r="A5728" t="s">
        <v>29</v>
      </c>
      <c r="B5728">
        <v>2003</v>
      </c>
      <c r="C5728" t="s">
        <v>6</v>
      </c>
      <c r="D5728">
        <v>95103627</v>
      </c>
      <c r="E5728" t="s">
        <v>98</v>
      </c>
    </row>
    <row r="5729" spans="1:5" x14ac:dyDescent="0.25">
      <c r="A5729" t="s">
        <v>29</v>
      </c>
      <c r="B5729">
        <v>2004</v>
      </c>
      <c r="C5729" t="s">
        <v>6</v>
      </c>
      <c r="D5729">
        <v>97784026</v>
      </c>
      <c r="E5729" t="s">
        <v>98</v>
      </c>
    </row>
    <row r="5730" spans="1:5" x14ac:dyDescent="0.25">
      <c r="A5730" t="s">
        <v>29</v>
      </c>
      <c r="B5730">
        <v>2005</v>
      </c>
      <c r="C5730" t="s">
        <v>6</v>
      </c>
      <c r="D5730">
        <v>100447495</v>
      </c>
      <c r="E5730" t="s">
        <v>98</v>
      </c>
    </row>
    <row r="5731" spans="1:5" x14ac:dyDescent="0.25">
      <c r="A5731" t="s">
        <v>29</v>
      </c>
      <c r="B5731">
        <v>2006</v>
      </c>
      <c r="C5731" t="s">
        <v>6</v>
      </c>
      <c r="D5731">
        <v>101954096</v>
      </c>
      <c r="E5731" t="s">
        <v>98</v>
      </c>
    </row>
    <row r="5732" spans="1:5" x14ac:dyDescent="0.25">
      <c r="A5732" t="s">
        <v>29</v>
      </c>
      <c r="B5732">
        <v>2007</v>
      </c>
      <c r="C5732" t="s">
        <v>6</v>
      </c>
      <c r="D5732">
        <v>107019362</v>
      </c>
      <c r="E5732" t="s">
        <v>98</v>
      </c>
    </row>
    <row r="5733" spans="1:5" x14ac:dyDescent="0.25">
      <c r="A5733" t="s">
        <v>29</v>
      </c>
      <c r="B5733">
        <v>2008</v>
      </c>
      <c r="C5733" t="s">
        <v>6</v>
      </c>
      <c r="D5733">
        <v>107884550</v>
      </c>
      <c r="E5733" t="s">
        <v>98</v>
      </c>
    </row>
    <row r="5734" spans="1:5" x14ac:dyDescent="0.25">
      <c r="A5734" t="s">
        <v>29</v>
      </c>
      <c r="B5734">
        <v>2009</v>
      </c>
      <c r="C5734" t="s">
        <v>6</v>
      </c>
      <c r="D5734">
        <v>111347884</v>
      </c>
      <c r="E5734" t="s">
        <v>98</v>
      </c>
    </row>
    <row r="5735" spans="1:5" x14ac:dyDescent="0.25">
      <c r="A5735" t="s">
        <v>29</v>
      </c>
      <c r="B5735">
        <v>2010</v>
      </c>
      <c r="C5735" t="s">
        <v>6</v>
      </c>
      <c r="D5735">
        <v>93759300</v>
      </c>
      <c r="E5735" t="s">
        <v>98</v>
      </c>
    </row>
    <row r="5736" spans="1:5" x14ac:dyDescent="0.25">
      <c r="A5736" t="s">
        <v>29</v>
      </c>
      <c r="B5736">
        <v>2011</v>
      </c>
      <c r="C5736" t="s">
        <v>6</v>
      </c>
      <c r="D5736">
        <v>101628600</v>
      </c>
      <c r="E5736" t="s">
        <v>98</v>
      </c>
    </row>
    <row r="5737" spans="1:5" x14ac:dyDescent="0.25">
      <c r="A5737" t="s">
        <v>29</v>
      </c>
      <c r="B5737">
        <v>2012</v>
      </c>
      <c r="C5737" t="s">
        <v>6</v>
      </c>
      <c r="D5737">
        <v>105185000</v>
      </c>
      <c r="E5737" t="s">
        <v>98</v>
      </c>
    </row>
    <row r="5738" spans="1:5" x14ac:dyDescent="0.25">
      <c r="A5738" t="s">
        <v>29</v>
      </c>
      <c r="B5738">
        <v>2013</v>
      </c>
      <c r="C5738" t="s">
        <v>6</v>
      </c>
      <c r="D5738">
        <v>107099700</v>
      </c>
      <c r="E5738" t="s">
        <v>98</v>
      </c>
    </row>
    <row r="5739" spans="1:5" x14ac:dyDescent="0.25">
      <c r="A5739" t="s">
        <v>29</v>
      </c>
      <c r="B5739">
        <v>2014</v>
      </c>
      <c r="C5739" t="s">
        <v>6</v>
      </c>
      <c r="D5739">
        <v>122439158</v>
      </c>
      <c r="E5739" t="s">
        <v>98</v>
      </c>
    </row>
    <row r="5740" spans="1:5" x14ac:dyDescent="0.25">
      <c r="A5740" t="s">
        <v>29</v>
      </c>
      <c r="B5740">
        <v>2015</v>
      </c>
      <c r="C5740" t="s">
        <v>6</v>
      </c>
      <c r="D5740">
        <v>105937566</v>
      </c>
      <c r="E5740" t="s">
        <v>98</v>
      </c>
    </row>
    <row r="5741" spans="1:5" x14ac:dyDescent="0.25">
      <c r="A5741" t="s">
        <v>29</v>
      </c>
      <c r="B5741">
        <v>2016</v>
      </c>
      <c r="C5741" t="s">
        <v>6</v>
      </c>
      <c r="D5741">
        <v>114934566</v>
      </c>
      <c r="E5741" t="s">
        <v>98</v>
      </c>
    </row>
    <row r="5742" spans="1:5" x14ac:dyDescent="0.25">
      <c r="A5742" t="s">
        <v>29</v>
      </c>
      <c r="B5742">
        <v>2017</v>
      </c>
      <c r="C5742" t="s">
        <v>6</v>
      </c>
      <c r="D5742">
        <v>129757233</v>
      </c>
      <c r="E5742" t="s">
        <v>98</v>
      </c>
    </row>
    <row r="5743" spans="1:5" x14ac:dyDescent="0.25">
      <c r="A5743" t="s">
        <v>29</v>
      </c>
      <c r="B5743">
        <v>2018</v>
      </c>
      <c r="C5743" t="s">
        <v>6</v>
      </c>
      <c r="D5743">
        <v>129194968</v>
      </c>
      <c r="E5743" t="s">
        <v>98</v>
      </c>
    </row>
    <row r="5744" spans="1:5" x14ac:dyDescent="0.25">
      <c r="A5744" t="s">
        <v>29</v>
      </c>
      <c r="B5744">
        <v>2019</v>
      </c>
      <c r="C5744" t="s">
        <v>6</v>
      </c>
      <c r="D5744">
        <v>118361590</v>
      </c>
      <c r="E5744" t="s">
        <v>98</v>
      </c>
    </row>
    <row r="5745" spans="1:5" x14ac:dyDescent="0.25">
      <c r="A5745" t="s">
        <v>29</v>
      </c>
      <c r="B5745">
        <v>2020</v>
      </c>
      <c r="C5745" t="s">
        <v>6</v>
      </c>
      <c r="D5745">
        <v>125693560</v>
      </c>
      <c r="E5745" t="s">
        <v>98</v>
      </c>
    </row>
    <row r="5746" spans="1:5" x14ac:dyDescent="0.25">
      <c r="A5746" t="s">
        <v>29</v>
      </c>
      <c r="B5746">
        <v>2021</v>
      </c>
      <c r="C5746" t="s">
        <v>6</v>
      </c>
      <c r="D5746">
        <v>121426027</v>
      </c>
      <c r="E5746" t="s">
        <v>98</v>
      </c>
    </row>
    <row r="5747" spans="1:5" x14ac:dyDescent="0.25">
      <c r="A5747" t="s">
        <v>29</v>
      </c>
      <c r="B5747">
        <v>2022</v>
      </c>
      <c r="C5747" t="s">
        <v>6</v>
      </c>
      <c r="D5747">
        <v>130590752</v>
      </c>
      <c r="E5747" t="s">
        <v>98</v>
      </c>
    </row>
    <row r="5748" spans="1:5" x14ac:dyDescent="0.25">
      <c r="A5748" t="s">
        <v>29</v>
      </c>
      <c r="B5748">
        <v>2023</v>
      </c>
      <c r="C5748" t="s">
        <v>6</v>
      </c>
      <c r="D5748">
        <v>134686154.64300001</v>
      </c>
      <c r="E5748" t="s">
        <v>98</v>
      </c>
    </row>
    <row r="5749" spans="1:5" x14ac:dyDescent="0.25">
      <c r="A5749" t="s">
        <v>29</v>
      </c>
      <c r="B5749">
        <v>2024</v>
      </c>
      <c r="C5749" t="s">
        <v>6</v>
      </c>
      <c r="D5749">
        <v>127683754</v>
      </c>
      <c r="E5749" t="s">
        <v>98</v>
      </c>
    </row>
    <row r="5750" spans="1:5" x14ac:dyDescent="0.25">
      <c r="A5750" t="s">
        <v>29</v>
      </c>
      <c r="B5750">
        <v>2025</v>
      </c>
      <c r="C5750" t="s">
        <v>6</v>
      </c>
      <c r="D5750">
        <v>111326346</v>
      </c>
      <c r="E5750" t="s">
        <v>98</v>
      </c>
    </row>
    <row r="5751" spans="1:5" x14ac:dyDescent="0.25">
      <c r="A5751" t="s">
        <v>74</v>
      </c>
      <c r="B5751">
        <v>2010</v>
      </c>
      <c r="C5751" t="s">
        <v>6</v>
      </c>
      <c r="D5751">
        <v>47383037</v>
      </c>
      <c r="E5751" t="s">
        <v>98</v>
      </c>
    </row>
    <row r="5752" spans="1:5" x14ac:dyDescent="0.25">
      <c r="A5752" t="s">
        <v>74</v>
      </c>
      <c r="B5752">
        <v>2011</v>
      </c>
      <c r="C5752" t="s">
        <v>6</v>
      </c>
      <c r="D5752">
        <v>52959352</v>
      </c>
      <c r="E5752" t="s">
        <v>98</v>
      </c>
    </row>
    <row r="5753" spans="1:5" x14ac:dyDescent="0.25">
      <c r="A5753" t="s">
        <v>74</v>
      </c>
      <c r="B5753">
        <v>2012</v>
      </c>
      <c r="C5753" t="s">
        <v>6</v>
      </c>
      <c r="D5753">
        <v>55876365</v>
      </c>
      <c r="E5753" t="s">
        <v>98</v>
      </c>
    </row>
    <row r="5754" spans="1:5" x14ac:dyDescent="0.25">
      <c r="A5754" t="s">
        <v>74</v>
      </c>
      <c r="B5754">
        <v>2013</v>
      </c>
      <c r="C5754" t="s">
        <v>6</v>
      </c>
      <c r="D5754">
        <v>53630096</v>
      </c>
      <c r="E5754" t="s">
        <v>98</v>
      </c>
    </row>
    <row r="5755" spans="1:5" x14ac:dyDescent="0.25">
      <c r="A5755" t="s">
        <v>74</v>
      </c>
      <c r="B5755">
        <v>2014</v>
      </c>
      <c r="C5755" t="s">
        <v>6</v>
      </c>
      <c r="D5755">
        <v>54256132</v>
      </c>
      <c r="E5755" t="s">
        <v>98</v>
      </c>
    </row>
    <row r="5756" spans="1:5" x14ac:dyDescent="0.25">
      <c r="A5756" t="s">
        <v>74</v>
      </c>
      <c r="B5756">
        <v>2015</v>
      </c>
      <c r="C5756" t="s">
        <v>6</v>
      </c>
      <c r="D5756">
        <v>54538059</v>
      </c>
      <c r="E5756" t="s">
        <v>98</v>
      </c>
    </row>
    <row r="5757" spans="1:5" x14ac:dyDescent="0.25">
      <c r="A5757" t="s">
        <v>74</v>
      </c>
      <c r="B5757">
        <v>2016</v>
      </c>
      <c r="C5757" t="s">
        <v>6</v>
      </c>
      <c r="D5757">
        <v>60396894</v>
      </c>
      <c r="E5757" t="s">
        <v>98</v>
      </c>
    </row>
    <row r="5758" spans="1:5" x14ac:dyDescent="0.25">
      <c r="A5758" t="s">
        <v>74</v>
      </c>
      <c r="B5758">
        <v>2017</v>
      </c>
      <c r="C5758" t="s">
        <v>6</v>
      </c>
      <c r="D5758">
        <v>62962088</v>
      </c>
      <c r="E5758" t="s">
        <v>98</v>
      </c>
    </row>
    <row r="5759" spans="1:5" x14ac:dyDescent="0.25">
      <c r="A5759" t="s">
        <v>74</v>
      </c>
      <c r="B5759">
        <v>2018</v>
      </c>
      <c r="C5759" t="s">
        <v>6</v>
      </c>
      <c r="D5759">
        <v>65202884</v>
      </c>
      <c r="E5759" t="s">
        <v>98</v>
      </c>
    </row>
    <row r="5760" spans="1:5" x14ac:dyDescent="0.25">
      <c r="A5760" t="s">
        <v>74</v>
      </c>
      <c r="B5760">
        <v>2019</v>
      </c>
      <c r="C5760" t="s">
        <v>6</v>
      </c>
      <c r="D5760">
        <v>65090656</v>
      </c>
      <c r="E5760" t="s">
        <v>98</v>
      </c>
    </row>
    <row r="5761" spans="1:5" x14ac:dyDescent="0.25">
      <c r="A5761" t="s">
        <v>74</v>
      </c>
      <c r="B5761">
        <v>2020</v>
      </c>
      <c r="C5761" t="s">
        <v>6</v>
      </c>
      <c r="D5761">
        <v>67216744</v>
      </c>
      <c r="E5761" t="s">
        <v>98</v>
      </c>
    </row>
    <row r="5762" spans="1:5" x14ac:dyDescent="0.25">
      <c r="A5762" t="s">
        <v>74</v>
      </c>
      <c r="B5762">
        <v>2021</v>
      </c>
      <c r="C5762" t="s">
        <v>6</v>
      </c>
      <c r="D5762">
        <v>66593779</v>
      </c>
      <c r="E5762" t="s">
        <v>98</v>
      </c>
    </row>
    <row r="5763" spans="1:5" x14ac:dyDescent="0.25">
      <c r="A5763" t="s">
        <v>74</v>
      </c>
      <c r="B5763">
        <v>2022</v>
      </c>
      <c r="C5763" t="s">
        <v>6</v>
      </c>
      <c r="D5763">
        <v>68821369</v>
      </c>
      <c r="E5763" t="s">
        <v>98</v>
      </c>
    </row>
    <row r="5764" spans="1:5" x14ac:dyDescent="0.25">
      <c r="A5764" t="s">
        <v>74</v>
      </c>
      <c r="B5764">
        <v>2023</v>
      </c>
      <c r="C5764" t="s">
        <v>6</v>
      </c>
      <c r="D5764">
        <v>70253587</v>
      </c>
      <c r="E5764" t="s">
        <v>98</v>
      </c>
    </row>
    <row r="5765" spans="1:5" x14ac:dyDescent="0.25">
      <c r="A5765" t="s">
        <v>74</v>
      </c>
      <c r="B5765">
        <v>2024</v>
      </c>
      <c r="C5765" t="s">
        <v>6</v>
      </c>
      <c r="D5765">
        <v>68633852</v>
      </c>
      <c r="E5765" t="s">
        <v>98</v>
      </c>
    </row>
    <row r="5766" spans="1:5" x14ac:dyDescent="0.25">
      <c r="A5766" t="s">
        <v>74</v>
      </c>
      <c r="B5766">
        <v>2025</v>
      </c>
      <c r="C5766" t="s">
        <v>6</v>
      </c>
      <c r="D5766">
        <v>63170616</v>
      </c>
      <c r="E5766" t="s">
        <v>98</v>
      </c>
    </row>
    <row r="5767" spans="1:5" x14ac:dyDescent="0.25">
      <c r="A5767" t="s">
        <v>114</v>
      </c>
      <c r="B5767">
        <v>2010</v>
      </c>
      <c r="C5767" t="s">
        <v>6</v>
      </c>
      <c r="D5767">
        <v>7793359.9000000004</v>
      </c>
      <c r="E5767" t="s">
        <v>98</v>
      </c>
    </row>
    <row r="5768" spans="1:5" x14ac:dyDescent="0.25">
      <c r="A5768" t="s">
        <v>114</v>
      </c>
      <c r="B5768">
        <v>2011</v>
      </c>
      <c r="C5768" t="s">
        <v>6</v>
      </c>
      <c r="D5768">
        <v>5388531.2800000003</v>
      </c>
      <c r="E5768" t="s">
        <v>98</v>
      </c>
    </row>
    <row r="5769" spans="1:5" x14ac:dyDescent="0.25">
      <c r="A5769" t="s">
        <v>114</v>
      </c>
      <c r="B5769">
        <v>2012</v>
      </c>
      <c r="C5769" t="s">
        <v>6</v>
      </c>
      <c r="D5769">
        <v>6775137.8600000003</v>
      </c>
      <c r="E5769" t="s">
        <v>98</v>
      </c>
    </row>
    <row r="5770" spans="1:5" x14ac:dyDescent="0.25">
      <c r="A5770" t="s">
        <v>114</v>
      </c>
      <c r="B5770">
        <v>2013</v>
      </c>
      <c r="C5770" t="s">
        <v>6</v>
      </c>
      <c r="D5770">
        <v>6821492.9000000004</v>
      </c>
      <c r="E5770" t="s">
        <v>98</v>
      </c>
    </row>
    <row r="5771" spans="1:5" x14ac:dyDescent="0.25">
      <c r="A5771" t="s">
        <v>114</v>
      </c>
      <c r="B5771">
        <v>2017</v>
      </c>
      <c r="C5771" t="s">
        <v>6</v>
      </c>
      <c r="D5771">
        <v>10625776.789999999</v>
      </c>
      <c r="E5771" t="s">
        <v>98</v>
      </c>
    </row>
    <row r="5772" spans="1:5" x14ac:dyDescent="0.25">
      <c r="A5772" t="s">
        <v>114</v>
      </c>
      <c r="B5772">
        <v>2022</v>
      </c>
      <c r="C5772" t="s">
        <v>6</v>
      </c>
      <c r="D5772">
        <v>8815492.9100000001</v>
      </c>
      <c r="E5772" t="s">
        <v>98</v>
      </c>
    </row>
    <row r="5773" spans="1:5" x14ac:dyDescent="0.25">
      <c r="A5773" t="s">
        <v>113</v>
      </c>
      <c r="B5773">
        <v>2023</v>
      </c>
      <c r="C5773" t="s">
        <v>6</v>
      </c>
      <c r="D5773">
        <v>1860028.57</v>
      </c>
      <c r="E5773" t="s">
        <v>98</v>
      </c>
    </row>
    <row r="5774" spans="1:5" x14ac:dyDescent="0.25">
      <c r="A5774" t="s">
        <v>30</v>
      </c>
      <c r="B5774">
        <v>2015</v>
      </c>
      <c r="C5774" t="s">
        <v>6</v>
      </c>
      <c r="D5774">
        <v>5363449</v>
      </c>
      <c r="E5774" t="s">
        <v>98</v>
      </c>
    </row>
    <row r="5775" spans="1:5" x14ac:dyDescent="0.25">
      <c r="A5775" t="s">
        <v>30</v>
      </c>
      <c r="B5775">
        <v>2016</v>
      </c>
      <c r="C5775" t="s">
        <v>6</v>
      </c>
      <c r="D5775">
        <v>4848021</v>
      </c>
      <c r="E5775" t="s">
        <v>98</v>
      </c>
    </row>
    <row r="5776" spans="1:5" x14ac:dyDescent="0.25">
      <c r="A5776" t="s">
        <v>30</v>
      </c>
      <c r="B5776">
        <v>2017</v>
      </c>
      <c r="C5776" t="s">
        <v>6</v>
      </c>
      <c r="D5776">
        <v>6174757.4199999999</v>
      </c>
      <c r="E5776" t="s">
        <v>98</v>
      </c>
    </row>
    <row r="5777" spans="1:5" x14ac:dyDescent="0.25">
      <c r="A5777" t="s">
        <v>30</v>
      </c>
      <c r="B5777">
        <v>2021</v>
      </c>
      <c r="C5777" t="s">
        <v>6</v>
      </c>
      <c r="D5777">
        <v>4389667.71</v>
      </c>
      <c r="E5777" t="s">
        <v>98</v>
      </c>
    </row>
    <row r="5778" spans="1:5" x14ac:dyDescent="0.25">
      <c r="A5778" t="s">
        <v>30</v>
      </c>
      <c r="B5778">
        <v>2022</v>
      </c>
      <c r="C5778" t="s">
        <v>6</v>
      </c>
      <c r="D5778">
        <v>4572148.2319999998</v>
      </c>
      <c r="E5778" t="s">
        <v>98</v>
      </c>
    </row>
    <row r="5779" spans="1:5" x14ac:dyDescent="0.25">
      <c r="A5779" t="s">
        <v>30</v>
      </c>
      <c r="B5779">
        <v>2023</v>
      </c>
      <c r="C5779" t="s">
        <v>6</v>
      </c>
      <c r="D5779">
        <v>5977531.4450000003</v>
      </c>
      <c r="E5779" t="s">
        <v>98</v>
      </c>
    </row>
    <row r="5780" spans="1:5" x14ac:dyDescent="0.25">
      <c r="A5780" t="s">
        <v>30</v>
      </c>
      <c r="B5780">
        <v>2024</v>
      </c>
      <c r="C5780" t="s">
        <v>6</v>
      </c>
      <c r="D5780">
        <v>5028567.93</v>
      </c>
      <c r="E5780" t="s">
        <v>98</v>
      </c>
    </row>
    <row r="5781" spans="1:5" x14ac:dyDescent="0.25">
      <c r="A5781" t="s">
        <v>112</v>
      </c>
      <c r="B5781">
        <v>2011</v>
      </c>
      <c r="C5781" t="s">
        <v>6</v>
      </c>
      <c r="D5781">
        <v>1016920.25</v>
      </c>
      <c r="E5781" t="s">
        <v>98</v>
      </c>
    </row>
    <row r="5782" spans="1:5" x14ac:dyDescent="0.25">
      <c r="A5782" t="s">
        <v>112</v>
      </c>
      <c r="B5782">
        <v>2012</v>
      </c>
      <c r="C5782" t="s">
        <v>6</v>
      </c>
      <c r="D5782">
        <v>863920.88500000001</v>
      </c>
      <c r="E5782" t="s">
        <v>98</v>
      </c>
    </row>
    <row r="5783" spans="1:5" x14ac:dyDescent="0.25">
      <c r="A5783" t="s">
        <v>112</v>
      </c>
      <c r="B5783">
        <v>2013</v>
      </c>
      <c r="C5783" t="s">
        <v>6</v>
      </c>
      <c r="D5783">
        <v>1140180.422</v>
      </c>
      <c r="E5783" t="s">
        <v>98</v>
      </c>
    </row>
    <row r="5784" spans="1:5" x14ac:dyDescent="0.25">
      <c r="A5784" t="s">
        <v>112</v>
      </c>
      <c r="B5784">
        <v>2014</v>
      </c>
      <c r="C5784" t="s">
        <v>6</v>
      </c>
      <c r="D5784">
        <v>1028365.01</v>
      </c>
      <c r="E5784" t="s">
        <v>98</v>
      </c>
    </row>
    <row r="5785" spans="1:5" x14ac:dyDescent="0.25">
      <c r="A5785" t="s">
        <v>112</v>
      </c>
      <c r="B5785">
        <v>2015</v>
      </c>
      <c r="C5785" t="s">
        <v>6</v>
      </c>
      <c r="D5785">
        <v>1034798.12</v>
      </c>
      <c r="E5785" t="s">
        <v>98</v>
      </c>
    </row>
    <row r="5786" spans="1:5" x14ac:dyDescent="0.25">
      <c r="A5786" t="s">
        <v>112</v>
      </c>
      <c r="B5786">
        <v>2016</v>
      </c>
      <c r="C5786" t="s">
        <v>6</v>
      </c>
      <c r="D5786">
        <v>959915.1</v>
      </c>
      <c r="E5786" t="s">
        <v>98</v>
      </c>
    </row>
    <row r="5787" spans="1:5" x14ac:dyDescent="0.25">
      <c r="A5787" t="s">
        <v>112</v>
      </c>
      <c r="B5787">
        <v>2017</v>
      </c>
      <c r="C5787" t="s">
        <v>6</v>
      </c>
      <c r="D5787">
        <v>1019580.48</v>
      </c>
      <c r="E5787" t="s">
        <v>98</v>
      </c>
    </row>
    <row r="5788" spans="1:5" x14ac:dyDescent="0.25">
      <c r="A5788" t="s">
        <v>112</v>
      </c>
      <c r="B5788">
        <v>2018</v>
      </c>
      <c r="C5788" t="s">
        <v>6</v>
      </c>
      <c r="D5788">
        <v>941080.68</v>
      </c>
      <c r="E5788" t="s">
        <v>98</v>
      </c>
    </row>
    <row r="5789" spans="1:5" x14ac:dyDescent="0.25">
      <c r="A5789" t="s">
        <v>112</v>
      </c>
      <c r="B5789">
        <v>2019</v>
      </c>
      <c r="C5789" t="s">
        <v>6</v>
      </c>
      <c r="D5789">
        <v>978795</v>
      </c>
      <c r="E5789" t="s">
        <v>98</v>
      </c>
    </row>
    <row r="5790" spans="1:5" x14ac:dyDescent="0.25">
      <c r="A5790" t="s">
        <v>32</v>
      </c>
      <c r="B5790">
        <v>2013</v>
      </c>
      <c r="C5790" t="s">
        <v>6</v>
      </c>
      <c r="D5790">
        <v>125214976</v>
      </c>
      <c r="E5790" t="s">
        <v>98</v>
      </c>
    </row>
    <row r="5791" spans="1:5" x14ac:dyDescent="0.25">
      <c r="A5791" t="s">
        <v>72</v>
      </c>
      <c r="B5791">
        <v>2011</v>
      </c>
      <c r="C5791" t="s">
        <v>6</v>
      </c>
      <c r="D5791">
        <v>2765808.4</v>
      </c>
      <c r="E5791" t="s">
        <v>98</v>
      </c>
    </row>
    <row r="5792" spans="1:5" x14ac:dyDescent="0.25">
      <c r="A5792" t="s">
        <v>72</v>
      </c>
      <c r="B5792">
        <v>2012</v>
      </c>
      <c r="C5792" t="s">
        <v>6</v>
      </c>
      <c r="D5792">
        <v>3642616.38</v>
      </c>
      <c r="E5792" t="s">
        <v>98</v>
      </c>
    </row>
    <row r="5793" spans="1:5" x14ac:dyDescent="0.25">
      <c r="A5793" t="s">
        <v>72</v>
      </c>
      <c r="B5793">
        <v>2013</v>
      </c>
      <c r="C5793" t="s">
        <v>6</v>
      </c>
      <c r="D5793">
        <v>3666503.45</v>
      </c>
      <c r="E5793" t="s">
        <v>98</v>
      </c>
    </row>
    <row r="5794" spans="1:5" x14ac:dyDescent="0.25">
      <c r="A5794" t="s">
        <v>72</v>
      </c>
      <c r="B5794">
        <v>2014</v>
      </c>
      <c r="C5794" t="s">
        <v>6</v>
      </c>
      <c r="D5794">
        <v>2769748.42</v>
      </c>
      <c r="E5794" t="s">
        <v>98</v>
      </c>
    </row>
    <row r="5795" spans="1:5" x14ac:dyDescent="0.25">
      <c r="A5795" t="s">
        <v>72</v>
      </c>
      <c r="B5795">
        <v>2015</v>
      </c>
      <c r="C5795" t="s">
        <v>6</v>
      </c>
      <c r="D5795">
        <v>3083297.92</v>
      </c>
      <c r="E5795" t="s">
        <v>98</v>
      </c>
    </row>
    <row r="5796" spans="1:5" x14ac:dyDescent="0.25">
      <c r="A5796" t="s">
        <v>72</v>
      </c>
      <c r="B5796">
        <v>2016</v>
      </c>
      <c r="C5796" t="s">
        <v>6</v>
      </c>
      <c r="D5796">
        <v>2709940.2</v>
      </c>
      <c r="E5796" t="s">
        <v>98</v>
      </c>
    </row>
    <row r="5797" spans="1:5" x14ac:dyDescent="0.25">
      <c r="A5797" t="s">
        <v>72</v>
      </c>
      <c r="B5797">
        <v>2017</v>
      </c>
      <c r="C5797" t="s">
        <v>6</v>
      </c>
      <c r="D5797">
        <v>2442506.44</v>
      </c>
      <c r="E5797" t="s">
        <v>98</v>
      </c>
    </row>
    <row r="5798" spans="1:5" x14ac:dyDescent="0.25">
      <c r="A5798" t="s">
        <v>72</v>
      </c>
      <c r="B5798">
        <v>2018</v>
      </c>
      <c r="C5798" t="s">
        <v>6</v>
      </c>
      <c r="D5798">
        <v>3202600.81</v>
      </c>
      <c r="E5798" t="s">
        <v>98</v>
      </c>
    </row>
    <row r="5799" spans="1:5" x14ac:dyDescent="0.25">
      <c r="A5799" t="s">
        <v>72</v>
      </c>
      <c r="B5799">
        <v>2019</v>
      </c>
      <c r="C5799" t="s">
        <v>6</v>
      </c>
      <c r="D5799">
        <v>3047576.28</v>
      </c>
      <c r="E5799" t="s">
        <v>98</v>
      </c>
    </row>
    <row r="5800" spans="1:5" x14ac:dyDescent="0.25">
      <c r="A5800" t="s">
        <v>72</v>
      </c>
      <c r="B5800">
        <v>2020</v>
      </c>
      <c r="C5800" t="s">
        <v>6</v>
      </c>
      <c r="D5800">
        <v>3325832.31</v>
      </c>
      <c r="E5800" t="s">
        <v>98</v>
      </c>
    </row>
    <row r="5801" spans="1:5" x14ac:dyDescent="0.25">
      <c r="A5801" t="s">
        <v>72</v>
      </c>
      <c r="B5801">
        <v>2021</v>
      </c>
      <c r="C5801" t="s">
        <v>6</v>
      </c>
      <c r="D5801">
        <v>3488028.03</v>
      </c>
      <c r="E5801" t="s">
        <v>98</v>
      </c>
    </row>
    <row r="5802" spans="1:5" x14ac:dyDescent="0.25">
      <c r="A5802" t="s">
        <v>72</v>
      </c>
      <c r="B5802">
        <v>2022</v>
      </c>
      <c r="C5802" t="s">
        <v>6</v>
      </c>
      <c r="D5802">
        <v>4474655.93</v>
      </c>
      <c r="E5802" t="s">
        <v>98</v>
      </c>
    </row>
    <row r="5803" spans="1:5" x14ac:dyDescent="0.25">
      <c r="A5803" t="s">
        <v>72</v>
      </c>
      <c r="B5803">
        <v>2023</v>
      </c>
      <c r="C5803" t="s">
        <v>6</v>
      </c>
      <c r="D5803">
        <v>4727338.5690000001</v>
      </c>
      <c r="E5803" t="s">
        <v>98</v>
      </c>
    </row>
    <row r="5804" spans="1:5" x14ac:dyDescent="0.25">
      <c r="A5804" t="s">
        <v>72</v>
      </c>
      <c r="B5804">
        <v>2024</v>
      </c>
      <c r="C5804" t="s">
        <v>6</v>
      </c>
      <c r="D5804">
        <v>8105722.1299999999</v>
      </c>
      <c r="E5804" t="s">
        <v>98</v>
      </c>
    </row>
    <row r="5805" spans="1:5" x14ac:dyDescent="0.25">
      <c r="A5805" t="s">
        <v>72</v>
      </c>
      <c r="B5805">
        <v>2025</v>
      </c>
      <c r="C5805" t="s">
        <v>6</v>
      </c>
      <c r="D5805">
        <v>5370370.3480000002</v>
      </c>
      <c r="E5805" t="s">
        <v>98</v>
      </c>
    </row>
    <row r="5806" spans="1:5" x14ac:dyDescent="0.25">
      <c r="A5806" t="s">
        <v>71</v>
      </c>
      <c r="B5806">
        <v>2010</v>
      </c>
      <c r="C5806" t="s">
        <v>6</v>
      </c>
      <c r="D5806">
        <v>1622800</v>
      </c>
      <c r="E5806" t="s">
        <v>98</v>
      </c>
    </row>
    <row r="5807" spans="1:5" x14ac:dyDescent="0.25">
      <c r="A5807" t="s">
        <v>71</v>
      </c>
      <c r="B5807">
        <v>2011</v>
      </c>
      <c r="C5807" t="s">
        <v>6</v>
      </c>
      <c r="D5807">
        <v>1402700</v>
      </c>
      <c r="E5807" t="s">
        <v>98</v>
      </c>
    </row>
    <row r="5808" spans="1:5" x14ac:dyDescent="0.25">
      <c r="A5808" t="s">
        <v>71</v>
      </c>
      <c r="B5808">
        <v>2012</v>
      </c>
      <c r="C5808" t="s">
        <v>6</v>
      </c>
      <c r="D5808">
        <v>1726100</v>
      </c>
      <c r="E5808" t="s">
        <v>98</v>
      </c>
    </row>
    <row r="5809" spans="1:5" x14ac:dyDescent="0.25">
      <c r="A5809" t="s">
        <v>71</v>
      </c>
      <c r="B5809">
        <v>2013</v>
      </c>
      <c r="C5809" t="s">
        <v>6</v>
      </c>
      <c r="D5809">
        <v>1469000</v>
      </c>
      <c r="E5809" t="s">
        <v>98</v>
      </c>
    </row>
    <row r="5810" spans="1:5" x14ac:dyDescent="0.25">
      <c r="A5810" t="s">
        <v>71</v>
      </c>
      <c r="B5810">
        <v>2014</v>
      </c>
      <c r="C5810" t="s">
        <v>6</v>
      </c>
      <c r="D5810">
        <v>2258300</v>
      </c>
      <c r="E5810" t="s">
        <v>98</v>
      </c>
    </row>
    <row r="5811" spans="1:5" x14ac:dyDescent="0.25">
      <c r="A5811" t="s">
        <v>71</v>
      </c>
      <c r="B5811">
        <v>2015</v>
      </c>
      <c r="C5811" t="s">
        <v>6</v>
      </c>
      <c r="D5811">
        <v>1889644</v>
      </c>
      <c r="E5811" t="s">
        <v>98</v>
      </c>
    </row>
    <row r="5812" spans="1:5" x14ac:dyDescent="0.25">
      <c r="A5812" t="s">
        <v>71</v>
      </c>
      <c r="B5812">
        <v>2016</v>
      </c>
      <c r="C5812" t="s">
        <v>6</v>
      </c>
      <c r="D5812">
        <v>1816077</v>
      </c>
      <c r="E5812" t="s">
        <v>98</v>
      </c>
    </row>
    <row r="5813" spans="1:5" x14ac:dyDescent="0.25">
      <c r="A5813" t="s">
        <v>71</v>
      </c>
      <c r="B5813">
        <v>2017</v>
      </c>
      <c r="C5813" t="s">
        <v>6</v>
      </c>
      <c r="D5813">
        <v>1297607</v>
      </c>
      <c r="E5813" t="s">
        <v>98</v>
      </c>
    </row>
    <row r="5814" spans="1:5" x14ac:dyDescent="0.25">
      <c r="A5814" t="s">
        <v>71</v>
      </c>
      <c r="B5814">
        <v>2019</v>
      </c>
      <c r="C5814" t="s">
        <v>6</v>
      </c>
      <c r="D5814">
        <v>2439160</v>
      </c>
      <c r="E5814" t="s">
        <v>98</v>
      </c>
    </row>
    <row r="5815" spans="1:5" x14ac:dyDescent="0.25">
      <c r="A5815" t="s">
        <v>71</v>
      </c>
      <c r="B5815">
        <v>2020</v>
      </c>
      <c r="C5815" t="s">
        <v>6</v>
      </c>
      <c r="D5815">
        <v>2099730</v>
      </c>
      <c r="E5815" t="s">
        <v>98</v>
      </c>
    </row>
    <row r="5816" spans="1:5" x14ac:dyDescent="0.25">
      <c r="A5816" t="s">
        <v>71</v>
      </c>
      <c r="B5816">
        <v>2021</v>
      </c>
      <c r="C5816" t="s">
        <v>6</v>
      </c>
      <c r="D5816">
        <v>1737932</v>
      </c>
      <c r="E5816" t="s">
        <v>98</v>
      </c>
    </row>
    <row r="5817" spans="1:5" x14ac:dyDescent="0.25">
      <c r="A5817" t="s">
        <v>71</v>
      </c>
      <c r="B5817">
        <v>2022</v>
      </c>
      <c r="C5817" t="s">
        <v>6</v>
      </c>
      <c r="D5817">
        <v>1851330</v>
      </c>
      <c r="E5817" t="s">
        <v>98</v>
      </c>
    </row>
    <row r="5818" spans="1:5" x14ac:dyDescent="0.25">
      <c r="A5818" t="s">
        <v>71</v>
      </c>
      <c r="B5818">
        <v>2023</v>
      </c>
      <c r="C5818" t="s">
        <v>6</v>
      </c>
      <c r="D5818">
        <v>1753282</v>
      </c>
      <c r="E5818" t="s">
        <v>98</v>
      </c>
    </row>
    <row r="5819" spans="1:5" x14ac:dyDescent="0.25">
      <c r="A5819" t="s">
        <v>71</v>
      </c>
      <c r="B5819">
        <v>2024</v>
      </c>
      <c r="C5819" t="s">
        <v>6</v>
      </c>
      <c r="D5819">
        <v>2291615</v>
      </c>
      <c r="E5819" t="s">
        <v>98</v>
      </c>
    </row>
    <row r="5820" spans="1:5" x14ac:dyDescent="0.25">
      <c r="A5820" t="s">
        <v>36</v>
      </c>
      <c r="B5820">
        <v>2010</v>
      </c>
      <c r="C5820" t="s">
        <v>6</v>
      </c>
      <c r="D5820">
        <v>7971705.5530000003</v>
      </c>
      <c r="E5820" t="s">
        <v>98</v>
      </c>
    </row>
    <row r="5821" spans="1:5" x14ac:dyDescent="0.25">
      <c r="A5821" t="s">
        <v>36</v>
      </c>
      <c r="B5821">
        <v>2011</v>
      </c>
      <c r="C5821" t="s">
        <v>6</v>
      </c>
      <c r="D5821">
        <v>3830503.699</v>
      </c>
      <c r="E5821" t="s">
        <v>98</v>
      </c>
    </row>
    <row r="5822" spans="1:5" x14ac:dyDescent="0.25">
      <c r="A5822" t="s">
        <v>36</v>
      </c>
      <c r="B5822">
        <v>2012</v>
      </c>
      <c r="C5822" t="s">
        <v>6</v>
      </c>
      <c r="D5822">
        <v>4793563.852</v>
      </c>
      <c r="E5822" t="s">
        <v>98</v>
      </c>
    </row>
    <row r="5823" spans="1:5" x14ac:dyDescent="0.25">
      <c r="A5823" t="s">
        <v>36</v>
      </c>
      <c r="B5823">
        <v>2013</v>
      </c>
      <c r="C5823" t="s">
        <v>6</v>
      </c>
      <c r="D5823">
        <v>3300775.5040000002</v>
      </c>
      <c r="E5823" t="s">
        <v>98</v>
      </c>
    </row>
    <row r="5824" spans="1:5" x14ac:dyDescent="0.25">
      <c r="A5824" t="s">
        <v>36</v>
      </c>
      <c r="B5824">
        <v>2015</v>
      </c>
      <c r="C5824" t="s">
        <v>6</v>
      </c>
      <c r="D5824">
        <v>3714654.1809999999</v>
      </c>
      <c r="E5824" t="s">
        <v>98</v>
      </c>
    </row>
    <row r="5825" spans="1:5" x14ac:dyDescent="0.25">
      <c r="A5825" t="s">
        <v>36</v>
      </c>
      <c r="B5825">
        <v>2016</v>
      </c>
      <c r="C5825" t="s">
        <v>6</v>
      </c>
      <c r="D5825">
        <v>3016927.3169999998</v>
      </c>
      <c r="E5825" t="s">
        <v>98</v>
      </c>
    </row>
    <row r="5826" spans="1:5" x14ac:dyDescent="0.25">
      <c r="A5826" t="s">
        <v>36</v>
      </c>
      <c r="B5826">
        <v>2017</v>
      </c>
      <c r="C5826" t="s">
        <v>6</v>
      </c>
      <c r="D5826">
        <v>4611382</v>
      </c>
      <c r="E5826" t="s">
        <v>98</v>
      </c>
    </row>
    <row r="5827" spans="1:5" x14ac:dyDescent="0.25">
      <c r="A5827" t="s">
        <v>36</v>
      </c>
      <c r="B5827">
        <v>2018</v>
      </c>
      <c r="C5827" t="s">
        <v>6</v>
      </c>
      <c r="D5827">
        <v>2845994</v>
      </c>
      <c r="E5827" t="s">
        <v>98</v>
      </c>
    </row>
    <row r="5828" spans="1:5" x14ac:dyDescent="0.25">
      <c r="A5828" t="s">
        <v>36</v>
      </c>
      <c r="B5828">
        <v>2021</v>
      </c>
      <c r="C5828" t="s">
        <v>6</v>
      </c>
      <c r="D5828">
        <v>7614770</v>
      </c>
      <c r="E5828" t="s">
        <v>98</v>
      </c>
    </row>
    <row r="5829" spans="1:5" x14ac:dyDescent="0.25">
      <c r="A5829" t="s">
        <v>36</v>
      </c>
      <c r="B5829">
        <v>2022</v>
      </c>
      <c r="C5829" t="s">
        <v>6</v>
      </c>
      <c r="D5829">
        <v>6187953</v>
      </c>
      <c r="E5829" t="s">
        <v>98</v>
      </c>
    </row>
    <row r="5830" spans="1:5" x14ac:dyDescent="0.25">
      <c r="A5830" t="s">
        <v>36</v>
      </c>
      <c r="B5830">
        <v>2023</v>
      </c>
      <c r="C5830" t="s">
        <v>6</v>
      </c>
      <c r="D5830">
        <v>3388704</v>
      </c>
      <c r="E5830" t="s">
        <v>98</v>
      </c>
    </row>
    <row r="5831" spans="1:5" x14ac:dyDescent="0.25">
      <c r="A5831" t="s">
        <v>36</v>
      </c>
      <c r="B5831">
        <v>2025</v>
      </c>
      <c r="C5831" t="s">
        <v>6</v>
      </c>
      <c r="D5831">
        <v>6038472</v>
      </c>
      <c r="E5831" t="s">
        <v>98</v>
      </c>
    </row>
    <row r="5832" spans="1:5" x14ac:dyDescent="0.25">
      <c r="A5832" t="s">
        <v>37</v>
      </c>
      <c r="B5832">
        <v>2000</v>
      </c>
      <c r="C5832" t="s">
        <v>6</v>
      </c>
      <c r="D5832">
        <v>1966001.673</v>
      </c>
      <c r="E5832" t="s">
        <v>98</v>
      </c>
    </row>
    <row r="5833" spans="1:5" x14ac:dyDescent="0.25">
      <c r="A5833" t="s">
        <v>37</v>
      </c>
      <c r="B5833">
        <v>2001</v>
      </c>
      <c r="C5833" t="s">
        <v>6</v>
      </c>
      <c r="D5833">
        <v>2337405.4870000002</v>
      </c>
      <c r="E5833" t="s">
        <v>98</v>
      </c>
    </row>
    <row r="5834" spans="1:5" x14ac:dyDescent="0.25">
      <c r="A5834" t="s">
        <v>37</v>
      </c>
      <c r="B5834">
        <v>2002</v>
      </c>
      <c r="C5834" t="s">
        <v>6</v>
      </c>
      <c r="D5834">
        <v>3700629.3790000002</v>
      </c>
      <c r="E5834" t="s">
        <v>98</v>
      </c>
    </row>
    <row r="5835" spans="1:5" x14ac:dyDescent="0.25">
      <c r="A5835" t="s">
        <v>37</v>
      </c>
      <c r="B5835">
        <v>2003</v>
      </c>
      <c r="C5835" t="s">
        <v>6</v>
      </c>
      <c r="D5835">
        <v>3003876.5320000001</v>
      </c>
      <c r="E5835" t="s">
        <v>98</v>
      </c>
    </row>
    <row r="5836" spans="1:5" x14ac:dyDescent="0.25">
      <c r="A5836" t="s">
        <v>37</v>
      </c>
      <c r="B5836">
        <v>2004</v>
      </c>
      <c r="C5836" t="s">
        <v>6</v>
      </c>
      <c r="D5836">
        <v>3841631.7</v>
      </c>
      <c r="E5836" t="s">
        <v>98</v>
      </c>
    </row>
    <row r="5837" spans="1:5" x14ac:dyDescent="0.25">
      <c r="A5837" t="s">
        <v>37</v>
      </c>
      <c r="B5837">
        <v>2005</v>
      </c>
      <c r="C5837" t="s">
        <v>6</v>
      </c>
      <c r="D5837">
        <v>4174078.9980000001</v>
      </c>
      <c r="E5837" t="s">
        <v>98</v>
      </c>
    </row>
    <row r="5838" spans="1:5" x14ac:dyDescent="0.25">
      <c r="A5838" t="s">
        <v>37</v>
      </c>
      <c r="B5838">
        <v>2006</v>
      </c>
      <c r="C5838" t="s">
        <v>6</v>
      </c>
      <c r="D5838">
        <v>3873693.1940000001</v>
      </c>
      <c r="E5838" t="s">
        <v>98</v>
      </c>
    </row>
    <row r="5839" spans="1:5" x14ac:dyDescent="0.25">
      <c r="A5839" t="s">
        <v>37</v>
      </c>
      <c r="B5839">
        <v>2007</v>
      </c>
      <c r="C5839" t="s">
        <v>6</v>
      </c>
      <c r="D5839">
        <v>3714072.9449999998</v>
      </c>
      <c r="E5839" t="s">
        <v>98</v>
      </c>
    </row>
    <row r="5840" spans="1:5" x14ac:dyDescent="0.25">
      <c r="A5840" t="s">
        <v>37</v>
      </c>
      <c r="B5840">
        <v>2008</v>
      </c>
      <c r="C5840" t="s">
        <v>6</v>
      </c>
      <c r="D5840">
        <v>5305964.42</v>
      </c>
      <c r="E5840" t="s">
        <v>98</v>
      </c>
    </row>
    <row r="5841" spans="1:5" x14ac:dyDescent="0.25">
      <c r="A5841" t="s">
        <v>37</v>
      </c>
      <c r="B5841">
        <v>2009</v>
      </c>
      <c r="C5841" t="s">
        <v>6</v>
      </c>
      <c r="D5841">
        <v>5385803.2889999999</v>
      </c>
      <c r="E5841" t="s">
        <v>98</v>
      </c>
    </row>
    <row r="5842" spans="1:5" x14ac:dyDescent="0.25">
      <c r="A5842" t="s">
        <v>37</v>
      </c>
      <c r="B5842">
        <v>2010</v>
      </c>
      <c r="C5842" t="s">
        <v>6</v>
      </c>
      <c r="D5842">
        <v>15467996.9</v>
      </c>
      <c r="E5842" t="s">
        <v>98</v>
      </c>
    </row>
    <row r="5843" spans="1:5" x14ac:dyDescent="0.25">
      <c r="A5843" t="s">
        <v>37</v>
      </c>
      <c r="B5843">
        <v>2011</v>
      </c>
      <c r="C5843" t="s">
        <v>6</v>
      </c>
      <c r="D5843">
        <v>13295458.039999999</v>
      </c>
      <c r="E5843" t="s">
        <v>98</v>
      </c>
    </row>
    <row r="5844" spans="1:5" x14ac:dyDescent="0.25">
      <c r="A5844" t="s">
        <v>37</v>
      </c>
      <c r="B5844">
        <v>2012</v>
      </c>
      <c r="C5844" t="s">
        <v>6</v>
      </c>
      <c r="D5844">
        <v>9458286.4810000006</v>
      </c>
      <c r="E5844" t="s">
        <v>98</v>
      </c>
    </row>
    <row r="5845" spans="1:5" x14ac:dyDescent="0.25">
      <c r="A5845" t="s">
        <v>37</v>
      </c>
      <c r="B5845">
        <v>2013</v>
      </c>
      <c r="C5845" t="s">
        <v>6</v>
      </c>
      <c r="D5845">
        <v>10765079.055</v>
      </c>
      <c r="E5845" t="s">
        <v>98</v>
      </c>
    </row>
    <row r="5846" spans="1:5" x14ac:dyDescent="0.25">
      <c r="A5846" t="s">
        <v>37</v>
      </c>
      <c r="B5846">
        <v>2014</v>
      </c>
      <c r="C5846" t="s">
        <v>6</v>
      </c>
      <c r="D5846">
        <v>11098287.706</v>
      </c>
      <c r="E5846" t="s">
        <v>98</v>
      </c>
    </row>
    <row r="5847" spans="1:5" x14ac:dyDescent="0.25">
      <c r="A5847" t="s">
        <v>37</v>
      </c>
      <c r="B5847">
        <v>2015</v>
      </c>
      <c r="C5847" t="s">
        <v>6</v>
      </c>
      <c r="D5847">
        <v>12349817.105</v>
      </c>
      <c r="E5847" t="s">
        <v>98</v>
      </c>
    </row>
    <row r="5848" spans="1:5" x14ac:dyDescent="0.25">
      <c r="A5848" t="s">
        <v>37</v>
      </c>
      <c r="B5848">
        <v>2016</v>
      </c>
      <c r="C5848" t="s">
        <v>6</v>
      </c>
      <c r="D5848">
        <v>13678945.095000001</v>
      </c>
      <c r="E5848" t="s">
        <v>98</v>
      </c>
    </row>
    <row r="5849" spans="1:5" x14ac:dyDescent="0.25">
      <c r="A5849" t="s">
        <v>37</v>
      </c>
      <c r="B5849">
        <v>2017</v>
      </c>
      <c r="C5849" t="s">
        <v>6</v>
      </c>
      <c r="D5849">
        <v>14301904.551999999</v>
      </c>
      <c r="E5849" t="s">
        <v>98</v>
      </c>
    </row>
    <row r="5850" spans="1:5" x14ac:dyDescent="0.25">
      <c r="A5850" t="s">
        <v>37</v>
      </c>
      <c r="B5850">
        <v>2018</v>
      </c>
      <c r="C5850" t="s">
        <v>6</v>
      </c>
      <c r="D5850">
        <v>14400314.766000001</v>
      </c>
      <c r="E5850" t="s">
        <v>98</v>
      </c>
    </row>
    <row r="5851" spans="1:5" x14ac:dyDescent="0.25">
      <c r="A5851" t="s">
        <v>37</v>
      </c>
      <c r="B5851">
        <v>2019</v>
      </c>
      <c r="C5851" t="s">
        <v>6</v>
      </c>
      <c r="D5851">
        <v>14139815.164000001</v>
      </c>
      <c r="E5851" t="s">
        <v>98</v>
      </c>
    </row>
    <row r="5852" spans="1:5" x14ac:dyDescent="0.25">
      <c r="A5852" t="s">
        <v>37</v>
      </c>
      <c r="B5852">
        <v>2020</v>
      </c>
      <c r="C5852" t="s">
        <v>6</v>
      </c>
      <c r="D5852">
        <v>16503844.912</v>
      </c>
      <c r="E5852" t="s">
        <v>98</v>
      </c>
    </row>
    <row r="5853" spans="1:5" x14ac:dyDescent="0.25">
      <c r="A5853" t="s">
        <v>37</v>
      </c>
      <c r="B5853">
        <v>2021</v>
      </c>
      <c r="C5853" t="s">
        <v>6</v>
      </c>
      <c r="D5853">
        <v>15007025.749</v>
      </c>
      <c r="E5853" t="s">
        <v>98</v>
      </c>
    </row>
    <row r="5854" spans="1:5" x14ac:dyDescent="0.25">
      <c r="A5854" t="s">
        <v>37</v>
      </c>
      <c r="B5854">
        <v>2022</v>
      </c>
      <c r="C5854" t="s">
        <v>6</v>
      </c>
      <c r="D5854">
        <v>15719676.620999999</v>
      </c>
      <c r="E5854" t="s">
        <v>98</v>
      </c>
    </row>
    <row r="5855" spans="1:5" x14ac:dyDescent="0.25">
      <c r="A5855" t="s">
        <v>37</v>
      </c>
      <c r="B5855">
        <v>2023</v>
      </c>
      <c r="C5855" t="s">
        <v>6</v>
      </c>
      <c r="D5855">
        <v>14303643.502</v>
      </c>
      <c r="E5855" t="s">
        <v>98</v>
      </c>
    </row>
    <row r="5856" spans="1:5" x14ac:dyDescent="0.25">
      <c r="A5856" t="s">
        <v>37</v>
      </c>
      <c r="B5856">
        <v>2024</v>
      </c>
      <c r="C5856" t="s">
        <v>6</v>
      </c>
      <c r="D5856">
        <v>15852119.981000001</v>
      </c>
      <c r="E5856" t="s">
        <v>98</v>
      </c>
    </row>
    <row r="5857" spans="1:5" x14ac:dyDescent="0.25">
      <c r="A5857" t="s">
        <v>37</v>
      </c>
      <c r="B5857">
        <v>2025</v>
      </c>
      <c r="C5857" t="s">
        <v>6</v>
      </c>
      <c r="D5857">
        <v>11873377.226</v>
      </c>
      <c r="E5857" t="s">
        <v>98</v>
      </c>
    </row>
    <row r="5858" spans="1:5" x14ac:dyDescent="0.25">
      <c r="A5858" t="s">
        <v>89</v>
      </c>
      <c r="B5858">
        <v>2004</v>
      </c>
      <c r="C5858" t="s">
        <v>6</v>
      </c>
      <c r="D5858" t="s">
        <v>39</v>
      </c>
      <c r="E5858" t="s">
        <v>98</v>
      </c>
    </row>
    <row r="5859" spans="1:5" x14ac:dyDescent="0.25">
      <c r="A5859" t="s">
        <v>89</v>
      </c>
      <c r="B5859">
        <v>2012</v>
      </c>
      <c r="C5859" t="s">
        <v>6</v>
      </c>
      <c r="D5859">
        <v>363792902.40600002</v>
      </c>
      <c r="E5859" t="s">
        <v>98</v>
      </c>
    </row>
    <row r="5860" spans="1:5" x14ac:dyDescent="0.25">
      <c r="A5860" t="s">
        <v>89</v>
      </c>
      <c r="B5860">
        <v>2013</v>
      </c>
      <c r="C5860" t="s">
        <v>6</v>
      </c>
      <c r="D5860">
        <v>409629819.07200003</v>
      </c>
      <c r="E5860" t="s">
        <v>98</v>
      </c>
    </row>
    <row r="5861" spans="1:5" x14ac:dyDescent="0.25">
      <c r="A5861" t="s">
        <v>89</v>
      </c>
      <c r="B5861">
        <v>2014</v>
      </c>
      <c r="C5861" t="s">
        <v>6</v>
      </c>
      <c r="D5861">
        <v>193525154.65700001</v>
      </c>
      <c r="E5861" t="s">
        <v>98</v>
      </c>
    </row>
    <row r="5862" spans="1:5" x14ac:dyDescent="0.25">
      <c r="A5862" t="s">
        <v>89</v>
      </c>
      <c r="B5862">
        <v>2015</v>
      </c>
      <c r="C5862" t="s">
        <v>6</v>
      </c>
      <c r="D5862">
        <v>100063525.455</v>
      </c>
      <c r="E5862" t="s">
        <v>98</v>
      </c>
    </row>
    <row r="5863" spans="1:5" x14ac:dyDescent="0.25">
      <c r="A5863" t="s">
        <v>89</v>
      </c>
      <c r="B5863">
        <v>2016</v>
      </c>
      <c r="C5863" t="s">
        <v>6</v>
      </c>
      <c r="D5863">
        <v>32238890.901999999</v>
      </c>
      <c r="E5863" t="s">
        <v>98</v>
      </c>
    </row>
    <row r="5864" spans="1:5" x14ac:dyDescent="0.25">
      <c r="A5864" t="s">
        <v>89</v>
      </c>
      <c r="B5864">
        <v>2017</v>
      </c>
      <c r="C5864" t="s">
        <v>6</v>
      </c>
      <c r="D5864">
        <v>124046392.943</v>
      </c>
      <c r="E5864" t="s">
        <v>98</v>
      </c>
    </row>
    <row r="5865" spans="1:5" x14ac:dyDescent="0.25">
      <c r="A5865" t="s">
        <v>89</v>
      </c>
      <c r="B5865">
        <v>2018</v>
      </c>
      <c r="C5865" t="s">
        <v>6</v>
      </c>
      <c r="D5865">
        <v>184451763.711</v>
      </c>
      <c r="E5865" t="s">
        <v>98</v>
      </c>
    </row>
    <row r="5866" spans="1:5" x14ac:dyDescent="0.25">
      <c r="A5866" t="s">
        <v>89</v>
      </c>
      <c r="B5866">
        <v>2019</v>
      </c>
      <c r="C5866" t="s">
        <v>6</v>
      </c>
      <c r="D5866">
        <v>80650916.031999797</v>
      </c>
      <c r="E5866" t="s">
        <v>98</v>
      </c>
    </row>
    <row r="5867" spans="1:5" x14ac:dyDescent="0.25">
      <c r="A5867" t="s">
        <v>89</v>
      </c>
      <c r="B5867">
        <v>2020</v>
      </c>
      <c r="C5867" t="s">
        <v>6</v>
      </c>
      <c r="D5867">
        <v>96802344.752000093</v>
      </c>
      <c r="E5867" t="s">
        <v>98</v>
      </c>
    </row>
    <row r="5868" spans="1:5" x14ac:dyDescent="0.25">
      <c r="A5868" t="s">
        <v>89</v>
      </c>
      <c r="B5868">
        <v>2021</v>
      </c>
      <c r="C5868" t="s">
        <v>6</v>
      </c>
      <c r="D5868">
        <v>102750316.103</v>
      </c>
      <c r="E5868" t="s">
        <v>98</v>
      </c>
    </row>
    <row r="5869" spans="1:5" x14ac:dyDescent="0.25">
      <c r="A5869" t="s">
        <v>89</v>
      </c>
      <c r="B5869">
        <v>2024</v>
      </c>
      <c r="C5869" t="s">
        <v>6</v>
      </c>
      <c r="D5869">
        <v>164478799.91299999</v>
      </c>
      <c r="E5869" t="s">
        <v>98</v>
      </c>
    </row>
    <row r="5870" spans="1:5" x14ac:dyDescent="0.25">
      <c r="A5870" t="s">
        <v>70</v>
      </c>
      <c r="B5870">
        <v>2001</v>
      </c>
      <c r="C5870" t="s">
        <v>6</v>
      </c>
      <c r="D5870">
        <v>717978</v>
      </c>
      <c r="E5870" t="s">
        <v>98</v>
      </c>
    </row>
    <row r="5871" spans="1:5" x14ac:dyDescent="0.25">
      <c r="A5871" t="s">
        <v>70</v>
      </c>
      <c r="B5871">
        <v>2002</v>
      </c>
      <c r="C5871" t="s">
        <v>6</v>
      </c>
      <c r="D5871">
        <v>1595245</v>
      </c>
      <c r="E5871" t="s">
        <v>98</v>
      </c>
    </row>
    <row r="5872" spans="1:5" x14ac:dyDescent="0.25">
      <c r="A5872" t="s">
        <v>70</v>
      </c>
      <c r="B5872">
        <v>2003</v>
      </c>
      <c r="C5872" t="s">
        <v>6</v>
      </c>
      <c r="D5872">
        <v>2072769</v>
      </c>
      <c r="E5872" t="s">
        <v>98</v>
      </c>
    </row>
    <row r="5873" spans="1:5" x14ac:dyDescent="0.25">
      <c r="A5873" t="s">
        <v>70</v>
      </c>
      <c r="B5873">
        <v>2004</v>
      </c>
      <c r="C5873" t="s">
        <v>6</v>
      </c>
      <c r="D5873">
        <v>1856119</v>
      </c>
      <c r="E5873" t="s">
        <v>98</v>
      </c>
    </row>
    <row r="5874" spans="1:5" x14ac:dyDescent="0.25">
      <c r="A5874" t="s">
        <v>70</v>
      </c>
      <c r="B5874">
        <v>2005</v>
      </c>
      <c r="C5874" t="s">
        <v>6</v>
      </c>
      <c r="D5874">
        <v>2780793</v>
      </c>
      <c r="E5874" t="s">
        <v>98</v>
      </c>
    </row>
    <row r="5875" spans="1:5" x14ac:dyDescent="0.25">
      <c r="A5875" t="s">
        <v>70</v>
      </c>
      <c r="B5875">
        <v>2006</v>
      </c>
      <c r="C5875" t="s">
        <v>6</v>
      </c>
      <c r="D5875">
        <v>3619431</v>
      </c>
      <c r="E5875" t="s">
        <v>98</v>
      </c>
    </row>
    <row r="5876" spans="1:5" x14ac:dyDescent="0.25">
      <c r="A5876" t="s">
        <v>70</v>
      </c>
      <c r="B5876">
        <v>2007</v>
      </c>
      <c r="C5876" t="s">
        <v>6</v>
      </c>
      <c r="D5876">
        <v>3233968</v>
      </c>
      <c r="E5876" t="s">
        <v>98</v>
      </c>
    </row>
    <row r="5877" spans="1:5" x14ac:dyDescent="0.25">
      <c r="A5877" t="s">
        <v>70</v>
      </c>
      <c r="B5877">
        <v>2008</v>
      </c>
      <c r="C5877" t="s">
        <v>6</v>
      </c>
      <c r="D5877">
        <v>4363482</v>
      </c>
      <c r="E5877" t="s">
        <v>98</v>
      </c>
    </row>
    <row r="5878" spans="1:5" x14ac:dyDescent="0.25">
      <c r="A5878" t="s">
        <v>70</v>
      </c>
      <c r="B5878">
        <v>2009</v>
      </c>
      <c r="C5878" t="s">
        <v>6</v>
      </c>
      <c r="D5878">
        <v>4665831</v>
      </c>
      <c r="E5878" t="s">
        <v>98</v>
      </c>
    </row>
    <row r="5879" spans="1:5" x14ac:dyDescent="0.25">
      <c r="A5879" t="s">
        <v>70</v>
      </c>
      <c r="B5879">
        <v>2013</v>
      </c>
      <c r="C5879" t="s">
        <v>6</v>
      </c>
      <c r="D5879">
        <v>858762.57</v>
      </c>
      <c r="E5879" t="s">
        <v>98</v>
      </c>
    </row>
    <row r="5880" spans="1:5" x14ac:dyDescent="0.25">
      <c r="A5880" t="s">
        <v>70</v>
      </c>
      <c r="B5880">
        <v>2015</v>
      </c>
      <c r="C5880" t="s">
        <v>6</v>
      </c>
      <c r="D5880">
        <v>1041025.33</v>
      </c>
      <c r="E5880" t="s">
        <v>98</v>
      </c>
    </row>
    <row r="5881" spans="1:5" x14ac:dyDescent="0.25">
      <c r="A5881" t="s">
        <v>70</v>
      </c>
      <c r="B5881">
        <v>2018</v>
      </c>
      <c r="C5881" t="s">
        <v>6</v>
      </c>
      <c r="D5881">
        <v>3386155.7769999998</v>
      </c>
      <c r="E5881" t="s">
        <v>98</v>
      </c>
    </row>
    <row r="5882" spans="1:5" x14ac:dyDescent="0.25">
      <c r="A5882" t="s">
        <v>70</v>
      </c>
      <c r="B5882">
        <v>2019</v>
      </c>
      <c r="C5882" t="s">
        <v>6</v>
      </c>
      <c r="D5882">
        <v>2232153.4</v>
      </c>
      <c r="E5882" t="s">
        <v>98</v>
      </c>
    </row>
    <row r="5883" spans="1:5" x14ac:dyDescent="0.25">
      <c r="A5883" t="s">
        <v>70</v>
      </c>
      <c r="B5883">
        <v>2020</v>
      </c>
      <c r="C5883" t="s">
        <v>6</v>
      </c>
      <c r="D5883">
        <v>5331999.62</v>
      </c>
      <c r="E5883" t="s">
        <v>98</v>
      </c>
    </row>
    <row r="5884" spans="1:5" x14ac:dyDescent="0.25">
      <c r="A5884" t="s">
        <v>70</v>
      </c>
      <c r="B5884">
        <v>2021</v>
      </c>
      <c r="C5884" t="s">
        <v>6</v>
      </c>
      <c r="D5884">
        <v>7819189.9100000001</v>
      </c>
      <c r="E5884" t="s">
        <v>98</v>
      </c>
    </row>
    <row r="5885" spans="1:5" x14ac:dyDescent="0.25">
      <c r="A5885" t="s">
        <v>70</v>
      </c>
      <c r="B5885">
        <v>2022</v>
      </c>
      <c r="C5885" t="s">
        <v>6</v>
      </c>
      <c r="D5885">
        <v>5984324.0599999996</v>
      </c>
      <c r="E5885" t="s">
        <v>98</v>
      </c>
    </row>
    <row r="5886" spans="1:5" x14ac:dyDescent="0.25">
      <c r="A5886" t="s">
        <v>70</v>
      </c>
      <c r="B5886">
        <v>2023</v>
      </c>
      <c r="C5886" t="s">
        <v>6</v>
      </c>
      <c r="D5886">
        <v>6659880.6100000003</v>
      </c>
      <c r="E5886" t="s">
        <v>98</v>
      </c>
    </row>
    <row r="5887" spans="1:5" x14ac:dyDescent="0.25">
      <c r="A5887" t="s">
        <v>70</v>
      </c>
      <c r="B5887">
        <v>2024</v>
      </c>
      <c r="C5887" t="s">
        <v>6</v>
      </c>
      <c r="D5887">
        <v>2160888.62</v>
      </c>
      <c r="E5887" t="s">
        <v>98</v>
      </c>
    </row>
    <row r="5888" spans="1:5" x14ac:dyDescent="0.25">
      <c r="A5888" t="s">
        <v>70</v>
      </c>
      <c r="B5888">
        <v>2025</v>
      </c>
      <c r="C5888" t="s">
        <v>6</v>
      </c>
      <c r="D5888">
        <v>1860193.12</v>
      </c>
      <c r="E5888" t="s">
        <v>98</v>
      </c>
    </row>
    <row r="5889" spans="1:5" x14ac:dyDescent="0.25">
      <c r="A5889" t="s">
        <v>111</v>
      </c>
      <c r="B5889">
        <v>2014</v>
      </c>
      <c r="C5889" t="s">
        <v>6</v>
      </c>
      <c r="D5889">
        <v>1305192</v>
      </c>
      <c r="E5889" t="s">
        <v>98</v>
      </c>
    </row>
    <row r="5890" spans="1:5" x14ac:dyDescent="0.25">
      <c r="A5890" t="s">
        <v>111</v>
      </c>
      <c r="B5890">
        <v>2015</v>
      </c>
      <c r="C5890" t="s">
        <v>6</v>
      </c>
      <c r="D5890">
        <v>1167135</v>
      </c>
      <c r="E5890" t="s">
        <v>98</v>
      </c>
    </row>
    <row r="5891" spans="1:5" x14ac:dyDescent="0.25">
      <c r="A5891" t="s">
        <v>111</v>
      </c>
      <c r="B5891">
        <v>2018</v>
      </c>
      <c r="C5891" t="s">
        <v>6</v>
      </c>
      <c r="D5891">
        <v>884417</v>
      </c>
      <c r="E5891" t="s">
        <v>98</v>
      </c>
    </row>
    <row r="5892" spans="1:5" x14ac:dyDescent="0.25">
      <c r="A5892" t="s">
        <v>69</v>
      </c>
      <c r="B5892">
        <v>2018</v>
      </c>
      <c r="C5892" t="s">
        <v>6</v>
      </c>
      <c r="D5892">
        <v>1561734.6170000001</v>
      </c>
      <c r="E5892" t="s">
        <v>98</v>
      </c>
    </row>
    <row r="5893" spans="1:5" x14ac:dyDescent="0.25">
      <c r="A5893" t="s">
        <v>40</v>
      </c>
      <c r="B5893">
        <v>2010</v>
      </c>
      <c r="C5893" t="s">
        <v>6</v>
      </c>
      <c r="D5893">
        <v>50861700</v>
      </c>
      <c r="E5893" t="s">
        <v>98</v>
      </c>
    </row>
    <row r="5894" spans="1:5" x14ac:dyDescent="0.25">
      <c r="A5894" t="s">
        <v>40</v>
      </c>
      <c r="B5894">
        <v>2011</v>
      </c>
      <c r="C5894" t="s">
        <v>6</v>
      </c>
      <c r="D5894">
        <v>36221004.956</v>
      </c>
      <c r="E5894" t="s">
        <v>98</v>
      </c>
    </row>
    <row r="5895" spans="1:5" x14ac:dyDescent="0.25">
      <c r="A5895" t="s">
        <v>40</v>
      </c>
      <c r="B5895">
        <v>2012</v>
      </c>
      <c r="C5895" t="s">
        <v>6</v>
      </c>
      <c r="D5895">
        <v>31352185.509</v>
      </c>
      <c r="E5895" t="s">
        <v>98</v>
      </c>
    </row>
    <row r="5896" spans="1:5" x14ac:dyDescent="0.25">
      <c r="A5896" t="s">
        <v>40</v>
      </c>
      <c r="B5896">
        <v>2013</v>
      </c>
      <c r="C5896" t="s">
        <v>6</v>
      </c>
      <c r="D5896">
        <v>37591716.980999999</v>
      </c>
      <c r="E5896" t="s">
        <v>98</v>
      </c>
    </row>
    <row r="5897" spans="1:5" x14ac:dyDescent="0.25">
      <c r="A5897" t="s">
        <v>40</v>
      </c>
      <c r="B5897">
        <v>2014</v>
      </c>
      <c r="C5897" t="s">
        <v>6</v>
      </c>
      <c r="D5897">
        <v>45234346</v>
      </c>
      <c r="E5897" t="s">
        <v>98</v>
      </c>
    </row>
    <row r="5898" spans="1:5" x14ac:dyDescent="0.25">
      <c r="A5898" t="s">
        <v>40</v>
      </c>
      <c r="B5898">
        <v>2015</v>
      </c>
      <c r="C5898" t="s">
        <v>6</v>
      </c>
      <c r="D5898">
        <v>36219561.237999998</v>
      </c>
      <c r="E5898" t="s">
        <v>98</v>
      </c>
    </row>
    <row r="5899" spans="1:5" x14ac:dyDescent="0.25">
      <c r="A5899" t="s">
        <v>40</v>
      </c>
      <c r="B5899">
        <v>2016</v>
      </c>
      <c r="C5899" t="s">
        <v>6</v>
      </c>
      <c r="D5899">
        <v>46423056.979999997</v>
      </c>
      <c r="E5899" t="s">
        <v>98</v>
      </c>
    </row>
    <row r="5900" spans="1:5" x14ac:dyDescent="0.25">
      <c r="A5900" t="s">
        <v>40</v>
      </c>
      <c r="B5900">
        <v>2017</v>
      </c>
      <c r="C5900" t="s">
        <v>6</v>
      </c>
      <c r="D5900">
        <v>52906348.770999998</v>
      </c>
      <c r="E5900" t="s">
        <v>98</v>
      </c>
    </row>
    <row r="5901" spans="1:5" x14ac:dyDescent="0.25">
      <c r="A5901" t="s">
        <v>40</v>
      </c>
      <c r="B5901">
        <v>2018</v>
      </c>
      <c r="C5901" t="s">
        <v>6</v>
      </c>
      <c r="D5901">
        <v>48038124.479000002</v>
      </c>
      <c r="E5901" t="s">
        <v>98</v>
      </c>
    </row>
    <row r="5902" spans="1:5" x14ac:dyDescent="0.25">
      <c r="A5902" t="s">
        <v>40</v>
      </c>
      <c r="B5902">
        <v>2019</v>
      </c>
      <c r="C5902" t="s">
        <v>6</v>
      </c>
      <c r="D5902">
        <v>65500697.777999997</v>
      </c>
      <c r="E5902" t="s">
        <v>98</v>
      </c>
    </row>
    <row r="5903" spans="1:5" x14ac:dyDescent="0.25">
      <c r="A5903" t="s">
        <v>40</v>
      </c>
      <c r="B5903">
        <v>2020</v>
      </c>
      <c r="C5903" t="s">
        <v>6</v>
      </c>
      <c r="D5903">
        <v>91402486.156000003</v>
      </c>
      <c r="E5903" t="s">
        <v>98</v>
      </c>
    </row>
    <row r="5904" spans="1:5" x14ac:dyDescent="0.25">
      <c r="A5904" t="s">
        <v>40</v>
      </c>
      <c r="B5904">
        <v>2021</v>
      </c>
      <c r="C5904" t="s">
        <v>6</v>
      </c>
      <c r="D5904">
        <v>77836365.413000003</v>
      </c>
      <c r="E5904" t="s">
        <v>98</v>
      </c>
    </row>
    <row r="5905" spans="1:5" x14ac:dyDescent="0.25">
      <c r="A5905" t="s">
        <v>40</v>
      </c>
      <c r="B5905">
        <v>2022</v>
      </c>
      <c r="C5905" t="s">
        <v>6</v>
      </c>
      <c r="D5905">
        <v>46182041.568999998</v>
      </c>
      <c r="E5905" t="s">
        <v>98</v>
      </c>
    </row>
    <row r="5906" spans="1:5" x14ac:dyDescent="0.25">
      <c r="A5906" t="s">
        <v>40</v>
      </c>
      <c r="B5906">
        <v>2023</v>
      </c>
      <c r="C5906" t="s">
        <v>6</v>
      </c>
      <c r="D5906">
        <v>53024907.696999997</v>
      </c>
      <c r="E5906" t="s">
        <v>98</v>
      </c>
    </row>
    <row r="5907" spans="1:5" x14ac:dyDescent="0.25">
      <c r="A5907" t="s">
        <v>40</v>
      </c>
      <c r="B5907">
        <v>2024</v>
      </c>
      <c r="C5907" t="s">
        <v>6</v>
      </c>
      <c r="D5907">
        <v>58027809.454999998</v>
      </c>
      <c r="E5907" t="s">
        <v>98</v>
      </c>
    </row>
    <row r="5908" spans="1:5" x14ac:dyDescent="0.25">
      <c r="A5908" t="s">
        <v>40</v>
      </c>
      <c r="B5908">
        <v>2025</v>
      </c>
      <c r="C5908" t="s">
        <v>6</v>
      </c>
      <c r="D5908">
        <v>49337740.952</v>
      </c>
      <c r="E5908" t="s">
        <v>98</v>
      </c>
    </row>
    <row r="5909" spans="1:5" x14ac:dyDescent="0.25">
      <c r="A5909" t="s">
        <v>67</v>
      </c>
      <c r="B5909">
        <v>2010</v>
      </c>
      <c r="C5909" t="s">
        <v>6</v>
      </c>
      <c r="D5909">
        <v>5149017</v>
      </c>
      <c r="E5909" t="s">
        <v>98</v>
      </c>
    </row>
    <row r="5910" spans="1:5" x14ac:dyDescent="0.25">
      <c r="A5910" t="s">
        <v>67</v>
      </c>
      <c r="B5910">
        <v>2011</v>
      </c>
      <c r="C5910" t="s">
        <v>6</v>
      </c>
      <c r="D5910">
        <v>6728582</v>
      </c>
      <c r="E5910" t="s">
        <v>98</v>
      </c>
    </row>
    <row r="5911" spans="1:5" x14ac:dyDescent="0.25">
      <c r="A5911" t="s">
        <v>67</v>
      </c>
      <c r="B5911">
        <v>2012</v>
      </c>
      <c r="C5911" t="s">
        <v>6</v>
      </c>
      <c r="D5911">
        <v>6863003</v>
      </c>
      <c r="E5911" t="s">
        <v>98</v>
      </c>
    </row>
    <row r="5912" spans="1:5" x14ac:dyDescent="0.25">
      <c r="A5912" t="s">
        <v>67</v>
      </c>
      <c r="B5912">
        <v>2013</v>
      </c>
      <c r="C5912" t="s">
        <v>6</v>
      </c>
      <c r="D5912">
        <v>6587273</v>
      </c>
      <c r="E5912" t="s">
        <v>98</v>
      </c>
    </row>
    <row r="5913" spans="1:5" x14ac:dyDescent="0.25">
      <c r="A5913" t="s">
        <v>67</v>
      </c>
      <c r="B5913">
        <v>2014</v>
      </c>
      <c r="C5913" t="s">
        <v>6</v>
      </c>
      <c r="D5913">
        <v>7652244</v>
      </c>
      <c r="E5913" t="s">
        <v>98</v>
      </c>
    </row>
    <row r="5914" spans="1:5" x14ac:dyDescent="0.25">
      <c r="A5914" t="s">
        <v>67</v>
      </c>
      <c r="B5914">
        <v>2015</v>
      </c>
      <c r="C5914" t="s">
        <v>6</v>
      </c>
      <c r="D5914">
        <v>7282695</v>
      </c>
      <c r="E5914" t="s">
        <v>98</v>
      </c>
    </row>
    <row r="5915" spans="1:5" x14ac:dyDescent="0.25">
      <c r="A5915" t="s">
        <v>67</v>
      </c>
      <c r="B5915">
        <v>2016</v>
      </c>
      <c r="C5915" t="s">
        <v>6</v>
      </c>
      <c r="D5915">
        <v>7625274</v>
      </c>
      <c r="E5915" t="s">
        <v>98</v>
      </c>
    </row>
    <row r="5916" spans="1:5" x14ac:dyDescent="0.25">
      <c r="A5916" t="s">
        <v>67</v>
      </c>
      <c r="B5916">
        <v>2017</v>
      </c>
      <c r="C5916" t="s">
        <v>6</v>
      </c>
      <c r="D5916">
        <v>7025023.102</v>
      </c>
      <c r="E5916" t="s">
        <v>98</v>
      </c>
    </row>
    <row r="5917" spans="1:5" x14ac:dyDescent="0.25">
      <c r="A5917" t="s">
        <v>67</v>
      </c>
      <c r="B5917">
        <v>2018</v>
      </c>
      <c r="C5917" t="s">
        <v>6</v>
      </c>
      <c r="D5917">
        <v>6159560.7000000002</v>
      </c>
      <c r="E5917" t="s">
        <v>98</v>
      </c>
    </row>
    <row r="5918" spans="1:5" x14ac:dyDescent="0.25">
      <c r="A5918" t="s">
        <v>67</v>
      </c>
      <c r="B5918">
        <v>2019</v>
      </c>
      <c r="C5918" t="s">
        <v>6</v>
      </c>
      <c r="D5918">
        <v>5203568</v>
      </c>
      <c r="E5918" t="s">
        <v>98</v>
      </c>
    </row>
    <row r="5919" spans="1:5" x14ac:dyDescent="0.25">
      <c r="A5919" t="s">
        <v>67</v>
      </c>
      <c r="B5919">
        <v>2020</v>
      </c>
      <c r="C5919" t="s">
        <v>6</v>
      </c>
      <c r="D5919">
        <v>5613533</v>
      </c>
      <c r="E5919" t="s">
        <v>98</v>
      </c>
    </row>
    <row r="5920" spans="1:5" x14ac:dyDescent="0.25">
      <c r="A5920" t="s">
        <v>67</v>
      </c>
      <c r="B5920">
        <v>2021</v>
      </c>
      <c r="C5920" t="s">
        <v>6</v>
      </c>
      <c r="D5920">
        <v>5678222</v>
      </c>
      <c r="E5920" t="s">
        <v>98</v>
      </c>
    </row>
    <row r="5921" spans="1:5" x14ac:dyDescent="0.25">
      <c r="A5921" t="s">
        <v>67</v>
      </c>
      <c r="B5921">
        <v>2022</v>
      </c>
      <c r="C5921" t="s">
        <v>6</v>
      </c>
      <c r="D5921">
        <v>5448517</v>
      </c>
      <c r="E5921" t="s">
        <v>98</v>
      </c>
    </row>
    <row r="5922" spans="1:5" x14ac:dyDescent="0.25">
      <c r="A5922" t="s">
        <v>67</v>
      </c>
      <c r="B5922">
        <v>2023</v>
      </c>
      <c r="C5922" t="s">
        <v>6</v>
      </c>
      <c r="D5922">
        <v>5160111</v>
      </c>
      <c r="E5922" t="s">
        <v>98</v>
      </c>
    </row>
    <row r="5923" spans="1:5" x14ac:dyDescent="0.25">
      <c r="A5923" t="s">
        <v>67</v>
      </c>
      <c r="B5923">
        <v>2024</v>
      </c>
      <c r="C5923" t="s">
        <v>6</v>
      </c>
      <c r="D5923">
        <v>6490629</v>
      </c>
      <c r="E5923" t="s">
        <v>98</v>
      </c>
    </row>
    <row r="5924" spans="1:5" x14ac:dyDescent="0.25">
      <c r="A5924" t="s">
        <v>67</v>
      </c>
      <c r="B5924">
        <v>2025</v>
      </c>
      <c r="C5924" t="s">
        <v>6</v>
      </c>
      <c r="D5924">
        <v>5127123</v>
      </c>
      <c r="E5924" t="s">
        <v>98</v>
      </c>
    </row>
    <row r="5925" spans="1:5" x14ac:dyDescent="0.25">
      <c r="A5925" t="s">
        <v>66</v>
      </c>
      <c r="B5925">
        <v>2022</v>
      </c>
      <c r="C5925" t="s">
        <v>6</v>
      </c>
      <c r="D5925">
        <v>1198479.08</v>
      </c>
      <c r="E5925" t="s">
        <v>98</v>
      </c>
    </row>
    <row r="5926" spans="1:5" x14ac:dyDescent="0.25">
      <c r="A5926" t="s">
        <v>66</v>
      </c>
      <c r="B5926">
        <v>2023</v>
      </c>
      <c r="C5926" t="s">
        <v>6</v>
      </c>
      <c r="D5926">
        <v>1173024.8</v>
      </c>
      <c r="E5926" t="s">
        <v>98</v>
      </c>
    </row>
    <row r="5927" spans="1:5" x14ac:dyDescent="0.25">
      <c r="A5927" t="s">
        <v>110</v>
      </c>
      <c r="B5927">
        <v>2006</v>
      </c>
      <c r="C5927" t="s">
        <v>6</v>
      </c>
      <c r="D5927">
        <v>1432283</v>
      </c>
      <c r="E5927" t="s">
        <v>98</v>
      </c>
    </row>
    <row r="5928" spans="1:5" x14ac:dyDescent="0.25">
      <c r="A5928" t="s">
        <v>110</v>
      </c>
      <c r="B5928">
        <v>2007</v>
      </c>
      <c r="C5928" t="s">
        <v>6</v>
      </c>
      <c r="D5928">
        <v>1629423</v>
      </c>
      <c r="E5928" t="s">
        <v>98</v>
      </c>
    </row>
    <row r="5929" spans="1:5" x14ac:dyDescent="0.25">
      <c r="A5929" t="s">
        <v>110</v>
      </c>
      <c r="B5929">
        <v>2008</v>
      </c>
      <c r="C5929" t="s">
        <v>6</v>
      </c>
      <c r="D5929">
        <v>1458450</v>
      </c>
      <c r="E5929" t="s">
        <v>98</v>
      </c>
    </row>
    <row r="5930" spans="1:5" x14ac:dyDescent="0.25">
      <c r="A5930" t="s">
        <v>110</v>
      </c>
      <c r="B5930">
        <v>2010</v>
      </c>
      <c r="C5930" t="s">
        <v>6</v>
      </c>
      <c r="D5930">
        <v>1192518.8700000001</v>
      </c>
      <c r="E5930" t="s">
        <v>98</v>
      </c>
    </row>
    <row r="5931" spans="1:5" x14ac:dyDescent="0.25">
      <c r="A5931" t="s">
        <v>110</v>
      </c>
      <c r="B5931">
        <v>2011</v>
      </c>
      <c r="C5931" t="s">
        <v>6</v>
      </c>
      <c r="D5931">
        <v>1377846.27</v>
      </c>
      <c r="E5931" t="s">
        <v>98</v>
      </c>
    </row>
    <row r="5932" spans="1:5" x14ac:dyDescent="0.25">
      <c r="A5932" t="s">
        <v>110</v>
      </c>
      <c r="B5932">
        <v>2012</v>
      </c>
      <c r="C5932" t="s">
        <v>6</v>
      </c>
      <c r="D5932">
        <v>1071719.6200000001</v>
      </c>
      <c r="E5932" t="s">
        <v>98</v>
      </c>
    </row>
    <row r="5933" spans="1:5" x14ac:dyDescent="0.25">
      <c r="A5933" t="s">
        <v>110</v>
      </c>
      <c r="B5933">
        <v>2013</v>
      </c>
      <c r="C5933" t="s">
        <v>6</v>
      </c>
      <c r="D5933">
        <v>1279352</v>
      </c>
      <c r="E5933" t="s">
        <v>98</v>
      </c>
    </row>
    <row r="5934" spans="1:5" x14ac:dyDescent="0.25">
      <c r="A5934" t="s">
        <v>110</v>
      </c>
      <c r="B5934">
        <v>2014</v>
      </c>
      <c r="C5934" t="s">
        <v>6</v>
      </c>
      <c r="D5934">
        <v>1585818</v>
      </c>
      <c r="E5934" t="s">
        <v>98</v>
      </c>
    </row>
    <row r="5935" spans="1:5" x14ac:dyDescent="0.25">
      <c r="A5935" t="s">
        <v>110</v>
      </c>
      <c r="B5935">
        <v>2015</v>
      </c>
      <c r="C5935" t="s">
        <v>6</v>
      </c>
      <c r="D5935">
        <v>1565379</v>
      </c>
      <c r="E5935" t="s">
        <v>98</v>
      </c>
    </row>
    <row r="5936" spans="1:5" x14ac:dyDescent="0.25">
      <c r="A5936" t="s">
        <v>110</v>
      </c>
      <c r="B5936">
        <v>2016</v>
      </c>
      <c r="C5936" t="s">
        <v>6</v>
      </c>
      <c r="D5936">
        <v>1560135.1029999999</v>
      </c>
      <c r="E5936" t="s">
        <v>98</v>
      </c>
    </row>
    <row r="5937" spans="1:5" x14ac:dyDescent="0.25">
      <c r="A5937" t="s">
        <v>110</v>
      </c>
      <c r="B5937">
        <v>2017</v>
      </c>
      <c r="C5937" t="s">
        <v>6</v>
      </c>
      <c r="D5937">
        <v>1601485</v>
      </c>
      <c r="E5937" t="s">
        <v>98</v>
      </c>
    </row>
    <row r="5938" spans="1:5" x14ac:dyDescent="0.25">
      <c r="A5938" t="s">
        <v>110</v>
      </c>
      <c r="B5938">
        <v>2018</v>
      </c>
      <c r="C5938" t="s">
        <v>6</v>
      </c>
      <c r="D5938">
        <v>1566160</v>
      </c>
      <c r="E5938" t="s">
        <v>98</v>
      </c>
    </row>
    <row r="5939" spans="1:5" x14ac:dyDescent="0.25">
      <c r="A5939" t="s">
        <v>110</v>
      </c>
      <c r="B5939">
        <v>2019</v>
      </c>
      <c r="C5939" t="s">
        <v>6</v>
      </c>
      <c r="D5939">
        <v>1529738</v>
      </c>
      <c r="E5939" t="s">
        <v>98</v>
      </c>
    </row>
    <row r="5940" spans="1:5" x14ac:dyDescent="0.25">
      <c r="A5940" t="s">
        <v>110</v>
      </c>
      <c r="B5940">
        <v>2020</v>
      </c>
      <c r="C5940" t="s">
        <v>6</v>
      </c>
      <c r="D5940">
        <v>1602825</v>
      </c>
      <c r="E5940" t="s">
        <v>98</v>
      </c>
    </row>
    <row r="5941" spans="1:5" x14ac:dyDescent="0.25">
      <c r="A5941" t="s">
        <v>110</v>
      </c>
      <c r="B5941">
        <v>2021</v>
      </c>
      <c r="C5941" t="s">
        <v>6</v>
      </c>
      <c r="D5941">
        <v>1634332</v>
      </c>
      <c r="E5941" t="s">
        <v>98</v>
      </c>
    </row>
    <row r="5942" spans="1:5" x14ac:dyDescent="0.25">
      <c r="A5942" t="s">
        <v>110</v>
      </c>
      <c r="B5942">
        <v>2022</v>
      </c>
      <c r="C5942" t="s">
        <v>6</v>
      </c>
      <c r="D5942">
        <v>1647590</v>
      </c>
      <c r="E5942" t="s">
        <v>98</v>
      </c>
    </row>
    <row r="5943" spans="1:5" x14ac:dyDescent="0.25">
      <c r="A5943" t="s">
        <v>110</v>
      </c>
      <c r="B5943">
        <v>2023</v>
      </c>
      <c r="C5943" t="s">
        <v>6</v>
      </c>
      <c r="D5943">
        <v>1532157</v>
      </c>
      <c r="E5943" t="s">
        <v>98</v>
      </c>
    </row>
    <row r="5944" spans="1:5" x14ac:dyDescent="0.25">
      <c r="A5944" t="s">
        <v>110</v>
      </c>
      <c r="B5944">
        <v>2024</v>
      </c>
      <c r="C5944" t="s">
        <v>6</v>
      </c>
      <c r="D5944">
        <v>2043919</v>
      </c>
      <c r="E5944" t="s">
        <v>98</v>
      </c>
    </row>
    <row r="5945" spans="1:5" x14ac:dyDescent="0.25">
      <c r="A5945" t="s">
        <v>109</v>
      </c>
      <c r="B5945">
        <v>2000</v>
      </c>
      <c r="C5945" t="s">
        <v>6</v>
      </c>
      <c r="D5945">
        <v>1567633</v>
      </c>
      <c r="E5945" t="s">
        <v>98</v>
      </c>
    </row>
    <row r="5946" spans="1:5" x14ac:dyDescent="0.25">
      <c r="A5946" t="s">
        <v>109</v>
      </c>
      <c r="B5946">
        <v>2001</v>
      </c>
      <c r="C5946" t="s">
        <v>6</v>
      </c>
      <c r="D5946">
        <v>1495101</v>
      </c>
      <c r="E5946" t="s">
        <v>98</v>
      </c>
    </row>
    <row r="5947" spans="1:5" x14ac:dyDescent="0.25">
      <c r="A5947" t="s">
        <v>109</v>
      </c>
      <c r="B5947">
        <v>2002</v>
      </c>
      <c r="C5947" t="s">
        <v>6</v>
      </c>
      <c r="D5947">
        <v>1645916</v>
      </c>
      <c r="E5947" t="s">
        <v>98</v>
      </c>
    </row>
    <row r="5948" spans="1:5" x14ac:dyDescent="0.25">
      <c r="A5948" t="s">
        <v>109</v>
      </c>
      <c r="B5948">
        <v>2003</v>
      </c>
      <c r="C5948" t="s">
        <v>6</v>
      </c>
      <c r="D5948">
        <v>2456908</v>
      </c>
      <c r="E5948" t="s">
        <v>98</v>
      </c>
    </row>
    <row r="5949" spans="1:5" x14ac:dyDescent="0.25">
      <c r="A5949" t="s">
        <v>109</v>
      </c>
      <c r="B5949">
        <v>2004</v>
      </c>
      <c r="C5949" t="s">
        <v>6</v>
      </c>
      <c r="D5949">
        <v>1773178</v>
      </c>
      <c r="E5949" t="s">
        <v>98</v>
      </c>
    </row>
    <row r="5950" spans="1:5" x14ac:dyDescent="0.25">
      <c r="A5950" t="s">
        <v>109</v>
      </c>
      <c r="B5950">
        <v>2005</v>
      </c>
      <c r="C5950" t="s">
        <v>6</v>
      </c>
      <c r="D5950">
        <v>2377379</v>
      </c>
      <c r="E5950" t="s">
        <v>98</v>
      </c>
    </row>
    <row r="5951" spans="1:5" x14ac:dyDescent="0.25">
      <c r="A5951" t="s">
        <v>109</v>
      </c>
      <c r="B5951">
        <v>2006</v>
      </c>
      <c r="C5951" t="s">
        <v>6</v>
      </c>
      <c r="D5951">
        <v>2116941</v>
      </c>
      <c r="E5951" t="s">
        <v>98</v>
      </c>
    </row>
    <row r="5952" spans="1:5" x14ac:dyDescent="0.25">
      <c r="A5952" t="s">
        <v>109</v>
      </c>
      <c r="B5952">
        <v>2007</v>
      </c>
      <c r="C5952" t="s">
        <v>6</v>
      </c>
      <c r="D5952">
        <v>2042338</v>
      </c>
      <c r="E5952" t="s">
        <v>98</v>
      </c>
    </row>
    <row r="5953" spans="1:5" x14ac:dyDescent="0.25">
      <c r="A5953" t="s">
        <v>109</v>
      </c>
      <c r="B5953">
        <v>2008</v>
      </c>
      <c r="C5953" t="s">
        <v>6</v>
      </c>
      <c r="D5953">
        <v>2267430</v>
      </c>
      <c r="E5953" t="s">
        <v>98</v>
      </c>
    </row>
    <row r="5954" spans="1:5" x14ac:dyDescent="0.25">
      <c r="A5954" t="s">
        <v>109</v>
      </c>
      <c r="B5954">
        <v>2009</v>
      </c>
      <c r="C5954" t="s">
        <v>6</v>
      </c>
      <c r="D5954">
        <v>2413203</v>
      </c>
      <c r="E5954" t="s">
        <v>98</v>
      </c>
    </row>
    <row r="5955" spans="1:5" x14ac:dyDescent="0.25">
      <c r="A5955" t="s">
        <v>109</v>
      </c>
      <c r="B5955">
        <v>2010</v>
      </c>
      <c r="C5955" t="s">
        <v>6</v>
      </c>
      <c r="D5955">
        <v>2260401</v>
      </c>
      <c r="E5955" t="s">
        <v>98</v>
      </c>
    </row>
    <row r="5956" spans="1:5" x14ac:dyDescent="0.25">
      <c r="A5956" t="s">
        <v>109</v>
      </c>
      <c r="B5956">
        <v>2011</v>
      </c>
      <c r="C5956" t="s">
        <v>6</v>
      </c>
      <c r="D5956">
        <v>2544635</v>
      </c>
      <c r="E5956" t="s">
        <v>98</v>
      </c>
    </row>
    <row r="5957" spans="1:5" x14ac:dyDescent="0.25">
      <c r="A5957" t="s">
        <v>109</v>
      </c>
      <c r="B5957">
        <v>2012</v>
      </c>
      <c r="C5957" t="s">
        <v>6</v>
      </c>
      <c r="D5957">
        <v>2142886</v>
      </c>
      <c r="E5957" t="s">
        <v>98</v>
      </c>
    </row>
    <row r="5958" spans="1:5" x14ac:dyDescent="0.25">
      <c r="A5958" t="s">
        <v>109</v>
      </c>
      <c r="B5958">
        <v>2013</v>
      </c>
      <c r="C5958" t="s">
        <v>6</v>
      </c>
      <c r="D5958">
        <v>2931718</v>
      </c>
      <c r="E5958" t="s">
        <v>98</v>
      </c>
    </row>
    <row r="5959" spans="1:5" x14ac:dyDescent="0.25">
      <c r="A5959" t="s">
        <v>109</v>
      </c>
      <c r="B5959">
        <v>2014</v>
      </c>
      <c r="C5959" t="s">
        <v>6</v>
      </c>
      <c r="D5959">
        <v>2485653</v>
      </c>
      <c r="E5959" t="s">
        <v>98</v>
      </c>
    </row>
    <row r="5960" spans="1:5" x14ac:dyDescent="0.25">
      <c r="A5960" t="s">
        <v>109</v>
      </c>
      <c r="B5960">
        <v>2015</v>
      </c>
      <c r="C5960" t="s">
        <v>6</v>
      </c>
      <c r="D5960">
        <v>3112008</v>
      </c>
      <c r="E5960" t="s">
        <v>98</v>
      </c>
    </row>
    <row r="5961" spans="1:5" x14ac:dyDescent="0.25">
      <c r="A5961" t="s">
        <v>109</v>
      </c>
      <c r="B5961">
        <v>2016</v>
      </c>
      <c r="C5961" t="s">
        <v>6</v>
      </c>
      <c r="D5961">
        <v>3664397</v>
      </c>
      <c r="E5961" t="s">
        <v>98</v>
      </c>
    </row>
    <row r="5962" spans="1:5" x14ac:dyDescent="0.25">
      <c r="A5962" t="s">
        <v>109</v>
      </c>
      <c r="B5962">
        <v>2017</v>
      </c>
      <c r="C5962" t="s">
        <v>6</v>
      </c>
      <c r="D5962">
        <v>1988348</v>
      </c>
      <c r="E5962" t="s">
        <v>98</v>
      </c>
    </row>
    <row r="5963" spans="1:5" x14ac:dyDescent="0.25">
      <c r="A5963" t="s">
        <v>109</v>
      </c>
      <c r="B5963">
        <v>2018</v>
      </c>
      <c r="C5963" t="s">
        <v>6</v>
      </c>
      <c r="D5963">
        <v>2000492</v>
      </c>
      <c r="E5963" t="s">
        <v>98</v>
      </c>
    </row>
    <row r="5964" spans="1:5" x14ac:dyDescent="0.25">
      <c r="A5964" t="s">
        <v>109</v>
      </c>
      <c r="B5964">
        <v>2019</v>
      </c>
      <c r="C5964" t="s">
        <v>6</v>
      </c>
      <c r="D5964">
        <v>2330021</v>
      </c>
      <c r="E5964" t="s">
        <v>98</v>
      </c>
    </row>
    <row r="5965" spans="1:5" x14ac:dyDescent="0.25">
      <c r="A5965" t="s">
        <v>109</v>
      </c>
      <c r="B5965">
        <v>2020</v>
      </c>
      <c r="C5965" t="s">
        <v>6</v>
      </c>
      <c r="D5965">
        <v>2169399</v>
      </c>
      <c r="E5965" t="s">
        <v>98</v>
      </c>
    </row>
    <row r="5966" spans="1:5" x14ac:dyDescent="0.25">
      <c r="A5966" t="s">
        <v>109</v>
      </c>
      <c r="B5966">
        <v>2021</v>
      </c>
      <c r="C5966" t="s">
        <v>6</v>
      </c>
      <c r="D5966">
        <v>1355821</v>
      </c>
      <c r="E5966" t="s">
        <v>98</v>
      </c>
    </row>
    <row r="5967" spans="1:5" x14ac:dyDescent="0.25">
      <c r="A5967" t="s">
        <v>109</v>
      </c>
      <c r="B5967">
        <v>2022</v>
      </c>
      <c r="C5967" t="s">
        <v>6</v>
      </c>
      <c r="D5967">
        <v>1915715</v>
      </c>
      <c r="E5967" t="s">
        <v>98</v>
      </c>
    </row>
    <row r="5968" spans="1:5" x14ac:dyDescent="0.25">
      <c r="A5968" t="s">
        <v>109</v>
      </c>
      <c r="B5968">
        <v>2023</v>
      </c>
      <c r="C5968" t="s">
        <v>6</v>
      </c>
      <c r="D5968">
        <v>1211727</v>
      </c>
      <c r="E5968" t="s">
        <v>98</v>
      </c>
    </row>
    <row r="5969" spans="1:5" x14ac:dyDescent="0.25">
      <c r="A5969" t="s">
        <v>109</v>
      </c>
      <c r="B5969">
        <v>2024</v>
      </c>
      <c r="C5969" t="s">
        <v>6</v>
      </c>
      <c r="D5969">
        <v>2049720</v>
      </c>
      <c r="E5969" t="s">
        <v>98</v>
      </c>
    </row>
    <row r="5970" spans="1:5" x14ac:dyDescent="0.25">
      <c r="A5970" t="s">
        <v>109</v>
      </c>
      <c r="B5970">
        <v>2025</v>
      </c>
      <c r="C5970" t="s">
        <v>6</v>
      </c>
      <c r="D5970">
        <v>2155123</v>
      </c>
      <c r="E5970" t="s">
        <v>98</v>
      </c>
    </row>
    <row r="5971" spans="1:5" x14ac:dyDescent="0.25">
      <c r="A5971" t="s">
        <v>41</v>
      </c>
      <c r="B5971">
        <v>2015</v>
      </c>
      <c r="C5971" t="s">
        <v>6</v>
      </c>
      <c r="D5971">
        <v>3736204</v>
      </c>
      <c r="E5971" t="s">
        <v>98</v>
      </c>
    </row>
    <row r="5972" spans="1:5" x14ac:dyDescent="0.25">
      <c r="A5972" t="s">
        <v>41</v>
      </c>
      <c r="B5972">
        <v>2016</v>
      </c>
      <c r="C5972" t="s">
        <v>6</v>
      </c>
      <c r="D5972">
        <v>4039313</v>
      </c>
      <c r="E5972" t="s">
        <v>98</v>
      </c>
    </row>
    <row r="5973" spans="1:5" x14ac:dyDescent="0.25">
      <c r="A5973" t="s">
        <v>41</v>
      </c>
      <c r="B5973">
        <v>2018</v>
      </c>
      <c r="C5973" t="s">
        <v>6</v>
      </c>
      <c r="D5973">
        <v>3234541</v>
      </c>
      <c r="E5973" t="s">
        <v>98</v>
      </c>
    </row>
    <row r="5974" spans="1:5" x14ac:dyDescent="0.25">
      <c r="A5974" t="s">
        <v>41</v>
      </c>
      <c r="B5974">
        <v>2022</v>
      </c>
      <c r="C5974" t="s">
        <v>6</v>
      </c>
      <c r="D5974">
        <v>3302252.821</v>
      </c>
      <c r="E5974" t="s">
        <v>98</v>
      </c>
    </row>
    <row r="5975" spans="1:5" x14ac:dyDescent="0.25">
      <c r="A5975" t="s">
        <v>41</v>
      </c>
      <c r="B5975">
        <v>2023</v>
      </c>
      <c r="C5975" t="s">
        <v>6</v>
      </c>
      <c r="D5975">
        <v>3130274.5269999998</v>
      </c>
      <c r="E5975" t="s">
        <v>98</v>
      </c>
    </row>
    <row r="5976" spans="1:5" x14ac:dyDescent="0.25">
      <c r="A5976" t="s">
        <v>64</v>
      </c>
      <c r="B5976">
        <v>2010</v>
      </c>
      <c r="C5976" t="s">
        <v>6</v>
      </c>
      <c r="D5976">
        <v>1699135</v>
      </c>
      <c r="E5976" t="s">
        <v>98</v>
      </c>
    </row>
    <row r="5977" spans="1:5" x14ac:dyDescent="0.25">
      <c r="A5977" t="s">
        <v>64</v>
      </c>
      <c r="B5977">
        <v>2011</v>
      </c>
      <c r="C5977" t="s">
        <v>6</v>
      </c>
      <c r="D5977">
        <v>1804583</v>
      </c>
      <c r="E5977" t="s">
        <v>98</v>
      </c>
    </row>
    <row r="5978" spans="1:5" x14ac:dyDescent="0.25">
      <c r="A5978" t="s">
        <v>64</v>
      </c>
      <c r="B5978">
        <v>2012</v>
      </c>
      <c r="C5978" t="s">
        <v>6</v>
      </c>
      <c r="D5978">
        <v>3033067</v>
      </c>
      <c r="E5978" t="s">
        <v>98</v>
      </c>
    </row>
    <row r="5979" spans="1:5" x14ac:dyDescent="0.25">
      <c r="A5979" t="s">
        <v>64</v>
      </c>
      <c r="B5979">
        <v>2013</v>
      </c>
      <c r="C5979" t="s">
        <v>6</v>
      </c>
      <c r="D5979">
        <v>3606543</v>
      </c>
      <c r="E5979" t="s">
        <v>98</v>
      </c>
    </row>
    <row r="5980" spans="1:5" x14ac:dyDescent="0.25">
      <c r="A5980" t="s">
        <v>64</v>
      </c>
      <c r="B5980">
        <v>2014</v>
      </c>
      <c r="C5980" t="s">
        <v>6</v>
      </c>
      <c r="D5980">
        <v>3481963</v>
      </c>
      <c r="E5980" t="s">
        <v>98</v>
      </c>
    </row>
    <row r="5981" spans="1:5" x14ac:dyDescent="0.25">
      <c r="A5981" t="s">
        <v>64</v>
      </c>
      <c r="B5981">
        <v>2015</v>
      </c>
      <c r="C5981" t="s">
        <v>6</v>
      </c>
      <c r="D5981">
        <v>3924407</v>
      </c>
      <c r="E5981" t="s">
        <v>98</v>
      </c>
    </row>
    <row r="5982" spans="1:5" x14ac:dyDescent="0.25">
      <c r="A5982" t="s">
        <v>64</v>
      </c>
      <c r="B5982">
        <v>2016</v>
      </c>
      <c r="C5982" t="s">
        <v>6</v>
      </c>
      <c r="D5982">
        <v>3722314</v>
      </c>
      <c r="E5982" t="s">
        <v>98</v>
      </c>
    </row>
    <row r="5983" spans="1:5" x14ac:dyDescent="0.25">
      <c r="A5983" t="s">
        <v>64</v>
      </c>
      <c r="B5983">
        <v>2017</v>
      </c>
      <c r="C5983" t="s">
        <v>6</v>
      </c>
      <c r="D5983">
        <v>5100847</v>
      </c>
      <c r="E5983" t="s">
        <v>98</v>
      </c>
    </row>
    <row r="5984" spans="1:5" x14ac:dyDescent="0.25">
      <c r="A5984" t="s">
        <v>64</v>
      </c>
      <c r="B5984">
        <v>2018</v>
      </c>
      <c r="C5984" t="s">
        <v>6</v>
      </c>
      <c r="D5984">
        <v>5233685</v>
      </c>
      <c r="E5984" t="s">
        <v>98</v>
      </c>
    </row>
    <row r="5985" spans="1:5" x14ac:dyDescent="0.25">
      <c r="A5985" t="s">
        <v>64</v>
      </c>
      <c r="B5985">
        <v>2019</v>
      </c>
      <c r="C5985" t="s">
        <v>6</v>
      </c>
      <c r="D5985">
        <v>4832066</v>
      </c>
      <c r="E5985" t="s">
        <v>98</v>
      </c>
    </row>
    <row r="5986" spans="1:5" x14ac:dyDescent="0.25">
      <c r="A5986" t="s">
        <v>64</v>
      </c>
      <c r="B5986">
        <v>2020</v>
      </c>
      <c r="C5986" t="s">
        <v>6</v>
      </c>
      <c r="D5986">
        <v>7019499</v>
      </c>
      <c r="E5986" t="s">
        <v>98</v>
      </c>
    </row>
    <row r="5987" spans="1:5" x14ac:dyDescent="0.25">
      <c r="A5987" t="s">
        <v>64</v>
      </c>
      <c r="B5987">
        <v>2021</v>
      </c>
      <c r="C5987" t="s">
        <v>6</v>
      </c>
      <c r="D5987">
        <v>7228328</v>
      </c>
      <c r="E5987" t="s">
        <v>98</v>
      </c>
    </row>
    <row r="5988" spans="1:5" x14ac:dyDescent="0.25">
      <c r="A5988" t="s">
        <v>64</v>
      </c>
      <c r="B5988">
        <v>2022</v>
      </c>
      <c r="C5988" t="s">
        <v>6</v>
      </c>
      <c r="D5988">
        <v>6054123</v>
      </c>
      <c r="E5988" t="s">
        <v>98</v>
      </c>
    </row>
    <row r="5989" spans="1:5" x14ac:dyDescent="0.25">
      <c r="A5989" t="s">
        <v>64</v>
      </c>
      <c r="B5989">
        <v>2023</v>
      </c>
      <c r="C5989" t="s">
        <v>6</v>
      </c>
      <c r="D5989">
        <v>5372613</v>
      </c>
      <c r="E5989" t="s">
        <v>98</v>
      </c>
    </row>
    <row r="5990" spans="1:5" x14ac:dyDescent="0.25">
      <c r="A5990" t="s">
        <v>64</v>
      </c>
      <c r="B5990">
        <v>2024</v>
      </c>
      <c r="C5990" t="s">
        <v>6</v>
      </c>
      <c r="D5990">
        <v>6207366</v>
      </c>
      <c r="E5990" t="s">
        <v>98</v>
      </c>
    </row>
    <row r="5991" spans="1:5" x14ac:dyDescent="0.25">
      <c r="A5991" t="s">
        <v>64</v>
      </c>
      <c r="B5991">
        <v>2025</v>
      </c>
      <c r="C5991" t="s">
        <v>6</v>
      </c>
      <c r="D5991">
        <v>4426500</v>
      </c>
      <c r="E5991" t="s">
        <v>98</v>
      </c>
    </row>
    <row r="5992" spans="1:5" x14ac:dyDescent="0.25">
      <c r="A5992" t="s">
        <v>108</v>
      </c>
      <c r="B5992">
        <v>2013</v>
      </c>
      <c r="C5992" t="s">
        <v>6</v>
      </c>
      <c r="D5992">
        <v>935834</v>
      </c>
      <c r="E5992" t="s">
        <v>98</v>
      </c>
    </row>
    <row r="5993" spans="1:5" x14ac:dyDescent="0.25">
      <c r="A5993" t="s">
        <v>108</v>
      </c>
      <c r="B5993">
        <v>2014</v>
      </c>
      <c r="C5993" t="s">
        <v>6</v>
      </c>
      <c r="D5993">
        <v>1204818</v>
      </c>
      <c r="E5993" t="s">
        <v>98</v>
      </c>
    </row>
    <row r="5994" spans="1:5" x14ac:dyDescent="0.25">
      <c r="A5994" t="s">
        <v>108</v>
      </c>
      <c r="B5994">
        <v>2018</v>
      </c>
      <c r="C5994" t="s">
        <v>6</v>
      </c>
      <c r="D5994">
        <v>1127416</v>
      </c>
      <c r="E5994" t="s">
        <v>98</v>
      </c>
    </row>
    <row r="5995" spans="1:5" x14ac:dyDescent="0.25">
      <c r="A5995" t="s">
        <v>108</v>
      </c>
      <c r="B5995">
        <v>2019</v>
      </c>
      <c r="C5995" t="s">
        <v>6</v>
      </c>
      <c r="D5995">
        <v>975803</v>
      </c>
      <c r="E5995" t="s">
        <v>98</v>
      </c>
    </row>
    <row r="5996" spans="1:5" x14ac:dyDescent="0.25">
      <c r="A5996" t="s">
        <v>42</v>
      </c>
      <c r="B5996">
        <v>2010</v>
      </c>
      <c r="C5996" t="s">
        <v>6</v>
      </c>
      <c r="D5996">
        <v>7700343.4000000004</v>
      </c>
      <c r="E5996" t="s">
        <v>98</v>
      </c>
    </row>
    <row r="5997" spans="1:5" x14ac:dyDescent="0.25">
      <c r="A5997" t="s">
        <v>42</v>
      </c>
      <c r="B5997">
        <v>2011</v>
      </c>
      <c r="C5997" t="s">
        <v>6</v>
      </c>
      <c r="D5997">
        <v>11705994.130000001</v>
      </c>
      <c r="E5997" t="s">
        <v>98</v>
      </c>
    </row>
    <row r="5998" spans="1:5" x14ac:dyDescent="0.25">
      <c r="A5998" t="s">
        <v>42</v>
      </c>
      <c r="B5998">
        <v>2012</v>
      </c>
      <c r="C5998" t="s">
        <v>6</v>
      </c>
      <c r="D5998">
        <v>10316229.560000001</v>
      </c>
      <c r="E5998" t="s">
        <v>98</v>
      </c>
    </row>
    <row r="5999" spans="1:5" x14ac:dyDescent="0.25">
      <c r="A5999" t="s">
        <v>42</v>
      </c>
      <c r="B5999">
        <v>2013</v>
      </c>
      <c r="C5999" t="s">
        <v>6</v>
      </c>
      <c r="D5999">
        <v>13372139.73</v>
      </c>
      <c r="E5999" t="s">
        <v>98</v>
      </c>
    </row>
    <row r="6000" spans="1:5" x14ac:dyDescent="0.25">
      <c r="A6000" t="s">
        <v>42</v>
      </c>
      <c r="B6000">
        <v>2014</v>
      </c>
      <c r="C6000" t="s">
        <v>6</v>
      </c>
      <c r="D6000">
        <v>11131571.52</v>
      </c>
      <c r="E6000" t="s">
        <v>98</v>
      </c>
    </row>
    <row r="6001" spans="1:5" x14ac:dyDescent="0.25">
      <c r="A6001" t="s">
        <v>42</v>
      </c>
      <c r="B6001">
        <v>2015</v>
      </c>
      <c r="C6001" t="s">
        <v>6</v>
      </c>
      <c r="D6001">
        <v>15800513.77</v>
      </c>
      <c r="E6001" t="s">
        <v>98</v>
      </c>
    </row>
    <row r="6002" spans="1:5" x14ac:dyDescent="0.25">
      <c r="A6002" t="s">
        <v>42</v>
      </c>
      <c r="B6002">
        <v>2016</v>
      </c>
      <c r="C6002" t="s">
        <v>6</v>
      </c>
      <c r="D6002">
        <v>13654235.07</v>
      </c>
      <c r="E6002" t="s">
        <v>98</v>
      </c>
    </row>
    <row r="6003" spans="1:5" x14ac:dyDescent="0.25">
      <c r="A6003" t="s">
        <v>42</v>
      </c>
      <c r="B6003">
        <v>2017</v>
      </c>
      <c r="C6003" t="s">
        <v>6</v>
      </c>
      <c r="D6003">
        <v>16180912.859999999</v>
      </c>
      <c r="E6003" t="s">
        <v>98</v>
      </c>
    </row>
    <row r="6004" spans="1:5" x14ac:dyDescent="0.25">
      <c r="A6004" t="s">
        <v>42</v>
      </c>
      <c r="B6004">
        <v>2018</v>
      </c>
      <c r="C6004" t="s">
        <v>6</v>
      </c>
      <c r="D6004">
        <v>14463637.619999999</v>
      </c>
      <c r="E6004" t="s">
        <v>98</v>
      </c>
    </row>
    <row r="6005" spans="1:5" x14ac:dyDescent="0.25">
      <c r="A6005" t="s">
        <v>42</v>
      </c>
      <c r="B6005">
        <v>2019</v>
      </c>
      <c r="C6005" t="s">
        <v>6</v>
      </c>
      <c r="D6005">
        <v>24159107.300000001</v>
      </c>
      <c r="E6005" t="s">
        <v>98</v>
      </c>
    </row>
    <row r="6006" spans="1:5" x14ac:dyDescent="0.25">
      <c r="A6006" t="s">
        <v>42</v>
      </c>
      <c r="B6006">
        <v>2020</v>
      </c>
      <c r="C6006" t="s">
        <v>6</v>
      </c>
      <c r="D6006">
        <v>7861751.4000000004</v>
      </c>
      <c r="E6006" t="s">
        <v>98</v>
      </c>
    </row>
    <row r="6007" spans="1:5" x14ac:dyDescent="0.25">
      <c r="A6007" t="s">
        <v>42</v>
      </c>
      <c r="B6007">
        <v>2024</v>
      </c>
      <c r="C6007" t="s">
        <v>6</v>
      </c>
      <c r="D6007">
        <v>19104546.48</v>
      </c>
      <c r="E6007" t="s">
        <v>98</v>
      </c>
    </row>
    <row r="6008" spans="1:5" x14ac:dyDescent="0.25">
      <c r="A6008" t="s">
        <v>42</v>
      </c>
      <c r="B6008">
        <v>2025</v>
      </c>
      <c r="C6008" t="s">
        <v>6</v>
      </c>
      <c r="D6008">
        <v>11255610.932</v>
      </c>
      <c r="E6008" t="s">
        <v>98</v>
      </c>
    </row>
    <row r="6009" spans="1:5" x14ac:dyDescent="0.25">
      <c r="A6009" t="s">
        <v>43</v>
      </c>
      <c r="B6009">
        <v>2015</v>
      </c>
      <c r="C6009" t="s">
        <v>6</v>
      </c>
      <c r="D6009">
        <v>1022888.9</v>
      </c>
      <c r="E6009" t="s">
        <v>98</v>
      </c>
    </row>
    <row r="6010" spans="1:5" x14ac:dyDescent="0.25">
      <c r="A6010" t="s">
        <v>43</v>
      </c>
      <c r="B6010">
        <v>2016</v>
      </c>
      <c r="C6010" t="s">
        <v>6</v>
      </c>
      <c r="D6010">
        <v>1744649.4310000001</v>
      </c>
      <c r="E6010" t="s">
        <v>98</v>
      </c>
    </row>
    <row r="6011" spans="1:5" x14ac:dyDescent="0.25">
      <c r="A6011" t="s">
        <v>43</v>
      </c>
      <c r="B6011">
        <v>2017</v>
      </c>
      <c r="C6011" t="s">
        <v>6</v>
      </c>
      <c r="D6011">
        <v>1210836.26</v>
      </c>
      <c r="E6011" t="s">
        <v>98</v>
      </c>
    </row>
    <row r="6012" spans="1:5" x14ac:dyDescent="0.25">
      <c r="A6012" t="s">
        <v>43</v>
      </c>
      <c r="B6012">
        <v>2018</v>
      </c>
      <c r="C6012" t="s">
        <v>6</v>
      </c>
      <c r="D6012">
        <v>1634889.62</v>
      </c>
      <c r="E6012" t="s">
        <v>98</v>
      </c>
    </row>
    <row r="6013" spans="1:5" x14ac:dyDescent="0.25">
      <c r="A6013" t="s">
        <v>43</v>
      </c>
      <c r="B6013">
        <v>2019</v>
      </c>
      <c r="C6013" t="s">
        <v>6</v>
      </c>
      <c r="D6013">
        <v>2939319.5</v>
      </c>
      <c r="E6013" t="s">
        <v>98</v>
      </c>
    </row>
    <row r="6014" spans="1:5" x14ac:dyDescent="0.25">
      <c r="A6014" t="s">
        <v>43</v>
      </c>
      <c r="B6014">
        <v>2020</v>
      </c>
      <c r="C6014" t="s">
        <v>6</v>
      </c>
      <c r="D6014">
        <v>4829101.8899999997</v>
      </c>
      <c r="E6014" t="s">
        <v>98</v>
      </c>
    </row>
    <row r="6015" spans="1:5" x14ac:dyDescent="0.25">
      <c r="A6015" t="s">
        <v>43</v>
      </c>
      <c r="B6015">
        <v>2021</v>
      </c>
      <c r="C6015" t="s">
        <v>6</v>
      </c>
      <c r="D6015">
        <v>4118809.17</v>
      </c>
      <c r="E6015" t="s">
        <v>98</v>
      </c>
    </row>
    <row r="6016" spans="1:5" x14ac:dyDescent="0.25">
      <c r="A6016" t="s">
        <v>43</v>
      </c>
      <c r="B6016">
        <v>2022</v>
      </c>
      <c r="C6016" t="s">
        <v>6</v>
      </c>
      <c r="D6016">
        <v>3497635.88</v>
      </c>
      <c r="E6016" t="s">
        <v>98</v>
      </c>
    </row>
    <row r="6017" spans="1:5" x14ac:dyDescent="0.25">
      <c r="A6017" t="s">
        <v>43</v>
      </c>
      <c r="B6017">
        <v>2023</v>
      </c>
      <c r="C6017" t="s">
        <v>6</v>
      </c>
      <c r="D6017">
        <v>4200112.88</v>
      </c>
      <c r="E6017" t="s">
        <v>98</v>
      </c>
    </row>
    <row r="6018" spans="1:5" x14ac:dyDescent="0.25">
      <c r="A6018" t="s">
        <v>43</v>
      </c>
      <c r="B6018">
        <v>2024</v>
      </c>
      <c r="C6018" t="s">
        <v>6</v>
      </c>
      <c r="D6018">
        <v>1883867.21</v>
      </c>
      <c r="E6018" t="s">
        <v>98</v>
      </c>
    </row>
    <row r="6019" spans="1:5" x14ac:dyDescent="0.25">
      <c r="A6019" t="s">
        <v>43</v>
      </c>
      <c r="B6019">
        <v>2025</v>
      </c>
      <c r="C6019" t="s">
        <v>6</v>
      </c>
      <c r="D6019">
        <v>4873586.6399999997</v>
      </c>
      <c r="E6019" t="s">
        <v>98</v>
      </c>
    </row>
    <row r="6020" spans="1:5" x14ac:dyDescent="0.25">
      <c r="A6020" t="s">
        <v>88</v>
      </c>
      <c r="B6020">
        <v>2004</v>
      </c>
      <c r="C6020" t="s">
        <v>6</v>
      </c>
      <c r="D6020">
        <v>7114406</v>
      </c>
      <c r="E6020" t="s">
        <v>98</v>
      </c>
    </row>
    <row r="6021" spans="1:5" x14ac:dyDescent="0.25">
      <c r="A6021" t="s">
        <v>88</v>
      </c>
      <c r="B6021">
        <v>2005</v>
      </c>
      <c r="C6021" t="s">
        <v>6</v>
      </c>
      <c r="D6021">
        <v>5958086.4689999996</v>
      </c>
      <c r="E6021" t="s">
        <v>98</v>
      </c>
    </row>
    <row r="6022" spans="1:5" x14ac:dyDescent="0.25">
      <c r="A6022" t="s">
        <v>88</v>
      </c>
      <c r="B6022">
        <v>2006</v>
      </c>
      <c r="C6022" t="s">
        <v>6</v>
      </c>
      <c r="D6022">
        <v>5583920.9079999998</v>
      </c>
      <c r="E6022" t="s">
        <v>98</v>
      </c>
    </row>
    <row r="6023" spans="1:5" x14ac:dyDescent="0.25">
      <c r="A6023" t="s">
        <v>88</v>
      </c>
      <c r="B6023">
        <v>2007</v>
      </c>
      <c r="C6023" t="s">
        <v>6</v>
      </c>
      <c r="D6023">
        <v>4902310</v>
      </c>
      <c r="E6023" t="s">
        <v>98</v>
      </c>
    </row>
    <row r="6024" spans="1:5" x14ac:dyDescent="0.25">
      <c r="A6024" t="s">
        <v>88</v>
      </c>
      <c r="B6024">
        <v>2008</v>
      </c>
      <c r="C6024" t="s">
        <v>6</v>
      </c>
      <c r="D6024">
        <v>6799704</v>
      </c>
      <c r="E6024" t="s">
        <v>98</v>
      </c>
    </row>
    <row r="6025" spans="1:5" x14ac:dyDescent="0.25">
      <c r="A6025" t="s">
        <v>88</v>
      </c>
      <c r="B6025">
        <v>2009</v>
      </c>
      <c r="C6025" t="s">
        <v>6</v>
      </c>
      <c r="D6025">
        <v>6210117</v>
      </c>
      <c r="E6025" t="s">
        <v>98</v>
      </c>
    </row>
    <row r="6026" spans="1:5" x14ac:dyDescent="0.25">
      <c r="A6026" t="s">
        <v>88</v>
      </c>
      <c r="B6026">
        <v>2010</v>
      </c>
      <c r="C6026" t="s">
        <v>6</v>
      </c>
      <c r="D6026">
        <v>7669100</v>
      </c>
      <c r="E6026" t="s">
        <v>98</v>
      </c>
    </row>
    <row r="6027" spans="1:5" x14ac:dyDescent="0.25">
      <c r="A6027" t="s">
        <v>88</v>
      </c>
      <c r="B6027">
        <v>2011</v>
      </c>
      <c r="C6027" t="s">
        <v>6</v>
      </c>
      <c r="D6027">
        <v>6929502</v>
      </c>
      <c r="E6027" t="s">
        <v>98</v>
      </c>
    </row>
    <row r="6028" spans="1:5" x14ac:dyDescent="0.25">
      <c r="A6028" t="s">
        <v>88</v>
      </c>
      <c r="B6028">
        <v>2012</v>
      </c>
      <c r="C6028" t="s">
        <v>6</v>
      </c>
      <c r="D6028">
        <v>5240661</v>
      </c>
      <c r="E6028" t="s">
        <v>98</v>
      </c>
    </row>
    <row r="6029" spans="1:5" x14ac:dyDescent="0.25">
      <c r="A6029" t="s">
        <v>88</v>
      </c>
      <c r="B6029">
        <v>2013</v>
      </c>
      <c r="C6029" t="s">
        <v>6</v>
      </c>
      <c r="D6029">
        <v>9001682</v>
      </c>
      <c r="E6029" t="s">
        <v>98</v>
      </c>
    </row>
    <row r="6030" spans="1:5" x14ac:dyDescent="0.25">
      <c r="A6030" t="s">
        <v>88</v>
      </c>
      <c r="B6030">
        <v>2014</v>
      </c>
      <c r="C6030" t="s">
        <v>6</v>
      </c>
      <c r="D6030">
        <v>7589378</v>
      </c>
      <c r="E6030" t="s">
        <v>98</v>
      </c>
    </row>
    <row r="6031" spans="1:5" x14ac:dyDescent="0.25">
      <c r="A6031" t="s">
        <v>88</v>
      </c>
      <c r="B6031">
        <v>2015</v>
      </c>
      <c r="C6031" t="s">
        <v>6</v>
      </c>
      <c r="D6031">
        <v>9191487</v>
      </c>
      <c r="E6031" t="s">
        <v>98</v>
      </c>
    </row>
    <row r="6032" spans="1:5" x14ac:dyDescent="0.25">
      <c r="A6032" t="s">
        <v>88</v>
      </c>
      <c r="B6032">
        <v>2016</v>
      </c>
      <c r="C6032" t="s">
        <v>6</v>
      </c>
      <c r="D6032">
        <v>9425279</v>
      </c>
      <c r="E6032" t="s">
        <v>98</v>
      </c>
    </row>
    <row r="6033" spans="1:5" x14ac:dyDescent="0.25">
      <c r="A6033" t="s">
        <v>88</v>
      </c>
      <c r="B6033">
        <v>2017</v>
      </c>
      <c r="C6033" t="s">
        <v>6</v>
      </c>
      <c r="D6033">
        <v>7449044</v>
      </c>
      <c r="E6033" t="s">
        <v>98</v>
      </c>
    </row>
    <row r="6034" spans="1:5" x14ac:dyDescent="0.25">
      <c r="A6034" t="s">
        <v>88</v>
      </c>
      <c r="B6034">
        <v>2018</v>
      </c>
      <c r="C6034" t="s">
        <v>6</v>
      </c>
      <c r="D6034">
        <v>8765435</v>
      </c>
      <c r="E6034" t="s">
        <v>98</v>
      </c>
    </row>
    <row r="6035" spans="1:5" x14ac:dyDescent="0.25">
      <c r="A6035" t="s">
        <v>88</v>
      </c>
      <c r="B6035">
        <v>2019</v>
      </c>
      <c r="C6035" t="s">
        <v>6</v>
      </c>
      <c r="D6035">
        <v>10159247</v>
      </c>
      <c r="E6035" t="s">
        <v>98</v>
      </c>
    </row>
    <row r="6036" spans="1:5" x14ac:dyDescent="0.25">
      <c r="A6036" t="s">
        <v>88</v>
      </c>
      <c r="B6036">
        <v>2020</v>
      </c>
      <c r="C6036" t="s">
        <v>6</v>
      </c>
      <c r="D6036">
        <v>11877280.225</v>
      </c>
      <c r="E6036" t="s">
        <v>98</v>
      </c>
    </row>
    <row r="6037" spans="1:5" x14ac:dyDescent="0.25">
      <c r="A6037" t="s">
        <v>88</v>
      </c>
      <c r="B6037">
        <v>2021</v>
      </c>
      <c r="C6037" t="s">
        <v>6</v>
      </c>
      <c r="D6037">
        <v>11395396.697000001</v>
      </c>
      <c r="E6037" t="s">
        <v>98</v>
      </c>
    </row>
    <row r="6038" spans="1:5" x14ac:dyDescent="0.25">
      <c r="A6038" t="s">
        <v>88</v>
      </c>
      <c r="B6038">
        <v>2022</v>
      </c>
      <c r="C6038" t="s">
        <v>6</v>
      </c>
      <c r="D6038">
        <v>11950993</v>
      </c>
      <c r="E6038" t="s">
        <v>98</v>
      </c>
    </row>
    <row r="6039" spans="1:5" x14ac:dyDescent="0.25">
      <c r="A6039" t="s">
        <v>88</v>
      </c>
      <c r="B6039">
        <v>2023</v>
      </c>
      <c r="C6039" t="s">
        <v>6</v>
      </c>
      <c r="D6039">
        <v>11671383.539000001</v>
      </c>
      <c r="E6039" t="s">
        <v>98</v>
      </c>
    </row>
    <row r="6040" spans="1:5" x14ac:dyDescent="0.25">
      <c r="A6040" t="s">
        <v>88</v>
      </c>
      <c r="B6040">
        <v>2024</v>
      </c>
      <c r="C6040" t="s">
        <v>6</v>
      </c>
      <c r="D6040">
        <v>14278603.116</v>
      </c>
      <c r="E6040" t="s">
        <v>98</v>
      </c>
    </row>
    <row r="6041" spans="1:5" x14ac:dyDescent="0.25">
      <c r="A6041" t="s">
        <v>88</v>
      </c>
      <c r="B6041">
        <v>2025</v>
      </c>
      <c r="C6041" t="s">
        <v>6</v>
      </c>
      <c r="D6041">
        <v>12526066</v>
      </c>
      <c r="E6041" t="s">
        <v>98</v>
      </c>
    </row>
    <row r="6042" spans="1:5" x14ac:dyDescent="0.25">
      <c r="A6042" t="s">
        <v>44</v>
      </c>
      <c r="B6042">
        <v>2010</v>
      </c>
      <c r="C6042" t="s">
        <v>6</v>
      </c>
      <c r="D6042">
        <v>12628747</v>
      </c>
      <c r="E6042" t="s">
        <v>98</v>
      </c>
    </row>
    <row r="6043" spans="1:5" x14ac:dyDescent="0.25">
      <c r="A6043" t="s">
        <v>44</v>
      </c>
      <c r="B6043">
        <v>2011</v>
      </c>
      <c r="C6043" t="s">
        <v>6</v>
      </c>
      <c r="D6043">
        <v>13493079</v>
      </c>
      <c r="E6043" t="s">
        <v>98</v>
      </c>
    </row>
    <row r="6044" spans="1:5" x14ac:dyDescent="0.25">
      <c r="A6044" t="s">
        <v>44</v>
      </c>
      <c r="B6044">
        <v>2012</v>
      </c>
      <c r="C6044" t="s">
        <v>6</v>
      </c>
      <c r="D6044">
        <v>12870082</v>
      </c>
      <c r="E6044" t="s">
        <v>98</v>
      </c>
    </row>
    <row r="6045" spans="1:5" x14ac:dyDescent="0.25">
      <c r="A6045" t="s">
        <v>44</v>
      </c>
      <c r="B6045">
        <v>2013</v>
      </c>
      <c r="C6045" t="s">
        <v>6</v>
      </c>
      <c r="D6045">
        <v>17809624</v>
      </c>
      <c r="E6045" t="s">
        <v>98</v>
      </c>
    </row>
    <row r="6046" spans="1:5" x14ac:dyDescent="0.25">
      <c r="A6046" t="s">
        <v>44</v>
      </c>
      <c r="B6046">
        <v>2014</v>
      </c>
      <c r="C6046" t="s">
        <v>6</v>
      </c>
      <c r="D6046">
        <v>21109221</v>
      </c>
      <c r="E6046" t="s">
        <v>98</v>
      </c>
    </row>
    <row r="6047" spans="1:5" x14ac:dyDescent="0.25">
      <c r="A6047" t="s">
        <v>44</v>
      </c>
      <c r="B6047">
        <v>2015</v>
      </c>
      <c r="C6047" t="s">
        <v>6</v>
      </c>
      <c r="D6047">
        <v>17963354</v>
      </c>
      <c r="E6047" t="s">
        <v>98</v>
      </c>
    </row>
    <row r="6048" spans="1:5" x14ac:dyDescent="0.25">
      <c r="A6048" t="s">
        <v>44</v>
      </c>
      <c r="B6048">
        <v>2016</v>
      </c>
      <c r="C6048" t="s">
        <v>6</v>
      </c>
      <c r="D6048">
        <v>20108858</v>
      </c>
      <c r="E6048" t="s">
        <v>98</v>
      </c>
    </row>
    <row r="6049" spans="1:5" x14ac:dyDescent="0.25">
      <c r="A6049" t="s">
        <v>44</v>
      </c>
      <c r="B6049">
        <v>2017</v>
      </c>
      <c r="C6049" t="s">
        <v>6</v>
      </c>
      <c r="D6049">
        <v>21624953</v>
      </c>
      <c r="E6049" t="s">
        <v>98</v>
      </c>
    </row>
    <row r="6050" spans="1:5" x14ac:dyDescent="0.25">
      <c r="A6050" t="s">
        <v>44</v>
      </c>
      <c r="B6050">
        <v>2018</v>
      </c>
      <c r="C6050" t="s">
        <v>6</v>
      </c>
      <c r="D6050">
        <v>20029551.004000001</v>
      </c>
      <c r="E6050" t="s">
        <v>98</v>
      </c>
    </row>
    <row r="6051" spans="1:5" x14ac:dyDescent="0.25">
      <c r="A6051" t="s">
        <v>44</v>
      </c>
      <c r="B6051">
        <v>2019</v>
      </c>
      <c r="C6051" t="s">
        <v>6</v>
      </c>
      <c r="D6051">
        <v>20756234</v>
      </c>
      <c r="E6051" t="s">
        <v>98</v>
      </c>
    </row>
    <row r="6052" spans="1:5" x14ac:dyDescent="0.25">
      <c r="A6052" t="s">
        <v>44</v>
      </c>
      <c r="B6052">
        <v>2020</v>
      </c>
      <c r="C6052" t="s">
        <v>6</v>
      </c>
      <c r="D6052">
        <v>27028139.333999999</v>
      </c>
      <c r="E6052" t="s">
        <v>98</v>
      </c>
    </row>
    <row r="6053" spans="1:5" x14ac:dyDescent="0.25">
      <c r="A6053" t="s">
        <v>44</v>
      </c>
      <c r="B6053">
        <v>2021</v>
      </c>
      <c r="C6053" t="s">
        <v>6</v>
      </c>
      <c r="D6053">
        <v>25311546.27</v>
      </c>
      <c r="E6053" t="s">
        <v>98</v>
      </c>
    </row>
    <row r="6054" spans="1:5" x14ac:dyDescent="0.25">
      <c r="A6054" t="s">
        <v>44</v>
      </c>
      <c r="B6054">
        <v>2022</v>
      </c>
      <c r="C6054" t="s">
        <v>6</v>
      </c>
      <c r="D6054">
        <v>27347669.188999999</v>
      </c>
      <c r="E6054" t="s">
        <v>98</v>
      </c>
    </row>
    <row r="6055" spans="1:5" x14ac:dyDescent="0.25">
      <c r="A6055" t="s">
        <v>44</v>
      </c>
      <c r="B6055">
        <v>2023</v>
      </c>
      <c r="C6055" t="s">
        <v>6</v>
      </c>
      <c r="D6055">
        <v>30768901</v>
      </c>
      <c r="E6055" t="s">
        <v>98</v>
      </c>
    </row>
    <row r="6056" spans="1:5" x14ac:dyDescent="0.25">
      <c r="A6056" t="s">
        <v>44</v>
      </c>
      <c r="B6056">
        <v>2024</v>
      </c>
      <c r="C6056" t="s">
        <v>6</v>
      </c>
      <c r="D6056">
        <v>35353598.219999999</v>
      </c>
      <c r="E6056" t="s">
        <v>98</v>
      </c>
    </row>
    <row r="6057" spans="1:5" x14ac:dyDescent="0.25">
      <c r="A6057" t="s">
        <v>44</v>
      </c>
      <c r="B6057">
        <v>2025</v>
      </c>
      <c r="C6057" t="s">
        <v>6</v>
      </c>
      <c r="D6057">
        <v>34829135.112000003</v>
      </c>
      <c r="E6057" t="s">
        <v>98</v>
      </c>
    </row>
    <row r="6058" spans="1:5" x14ac:dyDescent="0.25">
      <c r="A6058" t="s">
        <v>87</v>
      </c>
      <c r="B6058">
        <v>2012</v>
      </c>
      <c r="C6058" t="s">
        <v>6</v>
      </c>
      <c r="D6058">
        <v>2225759.17</v>
      </c>
      <c r="E6058" t="s">
        <v>98</v>
      </c>
    </row>
    <row r="6059" spans="1:5" x14ac:dyDescent="0.25">
      <c r="A6059" t="s">
        <v>87</v>
      </c>
      <c r="B6059">
        <v>2013</v>
      </c>
      <c r="C6059" t="s">
        <v>6</v>
      </c>
      <c r="D6059">
        <v>1668870.3</v>
      </c>
      <c r="E6059" t="s">
        <v>98</v>
      </c>
    </row>
    <row r="6060" spans="1:5" x14ac:dyDescent="0.25">
      <c r="A6060" t="s">
        <v>87</v>
      </c>
      <c r="B6060">
        <v>2014</v>
      </c>
      <c r="C6060" t="s">
        <v>6</v>
      </c>
      <c r="D6060">
        <v>1722658.3</v>
      </c>
      <c r="E6060" t="s">
        <v>98</v>
      </c>
    </row>
    <row r="6061" spans="1:5" x14ac:dyDescent="0.25">
      <c r="A6061" t="s">
        <v>87</v>
      </c>
      <c r="B6061">
        <v>2015</v>
      </c>
      <c r="C6061" t="s">
        <v>6</v>
      </c>
      <c r="D6061">
        <v>2687384.41</v>
      </c>
      <c r="E6061" t="s">
        <v>98</v>
      </c>
    </row>
    <row r="6062" spans="1:5" x14ac:dyDescent="0.25">
      <c r="A6062" t="s">
        <v>87</v>
      </c>
      <c r="B6062">
        <v>2016</v>
      </c>
      <c r="C6062" t="s">
        <v>6</v>
      </c>
      <c r="D6062">
        <v>2615136.88</v>
      </c>
      <c r="E6062" t="s">
        <v>98</v>
      </c>
    </row>
    <row r="6063" spans="1:5" x14ac:dyDescent="0.25">
      <c r="A6063" t="s">
        <v>87</v>
      </c>
      <c r="B6063">
        <v>2017</v>
      </c>
      <c r="C6063" t="s">
        <v>6</v>
      </c>
      <c r="D6063">
        <v>2710011.83</v>
      </c>
      <c r="E6063" t="s">
        <v>98</v>
      </c>
    </row>
    <row r="6064" spans="1:5" x14ac:dyDescent="0.25">
      <c r="A6064" t="s">
        <v>87</v>
      </c>
      <c r="B6064">
        <v>2018</v>
      </c>
      <c r="C6064" t="s">
        <v>6</v>
      </c>
      <c r="D6064">
        <v>2716003.2</v>
      </c>
      <c r="E6064" t="s">
        <v>98</v>
      </c>
    </row>
    <row r="6065" spans="1:5" x14ac:dyDescent="0.25">
      <c r="A6065" t="s">
        <v>87</v>
      </c>
      <c r="B6065">
        <v>2019</v>
      </c>
      <c r="C6065" t="s">
        <v>6</v>
      </c>
      <c r="D6065">
        <v>2929073.7</v>
      </c>
      <c r="E6065" t="s">
        <v>98</v>
      </c>
    </row>
    <row r="6066" spans="1:5" x14ac:dyDescent="0.25">
      <c r="A6066" t="s">
        <v>87</v>
      </c>
      <c r="B6066">
        <v>2020</v>
      </c>
      <c r="C6066" t="s">
        <v>6</v>
      </c>
      <c r="D6066">
        <v>2508287</v>
      </c>
      <c r="E6066" t="s">
        <v>98</v>
      </c>
    </row>
    <row r="6067" spans="1:5" x14ac:dyDescent="0.25">
      <c r="A6067" t="s">
        <v>87</v>
      </c>
      <c r="B6067">
        <v>2021</v>
      </c>
      <c r="C6067" t="s">
        <v>6</v>
      </c>
      <c r="D6067">
        <v>2086906.66</v>
      </c>
      <c r="E6067" t="s">
        <v>98</v>
      </c>
    </row>
    <row r="6068" spans="1:5" x14ac:dyDescent="0.25">
      <c r="A6068" t="s">
        <v>87</v>
      </c>
      <c r="B6068">
        <v>2022</v>
      </c>
      <c r="C6068" t="s">
        <v>6</v>
      </c>
      <c r="D6068">
        <v>2940137.29</v>
      </c>
      <c r="E6068" t="s">
        <v>98</v>
      </c>
    </row>
    <row r="6069" spans="1:5" x14ac:dyDescent="0.25">
      <c r="A6069" t="s">
        <v>87</v>
      </c>
      <c r="B6069">
        <v>2023</v>
      </c>
      <c r="C6069" t="s">
        <v>6</v>
      </c>
      <c r="D6069">
        <v>1853779.439</v>
      </c>
      <c r="E6069" t="s">
        <v>98</v>
      </c>
    </row>
    <row r="6070" spans="1:5" x14ac:dyDescent="0.25">
      <c r="A6070" t="s">
        <v>45</v>
      </c>
      <c r="B6070">
        <v>2015</v>
      </c>
      <c r="C6070" t="s">
        <v>6</v>
      </c>
      <c r="D6070">
        <v>1692444.7520000001</v>
      </c>
      <c r="E6070" t="s">
        <v>98</v>
      </c>
    </row>
    <row r="6071" spans="1:5" x14ac:dyDescent="0.25">
      <c r="A6071" t="s">
        <v>45</v>
      </c>
      <c r="B6071">
        <v>2016</v>
      </c>
      <c r="C6071" t="s">
        <v>6</v>
      </c>
      <c r="D6071">
        <v>1374745.4650000001</v>
      </c>
      <c r="E6071" t="s">
        <v>98</v>
      </c>
    </row>
    <row r="6072" spans="1:5" x14ac:dyDescent="0.25">
      <c r="A6072" t="s">
        <v>45</v>
      </c>
      <c r="B6072">
        <v>2017</v>
      </c>
      <c r="C6072" t="s">
        <v>6</v>
      </c>
      <c r="D6072">
        <v>1065483.77</v>
      </c>
      <c r="E6072" t="s">
        <v>98</v>
      </c>
    </row>
    <row r="6073" spans="1:5" x14ac:dyDescent="0.25">
      <c r="A6073" t="s">
        <v>45</v>
      </c>
      <c r="B6073">
        <v>2018</v>
      </c>
      <c r="C6073" t="s">
        <v>6</v>
      </c>
      <c r="D6073">
        <v>1364297.35</v>
      </c>
      <c r="E6073" t="s">
        <v>98</v>
      </c>
    </row>
    <row r="6074" spans="1:5" x14ac:dyDescent="0.25">
      <c r="A6074" t="s">
        <v>45</v>
      </c>
      <c r="B6074">
        <v>2019</v>
      </c>
      <c r="C6074" t="s">
        <v>6</v>
      </c>
      <c r="D6074">
        <v>1366014.82</v>
      </c>
      <c r="E6074" t="s">
        <v>98</v>
      </c>
    </row>
    <row r="6075" spans="1:5" x14ac:dyDescent="0.25">
      <c r="A6075" t="s">
        <v>45</v>
      </c>
      <c r="B6075">
        <v>2020</v>
      </c>
      <c r="C6075" t="s">
        <v>6</v>
      </c>
      <c r="D6075">
        <v>1326730.628</v>
      </c>
      <c r="E6075" t="s">
        <v>98</v>
      </c>
    </row>
    <row r="6076" spans="1:5" x14ac:dyDescent="0.25">
      <c r="A6076" t="s">
        <v>45</v>
      </c>
      <c r="B6076">
        <v>2021</v>
      </c>
      <c r="C6076" t="s">
        <v>6</v>
      </c>
      <c r="D6076">
        <v>1450333.828</v>
      </c>
      <c r="E6076" t="s">
        <v>98</v>
      </c>
    </row>
    <row r="6077" spans="1:5" x14ac:dyDescent="0.25">
      <c r="A6077" t="s">
        <v>45</v>
      </c>
      <c r="B6077">
        <v>2022</v>
      </c>
      <c r="C6077" t="s">
        <v>6</v>
      </c>
      <c r="D6077">
        <v>1983560.2749999999</v>
      </c>
      <c r="E6077" t="s">
        <v>98</v>
      </c>
    </row>
    <row r="6078" spans="1:5" x14ac:dyDescent="0.25">
      <c r="A6078" t="s">
        <v>45</v>
      </c>
      <c r="B6078">
        <v>2023</v>
      </c>
      <c r="C6078" t="s">
        <v>6</v>
      </c>
      <c r="D6078">
        <v>4898372.5889999997</v>
      </c>
      <c r="E6078" t="s">
        <v>98</v>
      </c>
    </row>
    <row r="6079" spans="1:5" x14ac:dyDescent="0.25">
      <c r="A6079" t="s">
        <v>45</v>
      </c>
      <c r="B6079">
        <v>2024</v>
      </c>
      <c r="C6079" t="s">
        <v>6</v>
      </c>
      <c r="D6079">
        <v>6831202.1940000001</v>
      </c>
      <c r="E6079" t="s">
        <v>98</v>
      </c>
    </row>
    <row r="6080" spans="1:5" x14ac:dyDescent="0.25">
      <c r="A6080" t="s">
        <v>107</v>
      </c>
      <c r="B6080">
        <v>2000</v>
      </c>
      <c r="C6080" t="s">
        <v>6</v>
      </c>
      <c r="D6080">
        <v>736935</v>
      </c>
      <c r="E6080" t="s">
        <v>98</v>
      </c>
    </row>
    <row r="6081" spans="1:5" x14ac:dyDescent="0.25">
      <c r="A6081" t="s">
        <v>107</v>
      </c>
      <c r="B6081">
        <v>2001</v>
      </c>
      <c r="C6081" t="s">
        <v>6</v>
      </c>
      <c r="D6081">
        <v>1325728.3799999999</v>
      </c>
      <c r="E6081" t="s">
        <v>98</v>
      </c>
    </row>
    <row r="6082" spans="1:5" x14ac:dyDescent="0.25">
      <c r="A6082" t="s">
        <v>107</v>
      </c>
      <c r="B6082">
        <v>2003</v>
      </c>
      <c r="C6082" t="s">
        <v>6</v>
      </c>
      <c r="D6082">
        <v>1548307.16</v>
      </c>
      <c r="E6082" t="s">
        <v>98</v>
      </c>
    </row>
    <row r="6083" spans="1:5" x14ac:dyDescent="0.25">
      <c r="A6083" t="s">
        <v>107</v>
      </c>
      <c r="B6083">
        <v>2004</v>
      </c>
      <c r="C6083" t="s">
        <v>6</v>
      </c>
      <c r="D6083">
        <v>1665384.17</v>
      </c>
      <c r="E6083" t="s">
        <v>98</v>
      </c>
    </row>
    <row r="6084" spans="1:5" x14ac:dyDescent="0.25">
      <c r="A6084" t="s">
        <v>107</v>
      </c>
      <c r="B6084">
        <v>2005</v>
      </c>
      <c r="C6084" t="s">
        <v>6</v>
      </c>
      <c r="D6084">
        <v>2358102</v>
      </c>
      <c r="E6084" t="s">
        <v>98</v>
      </c>
    </row>
    <row r="6085" spans="1:5" x14ac:dyDescent="0.25">
      <c r="A6085" t="s">
        <v>107</v>
      </c>
      <c r="B6085">
        <v>2006</v>
      </c>
      <c r="C6085" t="s">
        <v>6</v>
      </c>
      <c r="D6085">
        <v>3617869.03</v>
      </c>
      <c r="E6085" t="s">
        <v>98</v>
      </c>
    </row>
    <row r="6086" spans="1:5" x14ac:dyDescent="0.25">
      <c r="A6086" t="s">
        <v>107</v>
      </c>
      <c r="B6086">
        <v>2007</v>
      </c>
      <c r="C6086" t="s">
        <v>6</v>
      </c>
      <c r="D6086">
        <v>2266076.2000000002</v>
      </c>
      <c r="E6086" t="s">
        <v>98</v>
      </c>
    </row>
    <row r="6087" spans="1:5" x14ac:dyDescent="0.25">
      <c r="A6087" t="s">
        <v>107</v>
      </c>
      <c r="B6087">
        <v>2008</v>
      </c>
      <c r="C6087" t="s">
        <v>6</v>
      </c>
      <c r="D6087">
        <v>2846168.2</v>
      </c>
      <c r="E6087" t="s">
        <v>98</v>
      </c>
    </row>
    <row r="6088" spans="1:5" x14ac:dyDescent="0.25">
      <c r="A6088" t="s">
        <v>107</v>
      </c>
      <c r="B6088">
        <v>2009</v>
      </c>
      <c r="C6088" t="s">
        <v>6</v>
      </c>
      <c r="D6088">
        <v>1993168.5</v>
      </c>
      <c r="E6088" t="s">
        <v>98</v>
      </c>
    </row>
    <row r="6089" spans="1:5" x14ac:dyDescent="0.25">
      <c r="A6089" t="s">
        <v>107</v>
      </c>
      <c r="B6089">
        <v>2010</v>
      </c>
      <c r="C6089" t="s">
        <v>6</v>
      </c>
      <c r="D6089">
        <v>1854429.1170000001</v>
      </c>
      <c r="E6089" t="s">
        <v>98</v>
      </c>
    </row>
    <row r="6090" spans="1:5" x14ac:dyDescent="0.25">
      <c r="A6090" t="s">
        <v>107</v>
      </c>
      <c r="B6090">
        <v>2011</v>
      </c>
      <c r="C6090" t="s">
        <v>6</v>
      </c>
      <c r="D6090">
        <v>2597996.16</v>
      </c>
      <c r="E6090" t="s">
        <v>98</v>
      </c>
    </row>
    <row r="6091" spans="1:5" x14ac:dyDescent="0.25">
      <c r="A6091" t="s">
        <v>107</v>
      </c>
      <c r="B6091">
        <v>2012</v>
      </c>
      <c r="C6091" t="s">
        <v>6</v>
      </c>
      <c r="D6091">
        <v>3032877.46</v>
      </c>
      <c r="E6091" t="s">
        <v>98</v>
      </c>
    </row>
    <row r="6092" spans="1:5" x14ac:dyDescent="0.25">
      <c r="A6092" t="s">
        <v>107</v>
      </c>
      <c r="B6092">
        <v>2013</v>
      </c>
      <c r="C6092" t="s">
        <v>6</v>
      </c>
      <c r="D6092">
        <v>2897203.98</v>
      </c>
      <c r="E6092" t="s">
        <v>98</v>
      </c>
    </row>
    <row r="6093" spans="1:5" x14ac:dyDescent="0.25">
      <c r="A6093" t="s">
        <v>107</v>
      </c>
      <c r="B6093">
        <v>2014</v>
      </c>
      <c r="C6093" t="s">
        <v>6</v>
      </c>
      <c r="D6093">
        <v>3167612</v>
      </c>
      <c r="E6093" t="s">
        <v>98</v>
      </c>
    </row>
    <row r="6094" spans="1:5" x14ac:dyDescent="0.25">
      <c r="A6094" t="s">
        <v>107</v>
      </c>
      <c r="B6094">
        <v>2015</v>
      </c>
      <c r="C6094" t="s">
        <v>6</v>
      </c>
      <c r="D6094">
        <v>2696366.38</v>
      </c>
      <c r="E6094" t="s">
        <v>98</v>
      </c>
    </row>
    <row r="6095" spans="1:5" x14ac:dyDescent="0.25">
      <c r="A6095" t="s">
        <v>107</v>
      </c>
      <c r="B6095">
        <v>2016</v>
      </c>
      <c r="C6095" t="s">
        <v>6</v>
      </c>
      <c r="D6095">
        <v>3475196</v>
      </c>
      <c r="E6095" t="s">
        <v>98</v>
      </c>
    </row>
    <row r="6096" spans="1:5" x14ac:dyDescent="0.25">
      <c r="A6096" t="s">
        <v>107</v>
      </c>
      <c r="B6096">
        <v>2017</v>
      </c>
      <c r="C6096" t="s">
        <v>6</v>
      </c>
      <c r="D6096">
        <v>5070771.8</v>
      </c>
      <c r="E6096" t="s">
        <v>98</v>
      </c>
    </row>
    <row r="6097" spans="1:5" x14ac:dyDescent="0.25">
      <c r="A6097" t="s">
        <v>107</v>
      </c>
      <c r="B6097">
        <v>2018</v>
      </c>
      <c r="C6097" t="s">
        <v>6</v>
      </c>
      <c r="D6097">
        <v>5171543.0710000005</v>
      </c>
      <c r="E6097" t="s">
        <v>98</v>
      </c>
    </row>
    <row r="6098" spans="1:5" x14ac:dyDescent="0.25">
      <c r="A6098" t="s">
        <v>107</v>
      </c>
      <c r="B6098">
        <v>2019</v>
      </c>
      <c r="C6098" t="s">
        <v>6</v>
      </c>
      <c r="D6098">
        <v>5458543.7300000004</v>
      </c>
      <c r="E6098" t="s">
        <v>98</v>
      </c>
    </row>
    <row r="6099" spans="1:5" x14ac:dyDescent="0.25">
      <c r="A6099" t="s">
        <v>107</v>
      </c>
      <c r="B6099">
        <v>2020</v>
      </c>
      <c r="C6099" t="s">
        <v>6</v>
      </c>
      <c r="D6099">
        <v>6498196.4000000004</v>
      </c>
      <c r="E6099" t="s">
        <v>98</v>
      </c>
    </row>
    <row r="6100" spans="1:5" x14ac:dyDescent="0.25">
      <c r="A6100" t="s">
        <v>107</v>
      </c>
      <c r="B6100">
        <v>2021</v>
      </c>
      <c r="C6100" t="s">
        <v>6</v>
      </c>
      <c r="D6100">
        <v>6883109.8600000003</v>
      </c>
      <c r="E6100" t="s">
        <v>98</v>
      </c>
    </row>
    <row r="6101" spans="1:5" x14ac:dyDescent="0.25">
      <c r="A6101" t="s">
        <v>107</v>
      </c>
      <c r="B6101">
        <v>2022</v>
      </c>
      <c r="C6101" t="s">
        <v>6</v>
      </c>
      <c r="D6101">
        <v>6765722.2999999998</v>
      </c>
      <c r="E6101" t="s">
        <v>98</v>
      </c>
    </row>
    <row r="6102" spans="1:5" x14ac:dyDescent="0.25">
      <c r="A6102" t="s">
        <v>107</v>
      </c>
      <c r="B6102">
        <v>2023</v>
      </c>
      <c r="C6102" t="s">
        <v>6</v>
      </c>
      <c r="D6102">
        <v>6459730.5769999996</v>
      </c>
      <c r="E6102" t="s">
        <v>98</v>
      </c>
    </row>
    <row r="6103" spans="1:5" x14ac:dyDescent="0.25">
      <c r="A6103" t="s">
        <v>107</v>
      </c>
      <c r="B6103">
        <v>2024</v>
      </c>
      <c r="C6103" t="s">
        <v>6</v>
      </c>
      <c r="D6103">
        <v>7520040.7019999996</v>
      </c>
      <c r="E6103" t="s">
        <v>98</v>
      </c>
    </row>
    <row r="6104" spans="1:5" x14ac:dyDescent="0.25">
      <c r="A6104" t="s">
        <v>107</v>
      </c>
      <c r="B6104">
        <v>2025</v>
      </c>
      <c r="C6104" t="s">
        <v>6</v>
      </c>
      <c r="D6104">
        <v>5450609.4699999997</v>
      </c>
      <c r="E6104" t="s">
        <v>98</v>
      </c>
    </row>
    <row r="6105" spans="1:5" x14ac:dyDescent="0.25">
      <c r="A6105" t="s">
        <v>86</v>
      </c>
      <c r="B6105">
        <v>2013</v>
      </c>
      <c r="C6105" t="s">
        <v>6</v>
      </c>
      <c r="D6105">
        <v>5452743</v>
      </c>
      <c r="E6105" t="s">
        <v>98</v>
      </c>
    </row>
    <row r="6106" spans="1:5" x14ac:dyDescent="0.25">
      <c r="A6106" t="s">
        <v>86</v>
      </c>
      <c r="B6106">
        <v>2014</v>
      </c>
      <c r="C6106" t="s">
        <v>6</v>
      </c>
      <c r="D6106">
        <v>6766753</v>
      </c>
      <c r="E6106" t="s">
        <v>98</v>
      </c>
    </row>
    <row r="6107" spans="1:5" x14ac:dyDescent="0.25">
      <c r="A6107" t="s">
        <v>86</v>
      </c>
      <c r="B6107">
        <v>2015</v>
      </c>
      <c r="C6107" t="s">
        <v>6</v>
      </c>
      <c r="D6107">
        <v>5378541</v>
      </c>
      <c r="E6107" t="s">
        <v>98</v>
      </c>
    </row>
    <row r="6108" spans="1:5" x14ac:dyDescent="0.25">
      <c r="A6108" t="s">
        <v>86</v>
      </c>
      <c r="B6108">
        <v>2016</v>
      </c>
      <c r="C6108" t="s">
        <v>6</v>
      </c>
      <c r="D6108">
        <v>5840992.7599999998</v>
      </c>
      <c r="E6108" t="s">
        <v>98</v>
      </c>
    </row>
    <row r="6109" spans="1:5" x14ac:dyDescent="0.25">
      <c r="A6109" t="s">
        <v>86</v>
      </c>
      <c r="B6109">
        <v>2017</v>
      </c>
      <c r="C6109" t="s">
        <v>6</v>
      </c>
      <c r="D6109">
        <v>4185858.28</v>
      </c>
      <c r="E6109" t="s">
        <v>98</v>
      </c>
    </row>
    <row r="6110" spans="1:5" x14ac:dyDescent="0.25">
      <c r="A6110" t="s">
        <v>86</v>
      </c>
      <c r="B6110">
        <v>2018</v>
      </c>
      <c r="C6110" t="s">
        <v>6</v>
      </c>
      <c r="D6110">
        <v>4663052.6900000004</v>
      </c>
      <c r="E6110" t="s">
        <v>98</v>
      </c>
    </row>
    <row r="6111" spans="1:5" x14ac:dyDescent="0.25">
      <c r="A6111" t="s">
        <v>86</v>
      </c>
      <c r="B6111">
        <v>2019</v>
      </c>
      <c r="C6111" t="s">
        <v>6</v>
      </c>
      <c r="D6111">
        <v>7054197.04</v>
      </c>
      <c r="E6111" t="s">
        <v>98</v>
      </c>
    </row>
    <row r="6112" spans="1:5" x14ac:dyDescent="0.25">
      <c r="A6112" t="s">
        <v>86</v>
      </c>
      <c r="B6112">
        <v>2020</v>
      </c>
      <c r="C6112" t="s">
        <v>6</v>
      </c>
      <c r="D6112">
        <v>6715987.9840000002</v>
      </c>
      <c r="E6112" t="s">
        <v>98</v>
      </c>
    </row>
    <row r="6113" spans="1:5" x14ac:dyDescent="0.25">
      <c r="A6113" t="s">
        <v>86</v>
      </c>
      <c r="B6113">
        <v>2021</v>
      </c>
      <c r="C6113" t="s">
        <v>6</v>
      </c>
      <c r="D6113">
        <v>6354539.1299999999</v>
      </c>
      <c r="E6113" t="s">
        <v>98</v>
      </c>
    </row>
    <row r="6114" spans="1:5" x14ac:dyDescent="0.25">
      <c r="A6114" t="s">
        <v>85</v>
      </c>
      <c r="B6114">
        <v>2015</v>
      </c>
      <c r="C6114" t="s">
        <v>6</v>
      </c>
      <c r="D6114">
        <v>33968730</v>
      </c>
      <c r="E6114" t="s">
        <v>98</v>
      </c>
    </row>
    <row r="6115" spans="1:5" x14ac:dyDescent="0.25">
      <c r="A6115" t="s">
        <v>85</v>
      </c>
      <c r="B6115">
        <v>2016</v>
      </c>
      <c r="C6115" t="s">
        <v>6</v>
      </c>
      <c r="D6115">
        <v>38961000</v>
      </c>
      <c r="E6115" t="s">
        <v>98</v>
      </c>
    </row>
    <row r="6116" spans="1:5" x14ac:dyDescent="0.25">
      <c r="A6116" t="s">
        <v>85</v>
      </c>
      <c r="B6116">
        <v>2017</v>
      </c>
      <c r="C6116" t="s">
        <v>6</v>
      </c>
      <c r="D6116">
        <v>26804000</v>
      </c>
      <c r="E6116" t="s">
        <v>98</v>
      </c>
    </row>
    <row r="6117" spans="1:5" x14ac:dyDescent="0.25">
      <c r="A6117" t="s">
        <v>85</v>
      </c>
      <c r="B6117">
        <v>2020</v>
      </c>
      <c r="C6117" t="s">
        <v>6</v>
      </c>
      <c r="D6117">
        <v>65673444</v>
      </c>
      <c r="E6117" t="s">
        <v>98</v>
      </c>
    </row>
    <row r="6118" spans="1:5" x14ac:dyDescent="0.25">
      <c r="A6118" t="s">
        <v>85</v>
      </c>
      <c r="B6118">
        <v>2021</v>
      </c>
      <c r="C6118" t="s">
        <v>6</v>
      </c>
      <c r="D6118">
        <v>44284308</v>
      </c>
      <c r="E6118" t="s">
        <v>98</v>
      </c>
    </row>
    <row r="6119" spans="1:5" x14ac:dyDescent="0.25">
      <c r="A6119" t="s">
        <v>85</v>
      </c>
      <c r="B6119">
        <v>2025</v>
      </c>
      <c r="C6119" t="s">
        <v>6</v>
      </c>
      <c r="D6119">
        <v>16280065</v>
      </c>
      <c r="E6119" t="s">
        <v>98</v>
      </c>
    </row>
    <row r="6120" spans="1:5" x14ac:dyDescent="0.25">
      <c r="A6120" t="s">
        <v>106</v>
      </c>
      <c r="B6120">
        <v>2010</v>
      </c>
      <c r="C6120" t="s">
        <v>6</v>
      </c>
      <c r="D6120">
        <v>5449921</v>
      </c>
      <c r="E6120" t="s">
        <v>98</v>
      </c>
    </row>
    <row r="6121" spans="1:5" x14ac:dyDescent="0.25">
      <c r="A6121" t="s">
        <v>106</v>
      </c>
      <c r="B6121">
        <v>2011</v>
      </c>
      <c r="C6121" t="s">
        <v>6</v>
      </c>
      <c r="D6121">
        <v>5560901</v>
      </c>
      <c r="E6121" t="s">
        <v>98</v>
      </c>
    </row>
    <row r="6122" spans="1:5" x14ac:dyDescent="0.25">
      <c r="A6122" t="s">
        <v>106</v>
      </c>
      <c r="B6122">
        <v>2012</v>
      </c>
      <c r="C6122" t="s">
        <v>6</v>
      </c>
      <c r="D6122">
        <v>3886604</v>
      </c>
      <c r="E6122" t="s">
        <v>98</v>
      </c>
    </row>
    <row r="6123" spans="1:5" x14ac:dyDescent="0.25">
      <c r="A6123" t="s">
        <v>106</v>
      </c>
      <c r="B6123">
        <v>2013</v>
      </c>
      <c r="C6123" t="s">
        <v>6</v>
      </c>
      <c r="D6123">
        <v>3514141</v>
      </c>
      <c r="E6123" t="s">
        <v>98</v>
      </c>
    </row>
    <row r="6124" spans="1:5" x14ac:dyDescent="0.25">
      <c r="A6124" t="s">
        <v>106</v>
      </c>
      <c r="B6124">
        <v>2014</v>
      </c>
      <c r="C6124" t="s">
        <v>6</v>
      </c>
      <c r="D6124">
        <v>3088157</v>
      </c>
      <c r="E6124" t="s">
        <v>98</v>
      </c>
    </row>
    <row r="6125" spans="1:5" x14ac:dyDescent="0.25">
      <c r="A6125" t="s">
        <v>106</v>
      </c>
      <c r="B6125">
        <v>2015</v>
      </c>
      <c r="C6125" t="s">
        <v>6</v>
      </c>
      <c r="D6125">
        <v>13120449</v>
      </c>
      <c r="E6125" t="s">
        <v>98</v>
      </c>
    </row>
    <row r="6126" spans="1:5" x14ac:dyDescent="0.25">
      <c r="A6126" t="s">
        <v>106</v>
      </c>
      <c r="B6126">
        <v>2016</v>
      </c>
      <c r="C6126" t="s">
        <v>6</v>
      </c>
      <c r="D6126">
        <v>4243063</v>
      </c>
      <c r="E6126" t="s">
        <v>98</v>
      </c>
    </row>
    <row r="6127" spans="1:5" x14ac:dyDescent="0.25">
      <c r="A6127" t="s">
        <v>106</v>
      </c>
      <c r="B6127">
        <v>2017</v>
      </c>
      <c r="C6127" t="s">
        <v>6</v>
      </c>
      <c r="D6127">
        <v>4794498</v>
      </c>
      <c r="E6127" t="s">
        <v>98</v>
      </c>
    </row>
    <row r="6128" spans="1:5" x14ac:dyDescent="0.25">
      <c r="A6128" t="s">
        <v>106</v>
      </c>
      <c r="B6128">
        <v>2018</v>
      </c>
      <c r="C6128" t="s">
        <v>6</v>
      </c>
      <c r="D6128">
        <v>4374915</v>
      </c>
      <c r="E6128" t="s">
        <v>98</v>
      </c>
    </row>
    <row r="6129" spans="1:5" x14ac:dyDescent="0.25">
      <c r="A6129" t="s">
        <v>106</v>
      </c>
      <c r="B6129">
        <v>2019</v>
      </c>
      <c r="C6129" t="s">
        <v>6</v>
      </c>
      <c r="D6129">
        <v>4297045</v>
      </c>
      <c r="E6129" t="s">
        <v>98</v>
      </c>
    </row>
    <row r="6130" spans="1:5" x14ac:dyDescent="0.25">
      <c r="A6130" t="s">
        <v>106</v>
      </c>
      <c r="B6130">
        <v>2020</v>
      </c>
      <c r="C6130" t="s">
        <v>6</v>
      </c>
      <c r="D6130">
        <v>4377991</v>
      </c>
      <c r="E6130" t="s">
        <v>98</v>
      </c>
    </row>
    <row r="6131" spans="1:5" x14ac:dyDescent="0.25">
      <c r="A6131" t="s">
        <v>106</v>
      </c>
      <c r="B6131">
        <v>2021</v>
      </c>
      <c r="C6131" t="s">
        <v>6</v>
      </c>
      <c r="D6131">
        <v>4887703</v>
      </c>
      <c r="E6131" t="s">
        <v>98</v>
      </c>
    </row>
    <row r="6132" spans="1:5" x14ac:dyDescent="0.25">
      <c r="A6132" t="s">
        <v>106</v>
      </c>
      <c r="B6132">
        <v>2022</v>
      </c>
      <c r="C6132" t="s">
        <v>6</v>
      </c>
      <c r="D6132">
        <v>5402201</v>
      </c>
      <c r="E6132" t="s">
        <v>98</v>
      </c>
    </row>
    <row r="6133" spans="1:5" x14ac:dyDescent="0.25">
      <c r="A6133" t="s">
        <v>106</v>
      </c>
      <c r="B6133">
        <v>2023</v>
      </c>
      <c r="C6133" t="s">
        <v>6</v>
      </c>
      <c r="D6133">
        <v>5092829</v>
      </c>
      <c r="E6133" t="s">
        <v>98</v>
      </c>
    </row>
    <row r="6134" spans="1:5" x14ac:dyDescent="0.25">
      <c r="A6134" t="s">
        <v>106</v>
      </c>
      <c r="B6134">
        <v>2024</v>
      </c>
      <c r="C6134" t="s">
        <v>6</v>
      </c>
      <c r="D6134">
        <v>5273429</v>
      </c>
      <c r="E6134" t="s">
        <v>98</v>
      </c>
    </row>
    <row r="6135" spans="1:5" x14ac:dyDescent="0.25">
      <c r="A6135" t="s">
        <v>106</v>
      </c>
      <c r="B6135">
        <v>2025</v>
      </c>
      <c r="C6135" t="s">
        <v>6</v>
      </c>
      <c r="D6135">
        <v>4223726</v>
      </c>
      <c r="E6135" t="s">
        <v>98</v>
      </c>
    </row>
    <row r="6136" spans="1:5" x14ac:dyDescent="0.25">
      <c r="A6136" t="s">
        <v>62</v>
      </c>
      <c r="B6136">
        <v>2010</v>
      </c>
      <c r="C6136" t="s">
        <v>6</v>
      </c>
      <c r="D6136">
        <v>2316269.2599999998</v>
      </c>
      <c r="E6136" t="s">
        <v>98</v>
      </c>
    </row>
    <row r="6137" spans="1:5" x14ac:dyDescent="0.25">
      <c r="A6137" t="s">
        <v>62</v>
      </c>
      <c r="B6137">
        <v>2011</v>
      </c>
      <c r="C6137" t="s">
        <v>6</v>
      </c>
      <c r="D6137">
        <v>2180010.04</v>
      </c>
      <c r="E6137" t="s">
        <v>98</v>
      </c>
    </row>
    <row r="6138" spans="1:5" x14ac:dyDescent="0.25">
      <c r="A6138" t="s">
        <v>62</v>
      </c>
      <c r="B6138">
        <v>2012</v>
      </c>
      <c r="C6138" t="s">
        <v>6</v>
      </c>
      <c r="D6138">
        <v>2483658.0299999998</v>
      </c>
      <c r="E6138" t="s">
        <v>98</v>
      </c>
    </row>
    <row r="6139" spans="1:5" x14ac:dyDescent="0.25">
      <c r="A6139" t="s">
        <v>62</v>
      </c>
      <c r="B6139">
        <v>2013</v>
      </c>
      <c r="C6139" t="s">
        <v>6</v>
      </c>
      <c r="D6139">
        <v>2530986.4700000002</v>
      </c>
      <c r="E6139" t="s">
        <v>98</v>
      </c>
    </row>
    <row r="6140" spans="1:5" x14ac:dyDescent="0.25">
      <c r="A6140" t="s">
        <v>62</v>
      </c>
      <c r="B6140">
        <v>2014</v>
      </c>
      <c r="C6140" t="s">
        <v>6</v>
      </c>
      <c r="D6140">
        <v>2543893.79</v>
      </c>
      <c r="E6140" t="s">
        <v>98</v>
      </c>
    </row>
    <row r="6141" spans="1:5" x14ac:dyDescent="0.25">
      <c r="A6141" t="s">
        <v>62</v>
      </c>
      <c r="B6141">
        <v>2015</v>
      </c>
      <c r="C6141" t="s">
        <v>6</v>
      </c>
      <c r="D6141">
        <v>2220541.9900000002</v>
      </c>
      <c r="E6141" t="s">
        <v>98</v>
      </c>
    </row>
    <row r="6142" spans="1:5" x14ac:dyDescent="0.25">
      <c r="A6142" t="s">
        <v>62</v>
      </c>
      <c r="B6142">
        <v>2016</v>
      </c>
      <c r="C6142" t="s">
        <v>6</v>
      </c>
      <c r="D6142">
        <v>2690631.827</v>
      </c>
      <c r="E6142" t="s">
        <v>98</v>
      </c>
    </row>
    <row r="6143" spans="1:5" x14ac:dyDescent="0.25">
      <c r="A6143" t="s">
        <v>62</v>
      </c>
      <c r="B6143">
        <v>2017</v>
      </c>
      <c r="C6143" t="s">
        <v>6</v>
      </c>
      <c r="D6143">
        <v>2117318.52</v>
      </c>
      <c r="E6143" t="s">
        <v>98</v>
      </c>
    </row>
    <row r="6144" spans="1:5" x14ac:dyDescent="0.25">
      <c r="A6144" t="s">
        <v>62</v>
      </c>
      <c r="B6144">
        <v>2018</v>
      </c>
      <c r="C6144" t="s">
        <v>6</v>
      </c>
      <c r="D6144">
        <v>2295462.5699999998</v>
      </c>
      <c r="E6144" t="s">
        <v>98</v>
      </c>
    </row>
    <row r="6145" spans="1:5" x14ac:dyDescent="0.25">
      <c r="A6145" t="s">
        <v>62</v>
      </c>
      <c r="B6145">
        <v>2019</v>
      </c>
      <c r="C6145" t="s">
        <v>6</v>
      </c>
      <c r="D6145">
        <v>2361052.0699999998</v>
      </c>
      <c r="E6145" t="s">
        <v>98</v>
      </c>
    </row>
    <row r="6146" spans="1:5" x14ac:dyDescent="0.25">
      <c r="A6146" t="s">
        <v>62</v>
      </c>
      <c r="B6146">
        <v>2020</v>
      </c>
      <c r="C6146" t="s">
        <v>6</v>
      </c>
      <c r="D6146">
        <v>6538041.6600000001</v>
      </c>
      <c r="E6146" t="s">
        <v>98</v>
      </c>
    </row>
    <row r="6147" spans="1:5" x14ac:dyDescent="0.25">
      <c r="A6147" t="s">
        <v>62</v>
      </c>
      <c r="B6147">
        <v>2021</v>
      </c>
      <c r="C6147" t="s">
        <v>6</v>
      </c>
      <c r="D6147">
        <v>2182229.3199999998</v>
      </c>
      <c r="E6147" t="s">
        <v>98</v>
      </c>
    </row>
    <row r="6148" spans="1:5" x14ac:dyDescent="0.25">
      <c r="A6148" t="s">
        <v>62</v>
      </c>
      <c r="B6148">
        <v>2022</v>
      </c>
      <c r="C6148" t="s">
        <v>6</v>
      </c>
      <c r="D6148">
        <v>2125925.59</v>
      </c>
      <c r="E6148" t="s">
        <v>98</v>
      </c>
    </row>
    <row r="6149" spans="1:5" x14ac:dyDescent="0.25">
      <c r="A6149" t="s">
        <v>62</v>
      </c>
      <c r="B6149">
        <v>2023</v>
      </c>
      <c r="C6149" t="s">
        <v>6</v>
      </c>
      <c r="D6149">
        <v>1969067.57</v>
      </c>
      <c r="E6149" t="s">
        <v>98</v>
      </c>
    </row>
    <row r="6150" spans="1:5" x14ac:dyDescent="0.25">
      <c r="A6150" t="s">
        <v>62</v>
      </c>
      <c r="B6150">
        <v>2024</v>
      </c>
      <c r="C6150" t="s">
        <v>6</v>
      </c>
      <c r="D6150">
        <v>2142775.2000000002</v>
      </c>
      <c r="E6150" t="s">
        <v>98</v>
      </c>
    </row>
    <row r="6151" spans="1:5" x14ac:dyDescent="0.25">
      <c r="A6151" t="s">
        <v>105</v>
      </c>
      <c r="B6151">
        <v>2010</v>
      </c>
      <c r="C6151" t="s">
        <v>6</v>
      </c>
      <c r="D6151">
        <v>1362977.936</v>
      </c>
      <c r="E6151" t="s">
        <v>98</v>
      </c>
    </row>
    <row r="6152" spans="1:5" x14ac:dyDescent="0.25">
      <c r="A6152" t="s">
        <v>105</v>
      </c>
      <c r="B6152">
        <v>2011</v>
      </c>
      <c r="C6152" t="s">
        <v>6</v>
      </c>
      <c r="D6152">
        <v>1760673.7579999999</v>
      </c>
      <c r="E6152" t="s">
        <v>98</v>
      </c>
    </row>
    <row r="6153" spans="1:5" x14ac:dyDescent="0.25">
      <c r="A6153" t="s">
        <v>105</v>
      </c>
      <c r="B6153">
        <v>2012</v>
      </c>
      <c r="C6153" t="s">
        <v>6</v>
      </c>
      <c r="D6153">
        <v>1636975.906</v>
      </c>
      <c r="E6153" t="s">
        <v>98</v>
      </c>
    </row>
    <row r="6154" spans="1:5" x14ac:dyDescent="0.25">
      <c r="A6154" t="s">
        <v>105</v>
      </c>
      <c r="B6154">
        <v>2013</v>
      </c>
      <c r="C6154" t="s">
        <v>6</v>
      </c>
      <c r="D6154">
        <v>1962574.2080000001</v>
      </c>
      <c r="E6154" t="s">
        <v>98</v>
      </c>
    </row>
    <row r="6155" spans="1:5" x14ac:dyDescent="0.25">
      <c r="A6155" t="s">
        <v>105</v>
      </c>
      <c r="B6155">
        <v>2014</v>
      </c>
      <c r="C6155" t="s">
        <v>6</v>
      </c>
      <c r="D6155">
        <v>1974592.368</v>
      </c>
      <c r="E6155" t="s">
        <v>98</v>
      </c>
    </row>
    <row r="6156" spans="1:5" x14ac:dyDescent="0.25">
      <c r="A6156" t="s">
        <v>105</v>
      </c>
      <c r="B6156">
        <v>2015</v>
      </c>
      <c r="C6156" t="s">
        <v>6</v>
      </c>
      <c r="D6156">
        <v>2458666</v>
      </c>
      <c r="E6156" t="s">
        <v>98</v>
      </c>
    </row>
    <row r="6157" spans="1:5" x14ac:dyDescent="0.25">
      <c r="A6157" t="s">
        <v>105</v>
      </c>
      <c r="B6157">
        <v>2016</v>
      </c>
      <c r="C6157" t="s">
        <v>6</v>
      </c>
      <c r="D6157">
        <v>2191443</v>
      </c>
      <c r="E6157" t="s">
        <v>98</v>
      </c>
    </row>
    <row r="6158" spans="1:5" x14ac:dyDescent="0.25">
      <c r="A6158" t="s">
        <v>105</v>
      </c>
      <c r="B6158">
        <v>2017</v>
      </c>
      <c r="C6158" t="s">
        <v>6</v>
      </c>
      <c r="D6158">
        <v>2186989.5060000001</v>
      </c>
      <c r="E6158" t="s">
        <v>98</v>
      </c>
    </row>
    <row r="6159" spans="1:5" x14ac:dyDescent="0.25">
      <c r="A6159" t="s">
        <v>105</v>
      </c>
      <c r="B6159">
        <v>2018</v>
      </c>
      <c r="C6159" t="s">
        <v>6</v>
      </c>
      <c r="D6159">
        <v>2777599</v>
      </c>
      <c r="E6159" t="s">
        <v>98</v>
      </c>
    </row>
    <row r="6160" spans="1:5" x14ac:dyDescent="0.25">
      <c r="A6160" t="s">
        <v>105</v>
      </c>
      <c r="B6160">
        <v>2019</v>
      </c>
      <c r="C6160" t="s">
        <v>6</v>
      </c>
      <c r="D6160">
        <v>3044811</v>
      </c>
      <c r="E6160" t="s">
        <v>98</v>
      </c>
    </row>
    <row r="6161" spans="1:5" x14ac:dyDescent="0.25">
      <c r="A6161" t="s">
        <v>105</v>
      </c>
      <c r="B6161">
        <v>2020</v>
      </c>
      <c r="C6161" t="s">
        <v>6</v>
      </c>
      <c r="D6161">
        <v>3302316</v>
      </c>
      <c r="E6161" t="s">
        <v>98</v>
      </c>
    </row>
    <row r="6162" spans="1:5" x14ac:dyDescent="0.25">
      <c r="A6162" t="s">
        <v>105</v>
      </c>
      <c r="B6162">
        <v>2021</v>
      </c>
      <c r="C6162" t="s">
        <v>6</v>
      </c>
      <c r="D6162">
        <v>2901323.0589999999</v>
      </c>
      <c r="E6162" t="s">
        <v>98</v>
      </c>
    </row>
    <row r="6163" spans="1:5" x14ac:dyDescent="0.25">
      <c r="A6163" t="s">
        <v>105</v>
      </c>
      <c r="B6163">
        <v>2022</v>
      </c>
      <c r="C6163" t="s">
        <v>6</v>
      </c>
      <c r="D6163">
        <v>3791238.27</v>
      </c>
      <c r="E6163" t="s">
        <v>98</v>
      </c>
    </row>
    <row r="6164" spans="1:5" x14ac:dyDescent="0.25">
      <c r="A6164" t="s">
        <v>105</v>
      </c>
      <c r="B6164">
        <v>2023</v>
      </c>
      <c r="C6164" t="s">
        <v>6</v>
      </c>
      <c r="D6164">
        <v>3600257.0469999998</v>
      </c>
      <c r="E6164" t="s">
        <v>98</v>
      </c>
    </row>
    <row r="6165" spans="1:5" x14ac:dyDescent="0.25">
      <c r="A6165" t="s">
        <v>105</v>
      </c>
      <c r="B6165">
        <v>2024</v>
      </c>
      <c r="C6165" t="s">
        <v>6</v>
      </c>
      <c r="D6165">
        <v>3554945.7489999998</v>
      </c>
      <c r="E6165" t="s">
        <v>98</v>
      </c>
    </row>
    <row r="6166" spans="1:5" x14ac:dyDescent="0.25">
      <c r="A6166" t="s">
        <v>105</v>
      </c>
      <c r="B6166">
        <v>2025</v>
      </c>
      <c r="C6166" t="s">
        <v>6</v>
      </c>
      <c r="D6166">
        <v>2725665</v>
      </c>
      <c r="E6166" t="s">
        <v>98</v>
      </c>
    </row>
    <row r="6167" spans="1:5" x14ac:dyDescent="0.25">
      <c r="A6167" t="s">
        <v>84</v>
      </c>
      <c r="B6167">
        <v>2010</v>
      </c>
      <c r="C6167" t="s">
        <v>6</v>
      </c>
      <c r="D6167">
        <v>2658346.554</v>
      </c>
      <c r="E6167" t="s">
        <v>98</v>
      </c>
    </row>
    <row r="6168" spans="1:5" x14ac:dyDescent="0.25">
      <c r="A6168" t="s">
        <v>84</v>
      </c>
      <c r="B6168">
        <v>2011</v>
      </c>
      <c r="C6168" t="s">
        <v>6</v>
      </c>
      <c r="D6168">
        <v>2952364.8220000002</v>
      </c>
      <c r="E6168" t="s">
        <v>98</v>
      </c>
    </row>
    <row r="6169" spans="1:5" x14ac:dyDescent="0.25">
      <c r="A6169" t="s">
        <v>84</v>
      </c>
      <c r="B6169">
        <v>2012</v>
      </c>
      <c r="C6169" t="s">
        <v>6</v>
      </c>
      <c r="D6169">
        <v>2705570.577</v>
      </c>
      <c r="E6169" t="s">
        <v>98</v>
      </c>
    </row>
    <row r="6170" spans="1:5" x14ac:dyDescent="0.25">
      <c r="A6170" t="s">
        <v>84</v>
      </c>
      <c r="B6170">
        <v>2013</v>
      </c>
      <c r="C6170" t="s">
        <v>6</v>
      </c>
      <c r="D6170">
        <v>2666902.0660000001</v>
      </c>
      <c r="E6170" t="s">
        <v>98</v>
      </c>
    </row>
    <row r="6171" spans="1:5" x14ac:dyDescent="0.25">
      <c r="A6171" t="s">
        <v>84</v>
      </c>
      <c r="B6171">
        <v>2014</v>
      </c>
      <c r="C6171" t="s">
        <v>6</v>
      </c>
      <c r="D6171">
        <v>2814873.355</v>
      </c>
      <c r="E6171" t="s">
        <v>98</v>
      </c>
    </row>
    <row r="6172" spans="1:5" x14ac:dyDescent="0.25">
      <c r="A6172" t="s">
        <v>84</v>
      </c>
      <c r="B6172">
        <v>2015</v>
      </c>
      <c r="C6172" t="s">
        <v>6</v>
      </c>
      <c r="D6172">
        <v>2783873.395</v>
      </c>
      <c r="E6172" t="s">
        <v>98</v>
      </c>
    </row>
    <row r="6173" spans="1:5" x14ac:dyDescent="0.25">
      <c r="A6173" t="s">
        <v>84</v>
      </c>
      <c r="B6173">
        <v>2016</v>
      </c>
      <c r="C6173" t="s">
        <v>6</v>
      </c>
      <c r="D6173">
        <v>1552378.2509999999</v>
      </c>
      <c r="E6173" t="s">
        <v>98</v>
      </c>
    </row>
    <row r="6174" spans="1:5" x14ac:dyDescent="0.25">
      <c r="A6174" t="s">
        <v>84</v>
      </c>
      <c r="B6174">
        <v>2017</v>
      </c>
      <c r="C6174" t="s">
        <v>6</v>
      </c>
      <c r="D6174">
        <v>2927124.95</v>
      </c>
      <c r="E6174" t="s">
        <v>98</v>
      </c>
    </row>
    <row r="6175" spans="1:5" x14ac:dyDescent="0.25">
      <c r="A6175" t="s">
        <v>84</v>
      </c>
      <c r="B6175">
        <v>2018</v>
      </c>
      <c r="C6175" t="s">
        <v>6</v>
      </c>
      <c r="D6175">
        <v>2795320.68</v>
      </c>
      <c r="E6175" t="s">
        <v>98</v>
      </c>
    </row>
    <row r="6176" spans="1:5" x14ac:dyDescent="0.25">
      <c r="A6176" t="s">
        <v>84</v>
      </c>
      <c r="B6176">
        <v>2019</v>
      </c>
      <c r="C6176" t="s">
        <v>6</v>
      </c>
      <c r="D6176">
        <v>3016154.997</v>
      </c>
      <c r="E6176" t="s">
        <v>98</v>
      </c>
    </row>
    <row r="6177" spans="1:5" x14ac:dyDescent="0.25">
      <c r="A6177" t="s">
        <v>84</v>
      </c>
      <c r="B6177">
        <v>2020</v>
      </c>
      <c r="C6177" t="s">
        <v>6</v>
      </c>
      <c r="D6177">
        <v>3463222.8470000001</v>
      </c>
      <c r="E6177" t="s">
        <v>98</v>
      </c>
    </row>
    <row r="6178" spans="1:5" x14ac:dyDescent="0.25">
      <c r="A6178" t="s">
        <v>84</v>
      </c>
      <c r="B6178">
        <v>2021</v>
      </c>
      <c r="C6178" t="s">
        <v>6</v>
      </c>
      <c r="D6178">
        <v>3367016.45</v>
      </c>
      <c r="E6178" t="s">
        <v>98</v>
      </c>
    </row>
    <row r="6179" spans="1:5" x14ac:dyDescent="0.25">
      <c r="A6179" t="s">
        <v>84</v>
      </c>
      <c r="B6179">
        <v>2022</v>
      </c>
      <c r="C6179" t="s">
        <v>6</v>
      </c>
      <c r="D6179">
        <v>3487841.1030000001</v>
      </c>
      <c r="E6179" t="s">
        <v>98</v>
      </c>
    </row>
    <row r="6180" spans="1:5" x14ac:dyDescent="0.25">
      <c r="A6180" t="s">
        <v>84</v>
      </c>
      <c r="B6180">
        <v>2023</v>
      </c>
      <c r="C6180" t="s">
        <v>6</v>
      </c>
      <c r="D6180">
        <v>3189400.8339999998</v>
      </c>
      <c r="E6180" t="s">
        <v>98</v>
      </c>
    </row>
    <row r="6181" spans="1:5" x14ac:dyDescent="0.25">
      <c r="A6181" t="s">
        <v>84</v>
      </c>
      <c r="B6181">
        <v>2024</v>
      </c>
      <c r="C6181" t="s">
        <v>6</v>
      </c>
      <c r="D6181">
        <v>3396183.875</v>
      </c>
      <c r="E6181" t="s">
        <v>98</v>
      </c>
    </row>
    <row r="6182" spans="1:5" x14ac:dyDescent="0.25">
      <c r="A6182" t="s">
        <v>84</v>
      </c>
      <c r="B6182">
        <v>2025</v>
      </c>
      <c r="C6182" t="s">
        <v>6</v>
      </c>
      <c r="D6182">
        <v>2422178.9640000002</v>
      </c>
      <c r="E6182" t="s">
        <v>98</v>
      </c>
    </row>
    <row r="6183" spans="1:5" x14ac:dyDescent="0.25">
      <c r="A6183" t="s">
        <v>48</v>
      </c>
      <c r="B6183">
        <v>2010</v>
      </c>
      <c r="C6183" t="s">
        <v>6</v>
      </c>
      <c r="D6183">
        <v>12352099.23</v>
      </c>
      <c r="E6183" t="s">
        <v>98</v>
      </c>
    </row>
    <row r="6184" spans="1:5" x14ac:dyDescent="0.25">
      <c r="A6184" t="s">
        <v>48</v>
      </c>
      <c r="B6184">
        <v>2011</v>
      </c>
      <c r="C6184" t="s">
        <v>6</v>
      </c>
      <c r="D6184">
        <v>9866276.9000000004</v>
      </c>
      <c r="E6184" t="s">
        <v>98</v>
      </c>
    </row>
    <row r="6185" spans="1:5" x14ac:dyDescent="0.25">
      <c r="A6185" t="s">
        <v>48</v>
      </c>
      <c r="B6185">
        <v>2012</v>
      </c>
      <c r="C6185" t="s">
        <v>6</v>
      </c>
      <c r="D6185">
        <v>11769692.050000001</v>
      </c>
      <c r="E6185" t="s">
        <v>98</v>
      </c>
    </row>
    <row r="6186" spans="1:5" x14ac:dyDescent="0.25">
      <c r="A6186" t="s">
        <v>48</v>
      </c>
      <c r="B6186">
        <v>2013</v>
      </c>
      <c r="C6186" t="s">
        <v>6</v>
      </c>
      <c r="D6186">
        <v>12097192.77</v>
      </c>
      <c r="E6186" t="s">
        <v>98</v>
      </c>
    </row>
    <row r="6187" spans="1:5" x14ac:dyDescent="0.25">
      <c r="A6187" t="s">
        <v>48</v>
      </c>
      <c r="B6187">
        <v>2014</v>
      </c>
      <c r="C6187" t="s">
        <v>6</v>
      </c>
      <c r="D6187">
        <v>12920188.01</v>
      </c>
      <c r="E6187" t="s">
        <v>98</v>
      </c>
    </row>
    <row r="6188" spans="1:5" x14ac:dyDescent="0.25">
      <c r="A6188" t="s">
        <v>48</v>
      </c>
      <c r="B6188">
        <v>2015</v>
      </c>
      <c r="C6188" t="s">
        <v>6</v>
      </c>
      <c r="D6188">
        <v>12537893.5</v>
      </c>
      <c r="E6188" t="s">
        <v>98</v>
      </c>
    </row>
    <row r="6189" spans="1:5" x14ac:dyDescent="0.25">
      <c r="A6189" t="s">
        <v>48</v>
      </c>
      <c r="B6189">
        <v>2016</v>
      </c>
      <c r="C6189" t="s">
        <v>6</v>
      </c>
      <c r="D6189">
        <v>7416107.4900000002</v>
      </c>
      <c r="E6189" t="s">
        <v>98</v>
      </c>
    </row>
    <row r="6190" spans="1:5" x14ac:dyDescent="0.25">
      <c r="A6190" t="s">
        <v>48</v>
      </c>
      <c r="B6190">
        <v>2017</v>
      </c>
      <c r="C6190" t="s">
        <v>6</v>
      </c>
      <c r="D6190">
        <v>13433807.609999999</v>
      </c>
      <c r="E6190" t="s">
        <v>98</v>
      </c>
    </row>
    <row r="6191" spans="1:5" x14ac:dyDescent="0.25">
      <c r="A6191" t="s">
        <v>48</v>
      </c>
      <c r="B6191">
        <v>2018</v>
      </c>
      <c r="C6191" t="s">
        <v>6</v>
      </c>
      <c r="D6191">
        <v>10361797.5</v>
      </c>
      <c r="E6191" t="s">
        <v>98</v>
      </c>
    </row>
    <row r="6192" spans="1:5" x14ac:dyDescent="0.25">
      <c r="A6192" t="s">
        <v>48</v>
      </c>
      <c r="B6192">
        <v>2019</v>
      </c>
      <c r="C6192" t="s">
        <v>6</v>
      </c>
      <c r="D6192">
        <v>13025113.93</v>
      </c>
      <c r="E6192" t="s">
        <v>98</v>
      </c>
    </row>
    <row r="6193" spans="1:5" x14ac:dyDescent="0.25">
      <c r="A6193" t="s">
        <v>48</v>
      </c>
      <c r="B6193">
        <v>2020</v>
      </c>
      <c r="C6193" t="s">
        <v>6</v>
      </c>
      <c r="D6193">
        <v>7986505.8600000003</v>
      </c>
      <c r="E6193" t="s">
        <v>98</v>
      </c>
    </row>
    <row r="6194" spans="1:5" x14ac:dyDescent="0.25">
      <c r="A6194" t="s">
        <v>48</v>
      </c>
      <c r="B6194">
        <v>2021</v>
      </c>
      <c r="C6194" t="s">
        <v>6</v>
      </c>
      <c r="D6194">
        <v>10360166.289999999</v>
      </c>
      <c r="E6194" t="s">
        <v>98</v>
      </c>
    </row>
    <row r="6195" spans="1:5" x14ac:dyDescent="0.25">
      <c r="A6195" t="s">
        <v>48</v>
      </c>
      <c r="B6195">
        <v>2022</v>
      </c>
      <c r="C6195" t="s">
        <v>6</v>
      </c>
      <c r="D6195">
        <v>9957418.9399999995</v>
      </c>
      <c r="E6195" t="s">
        <v>98</v>
      </c>
    </row>
    <row r="6196" spans="1:5" x14ac:dyDescent="0.25">
      <c r="A6196" t="s">
        <v>48</v>
      </c>
      <c r="B6196">
        <v>2023</v>
      </c>
      <c r="C6196" t="s">
        <v>6</v>
      </c>
      <c r="D6196">
        <v>5944322.7400000002</v>
      </c>
      <c r="E6196" t="s">
        <v>98</v>
      </c>
    </row>
    <row r="6197" spans="1:5" x14ac:dyDescent="0.25">
      <c r="A6197" t="s">
        <v>48</v>
      </c>
      <c r="B6197">
        <v>2024</v>
      </c>
      <c r="C6197" t="s">
        <v>6</v>
      </c>
      <c r="D6197">
        <v>12565010.960000001</v>
      </c>
      <c r="E6197" t="s">
        <v>98</v>
      </c>
    </row>
    <row r="6198" spans="1:5" x14ac:dyDescent="0.25">
      <c r="A6198" t="s">
        <v>48</v>
      </c>
      <c r="B6198">
        <v>2025</v>
      </c>
      <c r="C6198" t="s">
        <v>6</v>
      </c>
      <c r="D6198">
        <v>6055610.3399999999</v>
      </c>
      <c r="E6198" t="s">
        <v>98</v>
      </c>
    </row>
    <row r="6199" spans="1:5" x14ac:dyDescent="0.25">
      <c r="A6199" t="s">
        <v>49</v>
      </c>
      <c r="B6199">
        <v>2002</v>
      </c>
      <c r="C6199" t="s">
        <v>6</v>
      </c>
      <c r="D6199">
        <v>23180653.050000001</v>
      </c>
      <c r="E6199" t="s">
        <v>98</v>
      </c>
    </row>
    <row r="6200" spans="1:5" x14ac:dyDescent="0.25">
      <c r="A6200" t="s">
        <v>49</v>
      </c>
      <c r="B6200">
        <v>2003</v>
      </c>
      <c r="C6200" t="s">
        <v>6</v>
      </c>
      <c r="D6200">
        <v>39104270.600000001</v>
      </c>
      <c r="E6200" t="s">
        <v>98</v>
      </c>
    </row>
    <row r="6201" spans="1:5" x14ac:dyDescent="0.25">
      <c r="A6201" t="s">
        <v>49</v>
      </c>
      <c r="B6201">
        <v>2004</v>
      </c>
      <c r="C6201" t="s">
        <v>6</v>
      </c>
      <c r="D6201">
        <v>38517622.509999998</v>
      </c>
      <c r="E6201" t="s">
        <v>98</v>
      </c>
    </row>
    <row r="6202" spans="1:5" x14ac:dyDescent="0.25">
      <c r="A6202" t="s">
        <v>49</v>
      </c>
      <c r="B6202">
        <v>2005</v>
      </c>
      <c r="C6202" t="s">
        <v>6</v>
      </c>
      <c r="D6202">
        <v>62645721.859999999</v>
      </c>
      <c r="E6202" t="s">
        <v>98</v>
      </c>
    </row>
    <row r="6203" spans="1:5" x14ac:dyDescent="0.25">
      <c r="A6203" t="s">
        <v>49</v>
      </c>
      <c r="B6203">
        <v>2006</v>
      </c>
      <c r="C6203" t="s">
        <v>6</v>
      </c>
      <c r="D6203">
        <v>75759711.269999996</v>
      </c>
      <c r="E6203" t="s">
        <v>98</v>
      </c>
    </row>
    <row r="6204" spans="1:5" x14ac:dyDescent="0.25">
      <c r="A6204" t="s">
        <v>49</v>
      </c>
      <c r="B6204">
        <v>2007</v>
      </c>
      <c r="C6204" t="s">
        <v>6</v>
      </c>
      <c r="D6204">
        <v>74811098.819999993</v>
      </c>
      <c r="E6204" t="s">
        <v>98</v>
      </c>
    </row>
    <row r="6205" spans="1:5" x14ac:dyDescent="0.25">
      <c r="A6205" t="s">
        <v>49</v>
      </c>
      <c r="B6205">
        <v>2008</v>
      </c>
      <c r="C6205" t="s">
        <v>6</v>
      </c>
      <c r="D6205">
        <v>80086140.319999993</v>
      </c>
      <c r="E6205" t="s">
        <v>98</v>
      </c>
    </row>
    <row r="6206" spans="1:5" x14ac:dyDescent="0.25">
      <c r="A6206" t="s">
        <v>49</v>
      </c>
      <c r="B6206">
        <v>2009</v>
      </c>
      <c r="C6206" t="s">
        <v>6</v>
      </c>
      <c r="D6206">
        <v>95680432.030000001</v>
      </c>
      <c r="E6206" t="s">
        <v>98</v>
      </c>
    </row>
    <row r="6207" spans="1:5" x14ac:dyDescent="0.25">
      <c r="A6207" t="s">
        <v>49</v>
      </c>
      <c r="B6207">
        <v>2010</v>
      </c>
      <c r="C6207" t="s">
        <v>6</v>
      </c>
      <c r="D6207">
        <v>93938279.260000005</v>
      </c>
      <c r="E6207" t="s">
        <v>98</v>
      </c>
    </row>
    <row r="6208" spans="1:5" x14ac:dyDescent="0.25">
      <c r="A6208" t="s">
        <v>49</v>
      </c>
      <c r="B6208">
        <v>2011</v>
      </c>
      <c r="C6208" t="s">
        <v>6</v>
      </c>
      <c r="D6208">
        <v>89365476.986000001</v>
      </c>
      <c r="E6208" t="s">
        <v>98</v>
      </c>
    </row>
    <row r="6209" spans="1:5" x14ac:dyDescent="0.25">
      <c r="A6209" t="s">
        <v>49</v>
      </c>
      <c r="B6209">
        <v>2012</v>
      </c>
      <c r="C6209" t="s">
        <v>6</v>
      </c>
      <c r="D6209">
        <v>88544049.162</v>
      </c>
      <c r="E6209" t="s">
        <v>98</v>
      </c>
    </row>
    <row r="6210" spans="1:5" x14ac:dyDescent="0.25">
      <c r="A6210" t="s">
        <v>49</v>
      </c>
      <c r="B6210">
        <v>2013</v>
      </c>
      <c r="C6210" t="s">
        <v>6</v>
      </c>
      <c r="D6210">
        <v>90129386.758000001</v>
      </c>
      <c r="E6210" t="s">
        <v>98</v>
      </c>
    </row>
    <row r="6211" spans="1:5" x14ac:dyDescent="0.25">
      <c r="A6211" t="s">
        <v>49</v>
      </c>
      <c r="B6211">
        <v>2014</v>
      </c>
      <c r="C6211" t="s">
        <v>6</v>
      </c>
      <c r="D6211">
        <v>97040139.280000001</v>
      </c>
      <c r="E6211" t="s">
        <v>98</v>
      </c>
    </row>
    <row r="6212" spans="1:5" x14ac:dyDescent="0.25">
      <c r="A6212" t="s">
        <v>49</v>
      </c>
      <c r="B6212">
        <v>2015</v>
      </c>
      <c r="C6212" t="s">
        <v>6</v>
      </c>
      <c r="D6212">
        <v>116017305.42399999</v>
      </c>
      <c r="E6212" t="s">
        <v>98</v>
      </c>
    </row>
    <row r="6213" spans="1:5" x14ac:dyDescent="0.25">
      <c r="A6213" t="s">
        <v>49</v>
      </c>
      <c r="B6213">
        <v>2016</v>
      </c>
      <c r="C6213" t="s">
        <v>6</v>
      </c>
      <c r="D6213">
        <v>95039529.467999995</v>
      </c>
      <c r="E6213" t="s">
        <v>98</v>
      </c>
    </row>
    <row r="6214" spans="1:5" x14ac:dyDescent="0.25">
      <c r="A6214" t="s">
        <v>49</v>
      </c>
      <c r="B6214">
        <v>2017</v>
      </c>
      <c r="C6214" t="s">
        <v>6</v>
      </c>
      <c r="D6214">
        <v>122589193.71600001</v>
      </c>
      <c r="E6214" t="s">
        <v>98</v>
      </c>
    </row>
    <row r="6215" spans="1:5" x14ac:dyDescent="0.25">
      <c r="A6215" t="s">
        <v>49</v>
      </c>
      <c r="B6215">
        <v>2018</v>
      </c>
      <c r="C6215" t="s">
        <v>6</v>
      </c>
      <c r="D6215">
        <v>128279314.345</v>
      </c>
      <c r="E6215" t="s">
        <v>98</v>
      </c>
    </row>
    <row r="6216" spans="1:5" x14ac:dyDescent="0.25">
      <c r="A6216" t="s">
        <v>49</v>
      </c>
      <c r="B6216">
        <v>2019</v>
      </c>
      <c r="C6216" t="s">
        <v>6</v>
      </c>
      <c r="D6216">
        <v>154699825.48800001</v>
      </c>
      <c r="E6216" t="s">
        <v>98</v>
      </c>
    </row>
    <row r="6217" spans="1:5" x14ac:dyDescent="0.25">
      <c r="A6217" t="s">
        <v>49</v>
      </c>
      <c r="B6217">
        <v>2020</v>
      </c>
      <c r="C6217" t="s">
        <v>6</v>
      </c>
      <c r="D6217">
        <v>138712321.49399999</v>
      </c>
      <c r="E6217" t="s">
        <v>98</v>
      </c>
    </row>
    <row r="6218" spans="1:5" x14ac:dyDescent="0.25">
      <c r="A6218" t="s">
        <v>49</v>
      </c>
      <c r="B6218">
        <v>2021</v>
      </c>
      <c r="C6218" t="s">
        <v>6</v>
      </c>
      <c r="D6218">
        <v>138421164.95300001</v>
      </c>
      <c r="E6218" t="s">
        <v>98</v>
      </c>
    </row>
    <row r="6219" spans="1:5" x14ac:dyDescent="0.25">
      <c r="A6219" t="s">
        <v>49</v>
      </c>
      <c r="B6219">
        <v>2022</v>
      </c>
      <c r="C6219" t="s">
        <v>6</v>
      </c>
      <c r="D6219">
        <v>164786353.20500001</v>
      </c>
      <c r="E6219" t="s">
        <v>98</v>
      </c>
    </row>
    <row r="6220" spans="1:5" x14ac:dyDescent="0.25">
      <c r="A6220" t="s">
        <v>49</v>
      </c>
      <c r="B6220">
        <v>2023</v>
      </c>
      <c r="C6220" t="s">
        <v>6</v>
      </c>
      <c r="D6220">
        <v>140761502.95699999</v>
      </c>
      <c r="E6220" t="s">
        <v>98</v>
      </c>
    </row>
    <row r="6221" spans="1:5" x14ac:dyDescent="0.25">
      <c r="A6221" t="s">
        <v>49</v>
      </c>
      <c r="B6221">
        <v>2024</v>
      </c>
      <c r="C6221" t="s">
        <v>6</v>
      </c>
      <c r="D6221">
        <v>173609677.56299999</v>
      </c>
      <c r="E6221" t="s">
        <v>98</v>
      </c>
    </row>
    <row r="6222" spans="1:5" x14ac:dyDescent="0.25">
      <c r="A6222" t="s">
        <v>49</v>
      </c>
      <c r="B6222">
        <v>2025</v>
      </c>
      <c r="C6222" t="s">
        <v>6</v>
      </c>
      <c r="D6222">
        <v>168088439.07699999</v>
      </c>
      <c r="E6222" t="s">
        <v>98</v>
      </c>
    </row>
    <row r="6223" spans="1:5" x14ac:dyDescent="0.25">
      <c r="A6223" t="s">
        <v>104</v>
      </c>
      <c r="B6223">
        <v>2007</v>
      </c>
      <c r="C6223" t="s">
        <v>6</v>
      </c>
      <c r="D6223">
        <v>3205085.4589999998</v>
      </c>
      <c r="E6223" t="s">
        <v>98</v>
      </c>
    </row>
    <row r="6224" spans="1:5" x14ac:dyDescent="0.25">
      <c r="A6224" t="s">
        <v>104</v>
      </c>
      <c r="B6224">
        <v>2008</v>
      </c>
      <c r="C6224" t="s">
        <v>6</v>
      </c>
      <c r="D6224">
        <v>2687154.1860000002</v>
      </c>
      <c r="E6224" t="s">
        <v>98</v>
      </c>
    </row>
    <row r="6225" spans="1:5" x14ac:dyDescent="0.25">
      <c r="A6225" t="s">
        <v>104</v>
      </c>
      <c r="B6225">
        <v>2009</v>
      </c>
      <c r="C6225" t="s">
        <v>6</v>
      </c>
      <c r="D6225">
        <v>1805644.7790000001</v>
      </c>
      <c r="E6225" t="s">
        <v>98</v>
      </c>
    </row>
    <row r="6226" spans="1:5" x14ac:dyDescent="0.25">
      <c r="A6226" t="s">
        <v>104</v>
      </c>
      <c r="B6226">
        <v>2017</v>
      </c>
      <c r="C6226" t="s">
        <v>6</v>
      </c>
      <c r="D6226">
        <v>1358526.0859999999</v>
      </c>
      <c r="E6226" t="s">
        <v>98</v>
      </c>
    </row>
    <row r="6227" spans="1:5" x14ac:dyDescent="0.25">
      <c r="A6227" t="s">
        <v>104</v>
      </c>
      <c r="B6227">
        <v>2018</v>
      </c>
      <c r="C6227" t="s">
        <v>6</v>
      </c>
      <c r="D6227">
        <v>1703300.902</v>
      </c>
      <c r="E6227" t="s">
        <v>98</v>
      </c>
    </row>
    <row r="6228" spans="1:5" x14ac:dyDescent="0.25">
      <c r="A6228" t="s">
        <v>104</v>
      </c>
      <c r="B6228">
        <v>2019</v>
      </c>
      <c r="C6228" t="s">
        <v>6</v>
      </c>
      <c r="D6228">
        <v>2222129.4169999999</v>
      </c>
      <c r="E6228" t="s">
        <v>98</v>
      </c>
    </row>
    <row r="6229" spans="1:5" x14ac:dyDescent="0.25">
      <c r="A6229" t="s">
        <v>104</v>
      </c>
      <c r="B6229">
        <v>2020</v>
      </c>
      <c r="C6229" t="s">
        <v>6</v>
      </c>
      <c r="D6229">
        <v>2240215.1690000002</v>
      </c>
      <c r="E6229" t="s">
        <v>98</v>
      </c>
    </row>
    <row r="6230" spans="1:5" x14ac:dyDescent="0.25">
      <c r="A6230" t="s">
        <v>104</v>
      </c>
      <c r="B6230">
        <v>2021</v>
      </c>
      <c r="C6230" t="s">
        <v>6</v>
      </c>
      <c r="D6230">
        <v>1765135.156</v>
      </c>
      <c r="E6230" t="s">
        <v>98</v>
      </c>
    </row>
    <row r="6231" spans="1:5" x14ac:dyDescent="0.25">
      <c r="A6231" t="s">
        <v>104</v>
      </c>
      <c r="B6231">
        <v>2022</v>
      </c>
      <c r="C6231" t="s">
        <v>6</v>
      </c>
      <c r="D6231">
        <v>2656116.9330000002</v>
      </c>
      <c r="E6231" t="s">
        <v>98</v>
      </c>
    </row>
    <row r="6232" spans="1:5" x14ac:dyDescent="0.25">
      <c r="A6232" t="s">
        <v>104</v>
      </c>
      <c r="B6232">
        <v>2023</v>
      </c>
      <c r="C6232" t="s">
        <v>6</v>
      </c>
      <c r="D6232">
        <v>1824593.378</v>
      </c>
      <c r="E6232" t="s">
        <v>98</v>
      </c>
    </row>
    <row r="6233" spans="1:5" x14ac:dyDescent="0.25">
      <c r="A6233" t="s">
        <v>103</v>
      </c>
      <c r="B6233">
        <v>2012</v>
      </c>
      <c r="C6233" t="s">
        <v>6</v>
      </c>
      <c r="D6233">
        <v>1535938</v>
      </c>
      <c r="E6233" t="s">
        <v>98</v>
      </c>
    </row>
    <row r="6234" spans="1:5" x14ac:dyDescent="0.25">
      <c r="A6234" t="s">
        <v>103</v>
      </c>
      <c r="B6234">
        <v>2015</v>
      </c>
      <c r="C6234" t="s">
        <v>6</v>
      </c>
      <c r="D6234">
        <v>842723.62399999995</v>
      </c>
      <c r="E6234" t="s">
        <v>98</v>
      </c>
    </row>
    <row r="6235" spans="1:5" x14ac:dyDescent="0.25">
      <c r="A6235" t="s">
        <v>103</v>
      </c>
      <c r="B6235">
        <v>2016</v>
      </c>
      <c r="C6235" t="s">
        <v>6</v>
      </c>
      <c r="D6235">
        <v>963436</v>
      </c>
      <c r="E6235" t="s">
        <v>98</v>
      </c>
    </row>
    <row r="6236" spans="1:5" x14ac:dyDescent="0.25">
      <c r="A6236" t="s">
        <v>103</v>
      </c>
      <c r="B6236">
        <v>2018</v>
      </c>
      <c r="C6236" t="s">
        <v>6</v>
      </c>
      <c r="D6236">
        <v>1012483.5</v>
      </c>
      <c r="E6236" t="s">
        <v>98</v>
      </c>
    </row>
    <row r="6237" spans="1:5" x14ac:dyDescent="0.25">
      <c r="A6237" t="s">
        <v>102</v>
      </c>
      <c r="B6237">
        <v>2009</v>
      </c>
      <c r="C6237" t="s">
        <v>6</v>
      </c>
      <c r="D6237">
        <v>1225893.9620000001</v>
      </c>
      <c r="E6237" t="s">
        <v>98</v>
      </c>
    </row>
    <row r="6238" spans="1:5" x14ac:dyDescent="0.25">
      <c r="A6238" t="s">
        <v>101</v>
      </c>
      <c r="B6238">
        <v>2010</v>
      </c>
      <c r="C6238" t="s">
        <v>6</v>
      </c>
      <c r="D6238">
        <v>4905200</v>
      </c>
      <c r="E6238" t="s">
        <v>98</v>
      </c>
    </row>
    <row r="6239" spans="1:5" x14ac:dyDescent="0.25">
      <c r="A6239" t="s">
        <v>101</v>
      </c>
      <c r="B6239">
        <v>2011</v>
      </c>
      <c r="C6239" t="s">
        <v>6</v>
      </c>
      <c r="D6239">
        <v>5849300</v>
      </c>
      <c r="E6239" t="s">
        <v>98</v>
      </c>
    </row>
    <row r="6240" spans="1:5" x14ac:dyDescent="0.25">
      <c r="A6240" t="s">
        <v>101</v>
      </c>
      <c r="B6240">
        <v>2012</v>
      </c>
      <c r="C6240" t="s">
        <v>6</v>
      </c>
      <c r="D6240">
        <v>5035672.1840000004</v>
      </c>
      <c r="E6240" t="s">
        <v>98</v>
      </c>
    </row>
    <row r="6241" spans="1:5" x14ac:dyDescent="0.25">
      <c r="A6241" t="s">
        <v>101</v>
      </c>
      <c r="B6241">
        <v>2013</v>
      </c>
      <c r="C6241" t="s">
        <v>6</v>
      </c>
      <c r="D6241">
        <v>6050368.5219999999</v>
      </c>
      <c r="E6241" t="s">
        <v>98</v>
      </c>
    </row>
    <row r="6242" spans="1:5" x14ac:dyDescent="0.25">
      <c r="A6242" t="s">
        <v>101</v>
      </c>
      <c r="B6242">
        <v>2014</v>
      </c>
      <c r="C6242" t="s">
        <v>6</v>
      </c>
      <c r="D6242">
        <v>5997347.8640000001</v>
      </c>
      <c r="E6242" t="s">
        <v>98</v>
      </c>
    </row>
    <row r="6243" spans="1:5" x14ac:dyDescent="0.25">
      <c r="A6243" t="s">
        <v>101</v>
      </c>
      <c r="B6243">
        <v>2015</v>
      </c>
      <c r="C6243" t="s">
        <v>6</v>
      </c>
      <c r="D6243">
        <v>5997373.2450000001</v>
      </c>
      <c r="E6243" t="s">
        <v>98</v>
      </c>
    </row>
    <row r="6244" spans="1:5" x14ac:dyDescent="0.25">
      <c r="A6244" t="s">
        <v>101</v>
      </c>
      <c r="B6244">
        <v>2016</v>
      </c>
      <c r="C6244" t="s">
        <v>6</v>
      </c>
      <c r="D6244">
        <v>5838358.4960000003</v>
      </c>
      <c r="E6244" t="s">
        <v>98</v>
      </c>
    </row>
    <row r="6245" spans="1:5" x14ac:dyDescent="0.25">
      <c r="A6245" t="s">
        <v>101</v>
      </c>
      <c r="B6245">
        <v>2017</v>
      </c>
      <c r="C6245" t="s">
        <v>6</v>
      </c>
      <c r="D6245">
        <v>5451361.0659999996</v>
      </c>
      <c r="E6245" t="s">
        <v>98</v>
      </c>
    </row>
    <row r="6246" spans="1:5" x14ac:dyDescent="0.25">
      <c r="A6246" t="s">
        <v>101</v>
      </c>
      <c r="B6246">
        <v>2018</v>
      </c>
      <c r="C6246" t="s">
        <v>6</v>
      </c>
      <c r="D6246">
        <v>6246384.7070000004</v>
      </c>
      <c r="E6246" t="s">
        <v>98</v>
      </c>
    </row>
    <row r="6247" spans="1:5" x14ac:dyDescent="0.25">
      <c r="A6247" t="s">
        <v>101</v>
      </c>
      <c r="B6247">
        <v>2019</v>
      </c>
      <c r="C6247" t="s">
        <v>6</v>
      </c>
      <c r="D6247">
        <v>6975010.1869999999</v>
      </c>
      <c r="E6247" t="s">
        <v>98</v>
      </c>
    </row>
    <row r="6248" spans="1:5" x14ac:dyDescent="0.25">
      <c r="A6248" t="s">
        <v>101</v>
      </c>
      <c r="B6248">
        <v>2020</v>
      </c>
      <c r="C6248" t="s">
        <v>6</v>
      </c>
      <c r="D6248">
        <v>7336110.8059999999</v>
      </c>
      <c r="E6248" t="s">
        <v>98</v>
      </c>
    </row>
    <row r="6249" spans="1:5" x14ac:dyDescent="0.25">
      <c r="A6249" t="s">
        <v>101</v>
      </c>
      <c r="B6249">
        <v>2021</v>
      </c>
      <c r="C6249" t="s">
        <v>6</v>
      </c>
      <c r="D6249">
        <v>5356369.4759999998</v>
      </c>
      <c r="E6249" t="s">
        <v>98</v>
      </c>
    </row>
    <row r="6250" spans="1:5" x14ac:dyDescent="0.25">
      <c r="A6250" t="s">
        <v>101</v>
      </c>
      <c r="B6250">
        <v>2022</v>
      </c>
      <c r="C6250" t="s">
        <v>6</v>
      </c>
      <c r="D6250">
        <v>6016414.8279999997</v>
      </c>
      <c r="E6250" t="s">
        <v>98</v>
      </c>
    </row>
    <row r="6251" spans="1:5" x14ac:dyDescent="0.25">
      <c r="A6251" t="s">
        <v>101</v>
      </c>
      <c r="B6251">
        <v>2023</v>
      </c>
      <c r="C6251" t="s">
        <v>6</v>
      </c>
      <c r="D6251">
        <v>5607627.1780000003</v>
      </c>
      <c r="E6251" t="s">
        <v>98</v>
      </c>
    </row>
    <row r="6252" spans="1:5" x14ac:dyDescent="0.25">
      <c r="A6252" t="s">
        <v>101</v>
      </c>
      <c r="B6252">
        <v>2024</v>
      </c>
      <c r="C6252" t="s">
        <v>6</v>
      </c>
      <c r="D6252">
        <v>6580178.6459999997</v>
      </c>
      <c r="E6252" t="s">
        <v>98</v>
      </c>
    </row>
    <row r="6253" spans="1:5" x14ac:dyDescent="0.25">
      <c r="A6253" t="s">
        <v>101</v>
      </c>
      <c r="B6253">
        <v>2025</v>
      </c>
      <c r="C6253" t="s">
        <v>6</v>
      </c>
      <c r="D6253">
        <v>5337902.4539999999</v>
      </c>
      <c r="E6253" t="s">
        <v>98</v>
      </c>
    </row>
    <row r="6254" spans="1:5" x14ac:dyDescent="0.25">
      <c r="A6254" t="s">
        <v>100</v>
      </c>
      <c r="B6254">
        <v>2000</v>
      </c>
      <c r="C6254" t="s">
        <v>6</v>
      </c>
      <c r="D6254">
        <v>7865136</v>
      </c>
      <c r="E6254" t="s">
        <v>98</v>
      </c>
    </row>
    <row r="6255" spans="1:5" x14ac:dyDescent="0.25">
      <c r="A6255" t="s">
        <v>100</v>
      </c>
      <c r="B6255">
        <v>2001</v>
      </c>
      <c r="C6255" t="s">
        <v>6</v>
      </c>
      <c r="D6255">
        <v>7414667</v>
      </c>
      <c r="E6255" t="s">
        <v>98</v>
      </c>
    </row>
    <row r="6256" spans="1:5" x14ac:dyDescent="0.25">
      <c r="A6256" t="s">
        <v>100</v>
      </c>
      <c r="B6256">
        <v>2002</v>
      </c>
      <c r="C6256" t="s">
        <v>6</v>
      </c>
      <c r="D6256">
        <v>7819698</v>
      </c>
      <c r="E6256" t="s">
        <v>98</v>
      </c>
    </row>
    <row r="6257" spans="1:5" x14ac:dyDescent="0.25">
      <c r="A6257" t="s">
        <v>100</v>
      </c>
      <c r="B6257">
        <v>2003</v>
      </c>
      <c r="C6257" t="s">
        <v>6</v>
      </c>
      <c r="D6257">
        <v>8994217</v>
      </c>
      <c r="E6257" t="s">
        <v>98</v>
      </c>
    </row>
    <row r="6258" spans="1:5" x14ac:dyDescent="0.25">
      <c r="A6258" t="s">
        <v>100</v>
      </c>
      <c r="B6258">
        <v>2004</v>
      </c>
      <c r="C6258" t="s">
        <v>6</v>
      </c>
      <c r="D6258">
        <v>8282226</v>
      </c>
      <c r="E6258" t="s">
        <v>98</v>
      </c>
    </row>
    <row r="6259" spans="1:5" x14ac:dyDescent="0.25">
      <c r="A6259" t="s">
        <v>100</v>
      </c>
      <c r="B6259">
        <v>2005</v>
      </c>
      <c r="C6259" t="s">
        <v>6</v>
      </c>
      <c r="D6259">
        <v>7815200</v>
      </c>
      <c r="E6259" t="s">
        <v>98</v>
      </c>
    </row>
    <row r="6260" spans="1:5" x14ac:dyDescent="0.25">
      <c r="A6260" t="s">
        <v>100</v>
      </c>
      <c r="B6260">
        <v>2006</v>
      </c>
      <c r="C6260" t="s">
        <v>6</v>
      </c>
      <c r="D6260">
        <v>8274102</v>
      </c>
      <c r="E6260" t="s">
        <v>98</v>
      </c>
    </row>
    <row r="6261" spans="1:5" x14ac:dyDescent="0.25">
      <c r="A6261" t="s">
        <v>100</v>
      </c>
      <c r="B6261">
        <v>2007</v>
      </c>
      <c r="C6261" t="s">
        <v>6</v>
      </c>
      <c r="D6261">
        <v>8078440</v>
      </c>
      <c r="E6261" t="s">
        <v>98</v>
      </c>
    </row>
    <row r="6262" spans="1:5" x14ac:dyDescent="0.25">
      <c r="A6262" t="s">
        <v>100</v>
      </c>
      <c r="B6262">
        <v>2008</v>
      </c>
      <c r="C6262" t="s">
        <v>6</v>
      </c>
      <c r="D6262">
        <v>8667236</v>
      </c>
      <c r="E6262" t="s">
        <v>98</v>
      </c>
    </row>
    <row r="6263" spans="1:5" x14ac:dyDescent="0.25">
      <c r="A6263" t="s">
        <v>100</v>
      </c>
      <c r="B6263">
        <v>2009</v>
      </c>
      <c r="C6263" t="s">
        <v>6</v>
      </c>
      <c r="D6263">
        <v>8661610</v>
      </c>
      <c r="E6263" t="s">
        <v>98</v>
      </c>
    </row>
    <row r="6264" spans="1:5" x14ac:dyDescent="0.25">
      <c r="A6264" t="s">
        <v>100</v>
      </c>
      <c r="B6264">
        <v>2012</v>
      </c>
      <c r="C6264" t="s">
        <v>6</v>
      </c>
      <c r="D6264">
        <v>7564883.46</v>
      </c>
      <c r="E6264" t="s">
        <v>98</v>
      </c>
    </row>
    <row r="6265" spans="1:5" x14ac:dyDescent="0.25">
      <c r="A6265" t="s">
        <v>100</v>
      </c>
      <c r="B6265">
        <v>2013</v>
      </c>
      <c r="C6265" t="s">
        <v>6</v>
      </c>
      <c r="D6265">
        <v>9383360.193</v>
      </c>
      <c r="E6265" t="s">
        <v>98</v>
      </c>
    </row>
    <row r="6266" spans="1:5" x14ac:dyDescent="0.25">
      <c r="A6266" t="s">
        <v>100</v>
      </c>
      <c r="B6266">
        <v>2014</v>
      </c>
      <c r="C6266" t="s">
        <v>6</v>
      </c>
      <c r="D6266">
        <v>8615736</v>
      </c>
      <c r="E6266" t="s">
        <v>98</v>
      </c>
    </row>
    <row r="6267" spans="1:5" x14ac:dyDescent="0.25">
      <c r="A6267" t="s">
        <v>100</v>
      </c>
      <c r="B6267">
        <v>2015</v>
      </c>
      <c r="C6267" t="s">
        <v>6</v>
      </c>
      <c r="D6267">
        <v>8981496.1940000001</v>
      </c>
      <c r="E6267" t="s">
        <v>98</v>
      </c>
    </row>
    <row r="6268" spans="1:5" x14ac:dyDescent="0.25">
      <c r="A6268" t="s">
        <v>100</v>
      </c>
      <c r="B6268">
        <v>2016</v>
      </c>
      <c r="C6268" t="s">
        <v>6</v>
      </c>
      <c r="D6268">
        <v>8861209.5069999993</v>
      </c>
      <c r="E6268" t="s">
        <v>98</v>
      </c>
    </row>
    <row r="6269" spans="1:5" x14ac:dyDescent="0.25">
      <c r="A6269" t="s">
        <v>100</v>
      </c>
      <c r="B6269">
        <v>2017</v>
      </c>
      <c r="C6269" t="s">
        <v>6</v>
      </c>
      <c r="D6269">
        <v>9177589.3289999999</v>
      </c>
      <c r="E6269" t="s">
        <v>98</v>
      </c>
    </row>
    <row r="6270" spans="1:5" x14ac:dyDescent="0.25">
      <c r="A6270" t="s">
        <v>100</v>
      </c>
      <c r="B6270">
        <v>2018</v>
      </c>
      <c r="C6270" t="s">
        <v>6</v>
      </c>
      <c r="D6270">
        <v>9110836.4609999992</v>
      </c>
      <c r="E6270" t="s">
        <v>98</v>
      </c>
    </row>
    <row r="6271" spans="1:5" x14ac:dyDescent="0.25">
      <c r="A6271" t="s">
        <v>100</v>
      </c>
      <c r="B6271">
        <v>2019</v>
      </c>
      <c r="C6271" t="s">
        <v>6</v>
      </c>
      <c r="D6271">
        <v>8526283.0500000007</v>
      </c>
      <c r="E6271" t="s">
        <v>98</v>
      </c>
    </row>
    <row r="6272" spans="1:5" x14ac:dyDescent="0.25">
      <c r="A6272" t="s">
        <v>100</v>
      </c>
      <c r="B6272">
        <v>2020</v>
      </c>
      <c r="C6272" t="s">
        <v>6</v>
      </c>
      <c r="D6272">
        <v>10176666</v>
      </c>
      <c r="E6272" t="s">
        <v>98</v>
      </c>
    </row>
    <row r="6273" spans="1:5" x14ac:dyDescent="0.25">
      <c r="A6273" t="s">
        <v>100</v>
      </c>
      <c r="B6273">
        <v>2021</v>
      </c>
      <c r="C6273" t="s">
        <v>6</v>
      </c>
      <c r="D6273">
        <v>8952642.2109999992</v>
      </c>
      <c r="E6273" t="s">
        <v>98</v>
      </c>
    </row>
    <row r="6274" spans="1:5" x14ac:dyDescent="0.25">
      <c r="A6274" t="s">
        <v>100</v>
      </c>
      <c r="B6274">
        <v>2022</v>
      </c>
      <c r="C6274" t="s">
        <v>6</v>
      </c>
      <c r="D6274">
        <v>10242753.103</v>
      </c>
      <c r="E6274" t="s">
        <v>98</v>
      </c>
    </row>
    <row r="6275" spans="1:5" x14ac:dyDescent="0.25">
      <c r="A6275" t="s">
        <v>100</v>
      </c>
      <c r="B6275">
        <v>2023</v>
      </c>
      <c r="C6275" t="s">
        <v>6</v>
      </c>
      <c r="D6275">
        <v>8695053.7740000002</v>
      </c>
      <c r="E6275" t="s">
        <v>98</v>
      </c>
    </row>
    <row r="6276" spans="1:5" x14ac:dyDescent="0.25">
      <c r="A6276" t="s">
        <v>100</v>
      </c>
      <c r="B6276">
        <v>2024</v>
      </c>
      <c r="C6276" t="s">
        <v>6</v>
      </c>
      <c r="D6276">
        <v>10120425.784</v>
      </c>
      <c r="E6276" t="s">
        <v>98</v>
      </c>
    </row>
    <row r="6277" spans="1:5" x14ac:dyDescent="0.25">
      <c r="A6277" t="s">
        <v>100</v>
      </c>
      <c r="B6277">
        <v>2025</v>
      </c>
      <c r="C6277" t="s">
        <v>6</v>
      </c>
      <c r="D6277">
        <v>9588829.2850000001</v>
      </c>
      <c r="E6277" t="s">
        <v>98</v>
      </c>
    </row>
    <row r="6278" spans="1:5" x14ac:dyDescent="0.25">
      <c r="A6278" t="s">
        <v>50</v>
      </c>
      <c r="B6278">
        <v>2010</v>
      </c>
      <c r="C6278" t="s">
        <v>6</v>
      </c>
      <c r="D6278">
        <v>588726990</v>
      </c>
      <c r="E6278" t="s">
        <v>98</v>
      </c>
    </row>
    <row r="6279" spans="1:5" x14ac:dyDescent="0.25">
      <c r="A6279" t="s">
        <v>50</v>
      </c>
      <c r="B6279">
        <v>2011</v>
      </c>
      <c r="C6279" t="s">
        <v>6</v>
      </c>
      <c r="D6279">
        <v>404698786</v>
      </c>
      <c r="E6279" t="s">
        <v>98</v>
      </c>
    </row>
    <row r="6280" spans="1:5" x14ac:dyDescent="0.25">
      <c r="A6280" t="s">
        <v>50</v>
      </c>
      <c r="B6280">
        <v>2012</v>
      </c>
      <c r="C6280" t="s">
        <v>6</v>
      </c>
      <c r="D6280">
        <v>30105690</v>
      </c>
      <c r="E6280" t="s">
        <v>98</v>
      </c>
    </row>
    <row r="6281" spans="1:5" x14ac:dyDescent="0.25">
      <c r="A6281" t="s">
        <v>50</v>
      </c>
      <c r="B6281">
        <v>2013</v>
      </c>
      <c r="C6281" t="s">
        <v>6</v>
      </c>
      <c r="D6281">
        <v>26107094</v>
      </c>
      <c r="E6281" t="s">
        <v>98</v>
      </c>
    </row>
    <row r="6282" spans="1:5" x14ac:dyDescent="0.25">
      <c r="A6282" t="s">
        <v>50</v>
      </c>
      <c r="B6282">
        <v>2014</v>
      </c>
      <c r="C6282" t="s">
        <v>6</v>
      </c>
      <c r="D6282">
        <v>26921788</v>
      </c>
      <c r="E6282" t="s">
        <v>98</v>
      </c>
    </row>
    <row r="6283" spans="1:5" x14ac:dyDescent="0.25">
      <c r="A6283" t="s">
        <v>50</v>
      </c>
      <c r="B6283">
        <v>2015</v>
      </c>
      <c r="C6283" t="s">
        <v>6</v>
      </c>
      <c r="D6283">
        <v>32673723.541999999</v>
      </c>
      <c r="E6283" t="s">
        <v>98</v>
      </c>
    </row>
    <row r="6284" spans="1:5" x14ac:dyDescent="0.25">
      <c r="A6284" t="s">
        <v>50</v>
      </c>
      <c r="B6284">
        <v>2016</v>
      </c>
      <c r="C6284" t="s">
        <v>6</v>
      </c>
      <c r="D6284">
        <v>35260291.556000002</v>
      </c>
      <c r="E6284" t="s">
        <v>98</v>
      </c>
    </row>
    <row r="6285" spans="1:5" x14ac:dyDescent="0.25">
      <c r="A6285" t="s">
        <v>50</v>
      </c>
      <c r="B6285">
        <v>2017</v>
      </c>
      <c r="C6285" t="s">
        <v>6</v>
      </c>
      <c r="D6285">
        <v>23271113.548999999</v>
      </c>
      <c r="E6285" t="s">
        <v>98</v>
      </c>
    </row>
    <row r="6286" spans="1:5" x14ac:dyDescent="0.25">
      <c r="A6286" t="s">
        <v>50</v>
      </c>
      <c r="B6286">
        <v>2018</v>
      </c>
      <c r="C6286" t="s">
        <v>6</v>
      </c>
      <c r="D6286">
        <v>26854601.962000001</v>
      </c>
      <c r="E6286" t="s">
        <v>98</v>
      </c>
    </row>
    <row r="6287" spans="1:5" x14ac:dyDescent="0.25">
      <c r="A6287" t="s">
        <v>50</v>
      </c>
      <c r="B6287">
        <v>2019</v>
      </c>
      <c r="C6287" t="s">
        <v>6</v>
      </c>
      <c r="D6287">
        <v>32495036.984999999</v>
      </c>
      <c r="E6287" t="s">
        <v>98</v>
      </c>
    </row>
    <row r="6288" spans="1:5" x14ac:dyDescent="0.25">
      <c r="A6288" t="s">
        <v>50</v>
      </c>
      <c r="B6288">
        <v>2020</v>
      </c>
      <c r="C6288" t="s">
        <v>6</v>
      </c>
      <c r="D6288">
        <v>43312081.843999997</v>
      </c>
      <c r="E6288" t="s">
        <v>98</v>
      </c>
    </row>
    <row r="6289" spans="1:5" x14ac:dyDescent="0.25">
      <c r="A6289" t="s">
        <v>50</v>
      </c>
      <c r="B6289">
        <v>2021</v>
      </c>
      <c r="C6289" t="s">
        <v>6</v>
      </c>
      <c r="D6289">
        <v>39737342.068000004</v>
      </c>
      <c r="E6289" t="s">
        <v>98</v>
      </c>
    </row>
    <row r="6290" spans="1:5" x14ac:dyDescent="0.25">
      <c r="A6290" t="s">
        <v>50</v>
      </c>
      <c r="B6290">
        <v>2022</v>
      </c>
      <c r="C6290" t="s">
        <v>6</v>
      </c>
      <c r="D6290">
        <v>54327748.609999999</v>
      </c>
      <c r="E6290" t="s">
        <v>98</v>
      </c>
    </row>
    <row r="6291" spans="1:5" x14ac:dyDescent="0.25">
      <c r="A6291" t="s">
        <v>50</v>
      </c>
      <c r="B6291">
        <v>2023</v>
      </c>
      <c r="C6291" t="s">
        <v>6</v>
      </c>
      <c r="D6291">
        <v>57435608.347000003</v>
      </c>
      <c r="E6291" t="s">
        <v>98</v>
      </c>
    </row>
    <row r="6292" spans="1:5" x14ac:dyDescent="0.25">
      <c r="A6292" t="s">
        <v>50</v>
      </c>
      <c r="B6292">
        <v>2024</v>
      </c>
      <c r="C6292" t="s">
        <v>6</v>
      </c>
      <c r="D6292">
        <v>75119193.604000002</v>
      </c>
      <c r="E6292" t="s">
        <v>98</v>
      </c>
    </row>
    <row r="6293" spans="1:5" x14ac:dyDescent="0.25">
      <c r="A6293" t="s">
        <v>50</v>
      </c>
      <c r="B6293">
        <v>2025</v>
      </c>
      <c r="C6293" t="s">
        <v>6</v>
      </c>
      <c r="D6293">
        <v>10319262.102</v>
      </c>
      <c r="E6293" t="s">
        <v>98</v>
      </c>
    </row>
    <row r="6294" spans="1:5" x14ac:dyDescent="0.25">
      <c r="A6294" t="s">
        <v>61</v>
      </c>
      <c r="B6294">
        <v>2011</v>
      </c>
      <c r="C6294" t="s">
        <v>6</v>
      </c>
      <c r="D6294">
        <v>1438216</v>
      </c>
      <c r="E6294" t="s">
        <v>98</v>
      </c>
    </row>
    <row r="6295" spans="1:5" x14ac:dyDescent="0.25">
      <c r="A6295" t="s">
        <v>61</v>
      </c>
      <c r="B6295">
        <v>2012</v>
      </c>
      <c r="C6295" t="s">
        <v>6</v>
      </c>
      <c r="D6295">
        <v>1386477</v>
      </c>
      <c r="E6295" t="s">
        <v>98</v>
      </c>
    </row>
    <row r="6296" spans="1:5" x14ac:dyDescent="0.25">
      <c r="A6296" t="s">
        <v>61</v>
      </c>
      <c r="B6296">
        <v>2013</v>
      </c>
      <c r="C6296" t="s">
        <v>6</v>
      </c>
      <c r="D6296">
        <v>1465012</v>
      </c>
      <c r="E6296" t="s">
        <v>98</v>
      </c>
    </row>
    <row r="6297" spans="1:5" x14ac:dyDescent="0.25">
      <c r="A6297" t="s">
        <v>61</v>
      </c>
      <c r="B6297">
        <v>2014</v>
      </c>
      <c r="C6297" t="s">
        <v>6</v>
      </c>
      <c r="D6297">
        <v>1741183</v>
      </c>
      <c r="E6297" t="s">
        <v>98</v>
      </c>
    </row>
    <row r="6298" spans="1:5" x14ac:dyDescent="0.25">
      <c r="A6298" t="s">
        <v>61</v>
      </c>
      <c r="B6298">
        <v>2015</v>
      </c>
      <c r="C6298" t="s">
        <v>6</v>
      </c>
      <c r="D6298">
        <v>1517317</v>
      </c>
      <c r="E6298" t="s">
        <v>98</v>
      </c>
    </row>
    <row r="6299" spans="1:5" x14ac:dyDescent="0.25">
      <c r="A6299" t="s">
        <v>61</v>
      </c>
      <c r="B6299">
        <v>2016</v>
      </c>
      <c r="C6299" t="s">
        <v>6</v>
      </c>
      <c r="D6299">
        <v>1333645</v>
      </c>
      <c r="E6299" t="s">
        <v>98</v>
      </c>
    </row>
    <row r="6300" spans="1:5" x14ac:dyDescent="0.25">
      <c r="A6300" t="s">
        <v>61</v>
      </c>
      <c r="B6300">
        <v>2017</v>
      </c>
      <c r="C6300" t="s">
        <v>6</v>
      </c>
      <c r="D6300">
        <v>1347707</v>
      </c>
      <c r="E6300" t="s">
        <v>98</v>
      </c>
    </row>
    <row r="6301" spans="1:5" x14ac:dyDescent="0.25">
      <c r="A6301" t="s">
        <v>61</v>
      </c>
      <c r="B6301">
        <v>2018</v>
      </c>
      <c r="C6301" t="s">
        <v>6</v>
      </c>
      <c r="D6301">
        <v>1675138</v>
      </c>
      <c r="E6301" t="s">
        <v>98</v>
      </c>
    </row>
    <row r="6302" spans="1:5" x14ac:dyDescent="0.25">
      <c r="A6302" t="s">
        <v>61</v>
      </c>
      <c r="B6302">
        <v>2019</v>
      </c>
      <c r="C6302" t="s">
        <v>6</v>
      </c>
      <c r="D6302">
        <v>1768088</v>
      </c>
      <c r="E6302" t="s">
        <v>98</v>
      </c>
    </row>
    <row r="6303" spans="1:5" x14ac:dyDescent="0.25">
      <c r="A6303" t="s">
        <v>61</v>
      </c>
      <c r="B6303">
        <v>2020</v>
      </c>
      <c r="C6303" t="s">
        <v>6</v>
      </c>
      <c r="D6303">
        <v>2172598</v>
      </c>
      <c r="E6303" t="s">
        <v>98</v>
      </c>
    </row>
    <row r="6304" spans="1:5" x14ac:dyDescent="0.25">
      <c r="A6304" t="s">
        <v>61</v>
      </c>
      <c r="B6304">
        <v>2021</v>
      </c>
      <c r="C6304" t="s">
        <v>6</v>
      </c>
      <c r="D6304">
        <v>1778250</v>
      </c>
      <c r="E6304" t="s">
        <v>98</v>
      </c>
    </row>
    <row r="6305" spans="1:5" x14ac:dyDescent="0.25">
      <c r="A6305" t="s">
        <v>61</v>
      </c>
      <c r="B6305">
        <v>2023</v>
      </c>
      <c r="C6305" t="s">
        <v>6</v>
      </c>
      <c r="D6305">
        <v>1830135</v>
      </c>
      <c r="E6305" t="s">
        <v>98</v>
      </c>
    </row>
    <row r="6306" spans="1:5" x14ac:dyDescent="0.25">
      <c r="A6306" t="s">
        <v>61</v>
      </c>
      <c r="B6306">
        <v>2024</v>
      </c>
      <c r="C6306" t="s">
        <v>6</v>
      </c>
      <c r="D6306">
        <v>2218794</v>
      </c>
      <c r="E6306" t="s">
        <v>98</v>
      </c>
    </row>
    <row r="6307" spans="1:5" x14ac:dyDescent="0.25">
      <c r="A6307" t="s">
        <v>51</v>
      </c>
      <c r="B6307">
        <v>2014</v>
      </c>
      <c r="C6307" t="s">
        <v>6</v>
      </c>
      <c r="D6307">
        <v>10118016</v>
      </c>
      <c r="E6307" t="s">
        <v>98</v>
      </c>
    </row>
    <row r="6308" spans="1:5" x14ac:dyDescent="0.25">
      <c r="A6308" t="s">
        <v>52</v>
      </c>
      <c r="B6308">
        <v>2014</v>
      </c>
      <c r="C6308" t="s">
        <v>6</v>
      </c>
      <c r="D6308">
        <v>1012793</v>
      </c>
      <c r="E6308" t="s">
        <v>98</v>
      </c>
    </row>
    <row r="6309" spans="1:5" x14ac:dyDescent="0.25">
      <c r="A6309" t="s">
        <v>52</v>
      </c>
      <c r="B6309">
        <v>2015</v>
      </c>
      <c r="C6309" t="s">
        <v>6</v>
      </c>
      <c r="D6309">
        <v>1030266</v>
      </c>
      <c r="E6309" t="s">
        <v>98</v>
      </c>
    </row>
    <row r="6310" spans="1:5" x14ac:dyDescent="0.25">
      <c r="A6310" t="s">
        <v>52</v>
      </c>
      <c r="B6310">
        <v>2016</v>
      </c>
      <c r="C6310" t="s">
        <v>6</v>
      </c>
      <c r="D6310">
        <v>1004084</v>
      </c>
      <c r="E6310" t="s">
        <v>98</v>
      </c>
    </row>
    <row r="6311" spans="1:5" x14ac:dyDescent="0.25">
      <c r="A6311" t="s">
        <v>52</v>
      </c>
      <c r="B6311">
        <v>2017</v>
      </c>
      <c r="C6311" t="s">
        <v>6</v>
      </c>
      <c r="D6311">
        <v>862973</v>
      </c>
      <c r="E6311" t="s">
        <v>98</v>
      </c>
    </row>
    <row r="6312" spans="1:5" x14ac:dyDescent="0.25">
      <c r="A6312" t="s">
        <v>52</v>
      </c>
      <c r="B6312">
        <v>2019</v>
      </c>
      <c r="C6312" t="s">
        <v>6</v>
      </c>
      <c r="D6312">
        <v>1139595</v>
      </c>
      <c r="E6312" t="s">
        <v>98</v>
      </c>
    </row>
    <row r="6313" spans="1:5" x14ac:dyDescent="0.25">
      <c r="A6313" t="s">
        <v>52</v>
      </c>
      <c r="B6313">
        <v>2020</v>
      </c>
      <c r="C6313" t="s">
        <v>6</v>
      </c>
      <c r="D6313">
        <v>2769090</v>
      </c>
      <c r="E6313" t="s">
        <v>98</v>
      </c>
    </row>
    <row r="6314" spans="1:5" x14ac:dyDescent="0.25">
      <c r="A6314" t="s">
        <v>52</v>
      </c>
      <c r="B6314">
        <v>2021</v>
      </c>
      <c r="C6314" t="s">
        <v>6</v>
      </c>
      <c r="D6314">
        <v>2604630</v>
      </c>
      <c r="E6314" t="s">
        <v>98</v>
      </c>
    </row>
    <row r="6315" spans="1:5" x14ac:dyDescent="0.25">
      <c r="A6315" t="s">
        <v>52</v>
      </c>
      <c r="B6315">
        <v>2022</v>
      </c>
      <c r="C6315" t="s">
        <v>6</v>
      </c>
      <c r="D6315">
        <v>3145170</v>
      </c>
      <c r="E6315" t="s">
        <v>98</v>
      </c>
    </row>
    <row r="6316" spans="1:5" x14ac:dyDescent="0.25">
      <c r="A6316" t="s">
        <v>52</v>
      </c>
      <c r="B6316">
        <v>2023</v>
      </c>
      <c r="C6316" t="s">
        <v>6</v>
      </c>
      <c r="D6316">
        <v>2361601</v>
      </c>
      <c r="E6316" t="s">
        <v>98</v>
      </c>
    </row>
    <row r="6317" spans="1:5" x14ac:dyDescent="0.25">
      <c r="A6317" t="s">
        <v>52</v>
      </c>
      <c r="B6317">
        <v>2024</v>
      </c>
      <c r="C6317" t="s">
        <v>6</v>
      </c>
      <c r="D6317">
        <v>4080870</v>
      </c>
      <c r="E6317" t="s">
        <v>98</v>
      </c>
    </row>
    <row r="6318" spans="1:5" x14ac:dyDescent="0.25">
      <c r="A6318" t="s">
        <v>52</v>
      </c>
      <c r="B6318">
        <v>2025</v>
      </c>
      <c r="C6318" t="s">
        <v>6</v>
      </c>
      <c r="D6318">
        <v>2158480</v>
      </c>
      <c r="E6318" t="s">
        <v>98</v>
      </c>
    </row>
    <row r="6319" spans="1:5" x14ac:dyDescent="0.25">
      <c r="A6319" t="s">
        <v>53</v>
      </c>
      <c r="B6319">
        <v>2010</v>
      </c>
      <c r="C6319" t="s">
        <v>6</v>
      </c>
      <c r="D6319">
        <v>20545557</v>
      </c>
      <c r="E6319" t="s">
        <v>98</v>
      </c>
    </row>
    <row r="6320" spans="1:5" x14ac:dyDescent="0.25">
      <c r="A6320" t="s">
        <v>53</v>
      </c>
      <c r="B6320">
        <v>2016</v>
      </c>
      <c r="C6320" t="s">
        <v>6</v>
      </c>
      <c r="D6320">
        <v>190344128</v>
      </c>
      <c r="E6320" t="s">
        <v>98</v>
      </c>
    </row>
    <row r="6321" spans="1:5" x14ac:dyDescent="0.25">
      <c r="A6321" t="s">
        <v>53</v>
      </c>
      <c r="B6321">
        <v>2017</v>
      </c>
      <c r="C6321" t="s">
        <v>6</v>
      </c>
      <c r="D6321">
        <v>197498517</v>
      </c>
      <c r="E6321" t="s">
        <v>98</v>
      </c>
    </row>
    <row r="6322" spans="1:5" x14ac:dyDescent="0.25">
      <c r="A6322" t="s">
        <v>53</v>
      </c>
      <c r="B6322">
        <v>2018</v>
      </c>
      <c r="C6322" t="s">
        <v>6</v>
      </c>
      <c r="D6322">
        <v>208737035</v>
      </c>
      <c r="E6322" t="s">
        <v>98</v>
      </c>
    </row>
    <row r="6323" spans="1:5" x14ac:dyDescent="0.25">
      <c r="A6323" t="s">
        <v>53</v>
      </c>
      <c r="B6323">
        <v>2019</v>
      </c>
      <c r="C6323" t="s">
        <v>6</v>
      </c>
      <c r="D6323">
        <v>212933634</v>
      </c>
      <c r="E6323" t="s">
        <v>98</v>
      </c>
    </row>
    <row r="6324" spans="1:5" x14ac:dyDescent="0.25">
      <c r="A6324" t="s">
        <v>53</v>
      </c>
      <c r="B6324">
        <v>2020</v>
      </c>
      <c r="C6324" t="s">
        <v>6</v>
      </c>
      <c r="D6324">
        <v>260464122</v>
      </c>
      <c r="E6324" t="s">
        <v>98</v>
      </c>
    </row>
    <row r="6325" spans="1:5" x14ac:dyDescent="0.25">
      <c r="A6325" t="s">
        <v>53</v>
      </c>
      <c r="B6325">
        <v>2021</v>
      </c>
      <c r="C6325" t="s">
        <v>6</v>
      </c>
      <c r="D6325">
        <v>203216301</v>
      </c>
      <c r="E6325" t="s">
        <v>98</v>
      </c>
    </row>
    <row r="6326" spans="1:5" x14ac:dyDescent="0.25">
      <c r="A6326" t="s">
        <v>53</v>
      </c>
      <c r="B6326">
        <v>2022</v>
      </c>
      <c r="C6326" t="s">
        <v>6</v>
      </c>
      <c r="D6326">
        <v>254941605.69100001</v>
      </c>
      <c r="E6326" t="s">
        <v>98</v>
      </c>
    </row>
    <row r="6327" spans="1:5" x14ac:dyDescent="0.25">
      <c r="A6327" t="s">
        <v>53</v>
      </c>
      <c r="B6327">
        <v>2023</v>
      </c>
      <c r="C6327" t="s">
        <v>6</v>
      </c>
      <c r="D6327">
        <v>217858533</v>
      </c>
      <c r="E6327" t="s">
        <v>98</v>
      </c>
    </row>
    <row r="6328" spans="1:5" x14ac:dyDescent="0.25">
      <c r="A6328" t="s">
        <v>53</v>
      </c>
      <c r="B6328">
        <v>2024</v>
      </c>
      <c r="C6328" t="s">
        <v>6</v>
      </c>
      <c r="D6328">
        <v>230557050</v>
      </c>
      <c r="E6328" t="s">
        <v>98</v>
      </c>
    </row>
    <row r="6329" spans="1:5" x14ac:dyDescent="0.25">
      <c r="A6329" t="s">
        <v>53</v>
      </c>
      <c r="B6329">
        <v>2025</v>
      </c>
      <c r="C6329" t="s">
        <v>6</v>
      </c>
      <c r="D6329">
        <v>182572619</v>
      </c>
      <c r="E6329" t="s">
        <v>98</v>
      </c>
    </row>
    <row r="6330" spans="1:5" x14ac:dyDescent="0.25">
      <c r="A6330" t="s">
        <v>82</v>
      </c>
      <c r="B6330">
        <v>2013</v>
      </c>
      <c r="C6330" t="s">
        <v>6</v>
      </c>
      <c r="D6330">
        <v>996438.03</v>
      </c>
      <c r="E6330" t="s">
        <v>98</v>
      </c>
    </row>
    <row r="6331" spans="1:5" x14ac:dyDescent="0.25">
      <c r="A6331" t="s">
        <v>82</v>
      </c>
      <c r="B6331">
        <v>2017</v>
      </c>
      <c r="C6331" t="s">
        <v>6</v>
      </c>
      <c r="D6331">
        <v>1124492.8600000001</v>
      </c>
      <c r="E6331" t="s">
        <v>98</v>
      </c>
    </row>
    <row r="6332" spans="1:5" x14ac:dyDescent="0.25">
      <c r="A6332" t="s">
        <v>82</v>
      </c>
      <c r="B6332">
        <v>2018</v>
      </c>
      <c r="C6332" t="s">
        <v>6</v>
      </c>
      <c r="D6332">
        <v>1172035.6599999999</v>
      </c>
      <c r="E6332" t="s">
        <v>98</v>
      </c>
    </row>
    <row r="6333" spans="1:5" x14ac:dyDescent="0.25">
      <c r="A6333" t="s">
        <v>82</v>
      </c>
      <c r="B6333">
        <v>2019</v>
      </c>
      <c r="C6333" t="s">
        <v>6</v>
      </c>
      <c r="D6333">
        <v>2399072.11</v>
      </c>
      <c r="E6333" t="s">
        <v>98</v>
      </c>
    </row>
    <row r="6334" spans="1:5" x14ac:dyDescent="0.25">
      <c r="A6334" t="s">
        <v>82</v>
      </c>
      <c r="B6334">
        <v>2020</v>
      </c>
      <c r="C6334" t="s">
        <v>6</v>
      </c>
      <c r="D6334">
        <v>3009128.12</v>
      </c>
      <c r="E6334" t="s">
        <v>98</v>
      </c>
    </row>
    <row r="6335" spans="1:5" x14ac:dyDescent="0.25">
      <c r="A6335" t="s">
        <v>82</v>
      </c>
      <c r="B6335">
        <v>2021</v>
      </c>
      <c r="C6335" t="s">
        <v>6</v>
      </c>
      <c r="D6335">
        <v>3419890.94</v>
      </c>
      <c r="E6335" t="s">
        <v>98</v>
      </c>
    </row>
    <row r="6336" spans="1:5" x14ac:dyDescent="0.25">
      <c r="A6336" t="s">
        <v>82</v>
      </c>
      <c r="B6336">
        <v>2022</v>
      </c>
      <c r="C6336" t="s">
        <v>6</v>
      </c>
      <c r="D6336">
        <v>2472997.2999999998</v>
      </c>
      <c r="E6336" t="s">
        <v>98</v>
      </c>
    </row>
    <row r="6337" spans="1:5" x14ac:dyDescent="0.25">
      <c r="A6337" t="s">
        <v>82</v>
      </c>
      <c r="B6337">
        <v>2023</v>
      </c>
      <c r="C6337" t="s">
        <v>6</v>
      </c>
      <c r="D6337">
        <v>3269779.6680000001</v>
      </c>
      <c r="E6337" t="s">
        <v>98</v>
      </c>
    </row>
    <row r="6338" spans="1:5" x14ac:dyDescent="0.25">
      <c r="A6338" t="s">
        <v>82</v>
      </c>
      <c r="B6338">
        <v>2024</v>
      </c>
      <c r="C6338" t="s">
        <v>6</v>
      </c>
      <c r="D6338">
        <v>4371030.3049999997</v>
      </c>
      <c r="E6338" t="s">
        <v>98</v>
      </c>
    </row>
    <row r="6339" spans="1:5" x14ac:dyDescent="0.25">
      <c r="A6339" t="s">
        <v>82</v>
      </c>
      <c r="B6339">
        <v>2025</v>
      </c>
      <c r="C6339" t="s">
        <v>6</v>
      </c>
      <c r="D6339">
        <v>3716627.67</v>
      </c>
      <c r="E6339" t="s">
        <v>98</v>
      </c>
    </row>
    <row r="6340" spans="1:5" x14ac:dyDescent="0.25">
      <c r="A6340" t="s">
        <v>54</v>
      </c>
      <c r="B6340">
        <v>2017</v>
      </c>
      <c r="C6340" t="s">
        <v>6</v>
      </c>
      <c r="D6340">
        <v>31280959.43</v>
      </c>
      <c r="E6340" t="s">
        <v>98</v>
      </c>
    </row>
    <row r="6341" spans="1:5" x14ac:dyDescent="0.25">
      <c r="A6341" t="s">
        <v>54</v>
      </c>
      <c r="B6341">
        <v>2018</v>
      </c>
      <c r="C6341" t="s">
        <v>6</v>
      </c>
      <c r="D6341">
        <v>23354429.18</v>
      </c>
      <c r="E6341" t="s">
        <v>98</v>
      </c>
    </row>
    <row r="6342" spans="1:5" x14ac:dyDescent="0.25">
      <c r="A6342" t="s">
        <v>54</v>
      </c>
      <c r="B6342">
        <v>2019</v>
      </c>
      <c r="C6342" t="s">
        <v>6</v>
      </c>
      <c r="D6342">
        <v>23988738.039999999</v>
      </c>
      <c r="E6342" t="s">
        <v>98</v>
      </c>
    </row>
    <row r="6343" spans="1:5" x14ac:dyDescent="0.25">
      <c r="A6343" t="s">
        <v>55</v>
      </c>
      <c r="B6343">
        <v>2010</v>
      </c>
      <c r="C6343" t="s">
        <v>6</v>
      </c>
      <c r="D6343">
        <v>96044034</v>
      </c>
      <c r="E6343" t="s">
        <v>98</v>
      </c>
    </row>
    <row r="6344" spans="1:5" x14ac:dyDescent="0.25">
      <c r="A6344" t="s">
        <v>55</v>
      </c>
      <c r="B6344">
        <v>2011</v>
      </c>
      <c r="C6344" t="s">
        <v>6</v>
      </c>
      <c r="D6344">
        <v>104259194</v>
      </c>
      <c r="E6344" t="s">
        <v>98</v>
      </c>
    </row>
    <row r="6345" spans="1:5" x14ac:dyDescent="0.25">
      <c r="A6345" t="s">
        <v>55</v>
      </c>
      <c r="B6345">
        <v>2012</v>
      </c>
      <c r="C6345" t="s">
        <v>6</v>
      </c>
      <c r="D6345">
        <v>99324381</v>
      </c>
      <c r="E6345" t="s">
        <v>98</v>
      </c>
    </row>
    <row r="6346" spans="1:5" x14ac:dyDescent="0.25">
      <c r="A6346" t="s">
        <v>55</v>
      </c>
      <c r="B6346">
        <v>2013</v>
      </c>
      <c r="C6346" t="s">
        <v>6</v>
      </c>
      <c r="D6346">
        <v>107798785</v>
      </c>
      <c r="E6346" t="s">
        <v>98</v>
      </c>
    </row>
    <row r="6347" spans="1:5" x14ac:dyDescent="0.25">
      <c r="A6347" t="s">
        <v>55</v>
      </c>
      <c r="B6347">
        <v>2014</v>
      </c>
      <c r="C6347" t="s">
        <v>6</v>
      </c>
      <c r="D6347">
        <v>104299436</v>
      </c>
      <c r="E6347" t="s">
        <v>98</v>
      </c>
    </row>
    <row r="6348" spans="1:5" x14ac:dyDescent="0.25">
      <c r="A6348" t="s">
        <v>55</v>
      </c>
      <c r="B6348">
        <v>2015</v>
      </c>
      <c r="C6348" t="s">
        <v>6</v>
      </c>
      <c r="D6348">
        <v>112616912</v>
      </c>
      <c r="E6348" t="s">
        <v>98</v>
      </c>
    </row>
    <row r="6349" spans="1:5" x14ac:dyDescent="0.25">
      <c r="A6349" t="s">
        <v>55</v>
      </c>
      <c r="B6349">
        <v>2016</v>
      </c>
      <c r="C6349" t="s">
        <v>6</v>
      </c>
      <c r="D6349">
        <v>113983626</v>
      </c>
      <c r="E6349" t="s">
        <v>98</v>
      </c>
    </row>
    <row r="6350" spans="1:5" x14ac:dyDescent="0.25">
      <c r="A6350" t="s">
        <v>55</v>
      </c>
      <c r="B6350">
        <v>2017</v>
      </c>
      <c r="C6350" t="s">
        <v>6</v>
      </c>
      <c r="D6350">
        <v>107824474</v>
      </c>
      <c r="E6350" t="s">
        <v>98</v>
      </c>
    </row>
    <row r="6351" spans="1:5" x14ac:dyDescent="0.25">
      <c r="A6351" t="s">
        <v>55</v>
      </c>
      <c r="B6351">
        <v>2018</v>
      </c>
      <c r="C6351" t="s">
        <v>6</v>
      </c>
      <c r="D6351">
        <v>104899482.24600001</v>
      </c>
      <c r="E6351" t="s">
        <v>98</v>
      </c>
    </row>
    <row r="6352" spans="1:5" x14ac:dyDescent="0.25">
      <c r="A6352" t="s">
        <v>55</v>
      </c>
      <c r="B6352">
        <v>2019</v>
      </c>
      <c r="C6352" t="s">
        <v>6</v>
      </c>
      <c r="D6352">
        <v>103661082.752</v>
      </c>
      <c r="E6352" t="s">
        <v>98</v>
      </c>
    </row>
    <row r="6353" spans="1:5" x14ac:dyDescent="0.25">
      <c r="A6353" t="s">
        <v>55</v>
      </c>
      <c r="B6353">
        <v>2020</v>
      </c>
      <c r="C6353" t="s">
        <v>6</v>
      </c>
      <c r="D6353">
        <v>99335574</v>
      </c>
      <c r="E6353" t="s">
        <v>98</v>
      </c>
    </row>
    <row r="6354" spans="1:5" x14ac:dyDescent="0.25">
      <c r="A6354" t="s">
        <v>55</v>
      </c>
      <c r="B6354">
        <v>2021</v>
      </c>
      <c r="C6354" t="s">
        <v>6</v>
      </c>
      <c r="D6354">
        <v>93920488.803000003</v>
      </c>
      <c r="E6354" t="s">
        <v>98</v>
      </c>
    </row>
    <row r="6355" spans="1:5" x14ac:dyDescent="0.25">
      <c r="A6355" t="s">
        <v>55</v>
      </c>
      <c r="B6355">
        <v>2022</v>
      </c>
      <c r="C6355" t="s">
        <v>6</v>
      </c>
      <c r="D6355">
        <v>96421222</v>
      </c>
      <c r="E6355" t="s">
        <v>98</v>
      </c>
    </row>
    <row r="6356" spans="1:5" x14ac:dyDescent="0.25">
      <c r="A6356" t="s">
        <v>55</v>
      </c>
      <c r="B6356">
        <v>2023</v>
      </c>
      <c r="C6356" t="s">
        <v>6</v>
      </c>
      <c r="D6356">
        <v>88114794</v>
      </c>
      <c r="E6356" t="s">
        <v>98</v>
      </c>
    </row>
    <row r="6357" spans="1:5" x14ac:dyDescent="0.25">
      <c r="A6357" t="s">
        <v>55</v>
      </c>
      <c r="B6357">
        <v>2024</v>
      </c>
      <c r="C6357" t="s">
        <v>6</v>
      </c>
      <c r="D6357">
        <v>101455536.23100001</v>
      </c>
      <c r="E6357" t="s">
        <v>98</v>
      </c>
    </row>
    <row r="6358" spans="1:5" x14ac:dyDescent="0.25">
      <c r="A6358" t="s">
        <v>55</v>
      </c>
      <c r="B6358">
        <v>2025</v>
      </c>
      <c r="C6358" t="s">
        <v>6</v>
      </c>
      <c r="D6358">
        <v>89547677.066</v>
      </c>
      <c r="E6358" t="s">
        <v>98</v>
      </c>
    </row>
    <row r="6359" spans="1:5" x14ac:dyDescent="0.25">
      <c r="A6359" t="s">
        <v>99</v>
      </c>
      <c r="B6359">
        <v>2012</v>
      </c>
      <c r="C6359" t="s">
        <v>6</v>
      </c>
      <c r="D6359">
        <v>901541.50600000005</v>
      </c>
      <c r="E6359" t="s">
        <v>98</v>
      </c>
    </row>
    <row r="6360" spans="1:5" x14ac:dyDescent="0.25">
      <c r="A6360" t="s">
        <v>99</v>
      </c>
      <c r="B6360">
        <v>2014</v>
      </c>
      <c r="C6360" t="s">
        <v>6</v>
      </c>
      <c r="D6360">
        <v>1364999.09</v>
      </c>
      <c r="E6360" t="s">
        <v>98</v>
      </c>
    </row>
    <row r="6361" spans="1:5" x14ac:dyDescent="0.25">
      <c r="A6361" t="s">
        <v>99</v>
      </c>
      <c r="B6361">
        <v>2019</v>
      </c>
      <c r="C6361" t="s">
        <v>6</v>
      </c>
      <c r="D6361">
        <v>1843790.23</v>
      </c>
      <c r="E6361" t="s">
        <v>98</v>
      </c>
    </row>
    <row r="6362" spans="1:5" x14ac:dyDescent="0.25">
      <c r="A6362" t="s">
        <v>99</v>
      </c>
      <c r="B6362">
        <v>2020</v>
      </c>
      <c r="C6362" t="s">
        <v>6</v>
      </c>
      <c r="D6362">
        <v>2063562.68</v>
      </c>
      <c r="E6362" t="s">
        <v>98</v>
      </c>
    </row>
    <row r="6363" spans="1:5" x14ac:dyDescent="0.25">
      <c r="A6363" t="s">
        <v>99</v>
      </c>
      <c r="B6363">
        <v>2021</v>
      </c>
      <c r="C6363" t="s">
        <v>6</v>
      </c>
      <c r="D6363">
        <v>2077241.21</v>
      </c>
      <c r="E6363" t="s">
        <v>98</v>
      </c>
    </row>
    <row r="6364" spans="1:5" x14ac:dyDescent="0.25">
      <c r="A6364" t="s">
        <v>99</v>
      </c>
      <c r="B6364">
        <v>2022</v>
      </c>
      <c r="C6364" t="s">
        <v>6</v>
      </c>
      <c r="D6364">
        <v>2244610.46</v>
      </c>
      <c r="E6364" t="s">
        <v>98</v>
      </c>
    </row>
    <row r="6365" spans="1:5" x14ac:dyDescent="0.25">
      <c r="A6365" t="s">
        <v>99</v>
      </c>
      <c r="B6365">
        <v>2023</v>
      </c>
      <c r="C6365" t="s">
        <v>6</v>
      </c>
      <c r="D6365">
        <v>2470375.1800000002</v>
      </c>
      <c r="E6365" t="s">
        <v>98</v>
      </c>
    </row>
    <row r="6366" spans="1:5" x14ac:dyDescent="0.25">
      <c r="A6366" t="s">
        <v>56</v>
      </c>
      <c r="B6366">
        <v>2017</v>
      </c>
      <c r="C6366" t="s">
        <v>6</v>
      </c>
      <c r="D6366">
        <v>1853235.8670000001</v>
      </c>
      <c r="E6366" t="s">
        <v>98</v>
      </c>
    </row>
    <row r="6367" spans="1:5" x14ac:dyDescent="0.25">
      <c r="A6367" t="s">
        <v>56</v>
      </c>
      <c r="B6367">
        <v>2018</v>
      </c>
      <c r="C6367" t="s">
        <v>6</v>
      </c>
      <c r="D6367">
        <v>3068123.2009999999</v>
      </c>
      <c r="E6367" t="s">
        <v>98</v>
      </c>
    </row>
    <row r="6368" spans="1:5" x14ac:dyDescent="0.25">
      <c r="A6368" t="s">
        <v>56</v>
      </c>
      <c r="B6368">
        <v>2019</v>
      </c>
      <c r="C6368" t="s">
        <v>6</v>
      </c>
      <c r="D6368">
        <v>2423141.7790000001</v>
      </c>
      <c r="E6368" t="s">
        <v>98</v>
      </c>
    </row>
    <row r="6369" spans="1:5" x14ac:dyDescent="0.25">
      <c r="A6369" t="s">
        <v>56</v>
      </c>
      <c r="B6369">
        <v>2020</v>
      </c>
      <c r="C6369" t="s">
        <v>6</v>
      </c>
      <c r="D6369">
        <v>2941234.6460000002</v>
      </c>
      <c r="E6369" t="s">
        <v>98</v>
      </c>
    </row>
    <row r="6370" spans="1:5" x14ac:dyDescent="0.25">
      <c r="A6370" t="s">
        <v>56</v>
      </c>
      <c r="B6370">
        <v>2021</v>
      </c>
      <c r="C6370" t="s">
        <v>6</v>
      </c>
      <c r="D6370">
        <v>3064832.2259999998</v>
      </c>
      <c r="E6370" t="s">
        <v>98</v>
      </c>
    </row>
    <row r="6371" spans="1:5" x14ac:dyDescent="0.25">
      <c r="A6371" t="s">
        <v>56</v>
      </c>
      <c r="B6371">
        <v>2022</v>
      </c>
      <c r="C6371" t="s">
        <v>6</v>
      </c>
      <c r="D6371">
        <v>2806787.8390000002</v>
      </c>
      <c r="E6371" t="s">
        <v>98</v>
      </c>
    </row>
    <row r="6372" spans="1:5" x14ac:dyDescent="0.25">
      <c r="A6372" t="s">
        <v>56</v>
      </c>
      <c r="B6372">
        <v>2023</v>
      </c>
      <c r="C6372" t="s">
        <v>6</v>
      </c>
      <c r="D6372">
        <v>5638670.1730000004</v>
      </c>
      <c r="E6372" t="s">
        <v>98</v>
      </c>
    </row>
    <row r="6373" spans="1:5" x14ac:dyDescent="0.25">
      <c r="A6373" t="s">
        <v>60</v>
      </c>
      <c r="B6373">
        <v>2012</v>
      </c>
      <c r="C6373" t="s">
        <v>6</v>
      </c>
      <c r="D6373">
        <v>12123316.5</v>
      </c>
      <c r="E6373" t="s">
        <v>98</v>
      </c>
    </row>
    <row r="6374" spans="1:5" x14ac:dyDescent="0.25">
      <c r="A6374" t="s">
        <v>60</v>
      </c>
      <c r="B6374">
        <v>2015</v>
      </c>
      <c r="C6374" t="s">
        <v>6</v>
      </c>
      <c r="D6374">
        <v>3869945.3</v>
      </c>
      <c r="E6374" t="s">
        <v>98</v>
      </c>
    </row>
    <row r="6375" spans="1:5" x14ac:dyDescent="0.25">
      <c r="A6375" t="s">
        <v>60</v>
      </c>
      <c r="B6375">
        <v>2016</v>
      </c>
      <c r="C6375" t="s">
        <v>6</v>
      </c>
      <c r="D6375">
        <v>2498820</v>
      </c>
      <c r="E6375" t="s">
        <v>98</v>
      </c>
    </row>
    <row r="6376" spans="1:5" x14ac:dyDescent="0.25">
      <c r="A6376" t="s">
        <v>60</v>
      </c>
      <c r="B6376">
        <v>2018</v>
      </c>
      <c r="C6376" t="s">
        <v>6</v>
      </c>
      <c r="D6376">
        <v>1515685</v>
      </c>
      <c r="E6376" t="s">
        <v>98</v>
      </c>
    </row>
    <row r="6377" spans="1:5" x14ac:dyDescent="0.25">
      <c r="A6377" t="s">
        <v>60</v>
      </c>
      <c r="B6377">
        <v>2019</v>
      </c>
      <c r="C6377" t="s">
        <v>6</v>
      </c>
      <c r="D6377">
        <v>4447377</v>
      </c>
      <c r="E6377" t="s">
        <v>98</v>
      </c>
    </row>
    <row r="6378" spans="1:5" x14ac:dyDescent="0.25">
      <c r="A6378" t="s">
        <v>97</v>
      </c>
      <c r="B6378">
        <v>2010</v>
      </c>
      <c r="C6378" t="s">
        <v>57</v>
      </c>
      <c r="D6378">
        <v>8298861.7630000003</v>
      </c>
      <c r="E6378" t="s">
        <v>98</v>
      </c>
    </row>
    <row r="6379" spans="1:5" x14ac:dyDescent="0.25">
      <c r="A6379" t="s">
        <v>97</v>
      </c>
      <c r="B6379">
        <v>2011</v>
      </c>
      <c r="C6379" t="s">
        <v>57</v>
      </c>
      <c r="D6379">
        <v>6487811.2400000002</v>
      </c>
      <c r="E6379" t="s">
        <v>98</v>
      </c>
    </row>
    <row r="6380" spans="1:5" x14ac:dyDescent="0.25">
      <c r="A6380" t="s">
        <v>97</v>
      </c>
      <c r="B6380">
        <v>2012</v>
      </c>
      <c r="C6380" t="s">
        <v>57</v>
      </c>
      <c r="D6380">
        <v>8895825</v>
      </c>
      <c r="E6380" t="s">
        <v>98</v>
      </c>
    </row>
    <row r="6381" spans="1:5" x14ac:dyDescent="0.25">
      <c r="A6381" t="s">
        <v>97</v>
      </c>
      <c r="B6381">
        <v>2013</v>
      </c>
      <c r="C6381" t="s">
        <v>57</v>
      </c>
      <c r="D6381">
        <v>15481797.608999999</v>
      </c>
      <c r="E6381" t="s">
        <v>98</v>
      </c>
    </row>
    <row r="6382" spans="1:5" x14ac:dyDescent="0.25">
      <c r="A6382" t="s">
        <v>97</v>
      </c>
      <c r="B6382">
        <v>2014</v>
      </c>
      <c r="C6382" t="s">
        <v>57</v>
      </c>
      <c r="D6382">
        <v>16479632.960999999</v>
      </c>
      <c r="E6382" t="s">
        <v>98</v>
      </c>
    </row>
    <row r="6383" spans="1:5" x14ac:dyDescent="0.25">
      <c r="A6383" t="s">
        <v>97</v>
      </c>
      <c r="B6383">
        <v>2015</v>
      </c>
      <c r="C6383" t="s">
        <v>57</v>
      </c>
      <c r="D6383">
        <v>18915133.530000001</v>
      </c>
      <c r="E6383" t="s">
        <v>98</v>
      </c>
    </row>
    <row r="6384" spans="1:5" x14ac:dyDescent="0.25">
      <c r="A6384" t="s">
        <v>97</v>
      </c>
      <c r="B6384">
        <v>2016</v>
      </c>
      <c r="C6384" t="s">
        <v>57</v>
      </c>
      <c r="D6384">
        <v>25315556.59</v>
      </c>
      <c r="E6384" t="s">
        <v>98</v>
      </c>
    </row>
    <row r="6385" spans="1:5" x14ac:dyDescent="0.25">
      <c r="A6385" t="s">
        <v>97</v>
      </c>
      <c r="B6385">
        <v>2017</v>
      </c>
      <c r="C6385" t="s">
        <v>57</v>
      </c>
      <c r="D6385">
        <v>5364495.6169999996</v>
      </c>
      <c r="E6385" t="s">
        <v>98</v>
      </c>
    </row>
    <row r="6386" spans="1:5" x14ac:dyDescent="0.25">
      <c r="A6386" t="s">
        <v>125</v>
      </c>
      <c r="B6386">
        <v>2015</v>
      </c>
      <c r="C6386" t="s">
        <v>57</v>
      </c>
      <c r="D6386">
        <v>17553015.870000001</v>
      </c>
      <c r="E6386" t="s">
        <v>98</v>
      </c>
    </row>
    <row r="6387" spans="1:5" x14ac:dyDescent="0.25">
      <c r="A6387" t="s">
        <v>125</v>
      </c>
      <c r="B6387">
        <v>2016</v>
      </c>
      <c r="C6387" t="s">
        <v>57</v>
      </c>
      <c r="D6387">
        <v>16924814.309999999</v>
      </c>
      <c r="E6387" t="s">
        <v>98</v>
      </c>
    </row>
    <row r="6388" spans="1:5" x14ac:dyDescent="0.25">
      <c r="A6388" t="s">
        <v>125</v>
      </c>
      <c r="B6388">
        <v>2017</v>
      </c>
      <c r="C6388" t="s">
        <v>57</v>
      </c>
      <c r="D6388">
        <v>16667799.73</v>
      </c>
      <c r="E6388" t="s">
        <v>98</v>
      </c>
    </row>
    <row r="6389" spans="1:5" x14ac:dyDescent="0.25">
      <c r="A6389" t="s">
        <v>125</v>
      </c>
      <c r="B6389">
        <v>2018</v>
      </c>
      <c r="C6389" t="s">
        <v>57</v>
      </c>
      <c r="D6389">
        <v>17650816.958999999</v>
      </c>
      <c r="E6389" t="s">
        <v>98</v>
      </c>
    </row>
    <row r="6390" spans="1:5" x14ac:dyDescent="0.25">
      <c r="A6390" t="s">
        <v>125</v>
      </c>
      <c r="B6390">
        <v>2019</v>
      </c>
      <c r="C6390" t="s">
        <v>57</v>
      </c>
      <c r="D6390">
        <v>9251767.3049999997</v>
      </c>
      <c r="E6390" t="s">
        <v>98</v>
      </c>
    </row>
    <row r="6391" spans="1:5" x14ac:dyDescent="0.25">
      <c r="A6391" t="s">
        <v>125</v>
      </c>
      <c r="B6391">
        <v>2020</v>
      </c>
      <c r="C6391" t="s">
        <v>57</v>
      </c>
      <c r="D6391">
        <v>5145011.2209999999</v>
      </c>
      <c r="E6391" t="s">
        <v>98</v>
      </c>
    </row>
    <row r="6392" spans="1:5" x14ac:dyDescent="0.25">
      <c r="A6392" t="s">
        <v>125</v>
      </c>
      <c r="B6392">
        <v>2021</v>
      </c>
      <c r="C6392" t="s">
        <v>57</v>
      </c>
      <c r="D6392">
        <v>5256793.4249999998</v>
      </c>
      <c r="E6392" t="s">
        <v>98</v>
      </c>
    </row>
    <row r="6393" spans="1:5" x14ac:dyDescent="0.25">
      <c r="A6393" t="s">
        <v>125</v>
      </c>
      <c r="B6393">
        <v>2022</v>
      </c>
      <c r="C6393" t="s">
        <v>57</v>
      </c>
      <c r="D6393">
        <v>11170877.620999999</v>
      </c>
      <c r="E6393" t="s">
        <v>98</v>
      </c>
    </row>
    <row r="6394" spans="1:5" x14ac:dyDescent="0.25">
      <c r="A6394" t="s">
        <v>125</v>
      </c>
      <c r="B6394">
        <v>2023</v>
      </c>
      <c r="C6394" t="s">
        <v>57</v>
      </c>
      <c r="D6394">
        <v>7526748.2759999996</v>
      </c>
      <c r="E6394" t="s">
        <v>98</v>
      </c>
    </row>
    <row r="6395" spans="1:5" x14ac:dyDescent="0.25">
      <c r="A6395" t="s">
        <v>124</v>
      </c>
      <c r="B6395">
        <v>2010</v>
      </c>
      <c r="C6395" t="s">
        <v>57</v>
      </c>
      <c r="D6395">
        <v>40151345.869999997</v>
      </c>
      <c r="E6395" t="s">
        <v>98</v>
      </c>
    </row>
    <row r="6396" spans="1:5" x14ac:dyDescent="0.25">
      <c r="A6396" t="s">
        <v>124</v>
      </c>
      <c r="B6396">
        <v>2011</v>
      </c>
      <c r="C6396" t="s">
        <v>57</v>
      </c>
      <c r="D6396">
        <v>59706272.079999998</v>
      </c>
      <c r="E6396" t="s">
        <v>98</v>
      </c>
    </row>
    <row r="6397" spans="1:5" x14ac:dyDescent="0.25">
      <c r="A6397" t="s">
        <v>124</v>
      </c>
      <c r="B6397">
        <v>2012</v>
      </c>
      <c r="C6397" t="s">
        <v>57</v>
      </c>
      <c r="D6397">
        <v>76803279.890000001</v>
      </c>
      <c r="E6397" t="s">
        <v>98</v>
      </c>
    </row>
    <row r="6398" spans="1:5" x14ac:dyDescent="0.25">
      <c r="A6398" t="s">
        <v>124</v>
      </c>
      <c r="B6398">
        <v>2013</v>
      </c>
      <c r="C6398" t="s">
        <v>57</v>
      </c>
      <c r="D6398">
        <v>77146919.969999999</v>
      </c>
      <c r="E6398" t="s">
        <v>98</v>
      </c>
    </row>
    <row r="6399" spans="1:5" x14ac:dyDescent="0.25">
      <c r="A6399" t="s">
        <v>124</v>
      </c>
      <c r="B6399">
        <v>2014</v>
      </c>
      <c r="C6399" t="s">
        <v>57</v>
      </c>
      <c r="D6399">
        <v>55008296.390000001</v>
      </c>
      <c r="E6399" t="s">
        <v>98</v>
      </c>
    </row>
    <row r="6400" spans="1:5" x14ac:dyDescent="0.25">
      <c r="A6400" t="s">
        <v>124</v>
      </c>
      <c r="B6400">
        <v>2015</v>
      </c>
      <c r="C6400" t="s">
        <v>57</v>
      </c>
      <c r="D6400">
        <v>63387195.799999997</v>
      </c>
      <c r="E6400" t="s">
        <v>98</v>
      </c>
    </row>
    <row r="6401" spans="1:5" x14ac:dyDescent="0.25">
      <c r="A6401" t="s">
        <v>124</v>
      </c>
      <c r="B6401">
        <v>2016</v>
      </c>
      <c r="C6401" t="s">
        <v>57</v>
      </c>
      <c r="D6401">
        <v>64930226.590000004</v>
      </c>
      <c r="E6401" t="s">
        <v>98</v>
      </c>
    </row>
    <row r="6402" spans="1:5" x14ac:dyDescent="0.25">
      <c r="A6402" t="s">
        <v>124</v>
      </c>
      <c r="B6402">
        <v>2017</v>
      </c>
      <c r="C6402" t="s">
        <v>57</v>
      </c>
      <c r="D6402">
        <v>79173179.019999996</v>
      </c>
      <c r="E6402" t="s">
        <v>98</v>
      </c>
    </row>
    <row r="6403" spans="1:5" x14ac:dyDescent="0.25">
      <c r="A6403" t="s">
        <v>124</v>
      </c>
      <c r="B6403">
        <v>2018</v>
      </c>
      <c r="C6403" t="s">
        <v>57</v>
      </c>
      <c r="D6403">
        <v>92857099.260000005</v>
      </c>
      <c r="E6403" t="s">
        <v>98</v>
      </c>
    </row>
    <row r="6404" spans="1:5" x14ac:dyDescent="0.25">
      <c r="A6404" t="s">
        <v>124</v>
      </c>
      <c r="B6404">
        <v>2019</v>
      </c>
      <c r="C6404" t="s">
        <v>57</v>
      </c>
      <c r="D6404">
        <v>55822419.170000002</v>
      </c>
      <c r="E6404" t="s">
        <v>98</v>
      </c>
    </row>
    <row r="6405" spans="1:5" x14ac:dyDescent="0.25">
      <c r="A6405" t="s">
        <v>124</v>
      </c>
      <c r="B6405">
        <v>2020</v>
      </c>
      <c r="C6405" t="s">
        <v>57</v>
      </c>
      <c r="D6405">
        <v>57389815.630000003</v>
      </c>
      <c r="E6405" t="s">
        <v>98</v>
      </c>
    </row>
    <row r="6406" spans="1:5" x14ac:dyDescent="0.25">
      <c r="A6406" t="s">
        <v>124</v>
      </c>
      <c r="B6406">
        <v>2021</v>
      </c>
      <c r="C6406" t="s">
        <v>57</v>
      </c>
      <c r="D6406">
        <v>78196511.900000006</v>
      </c>
      <c r="E6406" t="s">
        <v>98</v>
      </c>
    </row>
    <row r="6407" spans="1:5" x14ac:dyDescent="0.25">
      <c r="A6407" t="s">
        <v>124</v>
      </c>
      <c r="B6407">
        <v>2022</v>
      </c>
      <c r="C6407" t="s">
        <v>57</v>
      </c>
      <c r="D6407">
        <v>91649980.219999999</v>
      </c>
      <c r="E6407" t="s">
        <v>98</v>
      </c>
    </row>
    <row r="6408" spans="1:5" x14ac:dyDescent="0.25">
      <c r="A6408" t="s">
        <v>124</v>
      </c>
      <c r="B6408">
        <v>2023</v>
      </c>
      <c r="C6408" t="s">
        <v>57</v>
      </c>
      <c r="D6408">
        <v>90493204.549999997</v>
      </c>
      <c r="E6408" t="s">
        <v>98</v>
      </c>
    </row>
    <row r="6409" spans="1:5" x14ac:dyDescent="0.25">
      <c r="A6409" t="s">
        <v>124</v>
      </c>
      <c r="B6409">
        <v>2024</v>
      </c>
      <c r="C6409" t="s">
        <v>57</v>
      </c>
      <c r="D6409">
        <v>94673527.739999995</v>
      </c>
      <c r="E6409" t="s">
        <v>98</v>
      </c>
    </row>
    <row r="6410" spans="1:5" x14ac:dyDescent="0.25">
      <c r="A6410" t="s">
        <v>124</v>
      </c>
      <c r="B6410">
        <v>2025</v>
      </c>
      <c r="C6410" t="s">
        <v>57</v>
      </c>
      <c r="D6410">
        <v>84855993.5</v>
      </c>
      <c r="E6410" t="s">
        <v>98</v>
      </c>
    </row>
    <row r="6411" spans="1:5" x14ac:dyDescent="0.25">
      <c r="A6411" t="s">
        <v>5</v>
      </c>
      <c r="B6411">
        <v>2010</v>
      </c>
      <c r="C6411" t="s">
        <v>57</v>
      </c>
      <c r="D6411">
        <v>174485897.94800001</v>
      </c>
      <c r="E6411" t="s">
        <v>98</v>
      </c>
    </row>
    <row r="6412" spans="1:5" x14ac:dyDescent="0.25">
      <c r="A6412" t="s">
        <v>5</v>
      </c>
      <c r="B6412">
        <v>2011</v>
      </c>
      <c r="C6412" t="s">
        <v>57</v>
      </c>
      <c r="D6412">
        <v>209181513.986</v>
      </c>
      <c r="E6412" t="s">
        <v>98</v>
      </c>
    </row>
    <row r="6413" spans="1:5" x14ac:dyDescent="0.25">
      <c r="A6413" t="s">
        <v>5</v>
      </c>
      <c r="B6413">
        <v>2012</v>
      </c>
      <c r="C6413" t="s">
        <v>57</v>
      </c>
      <c r="D6413">
        <v>251997661.69299999</v>
      </c>
      <c r="E6413" t="s">
        <v>98</v>
      </c>
    </row>
    <row r="6414" spans="1:5" x14ac:dyDescent="0.25">
      <c r="A6414" t="s">
        <v>5</v>
      </c>
      <c r="B6414">
        <v>2013</v>
      </c>
      <c r="C6414" t="s">
        <v>57</v>
      </c>
      <c r="D6414">
        <v>268724670.72899997</v>
      </c>
      <c r="E6414" t="s">
        <v>98</v>
      </c>
    </row>
    <row r="6415" spans="1:5" x14ac:dyDescent="0.25">
      <c r="A6415" t="s">
        <v>5</v>
      </c>
      <c r="B6415">
        <v>2014</v>
      </c>
      <c r="C6415" t="s">
        <v>57</v>
      </c>
      <c r="D6415">
        <v>248967014.118</v>
      </c>
      <c r="E6415" t="s">
        <v>98</v>
      </c>
    </row>
    <row r="6416" spans="1:5" x14ac:dyDescent="0.25">
      <c r="A6416" t="s">
        <v>5</v>
      </c>
      <c r="B6416">
        <v>2015</v>
      </c>
      <c r="C6416" t="s">
        <v>57</v>
      </c>
      <c r="D6416">
        <v>217662553.88299999</v>
      </c>
      <c r="E6416" t="s">
        <v>98</v>
      </c>
    </row>
    <row r="6417" spans="1:5" x14ac:dyDescent="0.25">
      <c r="A6417" t="s">
        <v>5</v>
      </c>
      <c r="B6417">
        <v>2016</v>
      </c>
      <c r="C6417" t="s">
        <v>57</v>
      </c>
      <c r="D6417">
        <v>211505358.542</v>
      </c>
      <c r="E6417" t="s">
        <v>98</v>
      </c>
    </row>
    <row r="6418" spans="1:5" x14ac:dyDescent="0.25">
      <c r="A6418" t="s">
        <v>5</v>
      </c>
      <c r="B6418">
        <v>2017</v>
      </c>
      <c r="C6418" t="s">
        <v>57</v>
      </c>
      <c r="D6418">
        <v>226313955.206</v>
      </c>
      <c r="E6418" t="s">
        <v>98</v>
      </c>
    </row>
    <row r="6419" spans="1:5" x14ac:dyDescent="0.25">
      <c r="A6419" t="s">
        <v>5</v>
      </c>
      <c r="B6419">
        <v>2018</v>
      </c>
      <c r="C6419" t="s">
        <v>57</v>
      </c>
      <c r="D6419">
        <v>241997939.62</v>
      </c>
      <c r="E6419" t="s">
        <v>98</v>
      </c>
    </row>
    <row r="6420" spans="1:5" x14ac:dyDescent="0.25">
      <c r="A6420" t="s">
        <v>5</v>
      </c>
      <c r="B6420">
        <v>2019</v>
      </c>
      <c r="C6420" t="s">
        <v>57</v>
      </c>
      <c r="D6420">
        <v>221975622.914</v>
      </c>
      <c r="E6420" t="s">
        <v>98</v>
      </c>
    </row>
    <row r="6421" spans="1:5" x14ac:dyDescent="0.25">
      <c r="A6421" t="s">
        <v>5</v>
      </c>
      <c r="B6421">
        <v>2020</v>
      </c>
      <c r="C6421" t="s">
        <v>57</v>
      </c>
      <c r="D6421">
        <v>208391729.50600001</v>
      </c>
      <c r="E6421" t="s">
        <v>98</v>
      </c>
    </row>
    <row r="6422" spans="1:5" x14ac:dyDescent="0.25">
      <c r="A6422" t="s">
        <v>5</v>
      </c>
      <c r="B6422">
        <v>2021</v>
      </c>
      <c r="C6422" t="s">
        <v>57</v>
      </c>
      <c r="D6422">
        <v>197479798.155</v>
      </c>
      <c r="E6422" t="s">
        <v>98</v>
      </c>
    </row>
    <row r="6423" spans="1:5" x14ac:dyDescent="0.25">
      <c r="A6423" t="s">
        <v>5</v>
      </c>
      <c r="B6423">
        <v>2022</v>
      </c>
      <c r="C6423" t="s">
        <v>57</v>
      </c>
      <c r="D6423">
        <v>267407150.33500001</v>
      </c>
      <c r="E6423" t="s">
        <v>98</v>
      </c>
    </row>
    <row r="6424" spans="1:5" x14ac:dyDescent="0.25">
      <c r="A6424" t="s">
        <v>5</v>
      </c>
      <c r="B6424">
        <v>2023</v>
      </c>
      <c r="C6424" t="s">
        <v>57</v>
      </c>
      <c r="D6424">
        <v>214327035.82300001</v>
      </c>
      <c r="E6424" t="s">
        <v>98</v>
      </c>
    </row>
    <row r="6425" spans="1:5" x14ac:dyDescent="0.25">
      <c r="A6425" t="s">
        <v>5</v>
      </c>
      <c r="B6425">
        <v>2024</v>
      </c>
      <c r="C6425" t="s">
        <v>57</v>
      </c>
      <c r="D6425">
        <v>252592809.68700001</v>
      </c>
      <c r="E6425" t="s">
        <v>98</v>
      </c>
    </row>
    <row r="6426" spans="1:5" x14ac:dyDescent="0.25">
      <c r="A6426" t="s">
        <v>5</v>
      </c>
      <c r="B6426">
        <v>2025</v>
      </c>
      <c r="C6426" t="s">
        <v>57</v>
      </c>
      <c r="D6426">
        <v>217023521.90200001</v>
      </c>
      <c r="E6426" t="s">
        <v>98</v>
      </c>
    </row>
    <row r="6427" spans="1:5" x14ac:dyDescent="0.25">
      <c r="A6427" t="s">
        <v>8</v>
      </c>
      <c r="B6427">
        <v>2010</v>
      </c>
      <c r="C6427" t="s">
        <v>57</v>
      </c>
      <c r="D6427">
        <v>42334771.177000001</v>
      </c>
      <c r="E6427" t="s">
        <v>98</v>
      </c>
    </row>
    <row r="6428" spans="1:5" x14ac:dyDescent="0.25">
      <c r="A6428" t="s">
        <v>8</v>
      </c>
      <c r="B6428">
        <v>2011</v>
      </c>
      <c r="C6428" t="s">
        <v>57</v>
      </c>
      <c r="D6428">
        <v>60072844.398999996</v>
      </c>
      <c r="E6428" t="s">
        <v>98</v>
      </c>
    </row>
    <row r="6429" spans="1:5" x14ac:dyDescent="0.25">
      <c r="A6429" t="s">
        <v>8</v>
      </c>
      <c r="B6429">
        <v>2012</v>
      </c>
      <c r="C6429" t="s">
        <v>57</v>
      </c>
      <c r="D6429">
        <v>66392009.954999998</v>
      </c>
      <c r="E6429" t="s">
        <v>98</v>
      </c>
    </row>
    <row r="6430" spans="1:5" x14ac:dyDescent="0.25">
      <c r="A6430" t="s">
        <v>8</v>
      </c>
      <c r="B6430">
        <v>2013</v>
      </c>
      <c r="C6430" t="s">
        <v>57</v>
      </c>
      <c r="D6430">
        <v>68888416.197999999</v>
      </c>
      <c r="E6430" t="s">
        <v>98</v>
      </c>
    </row>
    <row r="6431" spans="1:5" x14ac:dyDescent="0.25">
      <c r="A6431" t="s">
        <v>8</v>
      </c>
      <c r="B6431">
        <v>2014</v>
      </c>
      <c r="C6431" t="s">
        <v>57</v>
      </c>
      <c r="D6431">
        <v>55266631.259000003</v>
      </c>
      <c r="E6431" t="s">
        <v>98</v>
      </c>
    </row>
    <row r="6432" spans="1:5" x14ac:dyDescent="0.25">
      <c r="A6432" t="s">
        <v>8</v>
      </c>
      <c r="B6432">
        <v>2015</v>
      </c>
      <c r="C6432" t="s">
        <v>57</v>
      </c>
      <c r="D6432">
        <v>52949775.395999998</v>
      </c>
      <c r="E6432" t="s">
        <v>98</v>
      </c>
    </row>
    <row r="6433" spans="1:5" x14ac:dyDescent="0.25">
      <c r="A6433" t="s">
        <v>8</v>
      </c>
      <c r="B6433">
        <v>2016</v>
      </c>
      <c r="C6433" t="s">
        <v>57</v>
      </c>
      <c r="D6433">
        <v>54031750.322999999</v>
      </c>
      <c r="E6433" t="s">
        <v>98</v>
      </c>
    </row>
    <row r="6434" spans="1:5" x14ac:dyDescent="0.25">
      <c r="A6434" t="s">
        <v>8</v>
      </c>
      <c r="B6434">
        <v>2017</v>
      </c>
      <c r="C6434" t="s">
        <v>57</v>
      </c>
      <c r="D6434">
        <v>31270704.548</v>
      </c>
      <c r="E6434" t="s">
        <v>98</v>
      </c>
    </row>
    <row r="6435" spans="1:5" x14ac:dyDescent="0.25">
      <c r="A6435" t="s">
        <v>8</v>
      </c>
      <c r="B6435">
        <v>2022</v>
      </c>
      <c r="C6435" t="s">
        <v>57</v>
      </c>
      <c r="D6435">
        <v>66246841.493000001</v>
      </c>
      <c r="E6435" t="s">
        <v>98</v>
      </c>
    </row>
    <row r="6436" spans="1:5" x14ac:dyDescent="0.25">
      <c r="A6436" t="s">
        <v>123</v>
      </c>
      <c r="B6436">
        <v>2017</v>
      </c>
      <c r="C6436" t="s">
        <v>57</v>
      </c>
      <c r="D6436">
        <v>4752134.7089999998</v>
      </c>
      <c r="E6436" t="s">
        <v>98</v>
      </c>
    </row>
    <row r="6437" spans="1:5" x14ac:dyDescent="0.25">
      <c r="A6437" t="s">
        <v>122</v>
      </c>
      <c r="B6437">
        <v>2011</v>
      </c>
      <c r="C6437" t="s">
        <v>57</v>
      </c>
      <c r="D6437">
        <v>3803367.5</v>
      </c>
      <c r="E6437" t="s">
        <v>98</v>
      </c>
    </row>
    <row r="6438" spans="1:5" x14ac:dyDescent="0.25">
      <c r="A6438" t="s">
        <v>122</v>
      </c>
      <c r="B6438">
        <v>2012</v>
      </c>
      <c r="C6438" t="s">
        <v>57</v>
      </c>
      <c r="D6438">
        <v>4604204</v>
      </c>
      <c r="E6438" t="s">
        <v>98</v>
      </c>
    </row>
    <row r="6439" spans="1:5" x14ac:dyDescent="0.25">
      <c r="A6439" t="s">
        <v>122</v>
      </c>
      <c r="B6439">
        <v>2013</v>
      </c>
      <c r="C6439" t="s">
        <v>57</v>
      </c>
      <c r="D6439">
        <v>3311613</v>
      </c>
      <c r="E6439" t="s">
        <v>98</v>
      </c>
    </row>
    <row r="6440" spans="1:5" x14ac:dyDescent="0.25">
      <c r="A6440" t="s">
        <v>122</v>
      </c>
      <c r="B6440">
        <v>2014</v>
      </c>
      <c r="C6440" t="s">
        <v>57</v>
      </c>
      <c r="D6440">
        <v>4424744.5</v>
      </c>
      <c r="E6440" t="s">
        <v>98</v>
      </c>
    </row>
    <row r="6441" spans="1:5" x14ac:dyDescent="0.25">
      <c r="A6441" t="s">
        <v>122</v>
      </c>
      <c r="B6441">
        <v>2015</v>
      </c>
      <c r="C6441" t="s">
        <v>57</v>
      </c>
      <c r="D6441">
        <v>4512265</v>
      </c>
      <c r="E6441" t="s">
        <v>98</v>
      </c>
    </row>
    <row r="6442" spans="1:5" x14ac:dyDescent="0.25">
      <c r="A6442" t="s">
        <v>122</v>
      </c>
      <c r="B6442">
        <v>2016</v>
      </c>
      <c r="C6442" t="s">
        <v>57</v>
      </c>
      <c r="D6442">
        <v>4696343.5</v>
      </c>
      <c r="E6442" t="s">
        <v>98</v>
      </c>
    </row>
    <row r="6443" spans="1:5" x14ac:dyDescent="0.25">
      <c r="A6443" t="s">
        <v>122</v>
      </c>
      <c r="B6443">
        <v>2017</v>
      </c>
      <c r="C6443" t="s">
        <v>57</v>
      </c>
      <c r="D6443">
        <v>5924212</v>
      </c>
      <c r="E6443" t="s">
        <v>98</v>
      </c>
    </row>
    <row r="6444" spans="1:5" x14ac:dyDescent="0.25">
      <c r="A6444" t="s">
        <v>122</v>
      </c>
      <c r="B6444">
        <v>2018</v>
      </c>
      <c r="C6444" t="s">
        <v>57</v>
      </c>
      <c r="D6444">
        <v>6564805</v>
      </c>
      <c r="E6444" t="s">
        <v>98</v>
      </c>
    </row>
    <row r="6445" spans="1:5" x14ac:dyDescent="0.25">
      <c r="A6445" t="s">
        <v>122</v>
      </c>
      <c r="B6445">
        <v>2019</v>
      </c>
      <c r="C6445" t="s">
        <v>57</v>
      </c>
      <c r="D6445">
        <v>5760268.5</v>
      </c>
      <c r="E6445" t="s">
        <v>98</v>
      </c>
    </row>
    <row r="6446" spans="1:5" x14ac:dyDescent="0.25">
      <c r="A6446" t="s">
        <v>122</v>
      </c>
      <c r="B6446">
        <v>2020</v>
      </c>
      <c r="C6446" t="s">
        <v>57</v>
      </c>
      <c r="D6446">
        <v>6984782.5</v>
      </c>
      <c r="E6446" t="s">
        <v>98</v>
      </c>
    </row>
    <row r="6447" spans="1:5" x14ac:dyDescent="0.25">
      <c r="A6447" t="s">
        <v>122</v>
      </c>
      <c r="B6447">
        <v>2021</v>
      </c>
      <c r="C6447" t="s">
        <v>57</v>
      </c>
      <c r="D6447">
        <v>6930788</v>
      </c>
      <c r="E6447" t="s">
        <v>98</v>
      </c>
    </row>
    <row r="6448" spans="1:5" x14ac:dyDescent="0.25">
      <c r="A6448" t="s">
        <v>122</v>
      </c>
      <c r="B6448">
        <v>2022</v>
      </c>
      <c r="C6448" t="s">
        <v>57</v>
      </c>
      <c r="D6448">
        <v>8380803</v>
      </c>
      <c r="E6448" t="s">
        <v>98</v>
      </c>
    </row>
    <row r="6449" spans="1:5" x14ac:dyDescent="0.25">
      <c r="A6449" t="s">
        <v>122</v>
      </c>
      <c r="B6449">
        <v>2023</v>
      </c>
      <c r="C6449" t="s">
        <v>57</v>
      </c>
      <c r="D6449">
        <v>4919596.5</v>
      </c>
      <c r="E6449" t="s">
        <v>98</v>
      </c>
    </row>
    <row r="6450" spans="1:5" x14ac:dyDescent="0.25">
      <c r="A6450" t="s">
        <v>122</v>
      </c>
      <c r="B6450">
        <v>2024</v>
      </c>
      <c r="C6450" t="s">
        <v>57</v>
      </c>
      <c r="D6450">
        <v>6112053</v>
      </c>
      <c r="E6450" t="s">
        <v>98</v>
      </c>
    </row>
    <row r="6451" spans="1:5" x14ac:dyDescent="0.25">
      <c r="A6451" t="s">
        <v>9</v>
      </c>
      <c r="B6451">
        <v>2010</v>
      </c>
      <c r="C6451" t="s">
        <v>57</v>
      </c>
      <c r="D6451">
        <v>57558735.769000001</v>
      </c>
      <c r="E6451" t="s">
        <v>98</v>
      </c>
    </row>
    <row r="6452" spans="1:5" x14ac:dyDescent="0.25">
      <c r="A6452" t="s">
        <v>9</v>
      </c>
      <c r="B6452">
        <v>2011</v>
      </c>
      <c r="C6452" t="s">
        <v>57</v>
      </c>
      <c r="D6452">
        <v>75526885.371999994</v>
      </c>
      <c r="E6452" t="s">
        <v>98</v>
      </c>
    </row>
    <row r="6453" spans="1:5" x14ac:dyDescent="0.25">
      <c r="A6453" t="s">
        <v>9</v>
      </c>
      <c r="B6453">
        <v>2012</v>
      </c>
      <c r="C6453" t="s">
        <v>57</v>
      </c>
      <c r="D6453">
        <v>79817278.157000005</v>
      </c>
      <c r="E6453" t="s">
        <v>98</v>
      </c>
    </row>
    <row r="6454" spans="1:5" x14ac:dyDescent="0.25">
      <c r="A6454" t="s">
        <v>9</v>
      </c>
      <c r="B6454">
        <v>2013</v>
      </c>
      <c r="C6454" t="s">
        <v>57</v>
      </c>
      <c r="D6454">
        <v>90553534.924999997</v>
      </c>
      <c r="E6454" t="s">
        <v>98</v>
      </c>
    </row>
    <row r="6455" spans="1:5" x14ac:dyDescent="0.25">
      <c r="A6455" t="s">
        <v>9</v>
      </c>
      <c r="B6455">
        <v>2014</v>
      </c>
      <c r="C6455" t="s">
        <v>57</v>
      </c>
      <c r="D6455">
        <v>91683597.383000001</v>
      </c>
      <c r="E6455" t="s">
        <v>98</v>
      </c>
    </row>
    <row r="6456" spans="1:5" x14ac:dyDescent="0.25">
      <c r="A6456" t="s">
        <v>9</v>
      </c>
      <c r="B6456">
        <v>2015</v>
      </c>
      <c r="C6456" t="s">
        <v>57</v>
      </c>
      <c r="D6456">
        <v>62690525.038000003</v>
      </c>
      <c r="E6456" t="s">
        <v>98</v>
      </c>
    </row>
    <row r="6457" spans="1:5" x14ac:dyDescent="0.25">
      <c r="A6457" t="s">
        <v>9</v>
      </c>
      <c r="B6457">
        <v>2016</v>
      </c>
      <c r="C6457" t="s">
        <v>57</v>
      </c>
      <c r="D6457">
        <v>63509789.424999997</v>
      </c>
      <c r="E6457" t="s">
        <v>98</v>
      </c>
    </row>
    <row r="6458" spans="1:5" x14ac:dyDescent="0.25">
      <c r="A6458" t="s">
        <v>9</v>
      </c>
      <c r="B6458">
        <v>2017</v>
      </c>
      <c r="C6458" t="s">
        <v>57</v>
      </c>
      <c r="D6458">
        <v>83374691.734999999</v>
      </c>
      <c r="E6458" t="s">
        <v>98</v>
      </c>
    </row>
    <row r="6459" spans="1:5" x14ac:dyDescent="0.25">
      <c r="A6459" t="s">
        <v>9</v>
      </c>
      <c r="B6459">
        <v>2018</v>
      </c>
      <c r="C6459" t="s">
        <v>57</v>
      </c>
      <c r="D6459">
        <v>100649770.653</v>
      </c>
      <c r="E6459" t="s">
        <v>98</v>
      </c>
    </row>
    <row r="6460" spans="1:5" x14ac:dyDescent="0.25">
      <c r="A6460" t="s">
        <v>9</v>
      </c>
      <c r="B6460">
        <v>2019</v>
      </c>
      <c r="C6460" t="s">
        <v>57</v>
      </c>
      <c r="D6460">
        <v>72511548.010000005</v>
      </c>
      <c r="E6460" t="s">
        <v>98</v>
      </c>
    </row>
    <row r="6461" spans="1:5" x14ac:dyDescent="0.25">
      <c r="A6461" t="s">
        <v>9</v>
      </c>
      <c r="B6461">
        <v>2020</v>
      </c>
      <c r="C6461" t="s">
        <v>57</v>
      </c>
      <c r="D6461">
        <v>75302985.386999995</v>
      </c>
      <c r="E6461" t="s">
        <v>98</v>
      </c>
    </row>
    <row r="6462" spans="1:5" x14ac:dyDescent="0.25">
      <c r="A6462" t="s">
        <v>9</v>
      </c>
      <c r="B6462">
        <v>2021</v>
      </c>
      <c r="C6462" t="s">
        <v>57</v>
      </c>
      <c r="D6462">
        <v>74758219.148000002</v>
      </c>
      <c r="E6462" t="s">
        <v>98</v>
      </c>
    </row>
    <row r="6463" spans="1:5" x14ac:dyDescent="0.25">
      <c r="A6463" t="s">
        <v>9</v>
      </c>
      <c r="B6463">
        <v>2022</v>
      </c>
      <c r="C6463" t="s">
        <v>57</v>
      </c>
      <c r="D6463">
        <v>76178121.606000006</v>
      </c>
      <c r="E6463" t="s">
        <v>98</v>
      </c>
    </row>
    <row r="6464" spans="1:5" x14ac:dyDescent="0.25">
      <c r="A6464" t="s">
        <v>9</v>
      </c>
      <c r="B6464">
        <v>2023</v>
      </c>
      <c r="C6464" t="s">
        <v>57</v>
      </c>
      <c r="D6464">
        <v>81853658.627000004</v>
      </c>
      <c r="E6464" t="s">
        <v>98</v>
      </c>
    </row>
    <row r="6465" spans="1:5" x14ac:dyDescent="0.25">
      <c r="A6465" t="s">
        <v>9</v>
      </c>
      <c r="B6465">
        <v>2024</v>
      </c>
      <c r="C6465" t="s">
        <v>57</v>
      </c>
      <c r="D6465">
        <v>76618254.408999994</v>
      </c>
      <c r="E6465" t="s">
        <v>98</v>
      </c>
    </row>
    <row r="6466" spans="1:5" x14ac:dyDescent="0.25">
      <c r="A6466" t="s">
        <v>9</v>
      </c>
      <c r="B6466">
        <v>2025</v>
      </c>
      <c r="C6466" t="s">
        <v>57</v>
      </c>
      <c r="D6466">
        <v>70860513.280000001</v>
      </c>
      <c r="E6466" t="s">
        <v>98</v>
      </c>
    </row>
    <row r="6467" spans="1:5" x14ac:dyDescent="0.25">
      <c r="A6467" t="s">
        <v>121</v>
      </c>
      <c r="B6467">
        <v>2010</v>
      </c>
      <c r="C6467" t="s">
        <v>57</v>
      </c>
      <c r="D6467">
        <v>6791328.9939999999</v>
      </c>
      <c r="E6467" t="s">
        <v>98</v>
      </c>
    </row>
    <row r="6468" spans="1:5" x14ac:dyDescent="0.25">
      <c r="A6468" t="s">
        <v>121</v>
      </c>
      <c r="B6468">
        <v>2011</v>
      </c>
      <c r="C6468" t="s">
        <v>57</v>
      </c>
      <c r="D6468">
        <v>6251468</v>
      </c>
      <c r="E6468" t="s">
        <v>98</v>
      </c>
    </row>
    <row r="6469" spans="1:5" x14ac:dyDescent="0.25">
      <c r="A6469" t="s">
        <v>121</v>
      </c>
      <c r="B6469">
        <v>2012</v>
      </c>
      <c r="C6469" t="s">
        <v>57</v>
      </c>
      <c r="D6469">
        <v>6226007</v>
      </c>
      <c r="E6469" t="s">
        <v>98</v>
      </c>
    </row>
    <row r="6470" spans="1:5" x14ac:dyDescent="0.25">
      <c r="A6470" t="s">
        <v>121</v>
      </c>
      <c r="B6470">
        <v>2013</v>
      </c>
      <c r="C6470" t="s">
        <v>57</v>
      </c>
      <c r="D6470">
        <v>7320281</v>
      </c>
      <c r="E6470" t="s">
        <v>98</v>
      </c>
    </row>
    <row r="6471" spans="1:5" x14ac:dyDescent="0.25">
      <c r="A6471" t="s">
        <v>121</v>
      </c>
      <c r="B6471">
        <v>2014</v>
      </c>
      <c r="C6471" t="s">
        <v>57</v>
      </c>
      <c r="D6471">
        <v>8935031</v>
      </c>
      <c r="E6471" t="s">
        <v>98</v>
      </c>
    </row>
    <row r="6472" spans="1:5" x14ac:dyDescent="0.25">
      <c r="A6472" t="s">
        <v>121</v>
      </c>
      <c r="B6472">
        <v>2015</v>
      </c>
      <c r="C6472" t="s">
        <v>57</v>
      </c>
      <c r="D6472">
        <v>6197271</v>
      </c>
      <c r="E6472" t="s">
        <v>98</v>
      </c>
    </row>
    <row r="6473" spans="1:5" x14ac:dyDescent="0.25">
      <c r="A6473" t="s">
        <v>121</v>
      </c>
      <c r="B6473">
        <v>2016</v>
      </c>
      <c r="C6473" t="s">
        <v>57</v>
      </c>
      <c r="D6473">
        <v>8369066</v>
      </c>
      <c r="E6473" t="s">
        <v>98</v>
      </c>
    </row>
    <row r="6474" spans="1:5" x14ac:dyDescent="0.25">
      <c r="A6474" t="s">
        <v>121</v>
      </c>
      <c r="B6474">
        <v>2017</v>
      </c>
      <c r="C6474" t="s">
        <v>57</v>
      </c>
      <c r="D6474">
        <v>8661390.6199999992</v>
      </c>
      <c r="E6474" t="s">
        <v>98</v>
      </c>
    </row>
    <row r="6475" spans="1:5" x14ac:dyDescent="0.25">
      <c r="A6475" t="s">
        <v>121</v>
      </c>
      <c r="B6475">
        <v>2018</v>
      </c>
      <c r="C6475" t="s">
        <v>57</v>
      </c>
      <c r="D6475">
        <v>9451492.2799999993</v>
      </c>
      <c r="E6475" t="s">
        <v>98</v>
      </c>
    </row>
    <row r="6476" spans="1:5" x14ac:dyDescent="0.25">
      <c r="A6476" t="s">
        <v>121</v>
      </c>
      <c r="B6476">
        <v>2019</v>
      </c>
      <c r="C6476" t="s">
        <v>57</v>
      </c>
      <c r="D6476">
        <v>12127852.57</v>
      </c>
      <c r="E6476" t="s">
        <v>98</v>
      </c>
    </row>
    <row r="6477" spans="1:5" x14ac:dyDescent="0.25">
      <c r="A6477" t="s">
        <v>121</v>
      </c>
      <c r="B6477">
        <v>2020</v>
      </c>
      <c r="C6477" t="s">
        <v>57</v>
      </c>
      <c r="D6477">
        <v>9947781.9900000002</v>
      </c>
      <c r="E6477" t="s">
        <v>98</v>
      </c>
    </row>
    <row r="6478" spans="1:5" x14ac:dyDescent="0.25">
      <c r="A6478" t="s">
        <v>121</v>
      </c>
      <c r="B6478">
        <v>2021</v>
      </c>
      <c r="C6478" t="s">
        <v>57</v>
      </c>
      <c r="D6478">
        <v>9339052.6099999994</v>
      </c>
      <c r="E6478" t="s">
        <v>98</v>
      </c>
    </row>
    <row r="6479" spans="1:5" x14ac:dyDescent="0.25">
      <c r="A6479" t="s">
        <v>121</v>
      </c>
      <c r="B6479">
        <v>2022</v>
      </c>
      <c r="C6479" t="s">
        <v>57</v>
      </c>
      <c r="D6479">
        <v>13096939.810000001</v>
      </c>
      <c r="E6479" t="s">
        <v>98</v>
      </c>
    </row>
    <row r="6480" spans="1:5" x14ac:dyDescent="0.25">
      <c r="A6480" t="s">
        <v>121</v>
      </c>
      <c r="B6480">
        <v>2023</v>
      </c>
      <c r="C6480" t="s">
        <v>57</v>
      </c>
      <c r="D6480">
        <v>12726653.937999999</v>
      </c>
      <c r="E6480" t="s">
        <v>98</v>
      </c>
    </row>
    <row r="6481" spans="1:5" x14ac:dyDescent="0.25">
      <c r="A6481" t="s">
        <v>121</v>
      </c>
      <c r="B6481">
        <v>2024</v>
      </c>
      <c r="C6481" t="s">
        <v>57</v>
      </c>
      <c r="D6481">
        <v>14417923.323000001</v>
      </c>
      <c r="E6481" t="s">
        <v>98</v>
      </c>
    </row>
    <row r="6482" spans="1:5" x14ac:dyDescent="0.25">
      <c r="A6482" t="s">
        <v>121</v>
      </c>
      <c r="B6482">
        <v>2025</v>
      </c>
      <c r="C6482" t="s">
        <v>57</v>
      </c>
      <c r="D6482">
        <v>11102556.329</v>
      </c>
      <c r="E6482" t="s">
        <v>98</v>
      </c>
    </row>
    <row r="6483" spans="1:5" x14ac:dyDescent="0.25">
      <c r="A6483" t="s">
        <v>10</v>
      </c>
      <c r="B6483">
        <v>2000</v>
      </c>
      <c r="C6483" t="s">
        <v>57</v>
      </c>
      <c r="D6483">
        <v>1646729</v>
      </c>
      <c r="E6483" t="s">
        <v>98</v>
      </c>
    </row>
    <row r="6484" spans="1:5" x14ac:dyDescent="0.25">
      <c r="A6484" t="s">
        <v>10</v>
      </c>
      <c r="B6484">
        <v>2007</v>
      </c>
      <c r="C6484" t="s">
        <v>57</v>
      </c>
      <c r="D6484">
        <v>2755585</v>
      </c>
      <c r="E6484" t="s">
        <v>98</v>
      </c>
    </row>
    <row r="6485" spans="1:5" x14ac:dyDescent="0.25">
      <c r="A6485" t="s">
        <v>10</v>
      </c>
      <c r="B6485">
        <v>2009</v>
      </c>
      <c r="C6485" t="s">
        <v>57</v>
      </c>
      <c r="D6485">
        <v>5143366</v>
      </c>
      <c r="E6485" t="s">
        <v>98</v>
      </c>
    </row>
    <row r="6486" spans="1:5" x14ac:dyDescent="0.25">
      <c r="A6486" t="s">
        <v>10</v>
      </c>
      <c r="B6486">
        <v>2010</v>
      </c>
      <c r="C6486" t="s">
        <v>57</v>
      </c>
      <c r="D6486">
        <v>9431182</v>
      </c>
      <c r="E6486" t="s">
        <v>98</v>
      </c>
    </row>
    <row r="6487" spans="1:5" x14ac:dyDescent="0.25">
      <c r="A6487" t="s">
        <v>10</v>
      </c>
      <c r="B6487">
        <v>2011</v>
      </c>
      <c r="C6487" t="s">
        <v>57</v>
      </c>
      <c r="D6487">
        <v>14902321</v>
      </c>
      <c r="E6487" t="s">
        <v>98</v>
      </c>
    </row>
    <row r="6488" spans="1:5" x14ac:dyDescent="0.25">
      <c r="A6488" t="s">
        <v>10</v>
      </c>
      <c r="B6488">
        <v>2012</v>
      </c>
      <c r="C6488" t="s">
        <v>57</v>
      </c>
      <c r="D6488">
        <v>15007736</v>
      </c>
      <c r="E6488" t="s">
        <v>98</v>
      </c>
    </row>
    <row r="6489" spans="1:5" x14ac:dyDescent="0.25">
      <c r="A6489" t="s">
        <v>10</v>
      </c>
      <c r="B6489">
        <v>2013</v>
      </c>
      <c r="C6489" t="s">
        <v>57</v>
      </c>
      <c r="D6489">
        <v>28360389</v>
      </c>
      <c r="E6489" t="s">
        <v>98</v>
      </c>
    </row>
    <row r="6490" spans="1:5" x14ac:dyDescent="0.25">
      <c r="A6490" t="s">
        <v>10</v>
      </c>
      <c r="B6490">
        <v>2014</v>
      </c>
      <c r="C6490" t="s">
        <v>57</v>
      </c>
      <c r="D6490">
        <v>41994303</v>
      </c>
      <c r="E6490" t="s">
        <v>98</v>
      </c>
    </row>
    <row r="6491" spans="1:5" x14ac:dyDescent="0.25">
      <c r="A6491" t="s">
        <v>10</v>
      </c>
      <c r="B6491">
        <v>2015</v>
      </c>
      <c r="C6491" t="s">
        <v>57</v>
      </c>
      <c r="D6491">
        <v>33244231</v>
      </c>
      <c r="E6491" t="s">
        <v>98</v>
      </c>
    </row>
    <row r="6492" spans="1:5" x14ac:dyDescent="0.25">
      <c r="A6492" t="s">
        <v>10</v>
      </c>
      <c r="B6492">
        <v>2016</v>
      </c>
      <c r="C6492" t="s">
        <v>57</v>
      </c>
      <c r="D6492">
        <v>28279178</v>
      </c>
      <c r="E6492" t="s">
        <v>98</v>
      </c>
    </row>
    <row r="6493" spans="1:5" x14ac:dyDescent="0.25">
      <c r="A6493" t="s">
        <v>10</v>
      </c>
      <c r="B6493">
        <v>2017</v>
      </c>
      <c r="C6493" t="s">
        <v>57</v>
      </c>
      <c r="D6493">
        <v>20626042</v>
      </c>
      <c r="E6493" t="s">
        <v>98</v>
      </c>
    </row>
    <row r="6494" spans="1:5" x14ac:dyDescent="0.25">
      <c r="A6494" t="s">
        <v>10</v>
      </c>
      <c r="B6494">
        <v>2018</v>
      </c>
      <c r="C6494" t="s">
        <v>57</v>
      </c>
      <c r="D6494">
        <v>24005097</v>
      </c>
      <c r="E6494" t="s">
        <v>98</v>
      </c>
    </row>
    <row r="6495" spans="1:5" x14ac:dyDescent="0.25">
      <c r="A6495" t="s">
        <v>10</v>
      </c>
      <c r="B6495">
        <v>2019</v>
      </c>
      <c r="C6495" t="s">
        <v>57</v>
      </c>
      <c r="D6495">
        <v>11648244</v>
      </c>
      <c r="E6495" t="s">
        <v>98</v>
      </c>
    </row>
    <row r="6496" spans="1:5" x14ac:dyDescent="0.25">
      <c r="A6496" t="s">
        <v>10</v>
      </c>
      <c r="B6496">
        <v>2020</v>
      </c>
      <c r="C6496" t="s">
        <v>57</v>
      </c>
      <c r="D6496">
        <v>7724843</v>
      </c>
      <c r="E6496" t="s">
        <v>98</v>
      </c>
    </row>
    <row r="6497" spans="1:5" x14ac:dyDescent="0.25">
      <c r="A6497" t="s">
        <v>10</v>
      </c>
      <c r="B6497">
        <v>2021</v>
      </c>
      <c r="C6497" t="s">
        <v>57</v>
      </c>
      <c r="D6497">
        <v>6810905</v>
      </c>
      <c r="E6497" t="s">
        <v>98</v>
      </c>
    </row>
    <row r="6498" spans="1:5" x14ac:dyDescent="0.25">
      <c r="A6498" t="s">
        <v>10</v>
      </c>
      <c r="B6498">
        <v>2022</v>
      </c>
      <c r="C6498" t="s">
        <v>57</v>
      </c>
      <c r="D6498">
        <v>10327596</v>
      </c>
      <c r="E6498" t="s">
        <v>98</v>
      </c>
    </row>
    <row r="6499" spans="1:5" x14ac:dyDescent="0.25">
      <c r="A6499" t="s">
        <v>10</v>
      </c>
      <c r="B6499">
        <v>2024</v>
      </c>
      <c r="C6499" t="s">
        <v>57</v>
      </c>
      <c r="D6499">
        <v>10404515</v>
      </c>
      <c r="E6499" t="s">
        <v>98</v>
      </c>
    </row>
    <row r="6500" spans="1:5" x14ac:dyDescent="0.25">
      <c r="A6500" t="s">
        <v>10</v>
      </c>
      <c r="B6500">
        <v>2025</v>
      </c>
      <c r="C6500" t="s">
        <v>57</v>
      </c>
      <c r="D6500">
        <v>16080713</v>
      </c>
      <c r="E6500" t="s">
        <v>98</v>
      </c>
    </row>
    <row r="6501" spans="1:5" x14ac:dyDescent="0.25">
      <c r="A6501" t="s">
        <v>120</v>
      </c>
      <c r="B6501">
        <v>2013</v>
      </c>
      <c r="C6501" t="s">
        <v>57</v>
      </c>
      <c r="D6501">
        <v>4083184.54</v>
      </c>
      <c r="E6501" t="s">
        <v>98</v>
      </c>
    </row>
    <row r="6502" spans="1:5" x14ac:dyDescent="0.25">
      <c r="A6502" t="s">
        <v>120</v>
      </c>
      <c r="B6502">
        <v>2014</v>
      </c>
      <c r="C6502" t="s">
        <v>57</v>
      </c>
      <c r="D6502">
        <v>4194878.5389999999</v>
      </c>
      <c r="E6502" t="s">
        <v>98</v>
      </c>
    </row>
    <row r="6503" spans="1:5" x14ac:dyDescent="0.25">
      <c r="A6503" t="s">
        <v>120</v>
      </c>
      <c r="B6503">
        <v>2016</v>
      </c>
      <c r="C6503" t="s">
        <v>57</v>
      </c>
      <c r="D6503">
        <v>3269427.25</v>
      </c>
      <c r="E6503" t="s">
        <v>98</v>
      </c>
    </row>
    <row r="6504" spans="1:5" x14ac:dyDescent="0.25">
      <c r="A6504" t="s">
        <v>120</v>
      </c>
      <c r="B6504">
        <v>2018</v>
      </c>
      <c r="C6504" t="s">
        <v>57</v>
      </c>
      <c r="D6504">
        <v>4231364.3339999998</v>
      </c>
      <c r="E6504" t="s">
        <v>98</v>
      </c>
    </row>
    <row r="6505" spans="1:5" x14ac:dyDescent="0.25">
      <c r="A6505" t="s">
        <v>120</v>
      </c>
      <c r="B6505">
        <v>2019</v>
      </c>
      <c r="C6505" t="s">
        <v>57</v>
      </c>
      <c r="D6505">
        <v>4292880.227</v>
      </c>
      <c r="E6505" t="s">
        <v>98</v>
      </c>
    </row>
    <row r="6506" spans="1:5" x14ac:dyDescent="0.25">
      <c r="A6506" t="s">
        <v>120</v>
      </c>
      <c r="B6506">
        <v>2020</v>
      </c>
      <c r="C6506" t="s">
        <v>57</v>
      </c>
      <c r="D6506">
        <v>6549176.4170000004</v>
      </c>
      <c r="E6506" t="s">
        <v>98</v>
      </c>
    </row>
    <row r="6507" spans="1:5" x14ac:dyDescent="0.25">
      <c r="A6507" t="s">
        <v>120</v>
      </c>
      <c r="B6507">
        <v>2021</v>
      </c>
      <c r="C6507" t="s">
        <v>57</v>
      </c>
      <c r="D6507">
        <v>6696857.8880000003</v>
      </c>
      <c r="E6507" t="s">
        <v>98</v>
      </c>
    </row>
    <row r="6508" spans="1:5" x14ac:dyDescent="0.25">
      <c r="A6508" t="s">
        <v>120</v>
      </c>
      <c r="B6508">
        <v>2022</v>
      </c>
      <c r="C6508" t="s">
        <v>57</v>
      </c>
      <c r="D6508">
        <v>7552154.9979999997</v>
      </c>
      <c r="E6508" t="s">
        <v>98</v>
      </c>
    </row>
    <row r="6509" spans="1:5" x14ac:dyDescent="0.25">
      <c r="A6509" t="s">
        <v>120</v>
      </c>
      <c r="B6509">
        <v>2023</v>
      </c>
      <c r="C6509" t="s">
        <v>57</v>
      </c>
      <c r="D6509">
        <v>8547554.6400000006</v>
      </c>
      <c r="E6509" t="s">
        <v>98</v>
      </c>
    </row>
    <row r="6510" spans="1:5" x14ac:dyDescent="0.25">
      <c r="A6510" t="s">
        <v>11</v>
      </c>
      <c r="B6510">
        <v>2010</v>
      </c>
      <c r="C6510" t="s">
        <v>57</v>
      </c>
      <c r="D6510">
        <v>127913197.241</v>
      </c>
      <c r="E6510" t="s">
        <v>98</v>
      </c>
    </row>
    <row r="6511" spans="1:5" x14ac:dyDescent="0.25">
      <c r="A6511" t="s">
        <v>11</v>
      </c>
      <c r="B6511">
        <v>2011</v>
      </c>
      <c r="C6511" t="s">
        <v>57</v>
      </c>
      <c r="D6511">
        <v>140291531.42300001</v>
      </c>
      <c r="E6511" t="s">
        <v>98</v>
      </c>
    </row>
    <row r="6512" spans="1:5" x14ac:dyDescent="0.25">
      <c r="A6512" t="s">
        <v>11</v>
      </c>
      <c r="B6512">
        <v>2012</v>
      </c>
      <c r="C6512" t="s">
        <v>57</v>
      </c>
      <c r="D6512">
        <v>151656533.942</v>
      </c>
      <c r="E6512" t="s">
        <v>98</v>
      </c>
    </row>
    <row r="6513" spans="1:5" x14ac:dyDescent="0.25">
      <c r="A6513" t="s">
        <v>11</v>
      </c>
      <c r="B6513">
        <v>2013</v>
      </c>
      <c r="C6513" t="s">
        <v>57</v>
      </c>
      <c r="D6513">
        <v>183508056.396</v>
      </c>
      <c r="E6513" t="s">
        <v>98</v>
      </c>
    </row>
    <row r="6514" spans="1:5" x14ac:dyDescent="0.25">
      <c r="A6514" t="s">
        <v>11</v>
      </c>
      <c r="B6514">
        <v>2014</v>
      </c>
      <c r="C6514" t="s">
        <v>57</v>
      </c>
      <c r="D6514">
        <v>151755775.26300001</v>
      </c>
      <c r="E6514" t="s">
        <v>98</v>
      </c>
    </row>
    <row r="6515" spans="1:5" x14ac:dyDescent="0.25">
      <c r="A6515" t="s">
        <v>11</v>
      </c>
      <c r="B6515">
        <v>2015</v>
      </c>
      <c r="C6515" t="s">
        <v>57</v>
      </c>
      <c r="D6515">
        <v>159986772.86500001</v>
      </c>
      <c r="E6515" t="s">
        <v>98</v>
      </c>
    </row>
    <row r="6516" spans="1:5" x14ac:dyDescent="0.25">
      <c r="A6516" t="s">
        <v>11</v>
      </c>
      <c r="B6516">
        <v>2016</v>
      </c>
      <c r="C6516" t="s">
        <v>57</v>
      </c>
      <c r="D6516">
        <v>141011051.48100001</v>
      </c>
      <c r="E6516" t="s">
        <v>98</v>
      </c>
    </row>
    <row r="6517" spans="1:5" x14ac:dyDescent="0.25">
      <c r="A6517" t="s">
        <v>11</v>
      </c>
      <c r="B6517">
        <v>2017</v>
      </c>
      <c r="C6517" t="s">
        <v>57</v>
      </c>
      <c r="D6517">
        <v>148412877.23699999</v>
      </c>
      <c r="E6517" t="s">
        <v>98</v>
      </c>
    </row>
    <row r="6518" spans="1:5" x14ac:dyDescent="0.25">
      <c r="A6518" t="s">
        <v>11</v>
      </c>
      <c r="B6518">
        <v>2018</v>
      </c>
      <c r="C6518" t="s">
        <v>57</v>
      </c>
      <c r="D6518">
        <v>167722100.38299999</v>
      </c>
      <c r="E6518" t="s">
        <v>98</v>
      </c>
    </row>
    <row r="6519" spans="1:5" x14ac:dyDescent="0.25">
      <c r="A6519" t="s">
        <v>11</v>
      </c>
      <c r="B6519">
        <v>2019</v>
      </c>
      <c r="C6519" t="s">
        <v>57</v>
      </c>
      <c r="D6519">
        <v>162174580.748</v>
      </c>
      <c r="E6519" t="s">
        <v>98</v>
      </c>
    </row>
    <row r="6520" spans="1:5" x14ac:dyDescent="0.25">
      <c r="A6520" t="s">
        <v>11</v>
      </c>
      <c r="B6520">
        <v>2020</v>
      </c>
      <c r="C6520" t="s">
        <v>57</v>
      </c>
      <c r="D6520">
        <v>166108275.40799999</v>
      </c>
      <c r="E6520" t="s">
        <v>98</v>
      </c>
    </row>
    <row r="6521" spans="1:5" x14ac:dyDescent="0.25">
      <c r="A6521" t="s">
        <v>11</v>
      </c>
      <c r="B6521">
        <v>2021</v>
      </c>
      <c r="C6521" t="s">
        <v>57</v>
      </c>
      <c r="D6521">
        <v>155540976.94800001</v>
      </c>
      <c r="E6521" t="s">
        <v>98</v>
      </c>
    </row>
    <row r="6522" spans="1:5" x14ac:dyDescent="0.25">
      <c r="A6522" t="s">
        <v>11</v>
      </c>
      <c r="B6522">
        <v>2022</v>
      </c>
      <c r="C6522" t="s">
        <v>57</v>
      </c>
      <c r="D6522">
        <v>192066986.72600001</v>
      </c>
      <c r="E6522" t="s">
        <v>98</v>
      </c>
    </row>
    <row r="6523" spans="1:5" x14ac:dyDescent="0.25">
      <c r="A6523" t="s">
        <v>11</v>
      </c>
      <c r="B6523">
        <v>2023</v>
      </c>
      <c r="C6523" t="s">
        <v>57</v>
      </c>
      <c r="D6523">
        <v>173269868.287</v>
      </c>
      <c r="E6523" t="s">
        <v>98</v>
      </c>
    </row>
    <row r="6524" spans="1:5" x14ac:dyDescent="0.25">
      <c r="A6524" t="s">
        <v>11</v>
      </c>
      <c r="B6524">
        <v>2024</v>
      </c>
      <c r="C6524" t="s">
        <v>57</v>
      </c>
      <c r="D6524">
        <v>197243570.64700001</v>
      </c>
      <c r="E6524" t="s">
        <v>98</v>
      </c>
    </row>
    <row r="6525" spans="1:5" x14ac:dyDescent="0.25">
      <c r="A6525" t="s">
        <v>11</v>
      </c>
      <c r="B6525">
        <v>2025</v>
      </c>
      <c r="C6525" t="s">
        <v>57</v>
      </c>
      <c r="D6525">
        <v>147428128.46399999</v>
      </c>
      <c r="E6525" t="s">
        <v>98</v>
      </c>
    </row>
    <row r="6526" spans="1:5" x14ac:dyDescent="0.25">
      <c r="A6526" t="s">
        <v>95</v>
      </c>
      <c r="B6526">
        <v>2003</v>
      </c>
      <c r="C6526" t="s">
        <v>57</v>
      </c>
      <c r="D6526">
        <v>15493326.946</v>
      </c>
      <c r="E6526" t="s">
        <v>98</v>
      </c>
    </row>
    <row r="6527" spans="1:5" x14ac:dyDescent="0.25">
      <c r="A6527" t="s">
        <v>95</v>
      </c>
      <c r="B6527">
        <v>2004</v>
      </c>
      <c r="C6527" t="s">
        <v>57</v>
      </c>
      <c r="D6527">
        <v>18314816.092999998</v>
      </c>
      <c r="E6527" t="s">
        <v>98</v>
      </c>
    </row>
    <row r="6528" spans="1:5" x14ac:dyDescent="0.25">
      <c r="A6528" t="s">
        <v>95</v>
      </c>
      <c r="B6528">
        <v>2005</v>
      </c>
      <c r="C6528" t="s">
        <v>57</v>
      </c>
      <c r="D6528">
        <v>20723483.259</v>
      </c>
      <c r="E6528" t="s">
        <v>98</v>
      </c>
    </row>
    <row r="6529" spans="1:5" x14ac:dyDescent="0.25">
      <c r="A6529" t="s">
        <v>95</v>
      </c>
      <c r="B6529">
        <v>2006</v>
      </c>
      <c r="C6529" t="s">
        <v>57</v>
      </c>
      <c r="D6529">
        <v>25103173.193999998</v>
      </c>
      <c r="E6529" t="s">
        <v>98</v>
      </c>
    </row>
    <row r="6530" spans="1:5" x14ac:dyDescent="0.25">
      <c r="A6530" t="s">
        <v>95</v>
      </c>
      <c r="B6530">
        <v>2007</v>
      </c>
      <c r="C6530" t="s">
        <v>57</v>
      </c>
      <c r="D6530">
        <v>26038484.177999999</v>
      </c>
      <c r="E6530" t="s">
        <v>98</v>
      </c>
    </row>
    <row r="6531" spans="1:5" x14ac:dyDescent="0.25">
      <c r="A6531" t="s">
        <v>95</v>
      </c>
      <c r="B6531">
        <v>2008</v>
      </c>
      <c r="C6531" t="s">
        <v>57</v>
      </c>
      <c r="D6531">
        <v>35022066.579000004</v>
      </c>
      <c r="E6531" t="s">
        <v>98</v>
      </c>
    </row>
    <row r="6532" spans="1:5" x14ac:dyDescent="0.25">
      <c r="A6532" t="s">
        <v>95</v>
      </c>
      <c r="B6532">
        <v>2009</v>
      </c>
      <c r="C6532" t="s">
        <v>57</v>
      </c>
      <c r="D6532">
        <v>27298178.464000002</v>
      </c>
      <c r="E6532" t="s">
        <v>98</v>
      </c>
    </row>
    <row r="6533" spans="1:5" x14ac:dyDescent="0.25">
      <c r="A6533" t="s">
        <v>95</v>
      </c>
      <c r="B6533">
        <v>2010</v>
      </c>
      <c r="C6533" t="s">
        <v>57</v>
      </c>
      <c r="D6533">
        <v>41644195.261</v>
      </c>
      <c r="E6533" t="s">
        <v>98</v>
      </c>
    </row>
    <row r="6534" spans="1:5" x14ac:dyDescent="0.25">
      <c r="A6534" t="s">
        <v>95</v>
      </c>
      <c r="B6534">
        <v>2011</v>
      </c>
      <c r="C6534" t="s">
        <v>57</v>
      </c>
      <c r="D6534">
        <v>53894813.210000001</v>
      </c>
      <c r="E6534" t="s">
        <v>98</v>
      </c>
    </row>
    <row r="6535" spans="1:5" x14ac:dyDescent="0.25">
      <c r="A6535" t="s">
        <v>95</v>
      </c>
      <c r="B6535">
        <v>2012</v>
      </c>
      <c r="C6535" t="s">
        <v>57</v>
      </c>
      <c r="D6535">
        <v>57745264.803000003</v>
      </c>
      <c r="E6535" t="s">
        <v>98</v>
      </c>
    </row>
    <row r="6536" spans="1:5" x14ac:dyDescent="0.25">
      <c r="A6536" t="s">
        <v>95</v>
      </c>
      <c r="B6536">
        <v>2013</v>
      </c>
      <c r="C6536" t="s">
        <v>57</v>
      </c>
      <c r="D6536">
        <v>88796870.459999993</v>
      </c>
      <c r="E6536" t="s">
        <v>98</v>
      </c>
    </row>
    <row r="6537" spans="1:5" x14ac:dyDescent="0.25">
      <c r="A6537" t="s">
        <v>95</v>
      </c>
      <c r="B6537">
        <v>2014</v>
      </c>
      <c r="C6537" t="s">
        <v>57</v>
      </c>
      <c r="D6537">
        <v>77868317.680000007</v>
      </c>
      <c r="E6537" t="s">
        <v>98</v>
      </c>
    </row>
    <row r="6538" spans="1:5" x14ac:dyDescent="0.25">
      <c r="A6538" t="s">
        <v>95</v>
      </c>
      <c r="B6538">
        <v>2015</v>
      </c>
      <c r="C6538" t="s">
        <v>57</v>
      </c>
      <c r="D6538">
        <v>72989226.497999996</v>
      </c>
      <c r="E6538" t="s">
        <v>98</v>
      </c>
    </row>
    <row r="6539" spans="1:5" x14ac:dyDescent="0.25">
      <c r="A6539" t="s">
        <v>95</v>
      </c>
      <c r="B6539">
        <v>2016</v>
      </c>
      <c r="C6539" t="s">
        <v>57</v>
      </c>
      <c r="D6539">
        <v>56660616.663999997</v>
      </c>
      <c r="E6539" t="s">
        <v>98</v>
      </c>
    </row>
    <row r="6540" spans="1:5" x14ac:dyDescent="0.25">
      <c r="A6540" t="s">
        <v>95</v>
      </c>
      <c r="B6540">
        <v>2017</v>
      </c>
      <c r="C6540" t="s">
        <v>57</v>
      </c>
      <c r="D6540">
        <v>80951256.424999997</v>
      </c>
      <c r="E6540" t="s">
        <v>98</v>
      </c>
    </row>
    <row r="6541" spans="1:5" x14ac:dyDescent="0.25">
      <c r="A6541" t="s">
        <v>95</v>
      </c>
      <c r="B6541">
        <v>2018</v>
      </c>
      <c r="C6541" t="s">
        <v>57</v>
      </c>
      <c r="D6541">
        <v>83941436.458000004</v>
      </c>
      <c r="E6541" t="s">
        <v>98</v>
      </c>
    </row>
    <row r="6542" spans="1:5" x14ac:dyDescent="0.25">
      <c r="A6542" t="s">
        <v>95</v>
      </c>
      <c r="B6542">
        <v>2019</v>
      </c>
      <c r="C6542" t="s">
        <v>57</v>
      </c>
      <c r="D6542">
        <v>86393812.559</v>
      </c>
      <c r="E6542" t="s">
        <v>98</v>
      </c>
    </row>
    <row r="6543" spans="1:5" x14ac:dyDescent="0.25">
      <c r="A6543" t="s">
        <v>95</v>
      </c>
      <c r="B6543">
        <v>2020</v>
      </c>
      <c r="C6543" t="s">
        <v>57</v>
      </c>
      <c r="D6543">
        <v>99370911.152999997</v>
      </c>
      <c r="E6543" t="s">
        <v>98</v>
      </c>
    </row>
    <row r="6544" spans="1:5" x14ac:dyDescent="0.25">
      <c r="A6544" t="s">
        <v>95</v>
      </c>
      <c r="B6544">
        <v>2021</v>
      </c>
      <c r="C6544" t="s">
        <v>57</v>
      </c>
      <c r="D6544">
        <v>87399238.873999998</v>
      </c>
      <c r="E6544" t="s">
        <v>98</v>
      </c>
    </row>
    <row r="6545" spans="1:5" x14ac:dyDescent="0.25">
      <c r="A6545" t="s">
        <v>95</v>
      </c>
      <c r="B6545">
        <v>2022</v>
      </c>
      <c r="C6545" t="s">
        <v>57</v>
      </c>
      <c r="D6545">
        <v>111575693.552</v>
      </c>
      <c r="E6545" t="s">
        <v>98</v>
      </c>
    </row>
    <row r="6546" spans="1:5" x14ac:dyDescent="0.25">
      <c r="A6546" t="s">
        <v>95</v>
      </c>
      <c r="B6546">
        <v>2023</v>
      </c>
      <c r="C6546" t="s">
        <v>57</v>
      </c>
      <c r="D6546">
        <v>111347168.43799999</v>
      </c>
      <c r="E6546" t="s">
        <v>98</v>
      </c>
    </row>
    <row r="6547" spans="1:5" x14ac:dyDescent="0.25">
      <c r="A6547" t="s">
        <v>95</v>
      </c>
      <c r="B6547">
        <v>2024</v>
      </c>
      <c r="C6547" t="s">
        <v>57</v>
      </c>
      <c r="D6547">
        <v>137709627.29899999</v>
      </c>
      <c r="E6547" t="s">
        <v>98</v>
      </c>
    </row>
    <row r="6548" spans="1:5" x14ac:dyDescent="0.25">
      <c r="A6548" t="s">
        <v>95</v>
      </c>
      <c r="B6548">
        <v>2025</v>
      </c>
      <c r="C6548" t="s">
        <v>57</v>
      </c>
      <c r="D6548">
        <v>131622540.09999999</v>
      </c>
      <c r="E6548" t="s">
        <v>98</v>
      </c>
    </row>
    <row r="6549" spans="1:5" x14ac:dyDescent="0.25">
      <c r="A6549" t="s">
        <v>12</v>
      </c>
      <c r="B6549">
        <v>2010</v>
      </c>
      <c r="C6549" t="s">
        <v>57</v>
      </c>
      <c r="D6549">
        <v>5227154.6880000001</v>
      </c>
      <c r="E6549" t="s">
        <v>98</v>
      </c>
    </row>
    <row r="6550" spans="1:5" x14ac:dyDescent="0.25">
      <c r="A6550" t="s">
        <v>12</v>
      </c>
      <c r="B6550">
        <v>2011</v>
      </c>
      <c r="C6550" t="s">
        <v>57</v>
      </c>
      <c r="D6550">
        <v>9652942.1909999996</v>
      </c>
      <c r="E6550" t="s">
        <v>98</v>
      </c>
    </row>
    <row r="6551" spans="1:5" x14ac:dyDescent="0.25">
      <c r="A6551" t="s">
        <v>12</v>
      </c>
      <c r="B6551">
        <v>2012</v>
      </c>
      <c r="C6551" t="s">
        <v>57</v>
      </c>
      <c r="D6551">
        <v>6040381.7130000005</v>
      </c>
      <c r="E6551" t="s">
        <v>98</v>
      </c>
    </row>
    <row r="6552" spans="1:5" x14ac:dyDescent="0.25">
      <c r="A6552" t="s">
        <v>12</v>
      </c>
      <c r="B6552">
        <v>2015</v>
      </c>
      <c r="C6552" t="s">
        <v>57</v>
      </c>
      <c r="D6552">
        <v>9556857.5250000004</v>
      </c>
      <c r="E6552" t="s">
        <v>98</v>
      </c>
    </row>
    <row r="6553" spans="1:5" x14ac:dyDescent="0.25">
      <c r="A6553" t="s">
        <v>12</v>
      </c>
      <c r="B6553">
        <v>2016</v>
      </c>
      <c r="C6553" t="s">
        <v>57</v>
      </c>
      <c r="D6553">
        <v>21751917.397999998</v>
      </c>
      <c r="E6553" t="s">
        <v>98</v>
      </c>
    </row>
    <row r="6554" spans="1:5" x14ac:dyDescent="0.25">
      <c r="A6554" t="s">
        <v>12</v>
      </c>
      <c r="B6554">
        <v>2017</v>
      </c>
      <c r="C6554" t="s">
        <v>57</v>
      </c>
      <c r="D6554">
        <v>22429661.048</v>
      </c>
      <c r="E6554" t="s">
        <v>98</v>
      </c>
    </row>
    <row r="6555" spans="1:5" x14ac:dyDescent="0.25">
      <c r="A6555" t="s">
        <v>12</v>
      </c>
      <c r="B6555">
        <v>2018</v>
      </c>
      <c r="C6555" t="s">
        <v>57</v>
      </c>
      <c r="D6555">
        <v>28245062.225000001</v>
      </c>
      <c r="E6555" t="s">
        <v>98</v>
      </c>
    </row>
    <row r="6556" spans="1:5" x14ac:dyDescent="0.25">
      <c r="A6556" t="s">
        <v>12</v>
      </c>
      <c r="B6556">
        <v>2019</v>
      </c>
      <c r="C6556" t="s">
        <v>57</v>
      </c>
      <c r="D6556">
        <v>27625788.545000002</v>
      </c>
      <c r="E6556" t="s">
        <v>98</v>
      </c>
    </row>
    <row r="6557" spans="1:5" x14ac:dyDescent="0.25">
      <c r="A6557" t="s">
        <v>12</v>
      </c>
      <c r="B6557">
        <v>2020</v>
      </c>
      <c r="C6557" t="s">
        <v>57</v>
      </c>
      <c r="D6557">
        <v>30621310.175000001</v>
      </c>
      <c r="E6557" t="s">
        <v>98</v>
      </c>
    </row>
    <row r="6558" spans="1:5" x14ac:dyDescent="0.25">
      <c r="A6558" t="s">
        <v>12</v>
      </c>
      <c r="B6558">
        <v>2021</v>
      </c>
      <c r="C6558" t="s">
        <v>57</v>
      </c>
      <c r="D6558">
        <v>26000270.631999999</v>
      </c>
      <c r="E6558" t="s">
        <v>98</v>
      </c>
    </row>
    <row r="6559" spans="1:5" x14ac:dyDescent="0.25">
      <c r="A6559" t="s">
        <v>12</v>
      </c>
      <c r="B6559">
        <v>2022</v>
      </c>
      <c r="C6559" t="s">
        <v>57</v>
      </c>
      <c r="D6559">
        <v>29800259.425999999</v>
      </c>
      <c r="E6559" t="s">
        <v>98</v>
      </c>
    </row>
    <row r="6560" spans="1:5" x14ac:dyDescent="0.25">
      <c r="A6560" t="s">
        <v>12</v>
      </c>
      <c r="B6560">
        <v>2023</v>
      </c>
      <c r="C6560" t="s">
        <v>57</v>
      </c>
      <c r="D6560">
        <v>33434411.252999999</v>
      </c>
      <c r="E6560" t="s">
        <v>98</v>
      </c>
    </row>
    <row r="6561" spans="1:5" x14ac:dyDescent="0.25">
      <c r="A6561" t="s">
        <v>12</v>
      </c>
      <c r="B6561">
        <v>2024</v>
      </c>
      <c r="C6561" t="s">
        <v>57</v>
      </c>
      <c r="D6561">
        <v>25165420.131000001</v>
      </c>
      <c r="E6561" t="s">
        <v>98</v>
      </c>
    </row>
    <row r="6562" spans="1:5" x14ac:dyDescent="0.25">
      <c r="A6562" t="s">
        <v>12</v>
      </c>
      <c r="B6562">
        <v>2025</v>
      </c>
      <c r="C6562" t="s">
        <v>57</v>
      </c>
      <c r="D6562">
        <v>11147306.518999999</v>
      </c>
      <c r="E6562" t="s">
        <v>98</v>
      </c>
    </row>
    <row r="6563" spans="1:5" x14ac:dyDescent="0.25">
      <c r="A6563" t="s">
        <v>13</v>
      </c>
      <c r="B6563">
        <v>2010</v>
      </c>
      <c r="C6563" t="s">
        <v>57</v>
      </c>
      <c r="D6563">
        <v>28272115.719999999</v>
      </c>
      <c r="E6563" t="s">
        <v>98</v>
      </c>
    </row>
    <row r="6564" spans="1:5" x14ac:dyDescent="0.25">
      <c r="A6564" t="s">
        <v>13</v>
      </c>
      <c r="B6564">
        <v>2014</v>
      </c>
      <c r="C6564" t="s">
        <v>57</v>
      </c>
      <c r="D6564">
        <v>154701909.62</v>
      </c>
      <c r="E6564" t="s">
        <v>98</v>
      </c>
    </row>
    <row r="6565" spans="1:5" x14ac:dyDescent="0.25">
      <c r="A6565" t="s">
        <v>13</v>
      </c>
      <c r="B6565">
        <v>2015</v>
      </c>
      <c r="C6565" t="s">
        <v>57</v>
      </c>
      <c r="D6565">
        <v>18030756.059999999</v>
      </c>
      <c r="E6565" t="s">
        <v>98</v>
      </c>
    </row>
    <row r="6566" spans="1:5" x14ac:dyDescent="0.25">
      <c r="A6566" t="s">
        <v>13</v>
      </c>
      <c r="B6566">
        <v>2016</v>
      </c>
      <c r="C6566" t="s">
        <v>57</v>
      </c>
      <c r="D6566">
        <v>124858316.20999999</v>
      </c>
      <c r="E6566" t="s">
        <v>98</v>
      </c>
    </row>
    <row r="6567" spans="1:5" x14ac:dyDescent="0.25">
      <c r="A6567" t="s">
        <v>13</v>
      </c>
      <c r="B6567">
        <v>2017</v>
      </c>
      <c r="C6567" t="s">
        <v>57</v>
      </c>
      <c r="D6567">
        <v>120291367.20999999</v>
      </c>
      <c r="E6567" t="s">
        <v>98</v>
      </c>
    </row>
    <row r="6568" spans="1:5" x14ac:dyDescent="0.25">
      <c r="A6568" t="s">
        <v>13</v>
      </c>
      <c r="B6568">
        <v>2018</v>
      </c>
      <c r="C6568" t="s">
        <v>57</v>
      </c>
      <c r="D6568">
        <v>157915545.11000001</v>
      </c>
      <c r="E6568" t="s">
        <v>98</v>
      </c>
    </row>
    <row r="6569" spans="1:5" x14ac:dyDescent="0.25">
      <c r="A6569" t="s">
        <v>13</v>
      </c>
      <c r="B6569">
        <v>2019</v>
      </c>
      <c r="C6569" t="s">
        <v>57</v>
      </c>
      <c r="D6569">
        <v>145572197.81999999</v>
      </c>
      <c r="E6569" t="s">
        <v>98</v>
      </c>
    </row>
    <row r="6570" spans="1:5" x14ac:dyDescent="0.25">
      <c r="A6570" t="s">
        <v>13</v>
      </c>
      <c r="B6570">
        <v>2020</v>
      </c>
      <c r="C6570" t="s">
        <v>57</v>
      </c>
      <c r="D6570">
        <v>197357755.31</v>
      </c>
      <c r="E6570" t="s">
        <v>98</v>
      </c>
    </row>
    <row r="6571" spans="1:5" x14ac:dyDescent="0.25">
      <c r="A6571" t="s">
        <v>13</v>
      </c>
      <c r="B6571">
        <v>2021</v>
      </c>
      <c r="C6571" t="s">
        <v>57</v>
      </c>
      <c r="D6571">
        <v>168783430.16999999</v>
      </c>
      <c r="E6571" t="s">
        <v>98</v>
      </c>
    </row>
    <row r="6572" spans="1:5" x14ac:dyDescent="0.25">
      <c r="A6572" t="s">
        <v>13</v>
      </c>
      <c r="B6572">
        <v>2022</v>
      </c>
      <c r="C6572" t="s">
        <v>57</v>
      </c>
      <c r="D6572">
        <v>165377846</v>
      </c>
      <c r="E6572" t="s">
        <v>98</v>
      </c>
    </row>
    <row r="6573" spans="1:5" x14ac:dyDescent="0.25">
      <c r="A6573" t="s">
        <v>13</v>
      </c>
      <c r="B6573">
        <v>2023</v>
      </c>
      <c r="C6573" t="s">
        <v>57</v>
      </c>
      <c r="D6573">
        <v>152610133.11000001</v>
      </c>
      <c r="E6573" t="s">
        <v>98</v>
      </c>
    </row>
    <row r="6574" spans="1:5" x14ac:dyDescent="0.25">
      <c r="A6574" t="s">
        <v>13</v>
      </c>
      <c r="B6574">
        <v>2024</v>
      </c>
      <c r="C6574" t="s">
        <v>57</v>
      </c>
      <c r="D6574">
        <v>33288259.210000001</v>
      </c>
      <c r="E6574" t="s">
        <v>98</v>
      </c>
    </row>
    <row r="6575" spans="1:5" x14ac:dyDescent="0.25">
      <c r="A6575" t="s">
        <v>13</v>
      </c>
      <c r="B6575">
        <v>2025</v>
      </c>
      <c r="C6575" t="s">
        <v>57</v>
      </c>
      <c r="D6575">
        <v>107996658.16</v>
      </c>
      <c r="E6575" t="s">
        <v>98</v>
      </c>
    </row>
    <row r="6576" spans="1:5" x14ac:dyDescent="0.25">
      <c r="A6576" t="s">
        <v>94</v>
      </c>
      <c r="B6576">
        <v>2018</v>
      </c>
      <c r="C6576" t="s">
        <v>57</v>
      </c>
      <c r="D6576">
        <v>6493539.5700000003</v>
      </c>
      <c r="E6576" t="s">
        <v>98</v>
      </c>
    </row>
    <row r="6577" spans="1:5" x14ac:dyDescent="0.25">
      <c r="A6577" t="s">
        <v>94</v>
      </c>
      <c r="B6577">
        <v>2020</v>
      </c>
      <c r="C6577" t="s">
        <v>57</v>
      </c>
      <c r="D6577">
        <v>9066123.8800000008</v>
      </c>
      <c r="E6577" t="s">
        <v>98</v>
      </c>
    </row>
    <row r="6578" spans="1:5" x14ac:dyDescent="0.25">
      <c r="A6578" t="s">
        <v>14</v>
      </c>
      <c r="B6578">
        <v>2010</v>
      </c>
      <c r="C6578" t="s">
        <v>57</v>
      </c>
      <c r="D6578">
        <v>11768856</v>
      </c>
      <c r="E6578" t="s">
        <v>98</v>
      </c>
    </row>
    <row r="6579" spans="1:5" x14ac:dyDescent="0.25">
      <c r="A6579" t="s">
        <v>14</v>
      </c>
      <c r="B6579">
        <v>2011</v>
      </c>
      <c r="C6579" t="s">
        <v>57</v>
      </c>
      <c r="D6579">
        <v>12275485</v>
      </c>
      <c r="E6579" t="s">
        <v>98</v>
      </c>
    </row>
    <row r="6580" spans="1:5" x14ac:dyDescent="0.25">
      <c r="A6580" t="s">
        <v>14</v>
      </c>
      <c r="B6580">
        <v>2012</v>
      </c>
      <c r="C6580" t="s">
        <v>57</v>
      </c>
      <c r="D6580">
        <v>11554301</v>
      </c>
      <c r="E6580" t="s">
        <v>98</v>
      </c>
    </row>
    <row r="6581" spans="1:5" x14ac:dyDescent="0.25">
      <c r="A6581" t="s">
        <v>14</v>
      </c>
      <c r="B6581">
        <v>2013</v>
      </c>
      <c r="C6581" t="s">
        <v>57</v>
      </c>
      <c r="D6581">
        <v>12287747</v>
      </c>
      <c r="E6581" t="s">
        <v>98</v>
      </c>
    </row>
    <row r="6582" spans="1:5" x14ac:dyDescent="0.25">
      <c r="A6582" t="s">
        <v>14</v>
      </c>
      <c r="B6582">
        <v>2014</v>
      </c>
      <c r="C6582" t="s">
        <v>57</v>
      </c>
      <c r="D6582">
        <v>14842024</v>
      </c>
      <c r="E6582" t="s">
        <v>98</v>
      </c>
    </row>
    <row r="6583" spans="1:5" x14ac:dyDescent="0.25">
      <c r="A6583" t="s">
        <v>14</v>
      </c>
      <c r="B6583">
        <v>2015</v>
      </c>
      <c r="C6583" t="s">
        <v>57</v>
      </c>
      <c r="D6583">
        <v>11791776</v>
      </c>
      <c r="E6583" t="s">
        <v>98</v>
      </c>
    </row>
    <row r="6584" spans="1:5" x14ac:dyDescent="0.25">
      <c r="A6584" t="s">
        <v>14</v>
      </c>
      <c r="B6584">
        <v>2016</v>
      </c>
      <c r="C6584" t="s">
        <v>57</v>
      </c>
      <c r="D6584">
        <v>10414470</v>
      </c>
      <c r="E6584" t="s">
        <v>98</v>
      </c>
    </row>
    <row r="6585" spans="1:5" x14ac:dyDescent="0.25">
      <c r="A6585" t="s">
        <v>14</v>
      </c>
      <c r="B6585">
        <v>2017</v>
      </c>
      <c r="C6585" t="s">
        <v>57</v>
      </c>
      <c r="D6585">
        <v>14599320</v>
      </c>
      <c r="E6585" t="s">
        <v>98</v>
      </c>
    </row>
    <row r="6586" spans="1:5" x14ac:dyDescent="0.25">
      <c r="A6586" t="s">
        <v>14</v>
      </c>
      <c r="B6586">
        <v>2018</v>
      </c>
      <c r="C6586" t="s">
        <v>57</v>
      </c>
      <c r="D6586">
        <v>19369988</v>
      </c>
      <c r="E6586" t="s">
        <v>98</v>
      </c>
    </row>
    <row r="6587" spans="1:5" x14ac:dyDescent="0.25">
      <c r="A6587" t="s">
        <v>14</v>
      </c>
      <c r="B6587">
        <v>2019</v>
      </c>
      <c r="C6587" t="s">
        <v>57</v>
      </c>
      <c r="D6587">
        <v>22242340</v>
      </c>
      <c r="E6587" t="s">
        <v>98</v>
      </c>
    </row>
    <row r="6588" spans="1:5" x14ac:dyDescent="0.25">
      <c r="A6588" t="s">
        <v>14</v>
      </c>
      <c r="B6588">
        <v>2020</v>
      </c>
      <c r="C6588" t="s">
        <v>57</v>
      </c>
      <c r="D6588">
        <v>21663567</v>
      </c>
      <c r="E6588" t="s">
        <v>98</v>
      </c>
    </row>
    <row r="6589" spans="1:5" x14ac:dyDescent="0.25">
      <c r="A6589" t="s">
        <v>14</v>
      </c>
      <c r="B6589">
        <v>2021</v>
      </c>
      <c r="C6589" t="s">
        <v>57</v>
      </c>
      <c r="D6589">
        <v>23345000</v>
      </c>
      <c r="E6589" t="s">
        <v>98</v>
      </c>
    </row>
    <row r="6590" spans="1:5" x14ac:dyDescent="0.25">
      <c r="A6590" t="s">
        <v>14</v>
      </c>
      <c r="B6590">
        <v>2022</v>
      </c>
      <c r="C6590" t="s">
        <v>57</v>
      </c>
      <c r="D6590">
        <v>21499418</v>
      </c>
      <c r="E6590" t="s">
        <v>98</v>
      </c>
    </row>
    <row r="6591" spans="1:5" x14ac:dyDescent="0.25">
      <c r="A6591" t="s">
        <v>14</v>
      </c>
      <c r="B6591">
        <v>2023</v>
      </c>
      <c r="C6591" t="s">
        <v>57</v>
      </c>
      <c r="D6591">
        <v>25864396</v>
      </c>
      <c r="E6591" t="s">
        <v>98</v>
      </c>
    </row>
    <row r="6592" spans="1:5" x14ac:dyDescent="0.25">
      <c r="A6592" t="s">
        <v>14</v>
      </c>
      <c r="B6592">
        <v>2024</v>
      </c>
      <c r="C6592" t="s">
        <v>57</v>
      </c>
      <c r="D6592">
        <v>32997466</v>
      </c>
      <c r="E6592" t="s">
        <v>98</v>
      </c>
    </row>
    <row r="6593" spans="1:5" x14ac:dyDescent="0.25">
      <c r="A6593" t="s">
        <v>14</v>
      </c>
      <c r="B6593">
        <v>2025</v>
      </c>
      <c r="C6593" t="s">
        <v>57</v>
      </c>
      <c r="D6593">
        <v>27967070</v>
      </c>
      <c r="E6593" t="s">
        <v>98</v>
      </c>
    </row>
    <row r="6594" spans="1:5" x14ac:dyDescent="0.25">
      <c r="A6594" t="s">
        <v>119</v>
      </c>
      <c r="B6594">
        <v>2010</v>
      </c>
      <c r="C6594" t="s">
        <v>57</v>
      </c>
      <c r="D6594">
        <v>8325990.8720000004</v>
      </c>
      <c r="E6594" t="s">
        <v>98</v>
      </c>
    </row>
    <row r="6595" spans="1:5" x14ac:dyDescent="0.25">
      <c r="A6595" t="s">
        <v>119</v>
      </c>
      <c r="B6595">
        <v>2011</v>
      </c>
      <c r="C6595" t="s">
        <v>57</v>
      </c>
      <c r="D6595">
        <v>8401794.4700000007</v>
      </c>
      <c r="E6595" t="s">
        <v>98</v>
      </c>
    </row>
    <row r="6596" spans="1:5" x14ac:dyDescent="0.25">
      <c r="A6596" t="s">
        <v>119</v>
      </c>
      <c r="B6596">
        <v>2012</v>
      </c>
      <c r="C6596" t="s">
        <v>57</v>
      </c>
      <c r="D6596">
        <v>8198521.4129999997</v>
      </c>
      <c r="E6596" t="s">
        <v>98</v>
      </c>
    </row>
    <row r="6597" spans="1:5" x14ac:dyDescent="0.25">
      <c r="A6597" t="s">
        <v>119</v>
      </c>
      <c r="B6597">
        <v>2013</v>
      </c>
      <c r="C6597" t="s">
        <v>57</v>
      </c>
      <c r="D6597">
        <v>11093106.878</v>
      </c>
      <c r="E6597" t="s">
        <v>98</v>
      </c>
    </row>
    <row r="6598" spans="1:5" x14ac:dyDescent="0.25">
      <c r="A6598" t="s">
        <v>119</v>
      </c>
      <c r="B6598">
        <v>2014</v>
      </c>
      <c r="C6598" t="s">
        <v>57</v>
      </c>
      <c r="D6598">
        <v>10058667.163000001</v>
      </c>
      <c r="E6598" t="s">
        <v>98</v>
      </c>
    </row>
    <row r="6599" spans="1:5" x14ac:dyDescent="0.25">
      <c r="A6599" t="s">
        <v>119</v>
      </c>
      <c r="B6599">
        <v>2015</v>
      </c>
      <c r="C6599" t="s">
        <v>57</v>
      </c>
      <c r="D6599">
        <v>7823547.557</v>
      </c>
      <c r="E6599" t="s">
        <v>98</v>
      </c>
    </row>
    <row r="6600" spans="1:5" x14ac:dyDescent="0.25">
      <c r="A6600" t="s">
        <v>119</v>
      </c>
      <c r="B6600">
        <v>2016</v>
      </c>
      <c r="C6600" t="s">
        <v>57</v>
      </c>
      <c r="D6600">
        <v>7813996.5109999999</v>
      </c>
      <c r="E6600" t="s">
        <v>98</v>
      </c>
    </row>
    <row r="6601" spans="1:5" x14ac:dyDescent="0.25">
      <c r="A6601" t="s">
        <v>119</v>
      </c>
      <c r="B6601">
        <v>2017</v>
      </c>
      <c r="C6601" t="s">
        <v>57</v>
      </c>
      <c r="D6601">
        <v>8555391.2899999991</v>
      </c>
      <c r="E6601" t="s">
        <v>98</v>
      </c>
    </row>
    <row r="6602" spans="1:5" x14ac:dyDescent="0.25">
      <c r="A6602" t="s">
        <v>119</v>
      </c>
      <c r="B6602">
        <v>2018</v>
      </c>
      <c r="C6602" t="s">
        <v>57</v>
      </c>
      <c r="D6602">
        <v>10830690.952</v>
      </c>
      <c r="E6602" t="s">
        <v>98</v>
      </c>
    </row>
    <row r="6603" spans="1:5" x14ac:dyDescent="0.25">
      <c r="A6603" t="s">
        <v>119</v>
      </c>
      <c r="B6603">
        <v>2019</v>
      </c>
      <c r="C6603" t="s">
        <v>57</v>
      </c>
      <c r="D6603">
        <v>9097441.977</v>
      </c>
      <c r="E6603" t="s">
        <v>98</v>
      </c>
    </row>
    <row r="6604" spans="1:5" x14ac:dyDescent="0.25">
      <c r="A6604" t="s">
        <v>119</v>
      </c>
      <c r="B6604">
        <v>2020</v>
      </c>
      <c r="C6604" t="s">
        <v>57</v>
      </c>
      <c r="D6604">
        <v>8524031.6980000008</v>
      </c>
      <c r="E6604" t="s">
        <v>98</v>
      </c>
    </row>
    <row r="6605" spans="1:5" x14ac:dyDescent="0.25">
      <c r="A6605" t="s">
        <v>119</v>
      </c>
      <c r="B6605">
        <v>2021</v>
      </c>
      <c r="C6605" t="s">
        <v>57</v>
      </c>
      <c r="D6605">
        <v>6302850.8289999999</v>
      </c>
      <c r="E6605" t="s">
        <v>98</v>
      </c>
    </row>
    <row r="6606" spans="1:5" x14ac:dyDescent="0.25">
      <c r="A6606" t="s">
        <v>119</v>
      </c>
      <c r="B6606">
        <v>2022</v>
      </c>
      <c r="C6606" t="s">
        <v>57</v>
      </c>
      <c r="D6606">
        <v>8775616.5260000005</v>
      </c>
      <c r="E6606" t="s">
        <v>98</v>
      </c>
    </row>
    <row r="6607" spans="1:5" x14ac:dyDescent="0.25">
      <c r="A6607" t="s">
        <v>119</v>
      </c>
      <c r="B6607">
        <v>2023</v>
      </c>
      <c r="C6607" t="s">
        <v>57</v>
      </c>
      <c r="D6607">
        <v>10333528.291999999</v>
      </c>
      <c r="E6607" t="s">
        <v>98</v>
      </c>
    </row>
    <row r="6608" spans="1:5" x14ac:dyDescent="0.25">
      <c r="A6608" t="s">
        <v>119</v>
      </c>
      <c r="B6608">
        <v>2024</v>
      </c>
      <c r="C6608" t="s">
        <v>57</v>
      </c>
      <c r="D6608">
        <v>12322386.762</v>
      </c>
      <c r="E6608" t="s">
        <v>98</v>
      </c>
    </row>
    <row r="6609" spans="1:5" x14ac:dyDescent="0.25">
      <c r="A6609" t="s">
        <v>15</v>
      </c>
      <c r="B6609">
        <v>2010</v>
      </c>
      <c r="C6609" t="s">
        <v>57</v>
      </c>
      <c r="D6609">
        <v>12313097.976</v>
      </c>
      <c r="E6609" t="s">
        <v>98</v>
      </c>
    </row>
    <row r="6610" spans="1:5" x14ac:dyDescent="0.25">
      <c r="A6610" t="s">
        <v>15</v>
      </c>
      <c r="B6610">
        <v>2011</v>
      </c>
      <c r="C6610" t="s">
        <v>57</v>
      </c>
      <c r="D6610">
        <v>17223711.723999999</v>
      </c>
      <c r="E6610" t="s">
        <v>98</v>
      </c>
    </row>
    <row r="6611" spans="1:5" x14ac:dyDescent="0.25">
      <c r="A6611" t="s">
        <v>15</v>
      </c>
      <c r="B6611">
        <v>2012</v>
      </c>
      <c r="C6611" t="s">
        <v>57</v>
      </c>
      <c r="D6611">
        <v>21137019.179000001</v>
      </c>
      <c r="E6611" t="s">
        <v>98</v>
      </c>
    </row>
    <row r="6612" spans="1:5" x14ac:dyDescent="0.25">
      <c r="A6612" t="s">
        <v>15</v>
      </c>
      <c r="B6612">
        <v>2013</v>
      </c>
      <c r="C6612" t="s">
        <v>57</v>
      </c>
      <c r="D6612">
        <v>21629699</v>
      </c>
      <c r="E6612" t="s">
        <v>98</v>
      </c>
    </row>
    <row r="6613" spans="1:5" x14ac:dyDescent="0.25">
      <c r="A6613" t="s">
        <v>15</v>
      </c>
      <c r="B6613">
        <v>2014</v>
      </c>
      <c r="C6613" t="s">
        <v>57</v>
      </c>
      <c r="D6613">
        <v>30026251</v>
      </c>
      <c r="E6613" t="s">
        <v>98</v>
      </c>
    </row>
    <row r="6614" spans="1:5" x14ac:dyDescent="0.25">
      <c r="A6614" t="s">
        <v>15</v>
      </c>
      <c r="B6614">
        <v>2015</v>
      </c>
      <c r="C6614" t="s">
        <v>57</v>
      </c>
      <c r="D6614">
        <v>25748389</v>
      </c>
      <c r="E6614" t="s">
        <v>98</v>
      </c>
    </row>
    <row r="6615" spans="1:5" x14ac:dyDescent="0.25">
      <c r="A6615" t="s">
        <v>15</v>
      </c>
      <c r="B6615">
        <v>2016</v>
      </c>
      <c r="C6615" t="s">
        <v>57</v>
      </c>
      <c r="D6615">
        <v>27636379</v>
      </c>
      <c r="E6615" t="s">
        <v>98</v>
      </c>
    </row>
    <row r="6616" spans="1:5" x14ac:dyDescent="0.25">
      <c r="A6616" t="s">
        <v>15</v>
      </c>
      <c r="B6616">
        <v>2017</v>
      </c>
      <c r="C6616" t="s">
        <v>57</v>
      </c>
      <c r="D6616">
        <v>33259299</v>
      </c>
      <c r="E6616" t="s">
        <v>98</v>
      </c>
    </row>
    <row r="6617" spans="1:5" x14ac:dyDescent="0.25">
      <c r="A6617" t="s">
        <v>15</v>
      </c>
      <c r="B6617">
        <v>2018</v>
      </c>
      <c r="C6617" t="s">
        <v>57</v>
      </c>
      <c r="D6617">
        <v>44668604</v>
      </c>
      <c r="E6617" t="s">
        <v>98</v>
      </c>
    </row>
    <row r="6618" spans="1:5" x14ac:dyDescent="0.25">
      <c r="A6618" t="s">
        <v>15</v>
      </c>
      <c r="B6618">
        <v>2019</v>
      </c>
      <c r="C6618" t="s">
        <v>57</v>
      </c>
      <c r="D6618">
        <v>44335220</v>
      </c>
      <c r="E6618" t="s">
        <v>98</v>
      </c>
    </row>
    <row r="6619" spans="1:5" x14ac:dyDescent="0.25">
      <c r="A6619" t="s">
        <v>15</v>
      </c>
      <c r="B6619">
        <v>2020</v>
      </c>
      <c r="C6619" t="s">
        <v>57</v>
      </c>
      <c r="D6619">
        <v>44022043</v>
      </c>
      <c r="E6619" t="s">
        <v>98</v>
      </c>
    </row>
    <row r="6620" spans="1:5" x14ac:dyDescent="0.25">
      <c r="A6620" t="s">
        <v>15</v>
      </c>
      <c r="B6620">
        <v>2021</v>
      </c>
      <c r="C6620" t="s">
        <v>57</v>
      </c>
      <c r="D6620">
        <v>45950571</v>
      </c>
      <c r="E6620" t="s">
        <v>98</v>
      </c>
    </row>
    <row r="6621" spans="1:5" x14ac:dyDescent="0.25">
      <c r="A6621" t="s">
        <v>15</v>
      </c>
      <c r="B6621">
        <v>2022</v>
      </c>
      <c r="C6621" t="s">
        <v>57</v>
      </c>
      <c r="D6621">
        <v>46518373</v>
      </c>
      <c r="E6621" t="s">
        <v>98</v>
      </c>
    </row>
    <row r="6622" spans="1:5" x14ac:dyDescent="0.25">
      <c r="A6622" t="s">
        <v>15</v>
      </c>
      <c r="B6622">
        <v>2023</v>
      </c>
      <c r="C6622" t="s">
        <v>57</v>
      </c>
      <c r="D6622">
        <v>53391564</v>
      </c>
      <c r="E6622" t="s">
        <v>98</v>
      </c>
    </row>
    <row r="6623" spans="1:5" x14ac:dyDescent="0.25">
      <c r="A6623" t="s">
        <v>15</v>
      </c>
      <c r="B6623">
        <v>2024</v>
      </c>
      <c r="C6623" t="s">
        <v>57</v>
      </c>
      <c r="D6623">
        <v>59206094</v>
      </c>
      <c r="E6623" t="s">
        <v>98</v>
      </c>
    </row>
    <row r="6624" spans="1:5" x14ac:dyDescent="0.25">
      <c r="A6624" t="s">
        <v>15</v>
      </c>
      <c r="B6624">
        <v>2025</v>
      </c>
      <c r="C6624" t="s">
        <v>57</v>
      </c>
      <c r="D6624">
        <v>64202726</v>
      </c>
      <c r="E6624" t="s">
        <v>98</v>
      </c>
    </row>
    <row r="6625" spans="1:5" x14ac:dyDescent="0.25">
      <c r="A6625" t="s">
        <v>77</v>
      </c>
      <c r="B6625">
        <v>2010</v>
      </c>
      <c r="C6625" t="s">
        <v>57</v>
      </c>
      <c r="D6625">
        <v>30740638.131999999</v>
      </c>
      <c r="E6625" t="s">
        <v>98</v>
      </c>
    </row>
    <row r="6626" spans="1:5" x14ac:dyDescent="0.25">
      <c r="A6626" t="s">
        <v>77</v>
      </c>
      <c r="B6626">
        <v>2011</v>
      </c>
      <c r="C6626" t="s">
        <v>57</v>
      </c>
      <c r="D6626">
        <v>37470847.898000002</v>
      </c>
      <c r="E6626" t="s">
        <v>98</v>
      </c>
    </row>
    <row r="6627" spans="1:5" x14ac:dyDescent="0.25">
      <c r="A6627" t="s">
        <v>77</v>
      </c>
      <c r="B6627">
        <v>2012</v>
      </c>
      <c r="C6627" t="s">
        <v>57</v>
      </c>
      <c r="D6627">
        <v>36058691.138999999</v>
      </c>
      <c r="E6627" t="s">
        <v>98</v>
      </c>
    </row>
    <row r="6628" spans="1:5" x14ac:dyDescent="0.25">
      <c r="A6628" t="s">
        <v>77</v>
      </c>
      <c r="B6628">
        <v>2013</v>
      </c>
      <c r="C6628" t="s">
        <v>57</v>
      </c>
      <c r="D6628">
        <v>60741789.509000003</v>
      </c>
      <c r="E6628" t="s">
        <v>98</v>
      </c>
    </row>
    <row r="6629" spans="1:5" x14ac:dyDescent="0.25">
      <c r="A6629" t="s">
        <v>77</v>
      </c>
      <c r="B6629">
        <v>2014</v>
      </c>
      <c r="C6629" t="s">
        <v>57</v>
      </c>
      <c r="D6629">
        <v>43749404.627999999</v>
      </c>
      <c r="E6629" t="s">
        <v>98</v>
      </c>
    </row>
    <row r="6630" spans="1:5" x14ac:dyDescent="0.25">
      <c r="A6630" t="s">
        <v>77</v>
      </c>
      <c r="B6630">
        <v>2015</v>
      </c>
      <c r="C6630" t="s">
        <v>57</v>
      </c>
      <c r="D6630">
        <v>31856670.324000001</v>
      </c>
      <c r="E6630" t="s">
        <v>98</v>
      </c>
    </row>
    <row r="6631" spans="1:5" x14ac:dyDescent="0.25">
      <c r="A6631" t="s">
        <v>77</v>
      </c>
      <c r="B6631">
        <v>2016</v>
      </c>
      <c r="C6631" t="s">
        <v>57</v>
      </c>
      <c r="D6631">
        <v>36697191.604999997</v>
      </c>
      <c r="E6631" t="s">
        <v>98</v>
      </c>
    </row>
    <row r="6632" spans="1:5" x14ac:dyDescent="0.25">
      <c r="A6632" t="s">
        <v>77</v>
      </c>
      <c r="B6632">
        <v>2017</v>
      </c>
      <c r="C6632" t="s">
        <v>57</v>
      </c>
      <c r="D6632">
        <v>41109135.612999998</v>
      </c>
      <c r="E6632" t="s">
        <v>98</v>
      </c>
    </row>
    <row r="6633" spans="1:5" x14ac:dyDescent="0.25">
      <c r="A6633" t="s">
        <v>77</v>
      </c>
      <c r="B6633">
        <v>2018</v>
      </c>
      <c r="C6633" t="s">
        <v>57</v>
      </c>
      <c r="D6633">
        <v>39450383.762000002</v>
      </c>
      <c r="E6633" t="s">
        <v>98</v>
      </c>
    </row>
    <row r="6634" spans="1:5" x14ac:dyDescent="0.25">
      <c r="A6634" t="s">
        <v>77</v>
      </c>
      <c r="B6634">
        <v>2019</v>
      </c>
      <c r="C6634" t="s">
        <v>57</v>
      </c>
      <c r="D6634">
        <v>33631458.539999999</v>
      </c>
      <c r="E6634" t="s">
        <v>98</v>
      </c>
    </row>
    <row r="6635" spans="1:5" x14ac:dyDescent="0.25">
      <c r="A6635" t="s">
        <v>77</v>
      </c>
      <c r="B6635">
        <v>2020</v>
      </c>
      <c r="C6635" t="s">
        <v>57</v>
      </c>
      <c r="D6635">
        <v>32673642.513</v>
      </c>
      <c r="E6635" t="s">
        <v>98</v>
      </c>
    </row>
    <row r="6636" spans="1:5" x14ac:dyDescent="0.25">
      <c r="A6636" t="s">
        <v>77</v>
      </c>
      <c r="B6636">
        <v>2021</v>
      </c>
      <c r="C6636" t="s">
        <v>57</v>
      </c>
      <c r="D6636">
        <v>32120950.679000001</v>
      </c>
      <c r="E6636" t="s">
        <v>98</v>
      </c>
    </row>
    <row r="6637" spans="1:5" x14ac:dyDescent="0.25">
      <c r="A6637" t="s">
        <v>77</v>
      </c>
      <c r="B6637">
        <v>2022</v>
      </c>
      <c r="C6637" t="s">
        <v>57</v>
      </c>
      <c r="D6637">
        <v>31855267.306000002</v>
      </c>
      <c r="E6637" t="s">
        <v>98</v>
      </c>
    </row>
    <row r="6638" spans="1:5" x14ac:dyDescent="0.25">
      <c r="A6638" t="s">
        <v>77</v>
      </c>
      <c r="B6638">
        <v>2023</v>
      </c>
      <c r="C6638" t="s">
        <v>57</v>
      </c>
      <c r="D6638">
        <v>37750376.931999996</v>
      </c>
      <c r="E6638" t="s">
        <v>98</v>
      </c>
    </row>
    <row r="6639" spans="1:5" x14ac:dyDescent="0.25">
      <c r="A6639" t="s">
        <v>77</v>
      </c>
      <c r="B6639">
        <v>2024</v>
      </c>
      <c r="C6639" t="s">
        <v>57</v>
      </c>
      <c r="D6639">
        <v>45528322.748999998</v>
      </c>
      <c r="E6639" t="s">
        <v>98</v>
      </c>
    </row>
    <row r="6640" spans="1:5" x14ac:dyDescent="0.25">
      <c r="A6640" t="s">
        <v>77</v>
      </c>
      <c r="B6640">
        <v>2025</v>
      </c>
      <c r="C6640" t="s">
        <v>57</v>
      </c>
      <c r="D6640">
        <v>40523249.126999997</v>
      </c>
      <c r="E6640" t="s">
        <v>98</v>
      </c>
    </row>
    <row r="6641" spans="1:5" x14ac:dyDescent="0.25">
      <c r="A6641" t="s">
        <v>118</v>
      </c>
      <c r="B6641">
        <v>2002</v>
      </c>
      <c r="C6641" t="s">
        <v>57</v>
      </c>
      <c r="D6641">
        <v>6663352.0070000002</v>
      </c>
      <c r="E6641" t="s">
        <v>98</v>
      </c>
    </row>
    <row r="6642" spans="1:5" x14ac:dyDescent="0.25">
      <c r="A6642" t="s">
        <v>118</v>
      </c>
      <c r="B6642">
        <v>2003</v>
      </c>
      <c r="C6642" t="s">
        <v>57</v>
      </c>
      <c r="D6642">
        <v>4165425.5639999998</v>
      </c>
      <c r="E6642" t="s">
        <v>98</v>
      </c>
    </row>
    <row r="6643" spans="1:5" x14ac:dyDescent="0.25">
      <c r="A6643" t="s">
        <v>118</v>
      </c>
      <c r="B6643">
        <v>2004</v>
      </c>
      <c r="C6643" t="s">
        <v>57</v>
      </c>
      <c r="D6643">
        <v>3740405.65</v>
      </c>
      <c r="E6643" t="s">
        <v>98</v>
      </c>
    </row>
    <row r="6644" spans="1:5" x14ac:dyDescent="0.25">
      <c r="A6644" t="s">
        <v>118</v>
      </c>
      <c r="B6644">
        <v>2005</v>
      </c>
      <c r="C6644" t="s">
        <v>57</v>
      </c>
      <c r="D6644">
        <v>4774052.47</v>
      </c>
      <c r="E6644" t="s">
        <v>98</v>
      </c>
    </row>
    <row r="6645" spans="1:5" x14ac:dyDescent="0.25">
      <c r="A6645" t="s">
        <v>118</v>
      </c>
      <c r="B6645">
        <v>2006</v>
      </c>
      <c r="C6645" t="s">
        <v>57</v>
      </c>
      <c r="D6645">
        <v>6819588.7319999998</v>
      </c>
      <c r="E6645" t="s">
        <v>98</v>
      </c>
    </row>
    <row r="6646" spans="1:5" x14ac:dyDescent="0.25">
      <c r="A6646" t="s">
        <v>118</v>
      </c>
      <c r="B6646">
        <v>2007</v>
      </c>
      <c r="C6646" t="s">
        <v>57</v>
      </c>
      <c r="D6646">
        <v>7734631.7300000004</v>
      </c>
      <c r="E6646" t="s">
        <v>98</v>
      </c>
    </row>
    <row r="6647" spans="1:5" x14ac:dyDescent="0.25">
      <c r="A6647" t="s">
        <v>118</v>
      </c>
      <c r="B6647">
        <v>2008</v>
      </c>
      <c r="C6647" t="s">
        <v>57</v>
      </c>
      <c r="D6647">
        <v>10373669.09</v>
      </c>
      <c r="E6647" t="s">
        <v>98</v>
      </c>
    </row>
    <row r="6648" spans="1:5" x14ac:dyDescent="0.25">
      <c r="A6648" t="s">
        <v>118</v>
      </c>
      <c r="B6648">
        <v>2009</v>
      </c>
      <c r="C6648" t="s">
        <v>57</v>
      </c>
      <c r="D6648">
        <v>9593724.568</v>
      </c>
      <c r="E6648" t="s">
        <v>98</v>
      </c>
    </row>
    <row r="6649" spans="1:5" x14ac:dyDescent="0.25">
      <c r="A6649" t="s">
        <v>118</v>
      </c>
      <c r="B6649">
        <v>2014</v>
      </c>
      <c r="C6649" t="s">
        <v>57</v>
      </c>
      <c r="D6649">
        <v>12288077.335000001</v>
      </c>
      <c r="E6649" t="s">
        <v>98</v>
      </c>
    </row>
    <row r="6650" spans="1:5" x14ac:dyDescent="0.25">
      <c r="A6650" t="s">
        <v>118</v>
      </c>
      <c r="B6650">
        <v>2015</v>
      </c>
      <c r="C6650" t="s">
        <v>57</v>
      </c>
      <c r="D6650">
        <v>13055921.666999999</v>
      </c>
      <c r="E6650" t="s">
        <v>98</v>
      </c>
    </row>
    <row r="6651" spans="1:5" x14ac:dyDescent="0.25">
      <c r="A6651" t="s">
        <v>118</v>
      </c>
      <c r="B6651">
        <v>2016</v>
      </c>
      <c r="C6651" t="s">
        <v>57</v>
      </c>
      <c r="D6651">
        <v>13763819.802999999</v>
      </c>
      <c r="E6651" t="s">
        <v>98</v>
      </c>
    </row>
    <row r="6652" spans="1:5" x14ac:dyDescent="0.25">
      <c r="A6652" t="s">
        <v>118</v>
      </c>
      <c r="B6652">
        <v>2017</v>
      </c>
      <c r="C6652" t="s">
        <v>57</v>
      </c>
      <c r="D6652">
        <v>17041042.287</v>
      </c>
      <c r="E6652" t="s">
        <v>98</v>
      </c>
    </row>
    <row r="6653" spans="1:5" x14ac:dyDescent="0.25">
      <c r="A6653" t="s">
        <v>118</v>
      </c>
      <c r="B6653">
        <v>2018</v>
      </c>
      <c r="C6653" t="s">
        <v>57</v>
      </c>
      <c r="D6653">
        <v>19884026.612</v>
      </c>
      <c r="E6653" t="s">
        <v>98</v>
      </c>
    </row>
    <row r="6654" spans="1:5" x14ac:dyDescent="0.25">
      <c r="A6654" t="s">
        <v>118</v>
      </c>
      <c r="B6654">
        <v>2019</v>
      </c>
      <c r="C6654" t="s">
        <v>57</v>
      </c>
      <c r="D6654">
        <v>19564802.408</v>
      </c>
      <c r="E6654" t="s">
        <v>98</v>
      </c>
    </row>
    <row r="6655" spans="1:5" x14ac:dyDescent="0.25">
      <c r="A6655" t="s">
        <v>118</v>
      </c>
      <c r="B6655">
        <v>2020</v>
      </c>
      <c r="C6655" t="s">
        <v>57</v>
      </c>
      <c r="D6655">
        <v>25631466.135000002</v>
      </c>
      <c r="E6655" t="s">
        <v>98</v>
      </c>
    </row>
    <row r="6656" spans="1:5" x14ac:dyDescent="0.25">
      <c r="A6656" t="s">
        <v>118</v>
      </c>
      <c r="B6656">
        <v>2021</v>
      </c>
      <c r="C6656" t="s">
        <v>57</v>
      </c>
      <c r="D6656">
        <v>23178627.539999999</v>
      </c>
      <c r="E6656" t="s">
        <v>98</v>
      </c>
    </row>
    <row r="6657" spans="1:5" x14ac:dyDescent="0.25">
      <c r="A6657" t="s">
        <v>118</v>
      </c>
      <c r="B6657">
        <v>2022</v>
      </c>
      <c r="C6657" t="s">
        <v>57</v>
      </c>
      <c r="D6657">
        <v>26862150.397999998</v>
      </c>
      <c r="E6657" t="s">
        <v>98</v>
      </c>
    </row>
    <row r="6658" spans="1:5" x14ac:dyDescent="0.25">
      <c r="A6658" t="s">
        <v>118</v>
      </c>
      <c r="B6658">
        <v>2023</v>
      </c>
      <c r="C6658" t="s">
        <v>57</v>
      </c>
      <c r="D6658">
        <v>28752671.715999998</v>
      </c>
      <c r="E6658" t="s">
        <v>98</v>
      </c>
    </row>
    <row r="6659" spans="1:5" x14ac:dyDescent="0.25">
      <c r="A6659" t="s">
        <v>118</v>
      </c>
      <c r="B6659">
        <v>2024</v>
      </c>
      <c r="C6659" t="s">
        <v>57</v>
      </c>
      <c r="D6659">
        <v>29939134.421</v>
      </c>
      <c r="E6659" t="s">
        <v>98</v>
      </c>
    </row>
    <row r="6660" spans="1:5" x14ac:dyDescent="0.25">
      <c r="A6660" t="s">
        <v>117</v>
      </c>
      <c r="B6660">
        <v>2010</v>
      </c>
      <c r="C6660" t="s">
        <v>57</v>
      </c>
      <c r="D6660">
        <v>96757708.510000005</v>
      </c>
      <c r="E6660" t="s">
        <v>98</v>
      </c>
    </row>
    <row r="6661" spans="1:5" x14ac:dyDescent="0.25">
      <c r="A6661" t="s">
        <v>117</v>
      </c>
      <c r="B6661">
        <v>2015</v>
      </c>
      <c r="C6661" t="s">
        <v>57</v>
      </c>
      <c r="D6661">
        <v>171129205.08500001</v>
      </c>
      <c r="E6661" t="s">
        <v>98</v>
      </c>
    </row>
    <row r="6662" spans="1:5" x14ac:dyDescent="0.25">
      <c r="A6662" t="s">
        <v>117</v>
      </c>
      <c r="B6662">
        <v>2016</v>
      </c>
      <c r="C6662" t="s">
        <v>57</v>
      </c>
      <c r="D6662">
        <v>196453709.83000001</v>
      </c>
      <c r="E6662" t="s">
        <v>98</v>
      </c>
    </row>
    <row r="6663" spans="1:5" x14ac:dyDescent="0.25">
      <c r="A6663" t="s">
        <v>117</v>
      </c>
      <c r="B6663">
        <v>2017</v>
      </c>
      <c r="C6663" t="s">
        <v>57</v>
      </c>
      <c r="D6663">
        <v>82723533.048999995</v>
      </c>
      <c r="E6663" t="s">
        <v>98</v>
      </c>
    </row>
    <row r="6664" spans="1:5" x14ac:dyDescent="0.25">
      <c r="A6664" t="s">
        <v>117</v>
      </c>
      <c r="B6664">
        <v>2018</v>
      </c>
      <c r="C6664" t="s">
        <v>57</v>
      </c>
      <c r="D6664">
        <v>179382973.76300001</v>
      </c>
      <c r="E6664" t="s">
        <v>98</v>
      </c>
    </row>
    <row r="6665" spans="1:5" x14ac:dyDescent="0.25">
      <c r="A6665" t="s">
        <v>117</v>
      </c>
      <c r="B6665">
        <v>2019</v>
      </c>
      <c r="C6665" t="s">
        <v>57</v>
      </c>
      <c r="D6665">
        <v>154630458.73300001</v>
      </c>
      <c r="E6665" t="s">
        <v>98</v>
      </c>
    </row>
    <row r="6666" spans="1:5" x14ac:dyDescent="0.25">
      <c r="A6666" t="s">
        <v>117</v>
      </c>
      <c r="B6666">
        <v>2020</v>
      </c>
      <c r="C6666" t="s">
        <v>57</v>
      </c>
      <c r="D6666">
        <v>175796959.014</v>
      </c>
      <c r="E6666" t="s">
        <v>98</v>
      </c>
    </row>
    <row r="6667" spans="1:5" x14ac:dyDescent="0.25">
      <c r="A6667" t="s">
        <v>117</v>
      </c>
      <c r="B6667">
        <v>2021</v>
      </c>
      <c r="C6667" t="s">
        <v>57</v>
      </c>
      <c r="D6667">
        <v>230269300.63</v>
      </c>
      <c r="E6667" t="s">
        <v>98</v>
      </c>
    </row>
    <row r="6668" spans="1:5" x14ac:dyDescent="0.25">
      <c r="A6668" t="s">
        <v>117</v>
      </c>
      <c r="B6668">
        <v>2022</v>
      </c>
      <c r="C6668" t="s">
        <v>57</v>
      </c>
      <c r="D6668">
        <v>255047297.009</v>
      </c>
      <c r="E6668" t="s">
        <v>98</v>
      </c>
    </row>
    <row r="6669" spans="1:5" x14ac:dyDescent="0.25">
      <c r="A6669" t="s">
        <v>117</v>
      </c>
      <c r="B6669">
        <v>2023</v>
      </c>
      <c r="C6669" t="s">
        <v>57</v>
      </c>
      <c r="D6669">
        <v>79432008.076000005</v>
      </c>
      <c r="E6669" t="s">
        <v>98</v>
      </c>
    </row>
    <row r="6670" spans="1:5" x14ac:dyDescent="0.25">
      <c r="A6670" t="s">
        <v>117</v>
      </c>
      <c r="B6670">
        <v>2024</v>
      </c>
      <c r="C6670" t="s">
        <v>57</v>
      </c>
      <c r="D6670">
        <v>132221928.317</v>
      </c>
      <c r="E6670" t="s">
        <v>98</v>
      </c>
    </row>
    <row r="6671" spans="1:5" x14ac:dyDescent="0.25">
      <c r="A6671" t="s">
        <v>117</v>
      </c>
      <c r="B6671">
        <v>2025</v>
      </c>
      <c r="C6671" t="s">
        <v>57</v>
      </c>
      <c r="D6671">
        <v>119689928.264</v>
      </c>
      <c r="E6671" t="s">
        <v>98</v>
      </c>
    </row>
    <row r="6672" spans="1:5" x14ac:dyDescent="0.25">
      <c r="A6672" t="s">
        <v>18</v>
      </c>
      <c r="B6672">
        <v>2012</v>
      </c>
      <c r="C6672" t="s">
        <v>57</v>
      </c>
      <c r="D6672">
        <v>5455043.2599999998</v>
      </c>
      <c r="E6672" t="s">
        <v>98</v>
      </c>
    </row>
    <row r="6673" spans="1:5" x14ac:dyDescent="0.25">
      <c r="A6673" t="s">
        <v>18</v>
      </c>
      <c r="B6673">
        <v>2013</v>
      </c>
      <c r="C6673" t="s">
        <v>57</v>
      </c>
      <c r="D6673">
        <v>3747431.97</v>
      </c>
      <c r="E6673" t="s">
        <v>98</v>
      </c>
    </row>
    <row r="6674" spans="1:5" x14ac:dyDescent="0.25">
      <c r="A6674" t="s">
        <v>18</v>
      </c>
      <c r="B6674">
        <v>2017</v>
      </c>
      <c r="C6674" t="s">
        <v>57</v>
      </c>
      <c r="D6674">
        <v>4713511.3</v>
      </c>
      <c r="E6674" t="s">
        <v>98</v>
      </c>
    </row>
    <row r="6675" spans="1:5" x14ac:dyDescent="0.25">
      <c r="A6675" t="s">
        <v>19</v>
      </c>
      <c r="B6675">
        <v>2014</v>
      </c>
      <c r="C6675" t="s">
        <v>57</v>
      </c>
      <c r="D6675">
        <v>1336197.6340000001</v>
      </c>
      <c r="E6675" t="s">
        <v>98</v>
      </c>
    </row>
    <row r="6676" spans="1:5" x14ac:dyDescent="0.25">
      <c r="A6676" t="s">
        <v>116</v>
      </c>
      <c r="B6676">
        <v>2016</v>
      </c>
      <c r="C6676" t="s">
        <v>57</v>
      </c>
      <c r="D6676">
        <v>2174811.4589999998</v>
      </c>
      <c r="E6676" t="s">
        <v>98</v>
      </c>
    </row>
    <row r="6677" spans="1:5" x14ac:dyDescent="0.25">
      <c r="A6677" t="s">
        <v>116</v>
      </c>
      <c r="B6677">
        <v>2017</v>
      </c>
      <c r="C6677" t="s">
        <v>57</v>
      </c>
      <c r="D6677">
        <v>1637979.4210000001</v>
      </c>
      <c r="E6677" t="s">
        <v>98</v>
      </c>
    </row>
    <row r="6678" spans="1:5" x14ac:dyDescent="0.25">
      <c r="A6678" t="s">
        <v>20</v>
      </c>
      <c r="B6678">
        <v>2014</v>
      </c>
      <c r="C6678" t="s">
        <v>57</v>
      </c>
      <c r="D6678">
        <v>4610317.4689999996</v>
      </c>
      <c r="E6678" t="s">
        <v>98</v>
      </c>
    </row>
    <row r="6679" spans="1:5" x14ac:dyDescent="0.25">
      <c r="A6679" t="s">
        <v>20</v>
      </c>
      <c r="B6679">
        <v>2015</v>
      </c>
      <c r="C6679" t="s">
        <v>57</v>
      </c>
      <c r="D6679">
        <v>7357731.9390000002</v>
      </c>
      <c r="E6679" t="s">
        <v>98</v>
      </c>
    </row>
    <row r="6680" spans="1:5" x14ac:dyDescent="0.25">
      <c r="A6680" t="s">
        <v>20</v>
      </c>
      <c r="B6680">
        <v>2016</v>
      </c>
      <c r="C6680" t="s">
        <v>57</v>
      </c>
      <c r="D6680">
        <v>6364947.5839999998</v>
      </c>
      <c r="E6680" t="s">
        <v>98</v>
      </c>
    </row>
    <row r="6681" spans="1:5" x14ac:dyDescent="0.25">
      <c r="A6681" t="s">
        <v>20</v>
      </c>
      <c r="B6681">
        <v>2017</v>
      </c>
      <c r="C6681" t="s">
        <v>57</v>
      </c>
      <c r="D6681">
        <v>5745327.2010000004</v>
      </c>
      <c r="E6681" t="s">
        <v>98</v>
      </c>
    </row>
    <row r="6682" spans="1:5" x14ac:dyDescent="0.25">
      <c r="A6682" t="s">
        <v>20</v>
      </c>
      <c r="B6682">
        <v>2018</v>
      </c>
      <c r="C6682" t="s">
        <v>57</v>
      </c>
      <c r="D6682">
        <v>6317384.6140000001</v>
      </c>
      <c r="E6682" t="s">
        <v>98</v>
      </c>
    </row>
    <row r="6683" spans="1:5" x14ac:dyDescent="0.25">
      <c r="A6683" t="s">
        <v>20</v>
      </c>
      <c r="B6683">
        <v>2019</v>
      </c>
      <c r="C6683" t="s">
        <v>57</v>
      </c>
      <c r="D6683">
        <v>5456888.6639999999</v>
      </c>
      <c r="E6683" t="s">
        <v>98</v>
      </c>
    </row>
    <row r="6684" spans="1:5" x14ac:dyDescent="0.25">
      <c r="A6684" t="s">
        <v>20</v>
      </c>
      <c r="B6684">
        <v>2020</v>
      </c>
      <c r="C6684" t="s">
        <v>57</v>
      </c>
      <c r="D6684">
        <v>6497216.7000000002</v>
      </c>
      <c r="E6684" t="s">
        <v>98</v>
      </c>
    </row>
    <row r="6685" spans="1:5" x14ac:dyDescent="0.25">
      <c r="A6685" t="s">
        <v>20</v>
      </c>
      <c r="B6685">
        <v>2021</v>
      </c>
      <c r="C6685" t="s">
        <v>57</v>
      </c>
      <c r="D6685">
        <v>5938805.3200000003</v>
      </c>
      <c r="E6685" t="s">
        <v>98</v>
      </c>
    </row>
    <row r="6686" spans="1:5" x14ac:dyDescent="0.25">
      <c r="A6686" t="s">
        <v>20</v>
      </c>
      <c r="B6686">
        <v>2022</v>
      </c>
      <c r="C6686" t="s">
        <v>57</v>
      </c>
      <c r="D6686">
        <v>4502593.2340000002</v>
      </c>
      <c r="E6686" t="s">
        <v>98</v>
      </c>
    </row>
    <row r="6687" spans="1:5" x14ac:dyDescent="0.25">
      <c r="A6687" t="s">
        <v>20</v>
      </c>
      <c r="B6687">
        <v>2023</v>
      </c>
      <c r="C6687" t="s">
        <v>57</v>
      </c>
      <c r="D6687">
        <v>7660670.352</v>
      </c>
      <c r="E6687" t="s">
        <v>98</v>
      </c>
    </row>
    <row r="6688" spans="1:5" x14ac:dyDescent="0.25">
      <c r="A6688" t="s">
        <v>20</v>
      </c>
      <c r="B6688">
        <v>2024</v>
      </c>
      <c r="C6688" t="s">
        <v>57</v>
      </c>
      <c r="D6688">
        <v>8895182.0869999994</v>
      </c>
      <c r="E6688" t="s">
        <v>98</v>
      </c>
    </row>
    <row r="6689" spans="1:5" x14ac:dyDescent="0.25">
      <c r="A6689" t="s">
        <v>20</v>
      </c>
      <c r="B6689">
        <v>2025</v>
      </c>
      <c r="C6689" t="s">
        <v>57</v>
      </c>
      <c r="D6689">
        <v>6136320.7390000001</v>
      </c>
      <c r="E6689" t="s">
        <v>98</v>
      </c>
    </row>
    <row r="6690" spans="1:5" x14ac:dyDescent="0.25">
      <c r="A6690" t="s">
        <v>115</v>
      </c>
      <c r="B6690">
        <v>2010</v>
      </c>
      <c r="C6690" t="s">
        <v>57</v>
      </c>
      <c r="D6690">
        <v>27100330.311999999</v>
      </c>
      <c r="E6690" t="s">
        <v>98</v>
      </c>
    </row>
    <row r="6691" spans="1:5" x14ac:dyDescent="0.25">
      <c r="A6691" t="s">
        <v>115</v>
      </c>
      <c r="B6691">
        <v>2011</v>
      </c>
      <c r="C6691" t="s">
        <v>57</v>
      </c>
      <c r="D6691">
        <v>32210354.155999999</v>
      </c>
      <c r="E6691" t="s">
        <v>98</v>
      </c>
    </row>
    <row r="6692" spans="1:5" x14ac:dyDescent="0.25">
      <c r="A6692" t="s">
        <v>115</v>
      </c>
      <c r="B6692">
        <v>2012</v>
      </c>
      <c r="C6692" t="s">
        <v>57</v>
      </c>
      <c r="D6692">
        <v>37217396.089000002</v>
      </c>
      <c r="E6692" t="s">
        <v>98</v>
      </c>
    </row>
    <row r="6693" spans="1:5" x14ac:dyDescent="0.25">
      <c r="A6693" t="s">
        <v>115</v>
      </c>
      <c r="B6693">
        <v>2013</v>
      </c>
      <c r="C6693" t="s">
        <v>57</v>
      </c>
      <c r="D6693">
        <v>50328236.156999998</v>
      </c>
      <c r="E6693" t="s">
        <v>98</v>
      </c>
    </row>
    <row r="6694" spans="1:5" x14ac:dyDescent="0.25">
      <c r="A6694" t="s">
        <v>115</v>
      </c>
      <c r="B6694">
        <v>2014</v>
      </c>
      <c r="C6694" t="s">
        <v>57</v>
      </c>
      <c r="D6694">
        <v>41716320.888999999</v>
      </c>
      <c r="E6694" t="s">
        <v>98</v>
      </c>
    </row>
    <row r="6695" spans="1:5" x14ac:dyDescent="0.25">
      <c r="A6695" t="s">
        <v>115</v>
      </c>
      <c r="B6695">
        <v>2015</v>
      </c>
      <c r="C6695" t="s">
        <v>57</v>
      </c>
      <c r="D6695">
        <v>36466909.946000002</v>
      </c>
      <c r="E6695" t="s">
        <v>98</v>
      </c>
    </row>
    <row r="6696" spans="1:5" x14ac:dyDescent="0.25">
      <c r="A6696" t="s">
        <v>115</v>
      </c>
      <c r="B6696">
        <v>2016</v>
      </c>
      <c r="C6696" t="s">
        <v>57</v>
      </c>
      <c r="D6696">
        <v>30787457.09</v>
      </c>
      <c r="E6696" t="s">
        <v>98</v>
      </c>
    </row>
    <row r="6697" spans="1:5" x14ac:dyDescent="0.25">
      <c r="A6697" t="s">
        <v>115</v>
      </c>
      <c r="B6697">
        <v>2017</v>
      </c>
      <c r="C6697" t="s">
        <v>57</v>
      </c>
      <c r="D6697">
        <v>38722866.217</v>
      </c>
      <c r="E6697" t="s">
        <v>98</v>
      </c>
    </row>
    <row r="6698" spans="1:5" x14ac:dyDescent="0.25">
      <c r="A6698" t="s">
        <v>115</v>
      </c>
      <c r="B6698">
        <v>2018</v>
      </c>
      <c r="C6698" t="s">
        <v>57</v>
      </c>
      <c r="D6698">
        <v>36393473.686999999</v>
      </c>
      <c r="E6698" t="s">
        <v>98</v>
      </c>
    </row>
    <row r="6699" spans="1:5" x14ac:dyDescent="0.25">
      <c r="A6699" t="s">
        <v>115</v>
      </c>
      <c r="B6699">
        <v>2019</v>
      </c>
      <c r="C6699" t="s">
        <v>57</v>
      </c>
      <c r="D6699">
        <v>43314849.586000003</v>
      </c>
      <c r="E6699" t="s">
        <v>98</v>
      </c>
    </row>
    <row r="6700" spans="1:5" x14ac:dyDescent="0.25">
      <c r="A6700" t="s">
        <v>115</v>
      </c>
      <c r="B6700">
        <v>2020</v>
      </c>
      <c r="C6700" t="s">
        <v>57</v>
      </c>
      <c r="D6700">
        <v>38744941.913999997</v>
      </c>
      <c r="E6700" t="s">
        <v>98</v>
      </c>
    </row>
    <row r="6701" spans="1:5" x14ac:dyDescent="0.25">
      <c r="A6701" t="s">
        <v>115</v>
      </c>
      <c r="B6701">
        <v>2021</v>
      </c>
      <c r="C6701" t="s">
        <v>57</v>
      </c>
      <c r="D6701">
        <v>34639245.829999998</v>
      </c>
      <c r="E6701" t="s">
        <v>98</v>
      </c>
    </row>
    <row r="6702" spans="1:5" x14ac:dyDescent="0.25">
      <c r="A6702" t="s">
        <v>115</v>
      </c>
      <c r="B6702">
        <v>2022</v>
      </c>
      <c r="C6702" t="s">
        <v>57</v>
      </c>
      <c r="D6702">
        <v>42060595.097999997</v>
      </c>
      <c r="E6702" t="s">
        <v>98</v>
      </c>
    </row>
    <row r="6703" spans="1:5" x14ac:dyDescent="0.25">
      <c r="A6703" t="s">
        <v>115</v>
      </c>
      <c r="B6703">
        <v>2023</v>
      </c>
      <c r="C6703" t="s">
        <v>57</v>
      </c>
      <c r="D6703">
        <v>36419941.335000001</v>
      </c>
      <c r="E6703" t="s">
        <v>98</v>
      </c>
    </row>
    <row r="6704" spans="1:5" x14ac:dyDescent="0.25">
      <c r="A6704" t="s">
        <v>115</v>
      </c>
      <c r="B6704">
        <v>2024</v>
      </c>
      <c r="C6704" t="s">
        <v>57</v>
      </c>
      <c r="D6704">
        <v>43152629.044</v>
      </c>
      <c r="E6704" t="s">
        <v>98</v>
      </c>
    </row>
    <row r="6705" spans="1:5" x14ac:dyDescent="0.25">
      <c r="A6705" t="s">
        <v>115</v>
      </c>
      <c r="B6705">
        <v>2025</v>
      </c>
      <c r="C6705" t="s">
        <v>57</v>
      </c>
      <c r="D6705">
        <v>41921942.675999999</v>
      </c>
      <c r="E6705" t="s">
        <v>98</v>
      </c>
    </row>
    <row r="6706" spans="1:5" x14ac:dyDescent="0.25">
      <c r="A6706" t="s">
        <v>21</v>
      </c>
      <c r="B6706">
        <v>2000</v>
      </c>
      <c r="C6706" t="s">
        <v>57</v>
      </c>
      <c r="D6706">
        <v>247294152.516</v>
      </c>
      <c r="E6706" t="s">
        <v>98</v>
      </c>
    </row>
    <row r="6707" spans="1:5" x14ac:dyDescent="0.25">
      <c r="A6707" t="s">
        <v>21</v>
      </c>
      <c r="B6707">
        <v>2001</v>
      </c>
      <c r="C6707" t="s">
        <v>57</v>
      </c>
      <c r="D6707">
        <v>257250895.79100001</v>
      </c>
      <c r="E6707" t="s">
        <v>98</v>
      </c>
    </row>
    <row r="6708" spans="1:5" x14ac:dyDescent="0.25">
      <c r="A6708" t="s">
        <v>21</v>
      </c>
      <c r="B6708">
        <v>2002</v>
      </c>
      <c r="C6708" t="s">
        <v>57</v>
      </c>
      <c r="D6708">
        <v>314371220.12199998</v>
      </c>
      <c r="E6708" t="s">
        <v>98</v>
      </c>
    </row>
    <row r="6709" spans="1:5" x14ac:dyDescent="0.25">
      <c r="A6709" t="s">
        <v>21</v>
      </c>
      <c r="B6709">
        <v>2003</v>
      </c>
      <c r="C6709" t="s">
        <v>57</v>
      </c>
      <c r="D6709">
        <v>332495196.50199997</v>
      </c>
      <c r="E6709" t="s">
        <v>98</v>
      </c>
    </row>
    <row r="6710" spans="1:5" x14ac:dyDescent="0.25">
      <c r="A6710" t="s">
        <v>21</v>
      </c>
      <c r="B6710">
        <v>2004</v>
      </c>
      <c r="C6710" t="s">
        <v>57</v>
      </c>
      <c r="D6710">
        <v>328324494.37199998</v>
      </c>
      <c r="E6710" t="s">
        <v>98</v>
      </c>
    </row>
    <row r="6711" spans="1:5" x14ac:dyDescent="0.25">
      <c r="A6711" t="s">
        <v>21</v>
      </c>
      <c r="B6711">
        <v>2005</v>
      </c>
      <c r="C6711" t="s">
        <v>57</v>
      </c>
      <c r="D6711">
        <v>347721395.10100001</v>
      </c>
      <c r="E6711" t="s">
        <v>98</v>
      </c>
    </row>
    <row r="6712" spans="1:5" x14ac:dyDescent="0.25">
      <c r="A6712" t="s">
        <v>21</v>
      </c>
      <c r="B6712">
        <v>2006</v>
      </c>
      <c r="C6712" t="s">
        <v>57</v>
      </c>
      <c r="D6712">
        <v>377709312.99299997</v>
      </c>
      <c r="E6712" t="s">
        <v>98</v>
      </c>
    </row>
    <row r="6713" spans="1:5" x14ac:dyDescent="0.25">
      <c r="A6713" t="s">
        <v>21</v>
      </c>
      <c r="B6713">
        <v>2007</v>
      </c>
      <c r="C6713" t="s">
        <v>57</v>
      </c>
      <c r="D6713">
        <v>447286885.30800003</v>
      </c>
      <c r="E6713" t="s">
        <v>98</v>
      </c>
    </row>
    <row r="6714" spans="1:5" x14ac:dyDescent="0.25">
      <c r="A6714" t="s">
        <v>21</v>
      </c>
      <c r="B6714">
        <v>2008</v>
      </c>
      <c r="C6714" t="s">
        <v>57</v>
      </c>
      <c r="D6714">
        <v>534098294.95700002</v>
      </c>
      <c r="E6714" t="s">
        <v>98</v>
      </c>
    </row>
    <row r="6715" spans="1:5" x14ac:dyDescent="0.25">
      <c r="A6715" t="s">
        <v>21</v>
      </c>
      <c r="B6715">
        <v>2009</v>
      </c>
      <c r="C6715" t="s">
        <v>57</v>
      </c>
      <c r="D6715">
        <v>505963993.43900001</v>
      </c>
      <c r="E6715" t="s">
        <v>98</v>
      </c>
    </row>
    <row r="6716" spans="1:5" x14ac:dyDescent="0.25">
      <c r="A6716" t="s">
        <v>21</v>
      </c>
      <c r="B6716">
        <v>2010</v>
      </c>
      <c r="C6716" t="s">
        <v>57</v>
      </c>
      <c r="D6716">
        <v>429653174.86000001</v>
      </c>
      <c r="E6716" t="s">
        <v>98</v>
      </c>
    </row>
    <row r="6717" spans="1:5" x14ac:dyDescent="0.25">
      <c r="A6717" t="s">
        <v>21</v>
      </c>
      <c r="B6717">
        <v>2011</v>
      </c>
      <c r="C6717" t="s">
        <v>57</v>
      </c>
      <c r="D6717">
        <v>553204851.39499998</v>
      </c>
      <c r="E6717" t="s">
        <v>98</v>
      </c>
    </row>
    <row r="6718" spans="1:5" x14ac:dyDescent="0.25">
      <c r="A6718" t="s">
        <v>21</v>
      </c>
      <c r="B6718">
        <v>2012</v>
      </c>
      <c r="C6718" t="s">
        <v>57</v>
      </c>
      <c r="D6718">
        <v>549998406.58000004</v>
      </c>
      <c r="E6718" t="s">
        <v>98</v>
      </c>
    </row>
    <row r="6719" spans="1:5" x14ac:dyDescent="0.25">
      <c r="A6719" t="s">
        <v>21</v>
      </c>
      <c r="B6719">
        <v>2013</v>
      </c>
      <c r="C6719" t="s">
        <v>57</v>
      </c>
      <c r="D6719">
        <v>686023798.98399997</v>
      </c>
      <c r="E6719" t="s">
        <v>98</v>
      </c>
    </row>
    <row r="6720" spans="1:5" x14ac:dyDescent="0.25">
      <c r="A6720" t="s">
        <v>21</v>
      </c>
      <c r="B6720">
        <v>2014</v>
      </c>
      <c r="C6720" t="s">
        <v>57</v>
      </c>
      <c r="D6720">
        <v>636565156.59800005</v>
      </c>
      <c r="E6720" t="s">
        <v>98</v>
      </c>
    </row>
    <row r="6721" spans="1:5" x14ac:dyDescent="0.25">
      <c r="A6721" t="s">
        <v>21</v>
      </c>
      <c r="B6721">
        <v>2015</v>
      </c>
      <c r="C6721" t="s">
        <v>57</v>
      </c>
      <c r="D6721">
        <v>474199658.602</v>
      </c>
      <c r="E6721" t="s">
        <v>98</v>
      </c>
    </row>
    <row r="6722" spans="1:5" x14ac:dyDescent="0.25">
      <c r="A6722" t="s">
        <v>21</v>
      </c>
      <c r="B6722">
        <v>2016</v>
      </c>
      <c r="C6722" t="s">
        <v>57</v>
      </c>
      <c r="D6722">
        <v>415530264.44599998</v>
      </c>
      <c r="E6722" t="s">
        <v>98</v>
      </c>
    </row>
    <row r="6723" spans="1:5" x14ac:dyDescent="0.25">
      <c r="A6723" t="s">
        <v>21</v>
      </c>
      <c r="B6723">
        <v>2017</v>
      </c>
      <c r="C6723" t="s">
        <v>57</v>
      </c>
      <c r="D6723">
        <v>520490962.64600003</v>
      </c>
      <c r="E6723" t="s">
        <v>98</v>
      </c>
    </row>
    <row r="6724" spans="1:5" x14ac:dyDescent="0.25">
      <c r="A6724" t="s">
        <v>21</v>
      </c>
      <c r="B6724">
        <v>2018</v>
      </c>
      <c r="C6724" t="s">
        <v>57</v>
      </c>
      <c r="D6724">
        <v>555689388.62800002</v>
      </c>
      <c r="E6724" t="s">
        <v>98</v>
      </c>
    </row>
    <row r="6725" spans="1:5" x14ac:dyDescent="0.25">
      <c r="A6725" t="s">
        <v>21</v>
      </c>
      <c r="B6725">
        <v>2019</v>
      </c>
      <c r="C6725" t="s">
        <v>57</v>
      </c>
      <c r="D6725">
        <v>520390339.73500001</v>
      </c>
      <c r="E6725" t="s">
        <v>98</v>
      </c>
    </row>
    <row r="6726" spans="1:5" x14ac:dyDescent="0.25">
      <c r="A6726" t="s">
        <v>21</v>
      </c>
      <c r="B6726">
        <v>2020</v>
      </c>
      <c r="C6726" t="s">
        <v>57</v>
      </c>
      <c r="D6726">
        <v>555697847.98899996</v>
      </c>
      <c r="E6726" t="s">
        <v>98</v>
      </c>
    </row>
    <row r="6727" spans="1:5" x14ac:dyDescent="0.25">
      <c r="A6727" t="s">
        <v>21</v>
      </c>
      <c r="B6727">
        <v>2021</v>
      </c>
      <c r="C6727" t="s">
        <v>57</v>
      </c>
      <c r="D6727">
        <v>536005041.21799999</v>
      </c>
      <c r="E6727" t="s">
        <v>98</v>
      </c>
    </row>
    <row r="6728" spans="1:5" x14ac:dyDescent="0.25">
      <c r="A6728" t="s">
        <v>21</v>
      </c>
      <c r="B6728">
        <v>2022</v>
      </c>
      <c r="C6728" t="s">
        <v>57</v>
      </c>
      <c r="D6728">
        <v>549641450.528</v>
      </c>
      <c r="E6728" t="s">
        <v>98</v>
      </c>
    </row>
    <row r="6729" spans="1:5" x14ac:dyDescent="0.25">
      <c r="A6729" t="s">
        <v>21</v>
      </c>
      <c r="B6729">
        <v>2023</v>
      </c>
      <c r="C6729" t="s">
        <v>57</v>
      </c>
      <c r="D6729">
        <v>599495749.87</v>
      </c>
      <c r="E6729" t="s">
        <v>98</v>
      </c>
    </row>
    <row r="6730" spans="1:5" x14ac:dyDescent="0.25">
      <c r="A6730" t="s">
        <v>21</v>
      </c>
      <c r="B6730">
        <v>2024</v>
      </c>
      <c r="C6730" t="s">
        <v>57</v>
      </c>
      <c r="D6730">
        <v>568217915.78499997</v>
      </c>
      <c r="E6730" t="s">
        <v>98</v>
      </c>
    </row>
    <row r="6731" spans="1:5" x14ac:dyDescent="0.25">
      <c r="A6731" t="s">
        <v>22</v>
      </c>
      <c r="B6731">
        <v>2008</v>
      </c>
      <c r="C6731" t="s">
        <v>57</v>
      </c>
      <c r="D6731">
        <v>353240049.48699999</v>
      </c>
      <c r="E6731" t="s">
        <v>98</v>
      </c>
    </row>
    <row r="6732" spans="1:5" x14ac:dyDescent="0.25">
      <c r="A6732" t="s">
        <v>22</v>
      </c>
      <c r="B6732">
        <v>2009</v>
      </c>
      <c r="C6732" t="s">
        <v>57</v>
      </c>
      <c r="D6732">
        <v>265903893.05500001</v>
      </c>
      <c r="E6732" t="s">
        <v>98</v>
      </c>
    </row>
    <row r="6733" spans="1:5" x14ac:dyDescent="0.25">
      <c r="A6733" t="s">
        <v>22</v>
      </c>
      <c r="B6733">
        <v>2010</v>
      </c>
      <c r="C6733" t="s">
        <v>57</v>
      </c>
      <c r="D6733">
        <v>227177790.55500001</v>
      </c>
      <c r="E6733" t="s">
        <v>98</v>
      </c>
    </row>
    <row r="6734" spans="1:5" x14ac:dyDescent="0.25">
      <c r="A6734" t="s">
        <v>22</v>
      </c>
      <c r="B6734">
        <v>2011</v>
      </c>
      <c r="C6734" t="s">
        <v>57</v>
      </c>
      <c r="D6734">
        <v>299689038.171</v>
      </c>
      <c r="E6734" t="s">
        <v>98</v>
      </c>
    </row>
    <row r="6735" spans="1:5" x14ac:dyDescent="0.25">
      <c r="A6735" t="s">
        <v>22</v>
      </c>
      <c r="B6735">
        <v>2012</v>
      </c>
      <c r="C6735" t="s">
        <v>57</v>
      </c>
      <c r="D6735">
        <v>365154725.42400002</v>
      </c>
      <c r="E6735" t="s">
        <v>98</v>
      </c>
    </row>
    <row r="6736" spans="1:5" x14ac:dyDescent="0.25">
      <c r="A6736" t="s">
        <v>22</v>
      </c>
      <c r="B6736">
        <v>2013</v>
      </c>
      <c r="C6736" t="s">
        <v>57</v>
      </c>
      <c r="D6736">
        <v>432036552.58399999</v>
      </c>
      <c r="E6736" t="s">
        <v>98</v>
      </c>
    </row>
    <row r="6737" spans="1:5" x14ac:dyDescent="0.25">
      <c r="A6737" t="s">
        <v>22</v>
      </c>
      <c r="B6737">
        <v>2014</v>
      </c>
      <c r="C6737" t="s">
        <v>57</v>
      </c>
      <c r="D6737">
        <v>372974224.278</v>
      </c>
      <c r="E6737" t="s">
        <v>98</v>
      </c>
    </row>
    <row r="6738" spans="1:5" x14ac:dyDescent="0.25">
      <c r="A6738" t="s">
        <v>22</v>
      </c>
      <c r="B6738">
        <v>2015</v>
      </c>
      <c r="C6738" t="s">
        <v>57</v>
      </c>
      <c r="D6738">
        <v>327312434.45499998</v>
      </c>
      <c r="E6738" t="s">
        <v>98</v>
      </c>
    </row>
    <row r="6739" spans="1:5" x14ac:dyDescent="0.25">
      <c r="A6739" t="s">
        <v>22</v>
      </c>
      <c r="B6739">
        <v>2016</v>
      </c>
      <c r="C6739" t="s">
        <v>57</v>
      </c>
      <c r="D6739">
        <v>273648571.79299998</v>
      </c>
      <c r="E6739" t="s">
        <v>98</v>
      </c>
    </row>
    <row r="6740" spans="1:5" x14ac:dyDescent="0.25">
      <c r="A6740" t="s">
        <v>22</v>
      </c>
      <c r="B6740">
        <v>2017</v>
      </c>
      <c r="C6740" t="s">
        <v>57</v>
      </c>
      <c r="D6740">
        <v>383365531.56099999</v>
      </c>
      <c r="E6740" t="s">
        <v>98</v>
      </c>
    </row>
    <row r="6741" spans="1:5" x14ac:dyDescent="0.25">
      <c r="A6741" t="s">
        <v>22</v>
      </c>
      <c r="B6741">
        <v>2018</v>
      </c>
      <c r="C6741" t="s">
        <v>57</v>
      </c>
      <c r="D6741">
        <v>466586687.49599999</v>
      </c>
      <c r="E6741" t="s">
        <v>98</v>
      </c>
    </row>
    <row r="6742" spans="1:5" x14ac:dyDescent="0.25">
      <c r="A6742" t="s">
        <v>22</v>
      </c>
      <c r="B6742">
        <v>2019</v>
      </c>
      <c r="C6742" t="s">
        <v>57</v>
      </c>
      <c r="D6742">
        <v>356691331.02399999</v>
      </c>
      <c r="E6742" t="s">
        <v>98</v>
      </c>
    </row>
    <row r="6743" spans="1:5" x14ac:dyDescent="0.25">
      <c r="A6743" t="s">
        <v>22</v>
      </c>
      <c r="B6743">
        <v>2020</v>
      </c>
      <c r="C6743" t="s">
        <v>57</v>
      </c>
      <c r="D6743">
        <v>464377361.01200002</v>
      </c>
      <c r="E6743" t="s">
        <v>98</v>
      </c>
    </row>
    <row r="6744" spans="1:5" x14ac:dyDescent="0.25">
      <c r="A6744" t="s">
        <v>22</v>
      </c>
      <c r="B6744">
        <v>2021</v>
      </c>
      <c r="C6744" t="s">
        <v>57</v>
      </c>
      <c r="D6744">
        <v>365397191.88700002</v>
      </c>
      <c r="E6744" t="s">
        <v>98</v>
      </c>
    </row>
    <row r="6745" spans="1:5" x14ac:dyDescent="0.25">
      <c r="A6745" t="s">
        <v>22</v>
      </c>
      <c r="B6745">
        <v>2022</v>
      </c>
      <c r="C6745" t="s">
        <v>57</v>
      </c>
      <c r="D6745">
        <v>462138320.38300002</v>
      </c>
      <c r="E6745" t="s">
        <v>98</v>
      </c>
    </row>
    <row r="6746" spans="1:5" x14ac:dyDescent="0.25">
      <c r="A6746" t="s">
        <v>22</v>
      </c>
      <c r="B6746">
        <v>2023</v>
      </c>
      <c r="C6746" t="s">
        <v>57</v>
      </c>
      <c r="D6746">
        <v>441565749.59200001</v>
      </c>
      <c r="E6746" t="s">
        <v>98</v>
      </c>
    </row>
    <row r="6747" spans="1:5" x14ac:dyDescent="0.25">
      <c r="A6747" t="s">
        <v>22</v>
      </c>
      <c r="B6747">
        <v>2024</v>
      </c>
      <c r="C6747" t="s">
        <v>57</v>
      </c>
      <c r="D6747">
        <v>450111937.77100003</v>
      </c>
      <c r="E6747" t="s">
        <v>98</v>
      </c>
    </row>
    <row r="6748" spans="1:5" x14ac:dyDescent="0.25">
      <c r="A6748" t="s">
        <v>22</v>
      </c>
      <c r="B6748">
        <v>2025</v>
      </c>
      <c r="C6748" t="s">
        <v>57</v>
      </c>
      <c r="D6748">
        <v>444413141.06300002</v>
      </c>
      <c r="E6748" t="s">
        <v>98</v>
      </c>
    </row>
    <row r="6749" spans="1:5" x14ac:dyDescent="0.25">
      <c r="A6749" t="s">
        <v>23</v>
      </c>
      <c r="B6749">
        <v>2012</v>
      </c>
      <c r="C6749" t="s">
        <v>57</v>
      </c>
      <c r="D6749">
        <v>1375991.966</v>
      </c>
      <c r="E6749" t="s">
        <v>98</v>
      </c>
    </row>
    <row r="6750" spans="1:5" x14ac:dyDescent="0.25">
      <c r="A6750" t="s">
        <v>23</v>
      </c>
      <c r="B6750">
        <v>2013</v>
      </c>
      <c r="C6750" t="s">
        <v>57</v>
      </c>
      <c r="D6750">
        <v>3227450.5260000001</v>
      </c>
      <c r="E6750" t="s">
        <v>98</v>
      </c>
    </row>
    <row r="6751" spans="1:5" x14ac:dyDescent="0.25">
      <c r="A6751" t="s">
        <v>23</v>
      </c>
      <c r="B6751">
        <v>2014</v>
      </c>
      <c r="C6751" t="s">
        <v>57</v>
      </c>
      <c r="D6751">
        <v>1523754.0249999999</v>
      </c>
      <c r="E6751" t="s">
        <v>98</v>
      </c>
    </row>
    <row r="6752" spans="1:5" x14ac:dyDescent="0.25">
      <c r="A6752" t="s">
        <v>23</v>
      </c>
      <c r="B6752">
        <v>2015</v>
      </c>
      <c r="C6752" t="s">
        <v>57</v>
      </c>
      <c r="D6752">
        <v>3118127.2620000001</v>
      </c>
      <c r="E6752" t="s">
        <v>98</v>
      </c>
    </row>
    <row r="6753" spans="1:5" x14ac:dyDescent="0.25">
      <c r="A6753" t="s">
        <v>23</v>
      </c>
      <c r="B6753">
        <v>2020</v>
      </c>
      <c r="C6753" t="s">
        <v>57</v>
      </c>
      <c r="D6753">
        <v>1268369.67</v>
      </c>
      <c r="E6753" t="s">
        <v>98</v>
      </c>
    </row>
    <row r="6754" spans="1:5" x14ac:dyDescent="0.25">
      <c r="A6754" t="s">
        <v>23</v>
      </c>
      <c r="B6754">
        <v>2021</v>
      </c>
      <c r="C6754" t="s">
        <v>57</v>
      </c>
      <c r="D6754">
        <v>1181510.023</v>
      </c>
      <c r="E6754" t="s">
        <v>98</v>
      </c>
    </row>
    <row r="6755" spans="1:5" x14ac:dyDescent="0.25">
      <c r="A6755" t="s">
        <v>24</v>
      </c>
      <c r="B6755">
        <v>2010</v>
      </c>
      <c r="C6755" t="s">
        <v>57</v>
      </c>
      <c r="D6755">
        <v>43911827.987000003</v>
      </c>
      <c r="E6755" t="s">
        <v>98</v>
      </c>
    </row>
    <row r="6756" spans="1:5" x14ac:dyDescent="0.25">
      <c r="A6756" t="s">
        <v>24</v>
      </c>
      <c r="B6756">
        <v>2011</v>
      </c>
      <c r="C6756" t="s">
        <v>57</v>
      </c>
      <c r="D6756">
        <v>47373276.862999998</v>
      </c>
      <c r="E6756" t="s">
        <v>98</v>
      </c>
    </row>
    <row r="6757" spans="1:5" x14ac:dyDescent="0.25">
      <c r="A6757" t="s">
        <v>24</v>
      </c>
      <c r="B6757">
        <v>2012</v>
      </c>
      <c r="C6757" t="s">
        <v>57</v>
      </c>
      <c r="D6757">
        <v>44471289.714000002</v>
      </c>
      <c r="E6757" t="s">
        <v>98</v>
      </c>
    </row>
    <row r="6758" spans="1:5" x14ac:dyDescent="0.25">
      <c r="A6758" t="s">
        <v>24</v>
      </c>
      <c r="B6758">
        <v>2013</v>
      </c>
      <c r="C6758" t="s">
        <v>57</v>
      </c>
      <c r="D6758">
        <v>43153317.623000003</v>
      </c>
      <c r="E6758" t="s">
        <v>98</v>
      </c>
    </row>
    <row r="6759" spans="1:5" x14ac:dyDescent="0.25">
      <c r="A6759" t="s">
        <v>24</v>
      </c>
      <c r="B6759">
        <v>2014</v>
      </c>
      <c r="C6759" t="s">
        <v>57</v>
      </c>
      <c r="D6759">
        <v>43462025.294</v>
      </c>
      <c r="E6759" t="s">
        <v>98</v>
      </c>
    </row>
    <row r="6760" spans="1:5" x14ac:dyDescent="0.25">
      <c r="A6760" t="s">
        <v>24</v>
      </c>
      <c r="B6760">
        <v>2015</v>
      </c>
      <c r="C6760" t="s">
        <v>57</v>
      </c>
      <c r="D6760">
        <v>35177377.956</v>
      </c>
      <c r="E6760" t="s">
        <v>98</v>
      </c>
    </row>
    <row r="6761" spans="1:5" x14ac:dyDescent="0.25">
      <c r="A6761" t="s">
        <v>24</v>
      </c>
      <c r="B6761">
        <v>2016</v>
      </c>
      <c r="C6761" t="s">
        <v>57</v>
      </c>
      <c r="D6761">
        <v>36319283.579000004</v>
      </c>
      <c r="E6761" t="s">
        <v>98</v>
      </c>
    </row>
    <row r="6762" spans="1:5" x14ac:dyDescent="0.25">
      <c r="A6762" t="s">
        <v>24</v>
      </c>
      <c r="B6762">
        <v>2017</v>
      </c>
      <c r="C6762" t="s">
        <v>57</v>
      </c>
      <c r="D6762">
        <v>36177109.414999999</v>
      </c>
      <c r="E6762" t="s">
        <v>98</v>
      </c>
    </row>
    <row r="6763" spans="1:5" x14ac:dyDescent="0.25">
      <c r="A6763" t="s">
        <v>24</v>
      </c>
      <c r="B6763">
        <v>2018</v>
      </c>
      <c r="C6763" t="s">
        <v>57</v>
      </c>
      <c r="D6763">
        <v>38540933.630999997</v>
      </c>
      <c r="E6763" t="s">
        <v>98</v>
      </c>
    </row>
    <row r="6764" spans="1:5" x14ac:dyDescent="0.25">
      <c r="A6764" t="s">
        <v>24</v>
      </c>
      <c r="B6764">
        <v>2019</v>
      </c>
      <c r="C6764" t="s">
        <v>57</v>
      </c>
      <c r="D6764">
        <v>43855420.528999999</v>
      </c>
      <c r="E6764" t="s">
        <v>98</v>
      </c>
    </row>
    <row r="6765" spans="1:5" x14ac:dyDescent="0.25">
      <c r="A6765" t="s">
        <v>24</v>
      </c>
      <c r="B6765">
        <v>2020</v>
      </c>
      <c r="C6765" t="s">
        <v>57</v>
      </c>
      <c r="D6765">
        <v>43535219.648999996</v>
      </c>
      <c r="E6765" t="s">
        <v>98</v>
      </c>
    </row>
    <row r="6766" spans="1:5" x14ac:dyDescent="0.25">
      <c r="A6766" t="s">
        <v>24</v>
      </c>
      <c r="B6766">
        <v>2021</v>
      </c>
      <c r="C6766" t="s">
        <v>57</v>
      </c>
      <c r="D6766">
        <v>44840809.299000002</v>
      </c>
      <c r="E6766" t="s">
        <v>98</v>
      </c>
    </row>
    <row r="6767" spans="1:5" x14ac:dyDescent="0.25">
      <c r="A6767" t="s">
        <v>24</v>
      </c>
      <c r="B6767">
        <v>2022</v>
      </c>
      <c r="C6767" t="s">
        <v>57</v>
      </c>
      <c r="D6767">
        <v>48139110.068999998</v>
      </c>
      <c r="E6767" t="s">
        <v>98</v>
      </c>
    </row>
    <row r="6768" spans="1:5" x14ac:dyDescent="0.25">
      <c r="A6768" t="s">
        <v>24</v>
      </c>
      <c r="B6768">
        <v>2023</v>
      </c>
      <c r="C6768" t="s">
        <v>57</v>
      </c>
      <c r="D6768">
        <v>44725991.031000003</v>
      </c>
      <c r="E6768" t="s">
        <v>98</v>
      </c>
    </row>
    <row r="6769" spans="1:5" x14ac:dyDescent="0.25">
      <c r="A6769" t="s">
        <v>24</v>
      </c>
      <c r="B6769">
        <v>2024</v>
      </c>
      <c r="C6769" t="s">
        <v>57</v>
      </c>
      <c r="D6769">
        <v>47290171.109999999</v>
      </c>
      <c r="E6769" t="s">
        <v>98</v>
      </c>
    </row>
    <row r="6770" spans="1:5" x14ac:dyDescent="0.25">
      <c r="A6770" t="s">
        <v>24</v>
      </c>
      <c r="B6770">
        <v>2025</v>
      </c>
      <c r="C6770" t="s">
        <v>57</v>
      </c>
      <c r="D6770">
        <v>44273839.321000002</v>
      </c>
      <c r="E6770" t="s">
        <v>98</v>
      </c>
    </row>
    <row r="6771" spans="1:5" x14ac:dyDescent="0.25">
      <c r="A6771" t="s">
        <v>25</v>
      </c>
      <c r="B6771">
        <v>2011</v>
      </c>
      <c r="C6771" t="s">
        <v>57</v>
      </c>
      <c r="D6771">
        <v>7186821</v>
      </c>
      <c r="E6771" t="s">
        <v>98</v>
      </c>
    </row>
    <row r="6772" spans="1:5" x14ac:dyDescent="0.25">
      <c r="A6772" t="s">
        <v>25</v>
      </c>
      <c r="B6772">
        <v>2021</v>
      </c>
      <c r="C6772" t="s">
        <v>57</v>
      </c>
      <c r="D6772">
        <v>8306691</v>
      </c>
      <c r="E6772" t="s">
        <v>98</v>
      </c>
    </row>
    <row r="6773" spans="1:5" x14ac:dyDescent="0.25">
      <c r="A6773" t="s">
        <v>25</v>
      </c>
      <c r="B6773">
        <v>2022</v>
      </c>
      <c r="C6773" t="s">
        <v>57</v>
      </c>
      <c r="D6773">
        <v>12614350</v>
      </c>
      <c r="E6773" t="s">
        <v>98</v>
      </c>
    </row>
    <row r="6774" spans="1:5" x14ac:dyDescent="0.25">
      <c r="A6774" t="s">
        <v>25</v>
      </c>
      <c r="B6774">
        <v>2023</v>
      </c>
      <c r="C6774" t="s">
        <v>57</v>
      </c>
      <c r="D6774">
        <v>10862577</v>
      </c>
      <c r="E6774" t="s">
        <v>98</v>
      </c>
    </row>
    <row r="6775" spans="1:5" x14ac:dyDescent="0.25">
      <c r="A6775" t="s">
        <v>25</v>
      </c>
      <c r="B6775">
        <v>2024</v>
      </c>
      <c r="C6775" t="s">
        <v>57</v>
      </c>
      <c r="D6775">
        <v>10240455</v>
      </c>
      <c r="E6775" t="s">
        <v>98</v>
      </c>
    </row>
    <row r="6776" spans="1:5" x14ac:dyDescent="0.25">
      <c r="A6776" t="s">
        <v>25</v>
      </c>
      <c r="B6776">
        <v>2025</v>
      </c>
      <c r="C6776" t="s">
        <v>57</v>
      </c>
      <c r="D6776">
        <v>10257795</v>
      </c>
      <c r="E6776" t="s">
        <v>98</v>
      </c>
    </row>
    <row r="6777" spans="1:5" x14ac:dyDescent="0.25">
      <c r="A6777" t="s">
        <v>26</v>
      </c>
      <c r="B6777">
        <v>2011</v>
      </c>
      <c r="C6777" t="s">
        <v>57</v>
      </c>
      <c r="D6777">
        <v>7963814.7630000003</v>
      </c>
      <c r="E6777" t="s">
        <v>98</v>
      </c>
    </row>
    <row r="6778" spans="1:5" x14ac:dyDescent="0.25">
      <c r="A6778" t="s">
        <v>26</v>
      </c>
      <c r="B6778">
        <v>2012</v>
      </c>
      <c r="C6778" t="s">
        <v>57</v>
      </c>
      <c r="D6778">
        <v>8873484.8359999992</v>
      </c>
      <c r="E6778" t="s">
        <v>98</v>
      </c>
    </row>
    <row r="6779" spans="1:5" x14ac:dyDescent="0.25">
      <c r="A6779" t="s">
        <v>26</v>
      </c>
      <c r="B6779">
        <v>2017</v>
      </c>
      <c r="C6779" t="s">
        <v>57</v>
      </c>
      <c r="D6779">
        <v>15202683</v>
      </c>
      <c r="E6779" t="s">
        <v>98</v>
      </c>
    </row>
    <row r="6780" spans="1:5" x14ac:dyDescent="0.25">
      <c r="A6780" t="s">
        <v>26</v>
      </c>
      <c r="B6780">
        <v>2018</v>
      </c>
      <c r="C6780" t="s">
        <v>57</v>
      </c>
      <c r="D6780">
        <v>16903740</v>
      </c>
      <c r="E6780" t="s">
        <v>98</v>
      </c>
    </row>
    <row r="6781" spans="1:5" x14ac:dyDescent="0.25">
      <c r="A6781" t="s">
        <v>26</v>
      </c>
      <c r="B6781">
        <v>2019</v>
      </c>
      <c r="C6781" t="s">
        <v>57</v>
      </c>
      <c r="D6781">
        <v>17754851</v>
      </c>
      <c r="E6781" t="s">
        <v>98</v>
      </c>
    </row>
    <row r="6782" spans="1:5" x14ac:dyDescent="0.25">
      <c r="A6782" t="s">
        <v>26</v>
      </c>
      <c r="B6782">
        <v>2020</v>
      </c>
      <c r="C6782" t="s">
        <v>57</v>
      </c>
      <c r="D6782">
        <v>20243997</v>
      </c>
      <c r="E6782" t="s">
        <v>98</v>
      </c>
    </row>
    <row r="6783" spans="1:5" x14ac:dyDescent="0.25">
      <c r="A6783" t="s">
        <v>26</v>
      </c>
      <c r="B6783">
        <v>2021</v>
      </c>
      <c r="C6783" t="s">
        <v>57</v>
      </c>
      <c r="D6783">
        <v>20702464</v>
      </c>
      <c r="E6783" t="s">
        <v>98</v>
      </c>
    </row>
    <row r="6784" spans="1:5" x14ac:dyDescent="0.25">
      <c r="A6784" t="s">
        <v>26</v>
      </c>
      <c r="B6784">
        <v>2022</v>
      </c>
      <c r="C6784" t="s">
        <v>57</v>
      </c>
      <c r="D6784">
        <v>21825006</v>
      </c>
      <c r="E6784" t="s">
        <v>98</v>
      </c>
    </row>
    <row r="6785" spans="1:5" x14ac:dyDescent="0.25">
      <c r="A6785" t="s">
        <v>26</v>
      </c>
      <c r="B6785">
        <v>2023</v>
      </c>
      <c r="C6785" t="s">
        <v>57</v>
      </c>
      <c r="D6785">
        <v>22587717</v>
      </c>
      <c r="E6785" t="s">
        <v>98</v>
      </c>
    </row>
    <row r="6786" spans="1:5" x14ac:dyDescent="0.25">
      <c r="A6786" t="s">
        <v>26</v>
      </c>
      <c r="B6786">
        <v>2024</v>
      </c>
      <c r="C6786" t="s">
        <v>57</v>
      </c>
      <c r="D6786">
        <v>20702182</v>
      </c>
      <c r="E6786" t="s">
        <v>98</v>
      </c>
    </row>
    <row r="6787" spans="1:5" x14ac:dyDescent="0.25">
      <c r="A6787" t="s">
        <v>26</v>
      </c>
      <c r="B6787">
        <v>2025</v>
      </c>
      <c r="C6787" t="s">
        <v>57</v>
      </c>
      <c r="D6787">
        <v>19663707.851</v>
      </c>
      <c r="E6787" t="s">
        <v>98</v>
      </c>
    </row>
    <row r="6788" spans="1:5" x14ac:dyDescent="0.25">
      <c r="A6788" t="s">
        <v>28</v>
      </c>
      <c r="B6788">
        <v>2014</v>
      </c>
      <c r="C6788" t="s">
        <v>57</v>
      </c>
      <c r="D6788">
        <v>4866293</v>
      </c>
      <c r="E6788" t="s">
        <v>98</v>
      </c>
    </row>
    <row r="6789" spans="1:5" x14ac:dyDescent="0.25">
      <c r="A6789" t="s">
        <v>28</v>
      </c>
      <c r="B6789">
        <v>2015</v>
      </c>
      <c r="C6789" t="s">
        <v>57</v>
      </c>
      <c r="D6789">
        <v>4572519</v>
      </c>
      <c r="E6789" t="s">
        <v>98</v>
      </c>
    </row>
    <row r="6790" spans="1:5" x14ac:dyDescent="0.25">
      <c r="A6790" t="s">
        <v>28</v>
      </c>
      <c r="B6790">
        <v>2016</v>
      </c>
      <c r="C6790" t="s">
        <v>57</v>
      </c>
      <c r="D6790">
        <v>5530120</v>
      </c>
      <c r="E6790" t="s">
        <v>98</v>
      </c>
    </row>
    <row r="6791" spans="1:5" x14ac:dyDescent="0.25">
      <c r="A6791" t="s">
        <v>28</v>
      </c>
      <c r="B6791">
        <v>2019</v>
      </c>
      <c r="C6791" t="s">
        <v>57</v>
      </c>
      <c r="D6791">
        <v>4077992</v>
      </c>
      <c r="E6791" t="s">
        <v>98</v>
      </c>
    </row>
    <row r="6792" spans="1:5" x14ac:dyDescent="0.25">
      <c r="A6792" t="s">
        <v>75</v>
      </c>
      <c r="B6792">
        <v>2000</v>
      </c>
      <c r="C6792" t="s">
        <v>57</v>
      </c>
      <c r="D6792">
        <v>9660920.4149999991</v>
      </c>
      <c r="E6792" t="s">
        <v>98</v>
      </c>
    </row>
    <row r="6793" spans="1:5" x14ac:dyDescent="0.25">
      <c r="A6793" t="s">
        <v>75</v>
      </c>
      <c r="B6793">
        <v>2001</v>
      </c>
      <c r="C6793" t="s">
        <v>57</v>
      </c>
      <c r="D6793">
        <v>11773806.422</v>
      </c>
      <c r="E6793" t="s">
        <v>98</v>
      </c>
    </row>
    <row r="6794" spans="1:5" x14ac:dyDescent="0.25">
      <c r="A6794" t="s">
        <v>75</v>
      </c>
      <c r="B6794">
        <v>2002</v>
      </c>
      <c r="C6794" t="s">
        <v>57</v>
      </c>
      <c r="D6794">
        <v>14545715.969000001</v>
      </c>
      <c r="E6794" t="s">
        <v>98</v>
      </c>
    </row>
    <row r="6795" spans="1:5" x14ac:dyDescent="0.25">
      <c r="A6795" t="s">
        <v>75</v>
      </c>
      <c r="B6795">
        <v>2003</v>
      </c>
      <c r="C6795" t="s">
        <v>57</v>
      </c>
      <c r="D6795">
        <v>16531839.168</v>
      </c>
      <c r="E6795" t="s">
        <v>98</v>
      </c>
    </row>
    <row r="6796" spans="1:5" x14ac:dyDescent="0.25">
      <c r="A6796" t="s">
        <v>75</v>
      </c>
      <c r="B6796">
        <v>2004</v>
      </c>
      <c r="C6796" t="s">
        <v>57</v>
      </c>
      <c r="D6796">
        <v>14686469.755999999</v>
      </c>
      <c r="E6796" t="s">
        <v>98</v>
      </c>
    </row>
    <row r="6797" spans="1:5" x14ac:dyDescent="0.25">
      <c r="A6797" t="s">
        <v>75</v>
      </c>
      <c r="B6797">
        <v>2005</v>
      </c>
      <c r="C6797" t="s">
        <v>57</v>
      </c>
      <c r="D6797">
        <v>20841270.723000001</v>
      </c>
      <c r="E6797" t="s">
        <v>98</v>
      </c>
    </row>
    <row r="6798" spans="1:5" x14ac:dyDescent="0.25">
      <c r="A6798" t="s">
        <v>75</v>
      </c>
      <c r="B6798">
        <v>2006</v>
      </c>
      <c r="C6798" t="s">
        <v>57</v>
      </c>
      <c r="D6798">
        <v>19642646.767000001</v>
      </c>
      <c r="E6798" t="s">
        <v>98</v>
      </c>
    </row>
    <row r="6799" spans="1:5" x14ac:dyDescent="0.25">
      <c r="A6799" t="s">
        <v>75</v>
      </c>
      <c r="B6799">
        <v>2007</v>
      </c>
      <c r="C6799" t="s">
        <v>57</v>
      </c>
      <c r="D6799">
        <v>19059300.296</v>
      </c>
      <c r="E6799" t="s">
        <v>98</v>
      </c>
    </row>
    <row r="6800" spans="1:5" x14ac:dyDescent="0.25">
      <c r="A6800" t="s">
        <v>75</v>
      </c>
      <c r="B6800">
        <v>2008</v>
      </c>
      <c r="C6800" t="s">
        <v>57</v>
      </c>
      <c r="D6800">
        <v>26918598.952</v>
      </c>
      <c r="E6800" t="s">
        <v>98</v>
      </c>
    </row>
    <row r="6801" spans="1:5" x14ac:dyDescent="0.25">
      <c r="A6801" t="s">
        <v>75</v>
      </c>
      <c r="B6801">
        <v>2009</v>
      </c>
      <c r="C6801" t="s">
        <v>57</v>
      </c>
      <c r="D6801">
        <v>24252753.112</v>
      </c>
      <c r="E6801" t="s">
        <v>98</v>
      </c>
    </row>
    <row r="6802" spans="1:5" x14ac:dyDescent="0.25">
      <c r="A6802" t="s">
        <v>75</v>
      </c>
      <c r="B6802">
        <v>2010</v>
      </c>
      <c r="C6802" t="s">
        <v>57</v>
      </c>
      <c r="D6802">
        <v>20274039.804000001</v>
      </c>
      <c r="E6802" t="s">
        <v>98</v>
      </c>
    </row>
    <row r="6803" spans="1:5" x14ac:dyDescent="0.25">
      <c r="A6803" t="s">
        <v>75</v>
      </c>
      <c r="B6803">
        <v>2011</v>
      </c>
      <c r="C6803" t="s">
        <v>57</v>
      </c>
      <c r="D6803">
        <v>33073335.484999999</v>
      </c>
      <c r="E6803" t="s">
        <v>98</v>
      </c>
    </row>
    <row r="6804" spans="1:5" x14ac:dyDescent="0.25">
      <c r="A6804" t="s">
        <v>75</v>
      </c>
      <c r="B6804">
        <v>2012</v>
      </c>
      <c r="C6804" t="s">
        <v>57</v>
      </c>
      <c r="D6804">
        <v>33026806.616999999</v>
      </c>
      <c r="E6804" t="s">
        <v>98</v>
      </c>
    </row>
    <row r="6805" spans="1:5" x14ac:dyDescent="0.25">
      <c r="A6805" t="s">
        <v>75</v>
      </c>
      <c r="B6805">
        <v>2013</v>
      </c>
      <c r="C6805" t="s">
        <v>57</v>
      </c>
      <c r="D6805">
        <v>37522766.571000002</v>
      </c>
      <c r="E6805" t="s">
        <v>98</v>
      </c>
    </row>
    <row r="6806" spans="1:5" x14ac:dyDescent="0.25">
      <c r="A6806" t="s">
        <v>75</v>
      </c>
      <c r="B6806">
        <v>2014</v>
      </c>
      <c r="C6806" t="s">
        <v>57</v>
      </c>
      <c r="D6806">
        <v>35960377.806999996</v>
      </c>
      <c r="E6806" t="s">
        <v>98</v>
      </c>
    </row>
    <row r="6807" spans="1:5" x14ac:dyDescent="0.25">
      <c r="A6807" t="s">
        <v>75</v>
      </c>
      <c r="B6807">
        <v>2015</v>
      </c>
      <c r="C6807" t="s">
        <v>57</v>
      </c>
      <c r="D6807">
        <v>29214270.989</v>
      </c>
      <c r="E6807" t="s">
        <v>98</v>
      </c>
    </row>
    <row r="6808" spans="1:5" x14ac:dyDescent="0.25">
      <c r="A6808" t="s">
        <v>75</v>
      </c>
      <c r="B6808">
        <v>2016</v>
      </c>
      <c r="C6808" t="s">
        <v>57</v>
      </c>
      <c r="D6808">
        <v>28949572.868999999</v>
      </c>
      <c r="E6808" t="s">
        <v>98</v>
      </c>
    </row>
    <row r="6809" spans="1:5" x14ac:dyDescent="0.25">
      <c r="A6809" t="s">
        <v>75</v>
      </c>
      <c r="B6809">
        <v>2017</v>
      </c>
      <c r="C6809" t="s">
        <v>57</v>
      </c>
      <c r="D6809">
        <v>31606964.129000001</v>
      </c>
      <c r="E6809" t="s">
        <v>98</v>
      </c>
    </row>
    <row r="6810" spans="1:5" x14ac:dyDescent="0.25">
      <c r="A6810" t="s">
        <v>75</v>
      </c>
      <c r="B6810">
        <v>2018</v>
      </c>
      <c r="C6810" t="s">
        <v>57</v>
      </c>
      <c r="D6810">
        <v>23168919.715</v>
      </c>
      <c r="E6810" t="s">
        <v>98</v>
      </c>
    </row>
    <row r="6811" spans="1:5" x14ac:dyDescent="0.25">
      <c r="A6811" t="s">
        <v>75</v>
      </c>
      <c r="B6811">
        <v>2019</v>
      </c>
      <c r="C6811" t="s">
        <v>57</v>
      </c>
      <c r="D6811">
        <v>24654825.136999998</v>
      </c>
      <c r="E6811" t="s">
        <v>98</v>
      </c>
    </row>
    <row r="6812" spans="1:5" x14ac:dyDescent="0.25">
      <c r="A6812" t="s">
        <v>75</v>
      </c>
      <c r="B6812">
        <v>2020</v>
      </c>
      <c r="C6812" t="s">
        <v>57</v>
      </c>
      <c r="D6812">
        <v>29767394.037999999</v>
      </c>
      <c r="E6812" t="s">
        <v>98</v>
      </c>
    </row>
    <row r="6813" spans="1:5" x14ac:dyDescent="0.25">
      <c r="A6813" t="s">
        <v>75</v>
      </c>
      <c r="B6813">
        <v>2021</v>
      </c>
      <c r="C6813" t="s">
        <v>57</v>
      </c>
      <c r="D6813">
        <v>22474271.425999999</v>
      </c>
      <c r="E6813" t="s">
        <v>98</v>
      </c>
    </row>
    <row r="6814" spans="1:5" x14ac:dyDescent="0.25">
      <c r="A6814" t="s">
        <v>75</v>
      </c>
      <c r="B6814">
        <v>2022</v>
      </c>
      <c r="C6814" t="s">
        <v>57</v>
      </c>
      <c r="D6814">
        <v>20822833.627</v>
      </c>
      <c r="E6814" t="s">
        <v>98</v>
      </c>
    </row>
    <row r="6815" spans="1:5" x14ac:dyDescent="0.25">
      <c r="A6815" t="s">
        <v>75</v>
      </c>
      <c r="B6815">
        <v>2023</v>
      </c>
      <c r="C6815" t="s">
        <v>57</v>
      </c>
      <c r="D6815">
        <v>23142915.052000001</v>
      </c>
      <c r="E6815" t="s">
        <v>98</v>
      </c>
    </row>
    <row r="6816" spans="1:5" x14ac:dyDescent="0.25">
      <c r="A6816" t="s">
        <v>75</v>
      </c>
      <c r="B6816">
        <v>2024</v>
      </c>
      <c r="C6816" t="s">
        <v>57</v>
      </c>
      <c r="D6816">
        <v>28422589.938000001</v>
      </c>
      <c r="E6816" t="s">
        <v>98</v>
      </c>
    </row>
    <row r="6817" spans="1:5" x14ac:dyDescent="0.25">
      <c r="A6817" t="s">
        <v>75</v>
      </c>
      <c r="B6817">
        <v>2025</v>
      </c>
      <c r="C6817" t="s">
        <v>57</v>
      </c>
      <c r="D6817">
        <v>27953284.274999999</v>
      </c>
      <c r="E6817" t="s">
        <v>98</v>
      </c>
    </row>
    <row r="6818" spans="1:5" x14ac:dyDescent="0.25">
      <c r="A6818" t="s">
        <v>91</v>
      </c>
      <c r="B6818">
        <v>2017</v>
      </c>
      <c r="C6818" t="s">
        <v>57</v>
      </c>
      <c r="D6818">
        <v>98866000</v>
      </c>
      <c r="E6818" t="s">
        <v>98</v>
      </c>
    </row>
    <row r="6819" spans="1:5" x14ac:dyDescent="0.25">
      <c r="A6819" t="s">
        <v>91</v>
      </c>
      <c r="B6819">
        <v>2018</v>
      </c>
      <c r="C6819" t="s">
        <v>57</v>
      </c>
      <c r="D6819">
        <v>125527000</v>
      </c>
      <c r="E6819" t="s">
        <v>98</v>
      </c>
    </row>
    <row r="6820" spans="1:5" x14ac:dyDescent="0.25">
      <c r="A6820" t="s">
        <v>91</v>
      </c>
      <c r="B6820">
        <v>2019</v>
      </c>
      <c r="C6820" t="s">
        <v>57</v>
      </c>
      <c r="D6820">
        <v>102023000</v>
      </c>
      <c r="E6820" t="s">
        <v>98</v>
      </c>
    </row>
    <row r="6821" spans="1:5" x14ac:dyDescent="0.25">
      <c r="A6821" t="s">
        <v>91</v>
      </c>
      <c r="B6821">
        <v>2020</v>
      </c>
      <c r="C6821" t="s">
        <v>57</v>
      </c>
      <c r="D6821">
        <v>94521000</v>
      </c>
      <c r="E6821" t="s">
        <v>98</v>
      </c>
    </row>
    <row r="6822" spans="1:5" x14ac:dyDescent="0.25">
      <c r="A6822" t="s">
        <v>91</v>
      </c>
      <c r="B6822">
        <v>2021</v>
      </c>
      <c r="C6822" t="s">
        <v>57</v>
      </c>
      <c r="D6822">
        <v>108301000</v>
      </c>
      <c r="E6822" t="s">
        <v>98</v>
      </c>
    </row>
    <row r="6823" spans="1:5" x14ac:dyDescent="0.25">
      <c r="A6823" t="s">
        <v>91</v>
      </c>
      <c r="B6823">
        <v>2022</v>
      </c>
      <c r="C6823" t="s">
        <v>57</v>
      </c>
      <c r="D6823">
        <v>123142000</v>
      </c>
      <c r="E6823" t="s">
        <v>98</v>
      </c>
    </row>
    <row r="6824" spans="1:5" x14ac:dyDescent="0.25">
      <c r="A6824" t="s">
        <v>91</v>
      </c>
      <c r="B6824">
        <v>2023</v>
      </c>
      <c r="C6824" t="s">
        <v>57</v>
      </c>
      <c r="D6824">
        <v>125964000</v>
      </c>
      <c r="E6824" t="s">
        <v>98</v>
      </c>
    </row>
    <row r="6825" spans="1:5" x14ac:dyDescent="0.25">
      <c r="A6825" t="s">
        <v>91</v>
      </c>
      <c r="B6825">
        <v>2024</v>
      </c>
      <c r="C6825" t="s">
        <v>57</v>
      </c>
      <c r="D6825">
        <v>199685000</v>
      </c>
      <c r="E6825" t="s">
        <v>98</v>
      </c>
    </row>
    <row r="6826" spans="1:5" x14ac:dyDescent="0.25">
      <c r="A6826" t="s">
        <v>91</v>
      </c>
      <c r="B6826">
        <v>2025</v>
      </c>
      <c r="C6826" t="s">
        <v>57</v>
      </c>
      <c r="D6826">
        <v>106611000</v>
      </c>
      <c r="E6826" t="s">
        <v>98</v>
      </c>
    </row>
    <row r="6827" spans="1:5" x14ac:dyDescent="0.25">
      <c r="A6827" t="s">
        <v>29</v>
      </c>
      <c r="B6827">
        <v>2000</v>
      </c>
      <c r="C6827" t="s">
        <v>57</v>
      </c>
      <c r="D6827">
        <v>202071954.47</v>
      </c>
      <c r="E6827" t="s">
        <v>98</v>
      </c>
    </row>
    <row r="6828" spans="1:5" x14ac:dyDescent="0.25">
      <c r="A6828" t="s">
        <v>29</v>
      </c>
      <c r="B6828">
        <v>2001</v>
      </c>
      <c r="C6828" t="s">
        <v>57</v>
      </c>
      <c r="D6828">
        <v>231015297.896</v>
      </c>
      <c r="E6828" t="s">
        <v>98</v>
      </c>
    </row>
    <row r="6829" spans="1:5" x14ac:dyDescent="0.25">
      <c r="A6829" t="s">
        <v>29</v>
      </c>
      <c r="B6829">
        <v>2002</v>
      </c>
      <c r="C6829" t="s">
        <v>57</v>
      </c>
      <c r="D6829">
        <v>302143162.74699998</v>
      </c>
      <c r="E6829" t="s">
        <v>98</v>
      </c>
    </row>
    <row r="6830" spans="1:5" x14ac:dyDescent="0.25">
      <c r="A6830" t="s">
        <v>29</v>
      </c>
      <c r="B6830">
        <v>2003</v>
      </c>
      <c r="C6830" t="s">
        <v>57</v>
      </c>
      <c r="D6830">
        <v>390049530.22399998</v>
      </c>
      <c r="E6830" t="s">
        <v>98</v>
      </c>
    </row>
    <row r="6831" spans="1:5" x14ac:dyDescent="0.25">
      <c r="A6831" t="s">
        <v>29</v>
      </c>
      <c r="B6831">
        <v>2004</v>
      </c>
      <c r="C6831" t="s">
        <v>57</v>
      </c>
      <c r="D6831">
        <v>417273086.36299998</v>
      </c>
      <c r="E6831" t="s">
        <v>98</v>
      </c>
    </row>
    <row r="6832" spans="1:5" x14ac:dyDescent="0.25">
      <c r="A6832" t="s">
        <v>29</v>
      </c>
      <c r="B6832">
        <v>2005</v>
      </c>
      <c r="C6832" t="s">
        <v>57</v>
      </c>
      <c r="D6832">
        <v>459973027.03299999</v>
      </c>
      <c r="E6832" t="s">
        <v>98</v>
      </c>
    </row>
    <row r="6833" spans="1:5" x14ac:dyDescent="0.25">
      <c r="A6833" t="s">
        <v>29</v>
      </c>
      <c r="B6833">
        <v>2006</v>
      </c>
      <c r="C6833" t="s">
        <v>57</v>
      </c>
      <c r="D6833">
        <v>513639059.77499998</v>
      </c>
      <c r="E6833" t="s">
        <v>98</v>
      </c>
    </row>
    <row r="6834" spans="1:5" x14ac:dyDescent="0.25">
      <c r="A6834" t="s">
        <v>29</v>
      </c>
      <c r="B6834">
        <v>2007</v>
      </c>
      <c r="C6834" t="s">
        <v>57</v>
      </c>
      <c r="D6834">
        <v>618396486.50999999</v>
      </c>
      <c r="E6834" t="s">
        <v>98</v>
      </c>
    </row>
    <row r="6835" spans="1:5" x14ac:dyDescent="0.25">
      <c r="A6835" t="s">
        <v>29</v>
      </c>
      <c r="B6835">
        <v>2008</v>
      </c>
      <c r="C6835" t="s">
        <v>57</v>
      </c>
      <c r="D6835">
        <v>733839371.98399997</v>
      </c>
      <c r="E6835" t="s">
        <v>98</v>
      </c>
    </row>
    <row r="6836" spans="1:5" x14ac:dyDescent="0.25">
      <c r="A6836" t="s">
        <v>29</v>
      </c>
      <c r="B6836">
        <v>2009</v>
      </c>
      <c r="C6836" t="s">
        <v>57</v>
      </c>
      <c r="D6836">
        <v>676750764.63600004</v>
      </c>
      <c r="E6836" t="s">
        <v>98</v>
      </c>
    </row>
    <row r="6837" spans="1:5" x14ac:dyDescent="0.25">
      <c r="A6837" t="s">
        <v>29</v>
      </c>
      <c r="B6837">
        <v>2010</v>
      </c>
      <c r="C6837" t="s">
        <v>57</v>
      </c>
      <c r="D6837">
        <v>591309542.829</v>
      </c>
      <c r="E6837" t="s">
        <v>98</v>
      </c>
    </row>
    <row r="6838" spans="1:5" x14ac:dyDescent="0.25">
      <c r="A6838" t="s">
        <v>29</v>
      </c>
      <c r="B6838">
        <v>2011</v>
      </c>
      <c r="C6838" t="s">
        <v>57</v>
      </c>
      <c r="D6838">
        <v>720397279.11300004</v>
      </c>
      <c r="E6838" t="s">
        <v>98</v>
      </c>
    </row>
    <row r="6839" spans="1:5" x14ac:dyDescent="0.25">
      <c r="A6839" t="s">
        <v>29</v>
      </c>
      <c r="B6839">
        <v>2012</v>
      </c>
      <c r="C6839" t="s">
        <v>57</v>
      </c>
      <c r="D6839">
        <v>741592836.61300004</v>
      </c>
      <c r="E6839" t="s">
        <v>98</v>
      </c>
    </row>
    <row r="6840" spans="1:5" x14ac:dyDescent="0.25">
      <c r="A6840" t="s">
        <v>29</v>
      </c>
      <c r="B6840">
        <v>2013</v>
      </c>
      <c r="C6840" t="s">
        <v>57</v>
      </c>
      <c r="D6840">
        <v>813637675.14999998</v>
      </c>
      <c r="E6840" t="s">
        <v>98</v>
      </c>
    </row>
    <row r="6841" spans="1:5" x14ac:dyDescent="0.25">
      <c r="A6841" t="s">
        <v>29</v>
      </c>
      <c r="B6841">
        <v>2014</v>
      </c>
      <c r="C6841" t="s">
        <v>57</v>
      </c>
      <c r="D6841">
        <v>807667201.14300001</v>
      </c>
      <c r="E6841" t="s">
        <v>98</v>
      </c>
    </row>
    <row r="6842" spans="1:5" x14ac:dyDescent="0.25">
      <c r="A6842" t="s">
        <v>29</v>
      </c>
      <c r="B6842">
        <v>2015</v>
      </c>
      <c r="C6842" t="s">
        <v>57</v>
      </c>
      <c r="D6842">
        <v>623831571.96200001</v>
      </c>
      <c r="E6842" t="s">
        <v>98</v>
      </c>
    </row>
    <row r="6843" spans="1:5" x14ac:dyDescent="0.25">
      <c r="A6843" t="s">
        <v>29</v>
      </c>
      <c r="B6843">
        <v>2016</v>
      </c>
      <c r="C6843" t="s">
        <v>57</v>
      </c>
      <c r="D6843">
        <v>639728007.75699997</v>
      </c>
      <c r="E6843" t="s">
        <v>98</v>
      </c>
    </row>
    <row r="6844" spans="1:5" x14ac:dyDescent="0.25">
      <c r="A6844" t="s">
        <v>29</v>
      </c>
      <c r="B6844">
        <v>2017</v>
      </c>
      <c r="C6844" t="s">
        <v>57</v>
      </c>
      <c r="D6844">
        <v>786916426.99100006</v>
      </c>
      <c r="E6844" t="s">
        <v>98</v>
      </c>
    </row>
    <row r="6845" spans="1:5" x14ac:dyDescent="0.25">
      <c r="A6845" t="s">
        <v>29</v>
      </c>
      <c r="B6845">
        <v>2018</v>
      </c>
      <c r="C6845" t="s">
        <v>57</v>
      </c>
      <c r="D6845">
        <v>872150583.48000002</v>
      </c>
      <c r="E6845" t="s">
        <v>98</v>
      </c>
    </row>
    <row r="6846" spans="1:5" x14ac:dyDescent="0.25">
      <c r="A6846" t="s">
        <v>29</v>
      </c>
      <c r="B6846">
        <v>2019</v>
      </c>
      <c r="C6846" t="s">
        <v>57</v>
      </c>
      <c r="D6846">
        <v>740401272.26100004</v>
      </c>
      <c r="E6846" t="s">
        <v>98</v>
      </c>
    </row>
    <row r="6847" spans="1:5" x14ac:dyDescent="0.25">
      <c r="A6847" t="s">
        <v>29</v>
      </c>
      <c r="B6847">
        <v>2020</v>
      </c>
      <c r="C6847" t="s">
        <v>57</v>
      </c>
      <c r="D6847">
        <v>793769984.92999995</v>
      </c>
      <c r="E6847" t="s">
        <v>98</v>
      </c>
    </row>
    <row r="6848" spans="1:5" x14ac:dyDescent="0.25">
      <c r="A6848" t="s">
        <v>29</v>
      </c>
      <c r="B6848">
        <v>2021</v>
      </c>
      <c r="C6848" t="s">
        <v>57</v>
      </c>
      <c r="D6848">
        <v>787202909.96200001</v>
      </c>
      <c r="E6848" t="s">
        <v>98</v>
      </c>
    </row>
    <row r="6849" spans="1:5" x14ac:dyDescent="0.25">
      <c r="A6849" t="s">
        <v>29</v>
      </c>
      <c r="B6849">
        <v>2022</v>
      </c>
      <c r="C6849" t="s">
        <v>57</v>
      </c>
      <c r="D6849">
        <v>879303746.06700003</v>
      </c>
      <c r="E6849" t="s">
        <v>98</v>
      </c>
    </row>
    <row r="6850" spans="1:5" x14ac:dyDescent="0.25">
      <c r="A6850" t="s">
        <v>29</v>
      </c>
      <c r="B6850">
        <v>2023</v>
      </c>
      <c r="C6850" t="s">
        <v>57</v>
      </c>
      <c r="D6850">
        <v>976629678.21200001</v>
      </c>
      <c r="E6850" t="s">
        <v>98</v>
      </c>
    </row>
    <row r="6851" spans="1:5" x14ac:dyDescent="0.25">
      <c r="A6851" t="s">
        <v>29</v>
      </c>
      <c r="B6851">
        <v>2024</v>
      </c>
      <c r="C6851" t="s">
        <v>57</v>
      </c>
      <c r="D6851">
        <v>953165831.13</v>
      </c>
      <c r="E6851" t="s">
        <v>98</v>
      </c>
    </row>
    <row r="6852" spans="1:5" x14ac:dyDescent="0.25">
      <c r="A6852" t="s">
        <v>29</v>
      </c>
      <c r="B6852">
        <v>2025</v>
      </c>
      <c r="C6852" t="s">
        <v>57</v>
      </c>
      <c r="D6852">
        <v>799323275.16700006</v>
      </c>
      <c r="E6852" t="s">
        <v>98</v>
      </c>
    </row>
    <row r="6853" spans="1:5" x14ac:dyDescent="0.25">
      <c r="A6853" t="s">
        <v>74</v>
      </c>
      <c r="B6853">
        <v>2010</v>
      </c>
      <c r="C6853" t="s">
        <v>57</v>
      </c>
      <c r="D6853">
        <v>227684073.359</v>
      </c>
      <c r="E6853" t="s">
        <v>98</v>
      </c>
    </row>
    <row r="6854" spans="1:5" x14ac:dyDescent="0.25">
      <c r="A6854" t="s">
        <v>74</v>
      </c>
      <c r="B6854">
        <v>2011</v>
      </c>
      <c r="C6854" t="s">
        <v>57</v>
      </c>
      <c r="D6854">
        <v>305922078.741</v>
      </c>
      <c r="E6854" t="s">
        <v>98</v>
      </c>
    </row>
    <row r="6855" spans="1:5" x14ac:dyDescent="0.25">
      <c r="A6855" t="s">
        <v>74</v>
      </c>
      <c r="B6855">
        <v>2012</v>
      </c>
      <c r="C6855" t="s">
        <v>57</v>
      </c>
      <c r="D6855">
        <v>366634158.12800002</v>
      </c>
      <c r="E6855" t="s">
        <v>98</v>
      </c>
    </row>
    <row r="6856" spans="1:5" x14ac:dyDescent="0.25">
      <c r="A6856" t="s">
        <v>74</v>
      </c>
      <c r="B6856">
        <v>2013</v>
      </c>
      <c r="C6856" t="s">
        <v>57</v>
      </c>
      <c r="D6856">
        <v>338680412.49900001</v>
      </c>
      <c r="E6856" t="s">
        <v>98</v>
      </c>
    </row>
    <row r="6857" spans="1:5" x14ac:dyDescent="0.25">
      <c r="A6857" t="s">
        <v>74</v>
      </c>
      <c r="B6857">
        <v>2014</v>
      </c>
      <c r="C6857" t="s">
        <v>57</v>
      </c>
      <c r="D6857">
        <v>299032779.26200002</v>
      </c>
      <c r="E6857" t="s">
        <v>98</v>
      </c>
    </row>
    <row r="6858" spans="1:5" x14ac:dyDescent="0.25">
      <c r="A6858" t="s">
        <v>74</v>
      </c>
      <c r="B6858">
        <v>2015</v>
      </c>
      <c r="C6858" t="s">
        <v>57</v>
      </c>
      <c r="D6858">
        <v>270079007.91399997</v>
      </c>
      <c r="E6858" t="s">
        <v>98</v>
      </c>
    </row>
    <row r="6859" spans="1:5" x14ac:dyDescent="0.25">
      <c r="A6859" t="s">
        <v>74</v>
      </c>
      <c r="B6859">
        <v>2016</v>
      </c>
      <c r="C6859" t="s">
        <v>57</v>
      </c>
      <c r="D6859">
        <v>300103198.08700001</v>
      </c>
      <c r="E6859" t="s">
        <v>98</v>
      </c>
    </row>
    <row r="6860" spans="1:5" x14ac:dyDescent="0.25">
      <c r="A6860" t="s">
        <v>74</v>
      </c>
      <c r="B6860">
        <v>2017</v>
      </c>
      <c r="C6860" t="s">
        <v>57</v>
      </c>
      <c r="D6860">
        <v>346585470.22500002</v>
      </c>
      <c r="E6860" t="s">
        <v>98</v>
      </c>
    </row>
    <row r="6861" spans="1:5" x14ac:dyDescent="0.25">
      <c r="A6861" t="s">
        <v>74</v>
      </c>
      <c r="B6861">
        <v>2018</v>
      </c>
      <c r="C6861" t="s">
        <v>57</v>
      </c>
      <c r="D6861">
        <v>377391189.28399998</v>
      </c>
      <c r="E6861" t="s">
        <v>98</v>
      </c>
    </row>
    <row r="6862" spans="1:5" x14ac:dyDescent="0.25">
      <c r="A6862" t="s">
        <v>74</v>
      </c>
      <c r="B6862">
        <v>2019</v>
      </c>
      <c r="C6862" t="s">
        <v>57</v>
      </c>
      <c r="D6862">
        <v>366420219.421</v>
      </c>
      <c r="E6862" t="s">
        <v>98</v>
      </c>
    </row>
    <row r="6863" spans="1:5" x14ac:dyDescent="0.25">
      <c r="A6863" t="s">
        <v>74</v>
      </c>
      <c r="B6863">
        <v>2020</v>
      </c>
      <c r="C6863" t="s">
        <v>57</v>
      </c>
      <c r="D6863">
        <v>374032370.19599998</v>
      </c>
      <c r="E6863" t="s">
        <v>98</v>
      </c>
    </row>
    <row r="6864" spans="1:5" x14ac:dyDescent="0.25">
      <c r="A6864" t="s">
        <v>74</v>
      </c>
      <c r="B6864">
        <v>2021</v>
      </c>
      <c r="C6864" t="s">
        <v>57</v>
      </c>
      <c r="D6864">
        <v>357035278.241</v>
      </c>
      <c r="E6864" t="s">
        <v>98</v>
      </c>
    </row>
    <row r="6865" spans="1:5" x14ac:dyDescent="0.25">
      <c r="A6865" t="s">
        <v>74</v>
      </c>
      <c r="B6865">
        <v>2022</v>
      </c>
      <c r="C6865" t="s">
        <v>57</v>
      </c>
      <c r="D6865">
        <v>389369220.71399999</v>
      </c>
      <c r="E6865" t="s">
        <v>98</v>
      </c>
    </row>
    <row r="6866" spans="1:5" x14ac:dyDescent="0.25">
      <c r="A6866" t="s">
        <v>74</v>
      </c>
      <c r="B6866">
        <v>2023</v>
      </c>
      <c r="C6866" t="s">
        <v>57</v>
      </c>
      <c r="D6866">
        <v>419626581.19700003</v>
      </c>
      <c r="E6866" t="s">
        <v>98</v>
      </c>
    </row>
    <row r="6867" spans="1:5" x14ac:dyDescent="0.25">
      <c r="A6867" t="s">
        <v>74</v>
      </c>
      <c r="B6867">
        <v>2024</v>
      </c>
      <c r="C6867" t="s">
        <v>57</v>
      </c>
      <c r="D6867">
        <v>384687421.89499998</v>
      </c>
      <c r="E6867" t="s">
        <v>98</v>
      </c>
    </row>
    <row r="6868" spans="1:5" x14ac:dyDescent="0.25">
      <c r="A6868" t="s">
        <v>74</v>
      </c>
      <c r="B6868">
        <v>2025</v>
      </c>
      <c r="C6868" t="s">
        <v>57</v>
      </c>
      <c r="D6868">
        <v>344785008.16399997</v>
      </c>
      <c r="E6868" t="s">
        <v>98</v>
      </c>
    </row>
    <row r="6869" spans="1:5" x14ac:dyDescent="0.25">
      <c r="A6869" t="s">
        <v>114</v>
      </c>
      <c r="B6869">
        <v>2010</v>
      </c>
      <c r="C6869" t="s">
        <v>57</v>
      </c>
      <c r="D6869">
        <v>27416714.206999999</v>
      </c>
      <c r="E6869" t="s">
        <v>98</v>
      </c>
    </row>
    <row r="6870" spans="1:5" x14ac:dyDescent="0.25">
      <c r="A6870" t="s">
        <v>114</v>
      </c>
      <c r="B6870">
        <v>2011</v>
      </c>
      <c r="C6870" t="s">
        <v>57</v>
      </c>
      <c r="D6870">
        <v>23087497.806000002</v>
      </c>
      <c r="E6870" t="s">
        <v>98</v>
      </c>
    </row>
    <row r="6871" spans="1:5" x14ac:dyDescent="0.25">
      <c r="A6871" t="s">
        <v>114</v>
      </c>
      <c r="B6871">
        <v>2012</v>
      </c>
      <c r="C6871" t="s">
        <v>57</v>
      </c>
      <c r="D6871">
        <v>32606278.679000001</v>
      </c>
      <c r="E6871" t="s">
        <v>98</v>
      </c>
    </row>
    <row r="6872" spans="1:5" x14ac:dyDescent="0.25">
      <c r="A6872" t="s">
        <v>114</v>
      </c>
      <c r="B6872">
        <v>2013</v>
      </c>
      <c r="C6872" t="s">
        <v>57</v>
      </c>
      <c r="D6872">
        <v>35534142.671999998</v>
      </c>
      <c r="E6872" t="s">
        <v>98</v>
      </c>
    </row>
    <row r="6873" spans="1:5" x14ac:dyDescent="0.25">
      <c r="A6873" t="s">
        <v>114</v>
      </c>
      <c r="B6873">
        <v>2017</v>
      </c>
      <c r="C6873" t="s">
        <v>57</v>
      </c>
      <c r="D6873">
        <v>44677792.292000003</v>
      </c>
      <c r="E6873" t="s">
        <v>98</v>
      </c>
    </row>
    <row r="6874" spans="1:5" x14ac:dyDescent="0.25">
      <c r="A6874" t="s">
        <v>114</v>
      </c>
      <c r="B6874">
        <v>2022</v>
      </c>
      <c r="C6874" t="s">
        <v>57</v>
      </c>
      <c r="D6874">
        <v>45786774.442000002</v>
      </c>
      <c r="E6874" t="s">
        <v>98</v>
      </c>
    </row>
    <row r="6875" spans="1:5" x14ac:dyDescent="0.25">
      <c r="A6875" t="s">
        <v>113</v>
      </c>
      <c r="B6875">
        <v>2023</v>
      </c>
      <c r="C6875" t="s">
        <v>57</v>
      </c>
      <c r="D6875">
        <v>2158720.29</v>
      </c>
      <c r="E6875" t="s">
        <v>98</v>
      </c>
    </row>
    <row r="6876" spans="1:5" x14ac:dyDescent="0.25">
      <c r="A6876" t="s">
        <v>30</v>
      </c>
      <c r="B6876">
        <v>2015</v>
      </c>
      <c r="C6876" t="s">
        <v>57</v>
      </c>
      <c r="D6876">
        <v>27183632.831999999</v>
      </c>
      <c r="E6876" t="s">
        <v>98</v>
      </c>
    </row>
    <row r="6877" spans="1:5" x14ac:dyDescent="0.25">
      <c r="A6877" t="s">
        <v>30</v>
      </c>
      <c r="B6877">
        <v>2016</v>
      </c>
      <c r="C6877" t="s">
        <v>57</v>
      </c>
      <c r="D6877">
        <v>24889291.971000001</v>
      </c>
      <c r="E6877" t="s">
        <v>98</v>
      </c>
    </row>
    <row r="6878" spans="1:5" x14ac:dyDescent="0.25">
      <c r="A6878" t="s">
        <v>30</v>
      </c>
      <c r="B6878">
        <v>2017</v>
      </c>
      <c r="C6878" t="s">
        <v>57</v>
      </c>
      <c r="D6878">
        <v>33102786.679000001</v>
      </c>
      <c r="E6878" t="s">
        <v>98</v>
      </c>
    </row>
    <row r="6879" spans="1:5" x14ac:dyDescent="0.25">
      <c r="A6879" t="s">
        <v>30</v>
      </c>
      <c r="B6879">
        <v>2021</v>
      </c>
      <c r="C6879" t="s">
        <v>57</v>
      </c>
      <c r="D6879">
        <v>22069318</v>
      </c>
      <c r="E6879" t="s">
        <v>98</v>
      </c>
    </row>
    <row r="6880" spans="1:5" x14ac:dyDescent="0.25">
      <c r="A6880" t="s">
        <v>30</v>
      </c>
      <c r="B6880">
        <v>2022</v>
      </c>
      <c r="C6880" t="s">
        <v>57</v>
      </c>
      <c r="D6880">
        <v>23747273.324999999</v>
      </c>
      <c r="E6880" t="s">
        <v>98</v>
      </c>
    </row>
    <row r="6881" spans="1:5" x14ac:dyDescent="0.25">
      <c r="A6881" t="s">
        <v>30</v>
      </c>
      <c r="B6881">
        <v>2023</v>
      </c>
      <c r="C6881" t="s">
        <v>57</v>
      </c>
      <c r="D6881">
        <v>31844104.396000002</v>
      </c>
      <c r="E6881" t="s">
        <v>98</v>
      </c>
    </row>
    <row r="6882" spans="1:5" x14ac:dyDescent="0.25">
      <c r="A6882" t="s">
        <v>30</v>
      </c>
      <c r="B6882">
        <v>2024</v>
      </c>
      <c r="C6882" t="s">
        <v>57</v>
      </c>
      <c r="D6882">
        <v>25269661</v>
      </c>
      <c r="E6882" t="s">
        <v>98</v>
      </c>
    </row>
    <row r="6883" spans="1:5" x14ac:dyDescent="0.25">
      <c r="A6883" t="s">
        <v>112</v>
      </c>
      <c r="B6883">
        <v>2011</v>
      </c>
      <c r="C6883" t="s">
        <v>57</v>
      </c>
      <c r="D6883">
        <v>3886014</v>
      </c>
      <c r="E6883" t="s">
        <v>98</v>
      </c>
    </row>
    <row r="6884" spans="1:5" x14ac:dyDescent="0.25">
      <c r="A6884" t="s">
        <v>112</v>
      </c>
      <c r="B6884">
        <v>2012</v>
      </c>
      <c r="C6884" t="s">
        <v>57</v>
      </c>
      <c r="D6884">
        <v>3635830</v>
      </c>
      <c r="E6884" t="s">
        <v>98</v>
      </c>
    </row>
    <row r="6885" spans="1:5" x14ac:dyDescent="0.25">
      <c r="A6885" t="s">
        <v>112</v>
      </c>
      <c r="B6885">
        <v>2013</v>
      </c>
      <c r="C6885" t="s">
        <v>57</v>
      </c>
      <c r="D6885">
        <v>5679395</v>
      </c>
      <c r="E6885" t="s">
        <v>98</v>
      </c>
    </row>
    <row r="6886" spans="1:5" x14ac:dyDescent="0.25">
      <c r="A6886" t="s">
        <v>112</v>
      </c>
      <c r="B6886">
        <v>2014</v>
      </c>
      <c r="C6886" t="s">
        <v>57</v>
      </c>
      <c r="D6886">
        <v>4798969</v>
      </c>
      <c r="E6886" t="s">
        <v>98</v>
      </c>
    </row>
    <row r="6887" spans="1:5" x14ac:dyDescent="0.25">
      <c r="A6887" t="s">
        <v>112</v>
      </c>
      <c r="B6887">
        <v>2015</v>
      </c>
      <c r="C6887" t="s">
        <v>57</v>
      </c>
      <c r="D6887">
        <v>3966053</v>
      </c>
      <c r="E6887" t="s">
        <v>98</v>
      </c>
    </row>
    <row r="6888" spans="1:5" x14ac:dyDescent="0.25">
      <c r="A6888" t="s">
        <v>112</v>
      </c>
      <c r="B6888">
        <v>2016</v>
      </c>
      <c r="C6888" t="s">
        <v>57</v>
      </c>
      <c r="D6888">
        <v>4058878</v>
      </c>
      <c r="E6888" t="s">
        <v>98</v>
      </c>
    </row>
    <row r="6889" spans="1:5" x14ac:dyDescent="0.25">
      <c r="A6889" t="s">
        <v>112</v>
      </c>
      <c r="B6889">
        <v>2017</v>
      </c>
      <c r="C6889" t="s">
        <v>57</v>
      </c>
      <c r="D6889">
        <v>4802098</v>
      </c>
      <c r="E6889" t="s">
        <v>98</v>
      </c>
    </row>
    <row r="6890" spans="1:5" x14ac:dyDescent="0.25">
      <c r="A6890" t="s">
        <v>112</v>
      </c>
      <c r="B6890">
        <v>2018</v>
      </c>
      <c r="C6890" t="s">
        <v>57</v>
      </c>
      <c r="D6890">
        <v>5144042</v>
      </c>
      <c r="E6890" t="s">
        <v>98</v>
      </c>
    </row>
    <row r="6891" spans="1:5" x14ac:dyDescent="0.25">
      <c r="A6891" t="s">
        <v>112</v>
      </c>
      <c r="B6891">
        <v>2019</v>
      </c>
      <c r="C6891" t="s">
        <v>57</v>
      </c>
      <c r="D6891">
        <v>5126227</v>
      </c>
      <c r="E6891" t="s">
        <v>98</v>
      </c>
    </row>
    <row r="6892" spans="1:5" x14ac:dyDescent="0.25">
      <c r="A6892" t="s">
        <v>32</v>
      </c>
      <c r="B6892">
        <v>2013</v>
      </c>
      <c r="C6892" t="s">
        <v>57</v>
      </c>
      <c r="D6892">
        <v>6329152.4800000004</v>
      </c>
      <c r="E6892" t="s">
        <v>98</v>
      </c>
    </row>
    <row r="6893" spans="1:5" x14ac:dyDescent="0.25">
      <c r="A6893" t="s">
        <v>72</v>
      </c>
      <c r="B6893">
        <v>2011</v>
      </c>
      <c r="C6893" t="s">
        <v>57</v>
      </c>
      <c r="D6893">
        <v>11784514.588</v>
      </c>
      <c r="E6893" t="s">
        <v>98</v>
      </c>
    </row>
    <row r="6894" spans="1:5" x14ac:dyDescent="0.25">
      <c r="A6894" t="s">
        <v>72</v>
      </c>
      <c r="B6894">
        <v>2012</v>
      </c>
      <c r="C6894" t="s">
        <v>57</v>
      </c>
      <c r="D6894">
        <v>17210558.657000002</v>
      </c>
      <c r="E6894" t="s">
        <v>98</v>
      </c>
    </row>
    <row r="6895" spans="1:5" x14ac:dyDescent="0.25">
      <c r="A6895" t="s">
        <v>72</v>
      </c>
      <c r="B6895">
        <v>2013</v>
      </c>
      <c r="C6895" t="s">
        <v>57</v>
      </c>
      <c r="D6895">
        <v>12866746.082</v>
      </c>
      <c r="E6895" t="s">
        <v>98</v>
      </c>
    </row>
    <row r="6896" spans="1:5" x14ac:dyDescent="0.25">
      <c r="A6896" t="s">
        <v>72</v>
      </c>
      <c r="B6896">
        <v>2014</v>
      </c>
      <c r="C6896" t="s">
        <v>57</v>
      </c>
      <c r="D6896">
        <v>11263585.369999999</v>
      </c>
      <c r="E6896" t="s">
        <v>98</v>
      </c>
    </row>
    <row r="6897" spans="1:5" x14ac:dyDescent="0.25">
      <c r="A6897" t="s">
        <v>72</v>
      </c>
      <c r="B6897">
        <v>2015</v>
      </c>
      <c r="C6897" t="s">
        <v>57</v>
      </c>
      <c r="D6897">
        <v>15225552.055</v>
      </c>
      <c r="E6897" t="s">
        <v>98</v>
      </c>
    </row>
    <row r="6898" spans="1:5" x14ac:dyDescent="0.25">
      <c r="A6898" t="s">
        <v>72</v>
      </c>
      <c r="B6898">
        <v>2016</v>
      </c>
      <c r="C6898" t="s">
        <v>57</v>
      </c>
      <c r="D6898">
        <v>13129088.084000001</v>
      </c>
      <c r="E6898" t="s">
        <v>98</v>
      </c>
    </row>
    <row r="6899" spans="1:5" x14ac:dyDescent="0.25">
      <c r="A6899" t="s">
        <v>72</v>
      </c>
      <c r="B6899">
        <v>2017</v>
      </c>
      <c r="C6899" t="s">
        <v>57</v>
      </c>
      <c r="D6899">
        <v>12939570.277000001</v>
      </c>
      <c r="E6899" t="s">
        <v>98</v>
      </c>
    </row>
    <row r="6900" spans="1:5" x14ac:dyDescent="0.25">
      <c r="A6900" t="s">
        <v>72</v>
      </c>
      <c r="B6900">
        <v>2018</v>
      </c>
      <c r="C6900" t="s">
        <v>57</v>
      </c>
      <c r="D6900">
        <v>17964943.491</v>
      </c>
      <c r="E6900" t="s">
        <v>98</v>
      </c>
    </row>
    <row r="6901" spans="1:5" x14ac:dyDescent="0.25">
      <c r="A6901" t="s">
        <v>72</v>
      </c>
      <c r="B6901">
        <v>2019</v>
      </c>
      <c r="C6901" t="s">
        <v>57</v>
      </c>
      <c r="D6901">
        <v>16343311.772</v>
      </c>
      <c r="E6901" t="s">
        <v>98</v>
      </c>
    </row>
    <row r="6902" spans="1:5" x14ac:dyDescent="0.25">
      <c r="A6902" t="s">
        <v>72</v>
      </c>
      <c r="B6902">
        <v>2020</v>
      </c>
      <c r="C6902" t="s">
        <v>57</v>
      </c>
      <c r="D6902">
        <v>18472079.471000001</v>
      </c>
      <c r="E6902" t="s">
        <v>98</v>
      </c>
    </row>
    <row r="6903" spans="1:5" x14ac:dyDescent="0.25">
      <c r="A6903" t="s">
        <v>72</v>
      </c>
      <c r="B6903">
        <v>2021</v>
      </c>
      <c r="C6903" t="s">
        <v>57</v>
      </c>
      <c r="D6903">
        <v>21469336.857999999</v>
      </c>
      <c r="E6903" t="s">
        <v>98</v>
      </c>
    </row>
    <row r="6904" spans="1:5" x14ac:dyDescent="0.25">
      <c r="A6904" t="s">
        <v>72</v>
      </c>
      <c r="B6904">
        <v>2022</v>
      </c>
      <c r="C6904" t="s">
        <v>57</v>
      </c>
      <c r="D6904">
        <v>19754163.535999998</v>
      </c>
      <c r="E6904" t="s">
        <v>98</v>
      </c>
    </row>
    <row r="6905" spans="1:5" x14ac:dyDescent="0.25">
      <c r="A6905" t="s">
        <v>72</v>
      </c>
      <c r="B6905">
        <v>2023</v>
      </c>
      <c r="C6905" t="s">
        <v>57</v>
      </c>
      <c r="D6905">
        <v>13711194.322000001</v>
      </c>
      <c r="E6905" t="s">
        <v>98</v>
      </c>
    </row>
    <row r="6906" spans="1:5" x14ac:dyDescent="0.25">
      <c r="A6906" t="s">
        <v>72</v>
      </c>
      <c r="B6906">
        <v>2024</v>
      </c>
      <c r="C6906" t="s">
        <v>57</v>
      </c>
      <c r="D6906">
        <v>21629882.495999999</v>
      </c>
      <c r="E6906" t="s">
        <v>98</v>
      </c>
    </row>
    <row r="6907" spans="1:5" x14ac:dyDescent="0.25">
      <c r="A6907" t="s">
        <v>72</v>
      </c>
      <c r="B6907">
        <v>2025</v>
      </c>
      <c r="C6907" t="s">
        <v>57</v>
      </c>
      <c r="D6907">
        <v>19383943.517999999</v>
      </c>
      <c r="E6907" t="s">
        <v>98</v>
      </c>
    </row>
    <row r="6908" spans="1:5" x14ac:dyDescent="0.25">
      <c r="A6908" t="s">
        <v>71</v>
      </c>
      <c r="B6908">
        <v>2010</v>
      </c>
      <c r="C6908" t="s">
        <v>57</v>
      </c>
      <c r="D6908">
        <v>9691717.943</v>
      </c>
      <c r="E6908" t="s">
        <v>98</v>
      </c>
    </row>
    <row r="6909" spans="1:5" x14ac:dyDescent="0.25">
      <c r="A6909" t="s">
        <v>71</v>
      </c>
      <c r="B6909">
        <v>2011</v>
      </c>
      <c r="C6909" t="s">
        <v>57</v>
      </c>
      <c r="D6909">
        <v>10811143.989</v>
      </c>
      <c r="E6909" t="s">
        <v>98</v>
      </c>
    </row>
    <row r="6910" spans="1:5" x14ac:dyDescent="0.25">
      <c r="A6910" t="s">
        <v>71</v>
      </c>
      <c r="B6910">
        <v>2012</v>
      </c>
      <c r="C6910" t="s">
        <v>57</v>
      </c>
      <c r="D6910">
        <v>14072539.845000001</v>
      </c>
      <c r="E6910" t="s">
        <v>98</v>
      </c>
    </row>
    <row r="6911" spans="1:5" x14ac:dyDescent="0.25">
      <c r="A6911" t="s">
        <v>71</v>
      </c>
      <c r="B6911">
        <v>2013</v>
      </c>
      <c r="C6911" t="s">
        <v>57</v>
      </c>
      <c r="D6911">
        <v>13841033.122</v>
      </c>
      <c r="E6911" t="s">
        <v>98</v>
      </c>
    </row>
    <row r="6912" spans="1:5" x14ac:dyDescent="0.25">
      <c r="A6912" t="s">
        <v>71</v>
      </c>
      <c r="B6912">
        <v>2014</v>
      </c>
      <c r="C6912" t="s">
        <v>57</v>
      </c>
      <c r="D6912">
        <v>14101534.241</v>
      </c>
      <c r="E6912" t="s">
        <v>98</v>
      </c>
    </row>
    <row r="6913" spans="1:5" x14ac:dyDescent="0.25">
      <c r="A6913" t="s">
        <v>71</v>
      </c>
      <c r="B6913">
        <v>2015</v>
      </c>
      <c r="C6913" t="s">
        <v>57</v>
      </c>
      <c r="D6913">
        <v>10184111.457</v>
      </c>
      <c r="E6913" t="s">
        <v>98</v>
      </c>
    </row>
    <row r="6914" spans="1:5" x14ac:dyDescent="0.25">
      <c r="A6914" t="s">
        <v>71</v>
      </c>
      <c r="B6914">
        <v>2016</v>
      </c>
      <c r="C6914" t="s">
        <v>57</v>
      </c>
      <c r="D6914">
        <v>9809993.2709999997</v>
      </c>
      <c r="E6914" t="s">
        <v>98</v>
      </c>
    </row>
    <row r="6915" spans="1:5" x14ac:dyDescent="0.25">
      <c r="A6915" t="s">
        <v>71</v>
      </c>
      <c r="B6915">
        <v>2017</v>
      </c>
      <c r="C6915" t="s">
        <v>57</v>
      </c>
      <c r="D6915">
        <v>6830735.8030000003</v>
      </c>
      <c r="E6915" t="s">
        <v>98</v>
      </c>
    </row>
    <row r="6916" spans="1:5" x14ac:dyDescent="0.25">
      <c r="A6916" t="s">
        <v>71</v>
      </c>
      <c r="B6916">
        <v>2019</v>
      </c>
      <c r="C6916" t="s">
        <v>57</v>
      </c>
      <c r="D6916">
        <v>13410736.452</v>
      </c>
      <c r="E6916" t="s">
        <v>98</v>
      </c>
    </row>
    <row r="6917" spans="1:5" x14ac:dyDescent="0.25">
      <c r="A6917" t="s">
        <v>71</v>
      </c>
      <c r="B6917">
        <v>2020</v>
      </c>
      <c r="C6917" t="s">
        <v>57</v>
      </c>
      <c r="D6917">
        <v>12370415.960999999</v>
      </c>
      <c r="E6917" t="s">
        <v>98</v>
      </c>
    </row>
    <row r="6918" spans="1:5" x14ac:dyDescent="0.25">
      <c r="A6918" t="s">
        <v>71</v>
      </c>
      <c r="B6918">
        <v>2021</v>
      </c>
      <c r="C6918" t="s">
        <v>57</v>
      </c>
      <c r="D6918">
        <v>10718314.003</v>
      </c>
      <c r="E6918" t="s">
        <v>98</v>
      </c>
    </row>
    <row r="6919" spans="1:5" x14ac:dyDescent="0.25">
      <c r="A6919" t="s">
        <v>71</v>
      </c>
      <c r="B6919">
        <v>2022</v>
      </c>
      <c r="C6919" t="s">
        <v>57</v>
      </c>
      <c r="D6919">
        <v>11823217.179</v>
      </c>
      <c r="E6919" t="s">
        <v>98</v>
      </c>
    </row>
    <row r="6920" spans="1:5" x14ac:dyDescent="0.25">
      <c r="A6920" t="s">
        <v>71</v>
      </c>
      <c r="B6920">
        <v>2023</v>
      </c>
      <c r="C6920" t="s">
        <v>57</v>
      </c>
      <c r="D6920">
        <v>11662931.774</v>
      </c>
      <c r="E6920" t="s">
        <v>98</v>
      </c>
    </row>
    <row r="6921" spans="1:5" x14ac:dyDescent="0.25">
      <c r="A6921" t="s">
        <v>71</v>
      </c>
      <c r="B6921">
        <v>2024</v>
      </c>
      <c r="C6921" t="s">
        <v>57</v>
      </c>
      <c r="D6921">
        <v>15008381.436000001</v>
      </c>
      <c r="E6921" t="s">
        <v>98</v>
      </c>
    </row>
    <row r="6922" spans="1:5" x14ac:dyDescent="0.25">
      <c r="A6922" t="s">
        <v>36</v>
      </c>
      <c r="B6922">
        <v>2010</v>
      </c>
      <c r="C6922" t="s">
        <v>57</v>
      </c>
      <c r="D6922">
        <v>26815137</v>
      </c>
      <c r="E6922" t="s">
        <v>98</v>
      </c>
    </row>
    <row r="6923" spans="1:5" x14ac:dyDescent="0.25">
      <c r="A6923" t="s">
        <v>36</v>
      </c>
      <c r="B6923">
        <v>2011</v>
      </c>
      <c r="C6923" t="s">
        <v>57</v>
      </c>
      <c r="D6923">
        <v>15102650</v>
      </c>
      <c r="E6923" t="s">
        <v>98</v>
      </c>
    </row>
    <row r="6924" spans="1:5" x14ac:dyDescent="0.25">
      <c r="A6924" t="s">
        <v>36</v>
      </c>
      <c r="B6924">
        <v>2012</v>
      </c>
      <c r="C6924" t="s">
        <v>57</v>
      </c>
      <c r="D6924">
        <v>30426617</v>
      </c>
      <c r="E6924" t="s">
        <v>98</v>
      </c>
    </row>
    <row r="6925" spans="1:5" x14ac:dyDescent="0.25">
      <c r="A6925" t="s">
        <v>36</v>
      </c>
      <c r="B6925">
        <v>2013</v>
      </c>
      <c r="C6925" t="s">
        <v>57</v>
      </c>
      <c r="D6925">
        <v>21042586</v>
      </c>
      <c r="E6925" t="s">
        <v>98</v>
      </c>
    </row>
    <row r="6926" spans="1:5" x14ac:dyDescent="0.25">
      <c r="A6926" t="s">
        <v>36</v>
      </c>
      <c r="B6926">
        <v>2015</v>
      </c>
      <c r="C6926" t="s">
        <v>57</v>
      </c>
      <c r="D6926">
        <v>14852520</v>
      </c>
      <c r="E6926" t="s">
        <v>98</v>
      </c>
    </row>
    <row r="6927" spans="1:5" x14ac:dyDescent="0.25">
      <c r="A6927" t="s">
        <v>36</v>
      </c>
      <c r="B6927">
        <v>2016</v>
      </c>
      <c r="C6927" t="s">
        <v>57</v>
      </c>
      <c r="D6927">
        <v>13529646</v>
      </c>
      <c r="E6927" t="s">
        <v>98</v>
      </c>
    </row>
    <row r="6928" spans="1:5" x14ac:dyDescent="0.25">
      <c r="A6928" t="s">
        <v>36</v>
      </c>
      <c r="B6928">
        <v>2017</v>
      </c>
      <c r="C6928" t="s">
        <v>57</v>
      </c>
      <c r="D6928">
        <v>22347589</v>
      </c>
      <c r="E6928" t="s">
        <v>98</v>
      </c>
    </row>
    <row r="6929" spans="1:5" x14ac:dyDescent="0.25">
      <c r="A6929" t="s">
        <v>36</v>
      </c>
      <c r="B6929">
        <v>2018</v>
      </c>
      <c r="C6929" t="s">
        <v>57</v>
      </c>
      <c r="D6929">
        <v>15539278</v>
      </c>
      <c r="E6929" t="s">
        <v>98</v>
      </c>
    </row>
    <row r="6930" spans="1:5" x14ac:dyDescent="0.25">
      <c r="A6930" t="s">
        <v>36</v>
      </c>
      <c r="B6930">
        <v>2021</v>
      </c>
      <c r="C6930" t="s">
        <v>57</v>
      </c>
      <c r="D6930">
        <v>31126331</v>
      </c>
      <c r="E6930" t="s">
        <v>98</v>
      </c>
    </row>
    <row r="6931" spans="1:5" x14ac:dyDescent="0.25">
      <c r="A6931" t="s">
        <v>36</v>
      </c>
      <c r="B6931">
        <v>2022</v>
      </c>
      <c r="C6931" t="s">
        <v>57</v>
      </c>
      <c r="D6931">
        <v>30470944</v>
      </c>
      <c r="E6931" t="s">
        <v>98</v>
      </c>
    </row>
    <row r="6932" spans="1:5" x14ac:dyDescent="0.25">
      <c r="A6932" t="s">
        <v>36</v>
      </c>
      <c r="B6932">
        <v>2023</v>
      </c>
      <c r="C6932" t="s">
        <v>57</v>
      </c>
      <c r="D6932">
        <v>15856865</v>
      </c>
      <c r="E6932" t="s">
        <v>98</v>
      </c>
    </row>
    <row r="6933" spans="1:5" x14ac:dyDescent="0.25">
      <c r="A6933" t="s">
        <v>36</v>
      </c>
      <c r="B6933">
        <v>2025</v>
      </c>
      <c r="C6933" t="s">
        <v>57</v>
      </c>
      <c r="D6933">
        <v>27369474</v>
      </c>
      <c r="E6933" t="s">
        <v>98</v>
      </c>
    </row>
    <row r="6934" spans="1:5" x14ac:dyDescent="0.25">
      <c r="A6934" t="s">
        <v>37</v>
      </c>
      <c r="B6934">
        <v>2000</v>
      </c>
      <c r="C6934" t="s">
        <v>57</v>
      </c>
      <c r="D6934">
        <v>3932219.4139999999</v>
      </c>
      <c r="E6934" t="s">
        <v>98</v>
      </c>
    </row>
    <row r="6935" spans="1:5" x14ac:dyDescent="0.25">
      <c r="A6935" t="s">
        <v>37</v>
      </c>
      <c r="B6935">
        <v>2001</v>
      </c>
      <c r="C6935" t="s">
        <v>57</v>
      </c>
      <c r="D6935">
        <v>4790069.0460000001</v>
      </c>
      <c r="E6935" t="s">
        <v>98</v>
      </c>
    </row>
    <row r="6936" spans="1:5" x14ac:dyDescent="0.25">
      <c r="A6936" t="s">
        <v>37</v>
      </c>
      <c r="B6936">
        <v>2002</v>
      </c>
      <c r="C6936" t="s">
        <v>57</v>
      </c>
      <c r="D6936">
        <v>10233040.973999999</v>
      </c>
      <c r="E6936" t="s">
        <v>98</v>
      </c>
    </row>
    <row r="6937" spans="1:5" x14ac:dyDescent="0.25">
      <c r="A6937" t="s">
        <v>37</v>
      </c>
      <c r="B6937">
        <v>2003</v>
      </c>
      <c r="C6937" t="s">
        <v>57</v>
      </c>
      <c r="D6937">
        <v>6380318.159</v>
      </c>
      <c r="E6937" t="s">
        <v>98</v>
      </c>
    </row>
    <row r="6938" spans="1:5" x14ac:dyDescent="0.25">
      <c r="A6938" t="s">
        <v>37</v>
      </c>
      <c r="B6938">
        <v>2004</v>
      </c>
      <c r="C6938" t="s">
        <v>57</v>
      </c>
      <c r="D6938">
        <v>8761135.5529999994</v>
      </c>
      <c r="E6938" t="s">
        <v>98</v>
      </c>
    </row>
    <row r="6939" spans="1:5" x14ac:dyDescent="0.25">
      <c r="A6939" t="s">
        <v>37</v>
      </c>
      <c r="B6939">
        <v>2005</v>
      </c>
      <c r="C6939" t="s">
        <v>57</v>
      </c>
      <c r="D6939">
        <v>9150856.5710000005</v>
      </c>
      <c r="E6939" t="s">
        <v>98</v>
      </c>
    </row>
    <row r="6940" spans="1:5" x14ac:dyDescent="0.25">
      <c r="A6940" t="s">
        <v>37</v>
      </c>
      <c r="B6940">
        <v>2006</v>
      </c>
      <c r="C6940" t="s">
        <v>57</v>
      </c>
      <c r="D6940">
        <v>192823514.23500001</v>
      </c>
      <c r="E6940" t="s">
        <v>98</v>
      </c>
    </row>
    <row r="6941" spans="1:5" x14ac:dyDescent="0.25">
      <c r="A6941" t="s">
        <v>37</v>
      </c>
      <c r="B6941">
        <v>2007</v>
      </c>
      <c r="C6941" t="s">
        <v>57</v>
      </c>
      <c r="D6941">
        <v>24922513.57</v>
      </c>
      <c r="E6941" t="s">
        <v>98</v>
      </c>
    </row>
    <row r="6942" spans="1:5" x14ac:dyDescent="0.25">
      <c r="A6942" t="s">
        <v>37</v>
      </c>
      <c r="B6942">
        <v>2008</v>
      </c>
      <c r="C6942" t="s">
        <v>57</v>
      </c>
      <c r="D6942">
        <v>21914611.545000002</v>
      </c>
      <c r="E6942" t="s">
        <v>98</v>
      </c>
    </row>
    <row r="6943" spans="1:5" x14ac:dyDescent="0.25">
      <c r="A6943" t="s">
        <v>37</v>
      </c>
      <c r="B6943">
        <v>2009</v>
      </c>
      <c r="C6943" t="s">
        <v>57</v>
      </c>
      <c r="D6943">
        <v>19015704.923999999</v>
      </c>
      <c r="E6943" t="s">
        <v>98</v>
      </c>
    </row>
    <row r="6944" spans="1:5" x14ac:dyDescent="0.25">
      <c r="A6944" t="s">
        <v>37</v>
      </c>
      <c r="B6944">
        <v>2010</v>
      </c>
      <c r="C6944" t="s">
        <v>57</v>
      </c>
      <c r="D6944">
        <v>162246221.067</v>
      </c>
      <c r="E6944" t="s">
        <v>98</v>
      </c>
    </row>
    <row r="6945" spans="1:5" x14ac:dyDescent="0.25">
      <c r="A6945" t="s">
        <v>37</v>
      </c>
      <c r="B6945">
        <v>2011</v>
      </c>
      <c r="C6945" t="s">
        <v>57</v>
      </c>
      <c r="D6945">
        <v>1263784148.721</v>
      </c>
      <c r="E6945" t="s">
        <v>98</v>
      </c>
    </row>
    <row r="6946" spans="1:5" x14ac:dyDescent="0.25">
      <c r="A6946" t="s">
        <v>37</v>
      </c>
      <c r="B6946">
        <v>2012</v>
      </c>
      <c r="C6946" t="s">
        <v>57</v>
      </c>
      <c r="D6946">
        <v>1567394340.8559999</v>
      </c>
      <c r="E6946" t="s">
        <v>98</v>
      </c>
    </row>
    <row r="6947" spans="1:5" x14ac:dyDescent="0.25">
      <c r="A6947" t="s">
        <v>37</v>
      </c>
      <c r="B6947">
        <v>2013</v>
      </c>
      <c r="C6947" t="s">
        <v>57</v>
      </c>
      <c r="D6947">
        <v>1482097589.925</v>
      </c>
      <c r="E6947" t="s">
        <v>98</v>
      </c>
    </row>
    <row r="6948" spans="1:5" x14ac:dyDescent="0.25">
      <c r="A6948" t="s">
        <v>37</v>
      </c>
      <c r="B6948">
        <v>2014</v>
      </c>
      <c r="C6948" t="s">
        <v>57</v>
      </c>
      <c r="D6948">
        <v>1365815637.9519999</v>
      </c>
      <c r="E6948" t="s">
        <v>98</v>
      </c>
    </row>
    <row r="6949" spans="1:5" x14ac:dyDescent="0.25">
      <c r="A6949" t="s">
        <v>37</v>
      </c>
      <c r="B6949">
        <v>2015</v>
      </c>
      <c r="C6949" t="s">
        <v>57</v>
      </c>
      <c r="D6949">
        <v>1011899278.495</v>
      </c>
      <c r="E6949" t="s">
        <v>98</v>
      </c>
    </row>
    <row r="6950" spans="1:5" x14ac:dyDescent="0.25">
      <c r="A6950" t="s">
        <v>37</v>
      </c>
      <c r="B6950">
        <v>2016</v>
      </c>
      <c r="C6950" t="s">
        <v>57</v>
      </c>
      <c r="D6950">
        <v>123086124.008</v>
      </c>
      <c r="E6950" t="s">
        <v>98</v>
      </c>
    </row>
    <row r="6951" spans="1:5" x14ac:dyDescent="0.25">
      <c r="A6951" t="s">
        <v>37</v>
      </c>
      <c r="B6951">
        <v>2017</v>
      </c>
      <c r="C6951" t="s">
        <v>57</v>
      </c>
      <c r="D6951">
        <v>52087398.773000002</v>
      </c>
      <c r="E6951" t="s">
        <v>98</v>
      </c>
    </row>
    <row r="6952" spans="1:5" x14ac:dyDescent="0.25">
      <c r="A6952" t="s">
        <v>37</v>
      </c>
      <c r="B6952">
        <v>2018</v>
      </c>
      <c r="C6952" t="s">
        <v>57</v>
      </c>
      <c r="D6952">
        <v>60578480.226000004</v>
      </c>
      <c r="E6952" t="s">
        <v>98</v>
      </c>
    </row>
    <row r="6953" spans="1:5" x14ac:dyDescent="0.25">
      <c r="A6953" t="s">
        <v>37</v>
      </c>
      <c r="B6953">
        <v>2019</v>
      </c>
      <c r="C6953" t="s">
        <v>57</v>
      </c>
      <c r="D6953">
        <v>56808053.376999997</v>
      </c>
      <c r="E6953" t="s">
        <v>98</v>
      </c>
    </row>
    <row r="6954" spans="1:5" x14ac:dyDescent="0.25">
      <c r="A6954" t="s">
        <v>37</v>
      </c>
      <c r="B6954">
        <v>2020</v>
      </c>
      <c r="C6954" t="s">
        <v>57</v>
      </c>
      <c r="D6954">
        <v>66320333.022</v>
      </c>
      <c r="E6954" t="s">
        <v>98</v>
      </c>
    </row>
    <row r="6955" spans="1:5" x14ac:dyDescent="0.25">
      <c r="A6955" t="s">
        <v>37</v>
      </c>
      <c r="B6955">
        <v>2021</v>
      </c>
      <c r="C6955" t="s">
        <v>57</v>
      </c>
      <c r="D6955">
        <v>64446952.719999999</v>
      </c>
      <c r="E6955" t="s">
        <v>98</v>
      </c>
    </row>
    <row r="6956" spans="1:5" x14ac:dyDescent="0.25">
      <c r="A6956" t="s">
        <v>37</v>
      </c>
      <c r="B6956">
        <v>2022</v>
      </c>
      <c r="C6956" t="s">
        <v>57</v>
      </c>
      <c r="D6956">
        <v>68642353.753000006</v>
      </c>
      <c r="E6956" t="s">
        <v>98</v>
      </c>
    </row>
    <row r="6957" spans="1:5" x14ac:dyDescent="0.25">
      <c r="A6957" t="s">
        <v>37</v>
      </c>
      <c r="B6957">
        <v>2023</v>
      </c>
      <c r="C6957" t="s">
        <v>57</v>
      </c>
      <c r="D6957">
        <v>69709938.767000005</v>
      </c>
      <c r="E6957" t="s">
        <v>98</v>
      </c>
    </row>
    <row r="6958" spans="1:5" x14ac:dyDescent="0.25">
      <c r="A6958" t="s">
        <v>37</v>
      </c>
      <c r="B6958">
        <v>2024</v>
      </c>
      <c r="C6958" t="s">
        <v>57</v>
      </c>
      <c r="D6958">
        <v>80209301.482999995</v>
      </c>
      <c r="E6958" t="s">
        <v>98</v>
      </c>
    </row>
    <row r="6959" spans="1:5" x14ac:dyDescent="0.25">
      <c r="A6959" t="s">
        <v>37</v>
      </c>
      <c r="B6959">
        <v>2025</v>
      </c>
      <c r="C6959" t="s">
        <v>57</v>
      </c>
      <c r="D6959">
        <v>59396093.726999998</v>
      </c>
      <c r="E6959" t="s">
        <v>98</v>
      </c>
    </row>
    <row r="6960" spans="1:5" x14ac:dyDescent="0.25">
      <c r="A6960" t="s">
        <v>89</v>
      </c>
      <c r="B6960">
        <v>2004</v>
      </c>
      <c r="C6960" t="s">
        <v>57</v>
      </c>
      <c r="D6960">
        <v>8231478.9919999801</v>
      </c>
      <c r="E6960" t="s">
        <v>98</v>
      </c>
    </row>
    <row r="6961" spans="1:5" x14ac:dyDescent="0.25">
      <c r="A6961" t="s">
        <v>89</v>
      </c>
      <c r="B6961">
        <v>2012</v>
      </c>
      <c r="C6961" t="s">
        <v>57</v>
      </c>
      <c r="D6961">
        <v>557237692.93900001</v>
      </c>
      <c r="E6961" t="s">
        <v>98</v>
      </c>
    </row>
    <row r="6962" spans="1:5" x14ac:dyDescent="0.25">
      <c r="A6962" t="s">
        <v>89</v>
      </c>
      <c r="B6962">
        <v>2013</v>
      </c>
      <c r="C6962" t="s">
        <v>57</v>
      </c>
      <c r="D6962">
        <v>501798081.169999</v>
      </c>
      <c r="E6962" t="s">
        <v>98</v>
      </c>
    </row>
    <row r="6963" spans="1:5" x14ac:dyDescent="0.25">
      <c r="A6963" t="s">
        <v>89</v>
      </c>
      <c r="B6963">
        <v>2014</v>
      </c>
      <c r="C6963" t="s">
        <v>57</v>
      </c>
      <c r="D6963">
        <v>225253493.31900001</v>
      </c>
      <c r="E6963" t="s">
        <v>98</v>
      </c>
    </row>
    <row r="6964" spans="1:5" x14ac:dyDescent="0.25">
      <c r="A6964" t="s">
        <v>89</v>
      </c>
      <c r="B6964">
        <v>2015</v>
      </c>
      <c r="C6964" t="s">
        <v>57</v>
      </c>
      <c r="D6964" t="s">
        <v>39</v>
      </c>
      <c r="E6964" t="s">
        <v>98</v>
      </c>
    </row>
    <row r="6965" spans="1:5" x14ac:dyDescent="0.25">
      <c r="A6965" t="s">
        <v>89</v>
      </c>
      <c r="B6965">
        <v>2016</v>
      </c>
      <c r="C6965" t="s">
        <v>57</v>
      </c>
      <c r="D6965" t="s">
        <v>39</v>
      </c>
      <c r="E6965" t="s">
        <v>98</v>
      </c>
    </row>
    <row r="6966" spans="1:5" x14ac:dyDescent="0.25">
      <c r="A6966" t="s">
        <v>89</v>
      </c>
      <c r="B6966">
        <v>2017</v>
      </c>
      <c r="C6966" t="s">
        <v>57</v>
      </c>
      <c r="D6966">
        <v>32156829.591001499</v>
      </c>
      <c r="E6966" t="s">
        <v>98</v>
      </c>
    </row>
    <row r="6967" spans="1:5" x14ac:dyDescent="0.25">
      <c r="A6967" t="s">
        <v>89</v>
      </c>
      <c r="B6967">
        <v>2018</v>
      </c>
      <c r="C6967" t="s">
        <v>57</v>
      </c>
      <c r="D6967">
        <v>92158403.232999802</v>
      </c>
      <c r="E6967" t="s">
        <v>98</v>
      </c>
    </row>
    <row r="6968" spans="1:5" x14ac:dyDescent="0.25">
      <c r="A6968" t="s">
        <v>89</v>
      </c>
      <c r="B6968">
        <v>2019</v>
      </c>
      <c r="C6968" t="s">
        <v>57</v>
      </c>
      <c r="D6968" t="s">
        <v>39</v>
      </c>
      <c r="E6968" t="s">
        <v>98</v>
      </c>
    </row>
    <row r="6969" spans="1:5" x14ac:dyDescent="0.25">
      <c r="A6969" t="s">
        <v>89</v>
      </c>
      <c r="B6969">
        <v>2020</v>
      </c>
      <c r="C6969" t="s">
        <v>57</v>
      </c>
      <c r="D6969" t="s">
        <v>39</v>
      </c>
      <c r="E6969" t="s">
        <v>98</v>
      </c>
    </row>
    <row r="6970" spans="1:5" x14ac:dyDescent="0.25">
      <c r="A6970" t="s">
        <v>89</v>
      </c>
      <c r="B6970">
        <v>2021</v>
      </c>
      <c r="C6970" t="s">
        <v>57</v>
      </c>
      <c r="D6970" t="s">
        <v>39</v>
      </c>
      <c r="E6970" t="s">
        <v>98</v>
      </c>
    </row>
    <row r="6971" spans="1:5" x14ac:dyDescent="0.25">
      <c r="A6971" t="s">
        <v>89</v>
      </c>
      <c r="B6971">
        <v>2024</v>
      </c>
      <c r="C6971" t="s">
        <v>57</v>
      </c>
      <c r="D6971">
        <v>100287536.657998</v>
      </c>
      <c r="E6971" t="s">
        <v>98</v>
      </c>
    </row>
    <row r="6972" spans="1:5" x14ac:dyDescent="0.25">
      <c r="A6972" t="s">
        <v>70</v>
      </c>
      <c r="B6972">
        <v>2001</v>
      </c>
      <c r="C6972" t="s">
        <v>57</v>
      </c>
      <c r="D6972">
        <v>845273.22199999995</v>
      </c>
      <c r="E6972" t="s">
        <v>98</v>
      </c>
    </row>
    <row r="6973" spans="1:5" x14ac:dyDescent="0.25">
      <c r="A6973" t="s">
        <v>70</v>
      </c>
      <c r="B6973">
        <v>2002</v>
      </c>
      <c r="C6973" t="s">
        <v>57</v>
      </c>
      <c r="D6973">
        <v>1494136.544</v>
      </c>
      <c r="E6973" t="s">
        <v>98</v>
      </c>
    </row>
    <row r="6974" spans="1:5" x14ac:dyDescent="0.25">
      <c r="A6974" t="s">
        <v>70</v>
      </c>
      <c r="B6974">
        <v>2003</v>
      </c>
      <c r="C6974" t="s">
        <v>57</v>
      </c>
      <c r="D6974">
        <v>3017541.5329999998</v>
      </c>
      <c r="E6974" t="s">
        <v>98</v>
      </c>
    </row>
    <row r="6975" spans="1:5" x14ac:dyDescent="0.25">
      <c r="A6975" t="s">
        <v>70</v>
      </c>
      <c r="B6975">
        <v>2004</v>
      </c>
      <c r="C6975" t="s">
        <v>57</v>
      </c>
      <c r="D6975">
        <v>2853368.33</v>
      </c>
      <c r="E6975" t="s">
        <v>98</v>
      </c>
    </row>
    <row r="6976" spans="1:5" x14ac:dyDescent="0.25">
      <c r="A6976" t="s">
        <v>70</v>
      </c>
      <c r="B6976">
        <v>2005</v>
      </c>
      <c r="C6976" t="s">
        <v>57</v>
      </c>
      <c r="D6976">
        <v>4872883.3289999999</v>
      </c>
      <c r="E6976" t="s">
        <v>98</v>
      </c>
    </row>
    <row r="6977" spans="1:5" x14ac:dyDescent="0.25">
      <c r="A6977" t="s">
        <v>70</v>
      </c>
      <c r="B6977">
        <v>2006</v>
      </c>
      <c r="C6977" t="s">
        <v>57</v>
      </c>
      <c r="D6977">
        <v>7662893.0259999996</v>
      </c>
      <c r="E6977" t="s">
        <v>98</v>
      </c>
    </row>
    <row r="6978" spans="1:5" x14ac:dyDescent="0.25">
      <c r="A6978" t="s">
        <v>70</v>
      </c>
      <c r="B6978">
        <v>2007</v>
      </c>
      <c r="C6978" t="s">
        <v>57</v>
      </c>
      <c r="D6978">
        <v>7122769.2249999996</v>
      </c>
      <c r="E6978" t="s">
        <v>98</v>
      </c>
    </row>
    <row r="6979" spans="1:5" x14ac:dyDescent="0.25">
      <c r="A6979" t="s">
        <v>70</v>
      </c>
      <c r="B6979">
        <v>2008</v>
      </c>
      <c r="C6979" t="s">
        <v>57</v>
      </c>
      <c r="D6979">
        <v>11626964.369999999</v>
      </c>
      <c r="E6979" t="s">
        <v>98</v>
      </c>
    </row>
    <row r="6980" spans="1:5" x14ac:dyDescent="0.25">
      <c r="A6980" t="s">
        <v>70</v>
      </c>
      <c r="B6980">
        <v>2009</v>
      </c>
      <c r="C6980" t="s">
        <v>57</v>
      </c>
      <c r="D6980">
        <v>15503350.204</v>
      </c>
      <c r="E6980" t="s">
        <v>98</v>
      </c>
    </row>
    <row r="6981" spans="1:5" x14ac:dyDescent="0.25">
      <c r="A6981" t="s">
        <v>70</v>
      </c>
      <c r="B6981">
        <v>2013</v>
      </c>
      <c r="C6981" t="s">
        <v>57</v>
      </c>
      <c r="D6981">
        <v>4147832.6770000001</v>
      </c>
      <c r="E6981" t="s">
        <v>98</v>
      </c>
    </row>
    <row r="6982" spans="1:5" x14ac:dyDescent="0.25">
      <c r="A6982" t="s">
        <v>70</v>
      </c>
      <c r="B6982">
        <v>2015</v>
      </c>
      <c r="C6982" t="s">
        <v>57</v>
      </c>
      <c r="D6982">
        <v>4517810.6349999998</v>
      </c>
      <c r="E6982" t="s">
        <v>98</v>
      </c>
    </row>
    <row r="6983" spans="1:5" x14ac:dyDescent="0.25">
      <c r="A6983" t="s">
        <v>70</v>
      </c>
      <c r="B6983">
        <v>2018</v>
      </c>
      <c r="C6983" t="s">
        <v>57</v>
      </c>
      <c r="D6983">
        <v>16091649.786</v>
      </c>
      <c r="E6983" t="s">
        <v>98</v>
      </c>
    </row>
    <row r="6984" spans="1:5" x14ac:dyDescent="0.25">
      <c r="A6984" t="s">
        <v>70</v>
      </c>
      <c r="B6984">
        <v>2019</v>
      </c>
      <c r="C6984" t="s">
        <v>57</v>
      </c>
      <c r="D6984">
        <v>10387940.727</v>
      </c>
      <c r="E6984" t="s">
        <v>98</v>
      </c>
    </row>
    <row r="6985" spans="1:5" x14ac:dyDescent="0.25">
      <c r="A6985" t="s">
        <v>70</v>
      </c>
      <c r="B6985">
        <v>2020</v>
      </c>
      <c r="C6985" t="s">
        <v>57</v>
      </c>
      <c r="D6985">
        <v>23060653.237</v>
      </c>
      <c r="E6985" t="s">
        <v>98</v>
      </c>
    </row>
    <row r="6986" spans="1:5" x14ac:dyDescent="0.25">
      <c r="A6986" t="s">
        <v>70</v>
      </c>
      <c r="B6986">
        <v>2021</v>
      </c>
      <c r="C6986" t="s">
        <v>57</v>
      </c>
      <c r="D6986">
        <v>37967194.085000001</v>
      </c>
      <c r="E6986" t="s">
        <v>98</v>
      </c>
    </row>
    <row r="6987" spans="1:5" x14ac:dyDescent="0.25">
      <c r="A6987" t="s">
        <v>70</v>
      </c>
      <c r="B6987">
        <v>2022</v>
      </c>
      <c r="C6987" t="s">
        <v>57</v>
      </c>
      <c r="D6987">
        <v>27629381.112</v>
      </c>
      <c r="E6987" t="s">
        <v>98</v>
      </c>
    </row>
    <row r="6988" spans="1:5" x14ac:dyDescent="0.25">
      <c r="A6988" t="s">
        <v>70</v>
      </c>
      <c r="B6988">
        <v>2023</v>
      </c>
      <c r="C6988" t="s">
        <v>57</v>
      </c>
      <c r="D6988">
        <v>33011694.982999999</v>
      </c>
      <c r="E6988" t="s">
        <v>98</v>
      </c>
    </row>
    <row r="6989" spans="1:5" x14ac:dyDescent="0.25">
      <c r="A6989" t="s">
        <v>70</v>
      </c>
      <c r="B6989">
        <v>2024</v>
      </c>
      <c r="C6989" t="s">
        <v>57</v>
      </c>
      <c r="D6989">
        <v>10762441.801999999</v>
      </c>
      <c r="E6989" t="s">
        <v>98</v>
      </c>
    </row>
    <row r="6990" spans="1:5" x14ac:dyDescent="0.25">
      <c r="A6990" t="s">
        <v>70</v>
      </c>
      <c r="B6990">
        <v>2025</v>
      </c>
      <c r="C6990" t="s">
        <v>57</v>
      </c>
      <c r="D6990">
        <v>9237925.5979999993</v>
      </c>
      <c r="E6990" t="s">
        <v>98</v>
      </c>
    </row>
    <row r="6991" spans="1:5" x14ac:dyDescent="0.25">
      <c r="A6991" t="s">
        <v>111</v>
      </c>
      <c r="B6991">
        <v>2014</v>
      </c>
      <c r="C6991" t="s">
        <v>57</v>
      </c>
      <c r="D6991">
        <v>1838990</v>
      </c>
      <c r="E6991" t="s">
        <v>98</v>
      </c>
    </row>
    <row r="6992" spans="1:5" x14ac:dyDescent="0.25">
      <c r="A6992" t="s">
        <v>111</v>
      </c>
      <c r="B6992">
        <v>2015</v>
      </c>
      <c r="C6992" t="s">
        <v>57</v>
      </c>
      <c r="D6992">
        <v>1543721.5049999999</v>
      </c>
      <c r="E6992" t="s">
        <v>98</v>
      </c>
    </row>
    <row r="6993" spans="1:5" x14ac:dyDescent="0.25">
      <c r="A6993" t="s">
        <v>111</v>
      </c>
      <c r="B6993">
        <v>2018</v>
      </c>
      <c r="C6993" t="s">
        <v>57</v>
      </c>
      <c r="D6993">
        <v>1352387.4110000001</v>
      </c>
      <c r="E6993" t="s">
        <v>98</v>
      </c>
    </row>
    <row r="6994" spans="1:5" x14ac:dyDescent="0.25">
      <c r="A6994" t="s">
        <v>69</v>
      </c>
      <c r="B6994">
        <v>2018</v>
      </c>
      <c r="C6994" t="s">
        <v>57</v>
      </c>
      <c r="D6994">
        <v>783700.45499999996</v>
      </c>
      <c r="E6994" t="s">
        <v>98</v>
      </c>
    </row>
    <row r="6995" spans="1:5" x14ac:dyDescent="0.25">
      <c r="A6995" t="s">
        <v>40</v>
      </c>
      <c r="B6995">
        <v>2010</v>
      </c>
      <c r="C6995" t="s">
        <v>57</v>
      </c>
      <c r="D6995">
        <v>124536727.712</v>
      </c>
      <c r="E6995" t="s">
        <v>98</v>
      </c>
    </row>
    <row r="6996" spans="1:5" x14ac:dyDescent="0.25">
      <c r="A6996" t="s">
        <v>40</v>
      </c>
      <c r="B6996">
        <v>2011</v>
      </c>
      <c r="C6996" t="s">
        <v>57</v>
      </c>
      <c r="D6996">
        <v>151577367.37900001</v>
      </c>
      <c r="E6996" t="s">
        <v>98</v>
      </c>
    </row>
    <row r="6997" spans="1:5" x14ac:dyDescent="0.25">
      <c r="A6997" t="s">
        <v>40</v>
      </c>
      <c r="B6997">
        <v>2012</v>
      </c>
      <c r="C6997" t="s">
        <v>57</v>
      </c>
      <c r="D6997">
        <v>164455649.97600001</v>
      </c>
      <c r="E6997" t="s">
        <v>98</v>
      </c>
    </row>
    <row r="6998" spans="1:5" x14ac:dyDescent="0.25">
      <c r="A6998" t="s">
        <v>40</v>
      </c>
      <c r="B6998">
        <v>2013</v>
      </c>
      <c r="C6998" t="s">
        <v>57</v>
      </c>
      <c r="D6998">
        <v>223862722.77700001</v>
      </c>
      <c r="E6998" t="s">
        <v>98</v>
      </c>
    </row>
    <row r="6999" spans="1:5" x14ac:dyDescent="0.25">
      <c r="A6999" t="s">
        <v>40</v>
      </c>
      <c r="B6999">
        <v>2014</v>
      </c>
      <c r="C6999" t="s">
        <v>57</v>
      </c>
      <c r="D6999">
        <v>230192967.44100001</v>
      </c>
      <c r="E6999" t="s">
        <v>98</v>
      </c>
    </row>
    <row r="7000" spans="1:5" x14ac:dyDescent="0.25">
      <c r="A7000" t="s">
        <v>40</v>
      </c>
      <c r="B7000">
        <v>2015</v>
      </c>
      <c r="C7000" t="s">
        <v>57</v>
      </c>
      <c r="D7000">
        <v>155632333.28999999</v>
      </c>
      <c r="E7000" t="s">
        <v>98</v>
      </c>
    </row>
    <row r="7001" spans="1:5" x14ac:dyDescent="0.25">
      <c r="A7001" t="s">
        <v>40</v>
      </c>
      <c r="B7001">
        <v>2016</v>
      </c>
      <c r="C7001" t="s">
        <v>57</v>
      </c>
      <c r="D7001">
        <v>191639968.69100001</v>
      </c>
      <c r="E7001" t="s">
        <v>98</v>
      </c>
    </row>
    <row r="7002" spans="1:5" x14ac:dyDescent="0.25">
      <c r="A7002" t="s">
        <v>40</v>
      </c>
      <c r="B7002">
        <v>2017</v>
      </c>
      <c r="C7002" t="s">
        <v>57</v>
      </c>
      <c r="D7002">
        <v>249591985.836</v>
      </c>
      <c r="E7002" t="s">
        <v>98</v>
      </c>
    </row>
    <row r="7003" spans="1:5" x14ac:dyDescent="0.25">
      <c r="A7003" t="s">
        <v>40</v>
      </c>
      <c r="B7003">
        <v>2018</v>
      </c>
      <c r="C7003" t="s">
        <v>57</v>
      </c>
      <c r="D7003">
        <v>237936033.919</v>
      </c>
      <c r="E7003" t="s">
        <v>98</v>
      </c>
    </row>
    <row r="7004" spans="1:5" x14ac:dyDescent="0.25">
      <c r="A7004" t="s">
        <v>40</v>
      </c>
      <c r="B7004">
        <v>2019</v>
      </c>
      <c r="C7004" t="s">
        <v>57</v>
      </c>
      <c r="D7004">
        <v>306989894.89899999</v>
      </c>
      <c r="E7004" t="s">
        <v>98</v>
      </c>
    </row>
    <row r="7005" spans="1:5" x14ac:dyDescent="0.25">
      <c r="A7005" t="s">
        <v>40</v>
      </c>
      <c r="B7005">
        <v>2020</v>
      </c>
      <c r="C7005" t="s">
        <v>57</v>
      </c>
      <c r="D7005">
        <v>422437498.51999998</v>
      </c>
      <c r="E7005" t="s">
        <v>98</v>
      </c>
    </row>
    <row r="7006" spans="1:5" x14ac:dyDescent="0.25">
      <c r="A7006" t="s">
        <v>40</v>
      </c>
      <c r="B7006">
        <v>2021</v>
      </c>
      <c r="C7006" t="s">
        <v>57</v>
      </c>
      <c r="D7006">
        <v>390197585.39999998</v>
      </c>
      <c r="E7006" t="s">
        <v>98</v>
      </c>
    </row>
    <row r="7007" spans="1:5" x14ac:dyDescent="0.25">
      <c r="A7007" t="s">
        <v>40</v>
      </c>
      <c r="B7007">
        <v>2022</v>
      </c>
      <c r="C7007" t="s">
        <v>57</v>
      </c>
      <c r="D7007">
        <v>242043059.86199999</v>
      </c>
      <c r="E7007" t="s">
        <v>98</v>
      </c>
    </row>
    <row r="7008" spans="1:5" x14ac:dyDescent="0.25">
      <c r="A7008" t="s">
        <v>40</v>
      </c>
      <c r="B7008">
        <v>2023</v>
      </c>
      <c r="C7008" t="s">
        <v>57</v>
      </c>
      <c r="D7008">
        <v>288802192.01599997</v>
      </c>
      <c r="E7008" t="s">
        <v>98</v>
      </c>
    </row>
    <row r="7009" spans="1:5" x14ac:dyDescent="0.25">
      <c r="A7009" t="s">
        <v>40</v>
      </c>
      <c r="B7009">
        <v>2024</v>
      </c>
      <c r="C7009" t="s">
        <v>57</v>
      </c>
      <c r="D7009">
        <v>307497614.40399998</v>
      </c>
      <c r="E7009" t="s">
        <v>98</v>
      </c>
    </row>
    <row r="7010" spans="1:5" x14ac:dyDescent="0.25">
      <c r="A7010" t="s">
        <v>40</v>
      </c>
      <c r="B7010">
        <v>2025</v>
      </c>
      <c r="C7010" t="s">
        <v>57</v>
      </c>
      <c r="D7010">
        <v>262138157.79699999</v>
      </c>
      <c r="E7010" t="s">
        <v>98</v>
      </c>
    </row>
    <row r="7011" spans="1:5" x14ac:dyDescent="0.25">
      <c r="A7011" t="s">
        <v>67</v>
      </c>
      <c r="B7011">
        <v>2010</v>
      </c>
      <c r="C7011" t="s">
        <v>57</v>
      </c>
      <c r="D7011">
        <v>20904580.670000002</v>
      </c>
      <c r="E7011" t="s">
        <v>98</v>
      </c>
    </row>
    <row r="7012" spans="1:5" x14ac:dyDescent="0.25">
      <c r="A7012" t="s">
        <v>67</v>
      </c>
      <c r="B7012">
        <v>2011</v>
      </c>
      <c r="C7012" t="s">
        <v>57</v>
      </c>
      <c r="D7012">
        <v>25589775.364</v>
      </c>
      <c r="E7012" t="s">
        <v>98</v>
      </c>
    </row>
    <row r="7013" spans="1:5" x14ac:dyDescent="0.25">
      <c r="A7013" t="s">
        <v>67</v>
      </c>
      <c r="B7013">
        <v>2012</v>
      </c>
      <c r="C7013" t="s">
        <v>57</v>
      </c>
      <c r="D7013">
        <v>29071366.124000002</v>
      </c>
      <c r="E7013" t="s">
        <v>98</v>
      </c>
    </row>
    <row r="7014" spans="1:5" x14ac:dyDescent="0.25">
      <c r="A7014" t="s">
        <v>67</v>
      </c>
      <c r="B7014">
        <v>2013</v>
      </c>
      <c r="C7014" t="s">
        <v>57</v>
      </c>
      <c r="D7014">
        <v>27651361.160999998</v>
      </c>
      <c r="E7014" t="s">
        <v>98</v>
      </c>
    </row>
    <row r="7015" spans="1:5" x14ac:dyDescent="0.25">
      <c r="A7015" t="s">
        <v>67</v>
      </c>
      <c r="B7015">
        <v>2014</v>
      </c>
      <c r="C7015" t="s">
        <v>57</v>
      </c>
      <c r="D7015">
        <v>28826015.708999999</v>
      </c>
      <c r="E7015" t="s">
        <v>98</v>
      </c>
    </row>
    <row r="7016" spans="1:5" x14ac:dyDescent="0.25">
      <c r="A7016" t="s">
        <v>67</v>
      </c>
      <c r="B7016">
        <v>2015</v>
      </c>
      <c r="C7016" t="s">
        <v>57</v>
      </c>
      <c r="D7016">
        <v>23817548.453000002</v>
      </c>
      <c r="E7016" t="s">
        <v>98</v>
      </c>
    </row>
    <row r="7017" spans="1:5" x14ac:dyDescent="0.25">
      <c r="A7017" t="s">
        <v>67</v>
      </c>
      <c r="B7017">
        <v>2016</v>
      </c>
      <c r="C7017" t="s">
        <v>57</v>
      </c>
      <c r="D7017">
        <v>24759810.833000001</v>
      </c>
      <c r="E7017" t="s">
        <v>98</v>
      </c>
    </row>
    <row r="7018" spans="1:5" x14ac:dyDescent="0.25">
      <c r="A7018" t="s">
        <v>67</v>
      </c>
      <c r="B7018">
        <v>2017</v>
      </c>
      <c r="C7018" t="s">
        <v>57</v>
      </c>
      <c r="D7018">
        <v>27840660.800000001</v>
      </c>
      <c r="E7018" t="s">
        <v>98</v>
      </c>
    </row>
    <row r="7019" spans="1:5" x14ac:dyDescent="0.25">
      <c r="A7019" t="s">
        <v>67</v>
      </c>
      <c r="B7019">
        <v>2018</v>
      </c>
      <c r="C7019" t="s">
        <v>57</v>
      </c>
      <c r="D7019">
        <v>34383300.604000002</v>
      </c>
      <c r="E7019" t="s">
        <v>98</v>
      </c>
    </row>
    <row r="7020" spans="1:5" x14ac:dyDescent="0.25">
      <c r="A7020" t="s">
        <v>67</v>
      </c>
      <c r="B7020">
        <v>2019</v>
      </c>
      <c r="C7020" t="s">
        <v>57</v>
      </c>
      <c r="D7020">
        <v>26931009.855</v>
      </c>
      <c r="E7020" t="s">
        <v>98</v>
      </c>
    </row>
    <row r="7021" spans="1:5" x14ac:dyDescent="0.25">
      <c r="A7021" t="s">
        <v>67</v>
      </c>
      <c r="B7021">
        <v>2020</v>
      </c>
      <c r="C7021" t="s">
        <v>57</v>
      </c>
      <c r="D7021">
        <v>27820516.340999998</v>
      </c>
      <c r="E7021" t="s">
        <v>98</v>
      </c>
    </row>
    <row r="7022" spans="1:5" x14ac:dyDescent="0.25">
      <c r="A7022" t="s">
        <v>67</v>
      </c>
      <c r="B7022">
        <v>2021</v>
      </c>
      <c r="C7022" t="s">
        <v>57</v>
      </c>
      <c r="D7022">
        <v>28206499.081</v>
      </c>
      <c r="E7022" t="s">
        <v>98</v>
      </c>
    </row>
    <row r="7023" spans="1:5" x14ac:dyDescent="0.25">
      <c r="A7023" t="s">
        <v>67</v>
      </c>
      <c r="B7023">
        <v>2022</v>
      </c>
      <c r="C7023" t="s">
        <v>57</v>
      </c>
      <c r="D7023">
        <v>26639182.811000001</v>
      </c>
      <c r="E7023" t="s">
        <v>98</v>
      </c>
    </row>
    <row r="7024" spans="1:5" x14ac:dyDescent="0.25">
      <c r="A7024" t="s">
        <v>67</v>
      </c>
      <c r="B7024">
        <v>2023</v>
      </c>
      <c r="C7024" t="s">
        <v>57</v>
      </c>
      <c r="D7024">
        <v>27767010.963</v>
      </c>
      <c r="E7024" t="s">
        <v>98</v>
      </c>
    </row>
    <row r="7025" spans="1:5" x14ac:dyDescent="0.25">
      <c r="A7025" t="s">
        <v>67</v>
      </c>
      <c r="B7025">
        <v>2024</v>
      </c>
      <c r="C7025" t="s">
        <v>57</v>
      </c>
      <c r="D7025">
        <v>34688001.170000002</v>
      </c>
      <c r="E7025" t="s">
        <v>98</v>
      </c>
    </row>
    <row r="7026" spans="1:5" x14ac:dyDescent="0.25">
      <c r="A7026" t="s">
        <v>67</v>
      </c>
      <c r="B7026">
        <v>2025</v>
      </c>
      <c r="C7026" t="s">
        <v>57</v>
      </c>
      <c r="D7026">
        <v>27246863.388</v>
      </c>
      <c r="E7026" t="s">
        <v>98</v>
      </c>
    </row>
    <row r="7027" spans="1:5" x14ac:dyDescent="0.25">
      <c r="A7027" t="s">
        <v>66</v>
      </c>
      <c r="B7027">
        <v>2022</v>
      </c>
      <c r="C7027" t="s">
        <v>57</v>
      </c>
      <c r="D7027">
        <v>6359699.0700000003</v>
      </c>
      <c r="E7027" t="s">
        <v>98</v>
      </c>
    </row>
    <row r="7028" spans="1:5" x14ac:dyDescent="0.25">
      <c r="A7028" t="s">
        <v>66</v>
      </c>
      <c r="B7028">
        <v>2023</v>
      </c>
      <c r="C7028" t="s">
        <v>57</v>
      </c>
      <c r="D7028">
        <v>6595225.7000000002</v>
      </c>
      <c r="E7028" t="s">
        <v>98</v>
      </c>
    </row>
    <row r="7029" spans="1:5" x14ac:dyDescent="0.25">
      <c r="A7029" t="s">
        <v>110</v>
      </c>
      <c r="B7029">
        <v>2006</v>
      </c>
      <c r="C7029" t="s">
        <v>57</v>
      </c>
      <c r="D7029">
        <v>3423243.7</v>
      </c>
      <c r="E7029" t="s">
        <v>98</v>
      </c>
    </row>
    <row r="7030" spans="1:5" x14ac:dyDescent="0.25">
      <c r="A7030" t="s">
        <v>110</v>
      </c>
      <c r="B7030">
        <v>2007</v>
      </c>
      <c r="C7030" t="s">
        <v>57</v>
      </c>
      <c r="D7030">
        <v>4377524.8499999996</v>
      </c>
      <c r="E7030" t="s">
        <v>98</v>
      </c>
    </row>
    <row r="7031" spans="1:5" x14ac:dyDescent="0.25">
      <c r="A7031" t="s">
        <v>110</v>
      </c>
      <c r="B7031">
        <v>2008</v>
      </c>
      <c r="C7031" t="s">
        <v>57</v>
      </c>
      <c r="D7031">
        <v>4970612</v>
      </c>
      <c r="E7031" t="s">
        <v>98</v>
      </c>
    </row>
    <row r="7032" spans="1:5" x14ac:dyDescent="0.25">
      <c r="A7032" t="s">
        <v>110</v>
      </c>
      <c r="B7032">
        <v>2010</v>
      </c>
      <c r="C7032" t="s">
        <v>57</v>
      </c>
      <c r="D7032">
        <v>3965257.02</v>
      </c>
      <c r="E7032" t="s">
        <v>98</v>
      </c>
    </row>
    <row r="7033" spans="1:5" x14ac:dyDescent="0.25">
      <c r="A7033" t="s">
        <v>110</v>
      </c>
      <c r="B7033">
        <v>2011</v>
      </c>
      <c r="C7033" t="s">
        <v>57</v>
      </c>
      <c r="D7033">
        <v>5063914.9029999999</v>
      </c>
      <c r="E7033" t="s">
        <v>98</v>
      </c>
    </row>
    <row r="7034" spans="1:5" x14ac:dyDescent="0.25">
      <c r="A7034" t="s">
        <v>110</v>
      </c>
      <c r="B7034">
        <v>2012</v>
      </c>
      <c r="C7034" t="s">
        <v>57</v>
      </c>
      <c r="D7034">
        <v>4886156.9579999996</v>
      </c>
      <c r="E7034" t="s">
        <v>98</v>
      </c>
    </row>
    <row r="7035" spans="1:5" x14ac:dyDescent="0.25">
      <c r="A7035" t="s">
        <v>110</v>
      </c>
      <c r="B7035">
        <v>2013</v>
      </c>
      <c r="C7035" t="s">
        <v>57</v>
      </c>
      <c r="D7035">
        <v>5914150.4819999998</v>
      </c>
      <c r="E7035" t="s">
        <v>98</v>
      </c>
    </row>
    <row r="7036" spans="1:5" x14ac:dyDescent="0.25">
      <c r="A7036" t="s">
        <v>110</v>
      </c>
      <c r="B7036">
        <v>2014</v>
      </c>
      <c r="C7036" t="s">
        <v>57</v>
      </c>
      <c r="D7036">
        <v>6282403.5190000003</v>
      </c>
      <c r="E7036" t="s">
        <v>98</v>
      </c>
    </row>
    <row r="7037" spans="1:5" x14ac:dyDescent="0.25">
      <c r="A7037" t="s">
        <v>110</v>
      </c>
      <c r="B7037">
        <v>2015</v>
      </c>
      <c r="C7037" t="s">
        <v>57</v>
      </c>
      <c r="D7037">
        <v>5311280.68</v>
      </c>
      <c r="E7037" t="s">
        <v>98</v>
      </c>
    </row>
    <row r="7038" spans="1:5" x14ac:dyDescent="0.25">
      <c r="A7038" t="s">
        <v>110</v>
      </c>
      <c r="B7038">
        <v>2016</v>
      </c>
      <c r="C7038" t="s">
        <v>57</v>
      </c>
      <c r="D7038">
        <v>5245407.57</v>
      </c>
      <c r="E7038" t="s">
        <v>98</v>
      </c>
    </row>
    <row r="7039" spans="1:5" x14ac:dyDescent="0.25">
      <c r="A7039" t="s">
        <v>110</v>
      </c>
      <c r="B7039">
        <v>2017</v>
      </c>
      <c r="C7039" t="s">
        <v>57</v>
      </c>
      <c r="D7039">
        <v>6227102.6799999997</v>
      </c>
      <c r="E7039" t="s">
        <v>98</v>
      </c>
    </row>
    <row r="7040" spans="1:5" x14ac:dyDescent="0.25">
      <c r="A7040" t="s">
        <v>110</v>
      </c>
      <c r="B7040">
        <v>2018</v>
      </c>
      <c r="C7040" t="s">
        <v>57</v>
      </c>
      <c r="D7040">
        <v>6533934.8899999997</v>
      </c>
      <c r="E7040" t="s">
        <v>98</v>
      </c>
    </row>
    <row r="7041" spans="1:5" x14ac:dyDescent="0.25">
      <c r="A7041" t="s">
        <v>110</v>
      </c>
      <c r="B7041">
        <v>2019</v>
      </c>
      <c r="C7041" t="s">
        <v>57</v>
      </c>
      <c r="D7041">
        <v>6271781.9000000004</v>
      </c>
      <c r="E7041" t="s">
        <v>98</v>
      </c>
    </row>
    <row r="7042" spans="1:5" x14ac:dyDescent="0.25">
      <c r="A7042" t="s">
        <v>110</v>
      </c>
      <c r="B7042">
        <v>2020</v>
      </c>
      <c r="C7042" t="s">
        <v>57</v>
      </c>
      <c r="D7042">
        <v>6036672.4400000004</v>
      </c>
      <c r="E7042" t="s">
        <v>98</v>
      </c>
    </row>
    <row r="7043" spans="1:5" x14ac:dyDescent="0.25">
      <c r="A7043" t="s">
        <v>110</v>
      </c>
      <c r="B7043">
        <v>2021</v>
      </c>
      <c r="C7043" t="s">
        <v>57</v>
      </c>
      <c r="D7043">
        <v>6750934.5300000003</v>
      </c>
      <c r="E7043" t="s">
        <v>98</v>
      </c>
    </row>
    <row r="7044" spans="1:5" x14ac:dyDescent="0.25">
      <c r="A7044" t="s">
        <v>110</v>
      </c>
      <c r="B7044">
        <v>2022</v>
      </c>
      <c r="C7044" t="s">
        <v>57</v>
      </c>
      <c r="D7044">
        <v>7576173.4000000004</v>
      </c>
      <c r="E7044" t="s">
        <v>98</v>
      </c>
    </row>
    <row r="7045" spans="1:5" x14ac:dyDescent="0.25">
      <c r="A7045" t="s">
        <v>110</v>
      </c>
      <c r="B7045">
        <v>2023</v>
      </c>
      <c r="C7045" t="s">
        <v>57</v>
      </c>
      <c r="D7045">
        <v>6696442.4330000002</v>
      </c>
      <c r="E7045" t="s">
        <v>98</v>
      </c>
    </row>
    <row r="7046" spans="1:5" x14ac:dyDescent="0.25">
      <c r="A7046" t="s">
        <v>110</v>
      </c>
      <c r="B7046">
        <v>2024</v>
      </c>
      <c r="C7046" t="s">
        <v>57</v>
      </c>
      <c r="D7046">
        <v>9001443.2119999994</v>
      </c>
      <c r="E7046" t="s">
        <v>98</v>
      </c>
    </row>
    <row r="7047" spans="1:5" x14ac:dyDescent="0.25">
      <c r="A7047" t="s">
        <v>109</v>
      </c>
      <c r="B7047">
        <v>2000</v>
      </c>
      <c r="C7047" t="s">
        <v>57</v>
      </c>
      <c r="D7047">
        <v>2721345.4479999999</v>
      </c>
      <c r="E7047" t="s">
        <v>98</v>
      </c>
    </row>
    <row r="7048" spans="1:5" x14ac:dyDescent="0.25">
      <c r="A7048" t="s">
        <v>109</v>
      </c>
      <c r="B7048">
        <v>2001</v>
      </c>
      <c r="C7048" t="s">
        <v>57</v>
      </c>
      <c r="D7048">
        <v>2826809.091</v>
      </c>
      <c r="E7048" t="s">
        <v>98</v>
      </c>
    </row>
    <row r="7049" spans="1:5" x14ac:dyDescent="0.25">
      <c r="A7049" t="s">
        <v>109</v>
      </c>
      <c r="B7049">
        <v>2002</v>
      </c>
      <c r="C7049" t="s">
        <v>57</v>
      </c>
      <c r="D7049">
        <v>3465037.8489999999</v>
      </c>
      <c r="E7049" t="s">
        <v>98</v>
      </c>
    </row>
    <row r="7050" spans="1:5" x14ac:dyDescent="0.25">
      <c r="A7050" t="s">
        <v>109</v>
      </c>
      <c r="B7050">
        <v>2003</v>
      </c>
      <c r="C7050" t="s">
        <v>57</v>
      </c>
      <c r="D7050">
        <v>5010923.5939999996</v>
      </c>
      <c r="E7050" t="s">
        <v>98</v>
      </c>
    </row>
    <row r="7051" spans="1:5" x14ac:dyDescent="0.25">
      <c r="A7051" t="s">
        <v>109</v>
      </c>
      <c r="B7051">
        <v>2004</v>
      </c>
      <c r="C7051" t="s">
        <v>57</v>
      </c>
      <c r="D7051">
        <v>4279534.5410000002</v>
      </c>
      <c r="E7051" t="s">
        <v>98</v>
      </c>
    </row>
    <row r="7052" spans="1:5" x14ac:dyDescent="0.25">
      <c r="A7052" t="s">
        <v>109</v>
      </c>
      <c r="B7052">
        <v>2005</v>
      </c>
      <c r="C7052" t="s">
        <v>57</v>
      </c>
      <c r="D7052">
        <v>6239447.915</v>
      </c>
      <c r="E7052" t="s">
        <v>98</v>
      </c>
    </row>
    <row r="7053" spans="1:5" x14ac:dyDescent="0.25">
      <c r="A7053" t="s">
        <v>109</v>
      </c>
      <c r="B7053">
        <v>2006</v>
      </c>
      <c r="C7053" t="s">
        <v>57</v>
      </c>
      <c r="D7053">
        <v>5732066.9349999996</v>
      </c>
      <c r="E7053" t="s">
        <v>98</v>
      </c>
    </row>
    <row r="7054" spans="1:5" x14ac:dyDescent="0.25">
      <c r="A7054" t="s">
        <v>109</v>
      </c>
      <c r="B7054">
        <v>2007</v>
      </c>
      <c r="C7054" t="s">
        <v>57</v>
      </c>
      <c r="D7054">
        <v>6541788.9400000004</v>
      </c>
      <c r="E7054" t="s">
        <v>98</v>
      </c>
    </row>
    <row r="7055" spans="1:5" x14ac:dyDescent="0.25">
      <c r="A7055" t="s">
        <v>109</v>
      </c>
      <c r="B7055">
        <v>2008</v>
      </c>
      <c r="C7055" t="s">
        <v>57</v>
      </c>
      <c r="D7055">
        <v>9294961.9240000006</v>
      </c>
      <c r="E7055" t="s">
        <v>98</v>
      </c>
    </row>
    <row r="7056" spans="1:5" x14ac:dyDescent="0.25">
      <c r="A7056" t="s">
        <v>109</v>
      </c>
      <c r="B7056">
        <v>2009</v>
      </c>
      <c r="C7056" t="s">
        <v>57</v>
      </c>
      <c r="D7056">
        <v>8663919.4670000002</v>
      </c>
      <c r="E7056" t="s">
        <v>98</v>
      </c>
    </row>
    <row r="7057" spans="1:5" x14ac:dyDescent="0.25">
      <c r="A7057" t="s">
        <v>109</v>
      </c>
      <c r="B7057">
        <v>2010</v>
      </c>
      <c r="C7057" t="s">
        <v>57</v>
      </c>
      <c r="D7057">
        <v>7217272.9890000001</v>
      </c>
      <c r="E7057" t="s">
        <v>98</v>
      </c>
    </row>
    <row r="7058" spans="1:5" x14ac:dyDescent="0.25">
      <c r="A7058" t="s">
        <v>109</v>
      </c>
      <c r="B7058">
        <v>2011</v>
      </c>
      <c r="C7058" t="s">
        <v>57</v>
      </c>
      <c r="D7058">
        <v>10634485.366</v>
      </c>
      <c r="E7058" t="s">
        <v>98</v>
      </c>
    </row>
    <row r="7059" spans="1:5" x14ac:dyDescent="0.25">
      <c r="A7059" t="s">
        <v>109</v>
      </c>
      <c r="B7059">
        <v>2012</v>
      </c>
      <c r="C7059" t="s">
        <v>57</v>
      </c>
      <c r="D7059">
        <v>10720132.295</v>
      </c>
      <c r="E7059" t="s">
        <v>98</v>
      </c>
    </row>
    <row r="7060" spans="1:5" x14ac:dyDescent="0.25">
      <c r="A7060" t="s">
        <v>109</v>
      </c>
      <c r="B7060">
        <v>2013</v>
      </c>
      <c r="C7060" t="s">
        <v>57</v>
      </c>
      <c r="D7060">
        <v>16157186.941</v>
      </c>
      <c r="E7060" t="s">
        <v>98</v>
      </c>
    </row>
    <row r="7061" spans="1:5" x14ac:dyDescent="0.25">
      <c r="A7061" t="s">
        <v>109</v>
      </c>
      <c r="B7061">
        <v>2014</v>
      </c>
      <c r="C7061" t="s">
        <v>57</v>
      </c>
      <c r="D7061">
        <v>10888290.218</v>
      </c>
      <c r="E7061" t="s">
        <v>98</v>
      </c>
    </row>
    <row r="7062" spans="1:5" x14ac:dyDescent="0.25">
      <c r="A7062" t="s">
        <v>109</v>
      </c>
      <c r="B7062">
        <v>2015</v>
      </c>
      <c r="C7062" t="s">
        <v>57</v>
      </c>
      <c r="D7062">
        <v>12822610.540999999</v>
      </c>
      <c r="E7062" t="s">
        <v>98</v>
      </c>
    </row>
    <row r="7063" spans="1:5" x14ac:dyDescent="0.25">
      <c r="A7063" t="s">
        <v>109</v>
      </c>
      <c r="B7063">
        <v>2016</v>
      </c>
      <c r="C7063" t="s">
        <v>57</v>
      </c>
      <c r="D7063">
        <v>15645958.745999999</v>
      </c>
      <c r="E7063" t="s">
        <v>98</v>
      </c>
    </row>
    <row r="7064" spans="1:5" x14ac:dyDescent="0.25">
      <c r="A7064" t="s">
        <v>109</v>
      </c>
      <c r="B7064">
        <v>2017</v>
      </c>
      <c r="C7064" t="s">
        <v>57</v>
      </c>
      <c r="D7064">
        <v>9661121.2819999997</v>
      </c>
      <c r="E7064" t="s">
        <v>98</v>
      </c>
    </row>
    <row r="7065" spans="1:5" x14ac:dyDescent="0.25">
      <c r="A7065" t="s">
        <v>109</v>
      </c>
      <c r="B7065">
        <v>2018</v>
      </c>
      <c r="C7065" t="s">
        <v>57</v>
      </c>
      <c r="D7065">
        <v>11295231.390000001</v>
      </c>
      <c r="E7065" t="s">
        <v>98</v>
      </c>
    </row>
    <row r="7066" spans="1:5" x14ac:dyDescent="0.25">
      <c r="A7066" t="s">
        <v>109</v>
      </c>
      <c r="B7066">
        <v>2019</v>
      </c>
      <c r="C7066" t="s">
        <v>57</v>
      </c>
      <c r="D7066">
        <v>12669663.657</v>
      </c>
      <c r="E7066" t="s">
        <v>98</v>
      </c>
    </row>
    <row r="7067" spans="1:5" x14ac:dyDescent="0.25">
      <c r="A7067" t="s">
        <v>109</v>
      </c>
      <c r="B7067">
        <v>2020</v>
      </c>
      <c r="C7067" t="s">
        <v>57</v>
      </c>
      <c r="D7067">
        <v>11475359.289000001</v>
      </c>
      <c r="E7067" t="s">
        <v>98</v>
      </c>
    </row>
    <row r="7068" spans="1:5" x14ac:dyDescent="0.25">
      <c r="A7068" t="s">
        <v>109</v>
      </c>
      <c r="B7068">
        <v>2021</v>
      </c>
      <c r="C7068" t="s">
        <v>57</v>
      </c>
      <c r="D7068">
        <v>7264687.9469999997</v>
      </c>
      <c r="E7068" t="s">
        <v>98</v>
      </c>
    </row>
    <row r="7069" spans="1:5" x14ac:dyDescent="0.25">
      <c r="A7069" t="s">
        <v>109</v>
      </c>
      <c r="B7069">
        <v>2022</v>
      </c>
      <c r="C7069" t="s">
        <v>57</v>
      </c>
      <c r="D7069">
        <v>10367728.734999999</v>
      </c>
      <c r="E7069" t="s">
        <v>98</v>
      </c>
    </row>
    <row r="7070" spans="1:5" x14ac:dyDescent="0.25">
      <c r="A7070" t="s">
        <v>109</v>
      </c>
      <c r="B7070">
        <v>2023</v>
      </c>
      <c r="C7070" t="s">
        <v>57</v>
      </c>
      <c r="D7070">
        <v>6992335.4110000003</v>
      </c>
      <c r="E7070" t="s">
        <v>98</v>
      </c>
    </row>
    <row r="7071" spans="1:5" x14ac:dyDescent="0.25">
      <c r="A7071" t="s">
        <v>109</v>
      </c>
      <c r="B7071">
        <v>2024</v>
      </c>
      <c r="C7071" t="s">
        <v>57</v>
      </c>
      <c r="D7071">
        <v>11604953.334000001</v>
      </c>
      <c r="E7071" t="s">
        <v>98</v>
      </c>
    </row>
    <row r="7072" spans="1:5" x14ac:dyDescent="0.25">
      <c r="A7072" t="s">
        <v>109</v>
      </c>
      <c r="B7072">
        <v>2025</v>
      </c>
      <c r="C7072" t="s">
        <v>57</v>
      </c>
      <c r="D7072">
        <v>11807004.164000001</v>
      </c>
      <c r="E7072" t="s">
        <v>98</v>
      </c>
    </row>
    <row r="7073" spans="1:5" x14ac:dyDescent="0.25">
      <c r="A7073" t="s">
        <v>41</v>
      </c>
      <c r="B7073">
        <v>2015</v>
      </c>
      <c r="C7073" t="s">
        <v>57</v>
      </c>
      <c r="D7073">
        <v>13390971.483999999</v>
      </c>
      <c r="E7073" t="s">
        <v>98</v>
      </c>
    </row>
    <row r="7074" spans="1:5" x14ac:dyDescent="0.25">
      <c r="A7074" t="s">
        <v>41</v>
      </c>
      <c r="B7074">
        <v>2016</v>
      </c>
      <c r="C7074" t="s">
        <v>57</v>
      </c>
      <c r="D7074">
        <v>14366815.35</v>
      </c>
      <c r="E7074" t="s">
        <v>98</v>
      </c>
    </row>
    <row r="7075" spans="1:5" x14ac:dyDescent="0.25">
      <c r="A7075" t="s">
        <v>41</v>
      </c>
      <c r="B7075">
        <v>2018</v>
      </c>
      <c r="C7075" t="s">
        <v>57</v>
      </c>
      <c r="D7075">
        <v>14614846.539000001</v>
      </c>
      <c r="E7075" t="s">
        <v>98</v>
      </c>
    </row>
    <row r="7076" spans="1:5" x14ac:dyDescent="0.25">
      <c r="A7076" t="s">
        <v>41</v>
      </c>
      <c r="B7076">
        <v>2022</v>
      </c>
      <c r="C7076" t="s">
        <v>57</v>
      </c>
      <c r="D7076">
        <v>17151565.645</v>
      </c>
      <c r="E7076" t="s">
        <v>98</v>
      </c>
    </row>
    <row r="7077" spans="1:5" x14ac:dyDescent="0.25">
      <c r="A7077" t="s">
        <v>41</v>
      </c>
      <c r="B7077">
        <v>2023</v>
      </c>
      <c r="C7077" t="s">
        <v>57</v>
      </c>
      <c r="D7077">
        <v>17677110.502999999</v>
      </c>
      <c r="E7077" t="s">
        <v>98</v>
      </c>
    </row>
    <row r="7078" spans="1:5" x14ac:dyDescent="0.25">
      <c r="A7078" t="s">
        <v>64</v>
      </c>
      <c r="B7078">
        <v>2010</v>
      </c>
      <c r="C7078" t="s">
        <v>57</v>
      </c>
      <c r="D7078">
        <v>6208381</v>
      </c>
      <c r="E7078" t="s">
        <v>98</v>
      </c>
    </row>
    <row r="7079" spans="1:5" x14ac:dyDescent="0.25">
      <c r="A7079" t="s">
        <v>64</v>
      </c>
      <c r="B7079">
        <v>2011</v>
      </c>
      <c r="C7079" t="s">
        <v>57</v>
      </c>
      <c r="D7079">
        <v>6663508</v>
      </c>
      <c r="E7079" t="s">
        <v>98</v>
      </c>
    </row>
    <row r="7080" spans="1:5" x14ac:dyDescent="0.25">
      <c r="A7080" t="s">
        <v>64</v>
      </c>
      <c r="B7080">
        <v>2012</v>
      </c>
      <c r="C7080" t="s">
        <v>57</v>
      </c>
      <c r="D7080">
        <v>13521997</v>
      </c>
      <c r="E7080" t="s">
        <v>98</v>
      </c>
    </row>
    <row r="7081" spans="1:5" x14ac:dyDescent="0.25">
      <c r="A7081" t="s">
        <v>64</v>
      </c>
      <c r="B7081">
        <v>2013</v>
      </c>
      <c r="C7081" t="s">
        <v>57</v>
      </c>
      <c r="D7081">
        <v>16574360</v>
      </c>
      <c r="E7081" t="s">
        <v>98</v>
      </c>
    </row>
    <row r="7082" spans="1:5" x14ac:dyDescent="0.25">
      <c r="A7082" t="s">
        <v>64</v>
      </c>
      <c r="B7082">
        <v>2014</v>
      </c>
      <c r="C7082" t="s">
        <v>57</v>
      </c>
      <c r="D7082">
        <v>17273452</v>
      </c>
      <c r="E7082" t="s">
        <v>98</v>
      </c>
    </row>
    <row r="7083" spans="1:5" x14ac:dyDescent="0.25">
      <c r="A7083" t="s">
        <v>64</v>
      </c>
      <c r="B7083">
        <v>2015</v>
      </c>
      <c r="C7083" t="s">
        <v>57</v>
      </c>
      <c r="D7083">
        <v>19233002</v>
      </c>
      <c r="E7083" t="s">
        <v>98</v>
      </c>
    </row>
    <row r="7084" spans="1:5" x14ac:dyDescent="0.25">
      <c r="A7084" t="s">
        <v>64</v>
      </c>
      <c r="B7084">
        <v>2016</v>
      </c>
      <c r="C7084" t="s">
        <v>57</v>
      </c>
      <c r="D7084">
        <v>16138018</v>
      </c>
      <c r="E7084" t="s">
        <v>98</v>
      </c>
    </row>
    <row r="7085" spans="1:5" x14ac:dyDescent="0.25">
      <c r="A7085" t="s">
        <v>64</v>
      </c>
      <c r="B7085">
        <v>2017</v>
      </c>
      <c r="C7085" t="s">
        <v>57</v>
      </c>
      <c r="D7085">
        <v>23213615</v>
      </c>
      <c r="E7085" t="s">
        <v>98</v>
      </c>
    </row>
    <row r="7086" spans="1:5" x14ac:dyDescent="0.25">
      <c r="A7086" t="s">
        <v>64</v>
      </c>
      <c r="B7086">
        <v>2018</v>
      </c>
      <c r="C7086" t="s">
        <v>57</v>
      </c>
      <c r="D7086">
        <v>26808828</v>
      </c>
      <c r="E7086" t="s">
        <v>98</v>
      </c>
    </row>
    <row r="7087" spans="1:5" x14ac:dyDescent="0.25">
      <c r="A7087" t="s">
        <v>64</v>
      </c>
      <c r="B7087">
        <v>2019</v>
      </c>
      <c r="C7087" t="s">
        <v>57</v>
      </c>
      <c r="D7087">
        <v>23972832</v>
      </c>
      <c r="E7087" t="s">
        <v>98</v>
      </c>
    </row>
    <row r="7088" spans="1:5" x14ac:dyDescent="0.25">
      <c r="A7088" t="s">
        <v>64</v>
      </c>
      <c r="B7088">
        <v>2020</v>
      </c>
      <c r="C7088" t="s">
        <v>57</v>
      </c>
      <c r="D7088">
        <v>31541969</v>
      </c>
      <c r="E7088" t="s">
        <v>98</v>
      </c>
    </row>
    <row r="7089" spans="1:5" x14ac:dyDescent="0.25">
      <c r="A7089" t="s">
        <v>64</v>
      </c>
      <c r="B7089">
        <v>2021</v>
      </c>
      <c r="C7089" t="s">
        <v>57</v>
      </c>
      <c r="D7089">
        <v>33574409</v>
      </c>
      <c r="E7089" t="s">
        <v>98</v>
      </c>
    </row>
    <row r="7090" spans="1:5" x14ac:dyDescent="0.25">
      <c r="A7090" t="s">
        <v>64</v>
      </c>
      <c r="B7090">
        <v>2022</v>
      </c>
      <c r="C7090" t="s">
        <v>57</v>
      </c>
      <c r="D7090">
        <v>30392701</v>
      </c>
      <c r="E7090" t="s">
        <v>98</v>
      </c>
    </row>
    <row r="7091" spans="1:5" x14ac:dyDescent="0.25">
      <c r="A7091" t="s">
        <v>64</v>
      </c>
      <c r="B7091">
        <v>2023</v>
      </c>
      <c r="C7091" t="s">
        <v>57</v>
      </c>
      <c r="D7091">
        <v>28038779</v>
      </c>
      <c r="E7091" t="s">
        <v>98</v>
      </c>
    </row>
    <row r="7092" spans="1:5" x14ac:dyDescent="0.25">
      <c r="A7092" t="s">
        <v>64</v>
      </c>
      <c r="B7092">
        <v>2024</v>
      </c>
      <c r="C7092" t="s">
        <v>57</v>
      </c>
      <c r="D7092">
        <v>33749549</v>
      </c>
      <c r="E7092" t="s">
        <v>98</v>
      </c>
    </row>
    <row r="7093" spans="1:5" x14ac:dyDescent="0.25">
      <c r="A7093" t="s">
        <v>64</v>
      </c>
      <c r="B7093">
        <v>2025</v>
      </c>
      <c r="C7093" t="s">
        <v>57</v>
      </c>
      <c r="D7093">
        <v>23989683</v>
      </c>
      <c r="E7093" t="s">
        <v>98</v>
      </c>
    </row>
    <row r="7094" spans="1:5" x14ac:dyDescent="0.25">
      <c r="A7094" t="s">
        <v>108</v>
      </c>
      <c r="B7094">
        <v>2013</v>
      </c>
      <c r="C7094" t="s">
        <v>57</v>
      </c>
      <c r="D7094">
        <v>2866894</v>
      </c>
      <c r="E7094" t="s">
        <v>98</v>
      </c>
    </row>
    <row r="7095" spans="1:5" x14ac:dyDescent="0.25">
      <c r="A7095" t="s">
        <v>108</v>
      </c>
      <c r="B7095">
        <v>2014</v>
      </c>
      <c r="C7095" t="s">
        <v>57</v>
      </c>
      <c r="D7095">
        <v>3347153</v>
      </c>
      <c r="E7095" t="s">
        <v>98</v>
      </c>
    </row>
    <row r="7096" spans="1:5" x14ac:dyDescent="0.25">
      <c r="A7096" t="s">
        <v>108</v>
      </c>
      <c r="B7096">
        <v>2018</v>
      </c>
      <c r="C7096" t="s">
        <v>57</v>
      </c>
      <c r="D7096">
        <v>4291676</v>
      </c>
      <c r="E7096" t="s">
        <v>98</v>
      </c>
    </row>
    <row r="7097" spans="1:5" x14ac:dyDescent="0.25">
      <c r="A7097" t="s">
        <v>108</v>
      </c>
      <c r="B7097">
        <v>2019</v>
      </c>
      <c r="C7097" t="s">
        <v>57</v>
      </c>
      <c r="D7097">
        <v>3472992</v>
      </c>
      <c r="E7097" t="s">
        <v>98</v>
      </c>
    </row>
    <row r="7098" spans="1:5" x14ac:dyDescent="0.25">
      <c r="A7098" t="s">
        <v>42</v>
      </c>
      <c r="B7098">
        <v>2010</v>
      </c>
      <c r="C7098" t="s">
        <v>57</v>
      </c>
      <c r="D7098">
        <v>30778883.48</v>
      </c>
      <c r="E7098" t="s">
        <v>98</v>
      </c>
    </row>
    <row r="7099" spans="1:5" x14ac:dyDescent="0.25">
      <c r="A7099" t="s">
        <v>42</v>
      </c>
      <c r="B7099">
        <v>2011</v>
      </c>
      <c r="C7099" t="s">
        <v>57</v>
      </c>
      <c r="D7099">
        <v>47500773.329999998</v>
      </c>
      <c r="E7099" t="s">
        <v>98</v>
      </c>
    </row>
    <row r="7100" spans="1:5" x14ac:dyDescent="0.25">
      <c r="A7100" t="s">
        <v>42</v>
      </c>
      <c r="B7100">
        <v>2012</v>
      </c>
      <c r="C7100" t="s">
        <v>57</v>
      </c>
      <c r="D7100">
        <v>55213287.189999998</v>
      </c>
      <c r="E7100" t="s">
        <v>98</v>
      </c>
    </row>
    <row r="7101" spans="1:5" x14ac:dyDescent="0.25">
      <c r="A7101" t="s">
        <v>42</v>
      </c>
      <c r="B7101">
        <v>2013</v>
      </c>
      <c r="C7101" t="s">
        <v>57</v>
      </c>
      <c r="D7101">
        <v>73514345.5</v>
      </c>
      <c r="E7101" t="s">
        <v>98</v>
      </c>
    </row>
    <row r="7102" spans="1:5" x14ac:dyDescent="0.25">
      <c r="A7102" t="s">
        <v>42</v>
      </c>
      <c r="B7102">
        <v>2014</v>
      </c>
      <c r="C7102" t="s">
        <v>57</v>
      </c>
      <c r="D7102">
        <v>51290798.399999999</v>
      </c>
      <c r="E7102" t="s">
        <v>98</v>
      </c>
    </row>
    <row r="7103" spans="1:5" x14ac:dyDescent="0.25">
      <c r="A7103" t="s">
        <v>42</v>
      </c>
      <c r="B7103">
        <v>2015</v>
      </c>
      <c r="C7103" t="s">
        <v>57</v>
      </c>
      <c r="D7103">
        <v>66726704.020000003</v>
      </c>
      <c r="E7103" t="s">
        <v>98</v>
      </c>
    </row>
    <row r="7104" spans="1:5" x14ac:dyDescent="0.25">
      <c r="A7104" t="s">
        <v>42</v>
      </c>
      <c r="B7104">
        <v>2016</v>
      </c>
      <c r="C7104" t="s">
        <v>57</v>
      </c>
      <c r="D7104">
        <v>56850872.630000003</v>
      </c>
      <c r="E7104" t="s">
        <v>98</v>
      </c>
    </row>
    <row r="7105" spans="1:5" x14ac:dyDescent="0.25">
      <c r="A7105" t="s">
        <v>42</v>
      </c>
      <c r="B7105">
        <v>2017</v>
      </c>
      <c r="C7105" t="s">
        <v>57</v>
      </c>
      <c r="D7105">
        <v>72373986.120000005</v>
      </c>
      <c r="E7105" t="s">
        <v>98</v>
      </c>
    </row>
    <row r="7106" spans="1:5" x14ac:dyDescent="0.25">
      <c r="A7106" t="s">
        <v>42</v>
      </c>
      <c r="B7106">
        <v>2018</v>
      </c>
      <c r="C7106" t="s">
        <v>57</v>
      </c>
      <c r="D7106">
        <v>67339108.310000002</v>
      </c>
      <c r="E7106" t="s">
        <v>98</v>
      </c>
    </row>
    <row r="7107" spans="1:5" x14ac:dyDescent="0.25">
      <c r="A7107" t="s">
        <v>42</v>
      </c>
      <c r="B7107">
        <v>2019</v>
      </c>
      <c r="C7107" t="s">
        <v>57</v>
      </c>
      <c r="D7107">
        <v>104049948.94</v>
      </c>
      <c r="E7107" t="s">
        <v>98</v>
      </c>
    </row>
    <row r="7108" spans="1:5" x14ac:dyDescent="0.25">
      <c r="A7108" t="s">
        <v>42</v>
      </c>
      <c r="B7108">
        <v>2020</v>
      </c>
      <c r="C7108" t="s">
        <v>57</v>
      </c>
      <c r="D7108">
        <v>30780500.02</v>
      </c>
      <c r="E7108" t="s">
        <v>98</v>
      </c>
    </row>
    <row r="7109" spans="1:5" x14ac:dyDescent="0.25">
      <c r="A7109" t="s">
        <v>42</v>
      </c>
      <c r="B7109">
        <v>2024</v>
      </c>
      <c r="C7109" t="s">
        <v>57</v>
      </c>
      <c r="D7109">
        <v>91757530.162</v>
      </c>
      <c r="E7109" t="s">
        <v>98</v>
      </c>
    </row>
    <row r="7110" spans="1:5" x14ac:dyDescent="0.25">
      <c r="A7110" t="s">
        <v>42</v>
      </c>
      <c r="B7110">
        <v>2025</v>
      </c>
      <c r="C7110" t="s">
        <v>57</v>
      </c>
      <c r="D7110">
        <v>52770798.620999999</v>
      </c>
      <c r="E7110" t="s">
        <v>98</v>
      </c>
    </row>
    <row r="7111" spans="1:5" x14ac:dyDescent="0.25">
      <c r="A7111" t="s">
        <v>43</v>
      </c>
      <c r="B7111">
        <v>2015</v>
      </c>
      <c r="C7111" t="s">
        <v>57</v>
      </c>
      <c r="D7111">
        <v>2332415.75</v>
      </c>
      <c r="E7111" t="s">
        <v>98</v>
      </c>
    </row>
    <row r="7112" spans="1:5" x14ac:dyDescent="0.25">
      <c r="A7112" t="s">
        <v>43</v>
      </c>
      <c r="B7112">
        <v>2016</v>
      </c>
      <c r="C7112" t="s">
        <v>57</v>
      </c>
      <c r="D7112">
        <v>3156930</v>
      </c>
      <c r="E7112" t="s">
        <v>98</v>
      </c>
    </row>
    <row r="7113" spans="1:5" x14ac:dyDescent="0.25">
      <c r="A7113" t="s">
        <v>43</v>
      </c>
      <c r="B7113">
        <v>2017</v>
      </c>
      <c r="C7113" t="s">
        <v>57</v>
      </c>
      <c r="D7113">
        <v>2429630</v>
      </c>
      <c r="E7113" t="s">
        <v>98</v>
      </c>
    </row>
    <row r="7114" spans="1:5" x14ac:dyDescent="0.25">
      <c r="A7114" t="s">
        <v>43</v>
      </c>
      <c r="B7114">
        <v>2018</v>
      </c>
      <c r="C7114" t="s">
        <v>57</v>
      </c>
      <c r="D7114">
        <v>5005461</v>
      </c>
      <c r="E7114" t="s">
        <v>98</v>
      </c>
    </row>
    <row r="7115" spans="1:5" x14ac:dyDescent="0.25">
      <c r="A7115" t="s">
        <v>43</v>
      </c>
      <c r="B7115">
        <v>2019</v>
      </c>
      <c r="C7115" t="s">
        <v>57</v>
      </c>
      <c r="D7115">
        <v>9454637</v>
      </c>
      <c r="E7115" t="s">
        <v>98</v>
      </c>
    </row>
    <row r="7116" spans="1:5" x14ac:dyDescent="0.25">
      <c r="A7116" t="s">
        <v>43</v>
      </c>
      <c r="B7116">
        <v>2020</v>
      </c>
      <c r="C7116" t="s">
        <v>57</v>
      </c>
      <c r="D7116">
        <v>15815240</v>
      </c>
      <c r="E7116" t="s">
        <v>98</v>
      </c>
    </row>
    <row r="7117" spans="1:5" x14ac:dyDescent="0.25">
      <c r="A7117" t="s">
        <v>43</v>
      </c>
      <c r="B7117">
        <v>2021</v>
      </c>
      <c r="C7117" t="s">
        <v>57</v>
      </c>
      <c r="D7117">
        <v>15113728</v>
      </c>
      <c r="E7117" t="s">
        <v>98</v>
      </c>
    </row>
    <row r="7118" spans="1:5" x14ac:dyDescent="0.25">
      <c r="A7118" t="s">
        <v>43</v>
      </c>
      <c r="B7118">
        <v>2022</v>
      </c>
      <c r="C7118" t="s">
        <v>57</v>
      </c>
      <c r="D7118">
        <v>13240606</v>
      </c>
      <c r="E7118" t="s">
        <v>98</v>
      </c>
    </row>
    <row r="7119" spans="1:5" x14ac:dyDescent="0.25">
      <c r="A7119" t="s">
        <v>43</v>
      </c>
      <c r="B7119">
        <v>2023</v>
      </c>
      <c r="C7119" t="s">
        <v>57</v>
      </c>
      <c r="D7119">
        <v>15825153</v>
      </c>
      <c r="E7119" t="s">
        <v>98</v>
      </c>
    </row>
    <row r="7120" spans="1:5" x14ac:dyDescent="0.25">
      <c r="A7120" t="s">
        <v>43</v>
      </c>
      <c r="B7120">
        <v>2024</v>
      </c>
      <c r="C7120" t="s">
        <v>57</v>
      </c>
      <c r="D7120">
        <v>4907265</v>
      </c>
      <c r="E7120" t="s">
        <v>98</v>
      </c>
    </row>
    <row r="7121" spans="1:5" x14ac:dyDescent="0.25">
      <c r="A7121" t="s">
        <v>43</v>
      </c>
      <c r="B7121">
        <v>2025</v>
      </c>
      <c r="C7121" t="s">
        <v>57</v>
      </c>
      <c r="D7121">
        <v>17632327</v>
      </c>
      <c r="E7121" t="s">
        <v>98</v>
      </c>
    </row>
    <row r="7122" spans="1:5" x14ac:dyDescent="0.25">
      <c r="A7122" t="s">
        <v>88</v>
      </c>
      <c r="B7122">
        <v>2004</v>
      </c>
      <c r="C7122" t="s">
        <v>57</v>
      </c>
      <c r="D7122">
        <v>13281551</v>
      </c>
      <c r="E7122" t="s">
        <v>98</v>
      </c>
    </row>
    <row r="7123" spans="1:5" x14ac:dyDescent="0.25">
      <c r="A7123" t="s">
        <v>88</v>
      </c>
      <c r="B7123">
        <v>2005</v>
      </c>
      <c r="C7123" t="s">
        <v>57</v>
      </c>
      <c r="D7123">
        <v>13776737</v>
      </c>
      <c r="E7123" t="s">
        <v>98</v>
      </c>
    </row>
    <row r="7124" spans="1:5" x14ac:dyDescent="0.25">
      <c r="A7124" t="s">
        <v>88</v>
      </c>
      <c r="B7124">
        <v>2006</v>
      </c>
      <c r="C7124" t="s">
        <v>57</v>
      </c>
      <c r="D7124">
        <v>14268663</v>
      </c>
      <c r="E7124" t="s">
        <v>98</v>
      </c>
    </row>
    <row r="7125" spans="1:5" x14ac:dyDescent="0.25">
      <c r="A7125" t="s">
        <v>88</v>
      </c>
      <c r="B7125">
        <v>2007</v>
      </c>
      <c r="C7125" t="s">
        <v>57</v>
      </c>
      <c r="D7125">
        <v>16243532</v>
      </c>
      <c r="E7125" t="s">
        <v>98</v>
      </c>
    </row>
    <row r="7126" spans="1:5" x14ac:dyDescent="0.25">
      <c r="A7126" t="s">
        <v>88</v>
      </c>
      <c r="B7126">
        <v>2008</v>
      </c>
      <c r="C7126" t="s">
        <v>57</v>
      </c>
      <c r="D7126">
        <v>30727502</v>
      </c>
      <c r="E7126" t="s">
        <v>98</v>
      </c>
    </row>
    <row r="7127" spans="1:5" x14ac:dyDescent="0.25">
      <c r="A7127" t="s">
        <v>88</v>
      </c>
      <c r="B7127">
        <v>2009</v>
      </c>
      <c r="C7127" t="s">
        <v>57</v>
      </c>
      <c r="D7127">
        <v>23339993</v>
      </c>
      <c r="E7127" t="s">
        <v>98</v>
      </c>
    </row>
    <row r="7128" spans="1:5" x14ac:dyDescent="0.25">
      <c r="A7128" t="s">
        <v>88</v>
      </c>
      <c r="B7128">
        <v>2010</v>
      </c>
      <c r="C7128" t="s">
        <v>57</v>
      </c>
      <c r="D7128">
        <v>26979709.429000001</v>
      </c>
      <c r="E7128" t="s">
        <v>98</v>
      </c>
    </row>
    <row r="7129" spans="1:5" x14ac:dyDescent="0.25">
      <c r="A7129" t="s">
        <v>88</v>
      </c>
      <c r="B7129">
        <v>2011</v>
      </c>
      <c r="C7129" t="s">
        <v>57</v>
      </c>
      <c r="D7129">
        <v>27740342</v>
      </c>
      <c r="E7129" t="s">
        <v>98</v>
      </c>
    </row>
    <row r="7130" spans="1:5" x14ac:dyDescent="0.25">
      <c r="A7130" t="s">
        <v>88</v>
      </c>
      <c r="B7130">
        <v>2012</v>
      </c>
      <c r="C7130" t="s">
        <v>57</v>
      </c>
      <c r="D7130">
        <v>26003252</v>
      </c>
      <c r="E7130" t="s">
        <v>98</v>
      </c>
    </row>
    <row r="7131" spans="1:5" x14ac:dyDescent="0.25">
      <c r="A7131" t="s">
        <v>88</v>
      </c>
      <c r="B7131">
        <v>2013</v>
      </c>
      <c r="C7131" t="s">
        <v>57</v>
      </c>
      <c r="D7131">
        <v>48018837.667000003</v>
      </c>
      <c r="E7131" t="s">
        <v>98</v>
      </c>
    </row>
    <row r="7132" spans="1:5" x14ac:dyDescent="0.25">
      <c r="A7132" t="s">
        <v>88</v>
      </c>
      <c r="B7132">
        <v>2014</v>
      </c>
      <c r="C7132" t="s">
        <v>57</v>
      </c>
      <c r="D7132">
        <v>35376969</v>
      </c>
      <c r="E7132" t="s">
        <v>98</v>
      </c>
    </row>
    <row r="7133" spans="1:5" x14ac:dyDescent="0.25">
      <c r="A7133" t="s">
        <v>88</v>
      </c>
      <c r="B7133">
        <v>2015</v>
      </c>
      <c r="C7133" t="s">
        <v>57</v>
      </c>
      <c r="D7133">
        <v>34439941</v>
      </c>
      <c r="E7133" t="s">
        <v>98</v>
      </c>
    </row>
    <row r="7134" spans="1:5" x14ac:dyDescent="0.25">
      <c r="A7134" t="s">
        <v>88</v>
      </c>
      <c r="B7134">
        <v>2016</v>
      </c>
      <c r="C7134" t="s">
        <v>57</v>
      </c>
      <c r="D7134">
        <v>36602555</v>
      </c>
      <c r="E7134" t="s">
        <v>98</v>
      </c>
    </row>
    <row r="7135" spans="1:5" x14ac:dyDescent="0.25">
      <c r="A7135" t="s">
        <v>88</v>
      </c>
      <c r="B7135">
        <v>2017</v>
      </c>
      <c r="C7135" t="s">
        <v>57</v>
      </c>
      <c r="D7135">
        <v>32324843</v>
      </c>
      <c r="E7135" t="s">
        <v>98</v>
      </c>
    </row>
    <row r="7136" spans="1:5" x14ac:dyDescent="0.25">
      <c r="A7136" t="s">
        <v>88</v>
      </c>
      <c r="B7136">
        <v>2018</v>
      </c>
      <c r="C7136" t="s">
        <v>57</v>
      </c>
      <c r="D7136">
        <v>43991890</v>
      </c>
      <c r="E7136" t="s">
        <v>98</v>
      </c>
    </row>
    <row r="7137" spans="1:5" x14ac:dyDescent="0.25">
      <c r="A7137" t="s">
        <v>88</v>
      </c>
      <c r="B7137">
        <v>2019</v>
      </c>
      <c r="C7137" t="s">
        <v>57</v>
      </c>
      <c r="D7137">
        <v>48595616</v>
      </c>
      <c r="E7137" t="s">
        <v>98</v>
      </c>
    </row>
    <row r="7138" spans="1:5" x14ac:dyDescent="0.25">
      <c r="A7138" t="s">
        <v>88</v>
      </c>
      <c r="B7138">
        <v>2020</v>
      </c>
      <c r="C7138" t="s">
        <v>57</v>
      </c>
      <c r="D7138">
        <v>46475572</v>
      </c>
      <c r="E7138" t="s">
        <v>98</v>
      </c>
    </row>
    <row r="7139" spans="1:5" x14ac:dyDescent="0.25">
      <c r="A7139" t="s">
        <v>88</v>
      </c>
      <c r="B7139">
        <v>2021</v>
      </c>
      <c r="C7139" t="s">
        <v>57</v>
      </c>
      <c r="D7139">
        <v>55368077</v>
      </c>
      <c r="E7139" t="s">
        <v>98</v>
      </c>
    </row>
    <row r="7140" spans="1:5" x14ac:dyDescent="0.25">
      <c r="A7140" t="s">
        <v>88</v>
      </c>
      <c r="B7140">
        <v>2022</v>
      </c>
      <c r="C7140" t="s">
        <v>57</v>
      </c>
      <c r="D7140">
        <v>59223745</v>
      </c>
      <c r="E7140" t="s">
        <v>98</v>
      </c>
    </row>
    <row r="7141" spans="1:5" x14ac:dyDescent="0.25">
      <c r="A7141" t="s">
        <v>88</v>
      </c>
      <c r="B7141">
        <v>2023</v>
      </c>
      <c r="C7141" t="s">
        <v>57</v>
      </c>
      <c r="D7141">
        <v>64062035</v>
      </c>
      <c r="E7141" t="s">
        <v>98</v>
      </c>
    </row>
    <row r="7142" spans="1:5" x14ac:dyDescent="0.25">
      <c r="A7142" t="s">
        <v>88</v>
      </c>
      <c r="B7142">
        <v>2024</v>
      </c>
      <c r="C7142" t="s">
        <v>57</v>
      </c>
      <c r="D7142">
        <v>82516662</v>
      </c>
      <c r="E7142" t="s">
        <v>98</v>
      </c>
    </row>
    <row r="7143" spans="1:5" x14ac:dyDescent="0.25">
      <c r="A7143" t="s">
        <v>88</v>
      </c>
      <c r="B7143">
        <v>2025</v>
      </c>
      <c r="C7143" t="s">
        <v>57</v>
      </c>
      <c r="D7143">
        <v>72208324</v>
      </c>
      <c r="E7143" t="s">
        <v>98</v>
      </c>
    </row>
    <row r="7144" spans="1:5" x14ac:dyDescent="0.25">
      <c r="A7144" t="s">
        <v>44</v>
      </c>
      <c r="B7144">
        <v>2010</v>
      </c>
      <c r="C7144" t="s">
        <v>57</v>
      </c>
      <c r="D7144">
        <v>59534107.840000004</v>
      </c>
      <c r="E7144" t="s">
        <v>98</v>
      </c>
    </row>
    <row r="7145" spans="1:5" x14ac:dyDescent="0.25">
      <c r="A7145" t="s">
        <v>44</v>
      </c>
      <c r="B7145">
        <v>2011</v>
      </c>
      <c r="C7145" t="s">
        <v>57</v>
      </c>
      <c r="D7145">
        <v>70971200.562999994</v>
      </c>
      <c r="E7145" t="s">
        <v>98</v>
      </c>
    </row>
    <row r="7146" spans="1:5" x14ac:dyDescent="0.25">
      <c r="A7146" t="s">
        <v>44</v>
      </c>
      <c r="B7146">
        <v>2012</v>
      </c>
      <c r="C7146" t="s">
        <v>57</v>
      </c>
      <c r="D7146">
        <v>79593615.430000007</v>
      </c>
      <c r="E7146" t="s">
        <v>98</v>
      </c>
    </row>
    <row r="7147" spans="1:5" x14ac:dyDescent="0.25">
      <c r="A7147" t="s">
        <v>44</v>
      </c>
      <c r="B7147">
        <v>2013</v>
      </c>
      <c r="C7147" t="s">
        <v>57</v>
      </c>
      <c r="D7147">
        <v>122862426.926</v>
      </c>
      <c r="E7147" t="s">
        <v>98</v>
      </c>
    </row>
    <row r="7148" spans="1:5" x14ac:dyDescent="0.25">
      <c r="A7148" t="s">
        <v>44</v>
      </c>
      <c r="B7148">
        <v>2014</v>
      </c>
      <c r="C7148" t="s">
        <v>57</v>
      </c>
      <c r="D7148">
        <v>125509309.51100001</v>
      </c>
      <c r="E7148" t="s">
        <v>98</v>
      </c>
    </row>
    <row r="7149" spans="1:5" x14ac:dyDescent="0.25">
      <c r="A7149" t="s">
        <v>44</v>
      </c>
      <c r="B7149">
        <v>2015</v>
      </c>
      <c r="C7149" t="s">
        <v>57</v>
      </c>
      <c r="D7149">
        <v>82867766.725999996</v>
      </c>
      <c r="E7149" t="s">
        <v>98</v>
      </c>
    </row>
    <row r="7150" spans="1:5" x14ac:dyDescent="0.25">
      <c r="A7150" t="s">
        <v>44</v>
      </c>
      <c r="B7150">
        <v>2016</v>
      </c>
      <c r="C7150" t="s">
        <v>57</v>
      </c>
      <c r="D7150">
        <v>90806279.943000004</v>
      </c>
      <c r="E7150" t="s">
        <v>98</v>
      </c>
    </row>
    <row r="7151" spans="1:5" x14ac:dyDescent="0.25">
      <c r="A7151" t="s">
        <v>44</v>
      </c>
      <c r="B7151">
        <v>2017</v>
      </c>
      <c r="C7151" t="s">
        <v>57</v>
      </c>
      <c r="D7151">
        <v>116884232.366</v>
      </c>
      <c r="E7151" t="s">
        <v>98</v>
      </c>
    </row>
    <row r="7152" spans="1:5" x14ac:dyDescent="0.25">
      <c r="A7152" t="s">
        <v>44</v>
      </c>
      <c r="B7152">
        <v>2018</v>
      </c>
      <c r="C7152" t="s">
        <v>57</v>
      </c>
      <c r="D7152">
        <v>117130771.501</v>
      </c>
      <c r="E7152" t="s">
        <v>98</v>
      </c>
    </row>
    <row r="7153" spans="1:5" x14ac:dyDescent="0.25">
      <c r="A7153" t="s">
        <v>44</v>
      </c>
      <c r="B7153">
        <v>2019</v>
      </c>
      <c r="C7153" t="s">
        <v>57</v>
      </c>
      <c r="D7153">
        <v>111514209.226</v>
      </c>
      <c r="E7153" t="s">
        <v>98</v>
      </c>
    </row>
    <row r="7154" spans="1:5" x14ac:dyDescent="0.25">
      <c r="A7154" t="s">
        <v>44</v>
      </c>
      <c r="B7154">
        <v>2020</v>
      </c>
      <c r="C7154" t="s">
        <v>57</v>
      </c>
      <c r="D7154">
        <v>132597822.54099999</v>
      </c>
      <c r="E7154" t="s">
        <v>98</v>
      </c>
    </row>
    <row r="7155" spans="1:5" x14ac:dyDescent="0.25">
      <c r="A7155" t="s">
        <v>44</v>
      </c>
      <c r="B7155">
        <v>2021</v>
      </c>
      <c r="C7155" t="s">
        <v>57</v>
      </c>
      <c r="D7155">
        <v>120763953.91</v>
      </c>
      <c r="E7155" t="s">
        <v>98</v>
      </c>
    </row>
    <row r="7156" spans="1:5" x14ac:dyDescent="0.25">
      <c r="A7156" t="s">
        <v>44</v>
      </c>
      <c r="B7156">
        <v>2022</v>
      </c>
      <c r="C7156" t="s">
        <v>57</v>
      </c>
      <c r="D7156">
        <v>139664280.22400001</v>
      </c>
      <c r="E7156" t="s">
        <v>98</v>
      </c>
    </row>
    <row r="7157" spans="1:5" x14ac:dyDescent="0.25">
      <c r="A7157" t="s">
        <v>44</v>
      </c>
      <c r="B7157">
        <v>2023</v>
      </c>
      <c r="C7157" t="s">
        <v>57</v>
      </c>
      <c r="D7157">
        <v>171781486.722</v>
      </c>
      <c r="E7157" t="s">
        <v>98</v>
      </c>
    </row>
    <row r="7158" spans="1:5" x14ac:dyDescent="0.25">
      <c r="A7158" t="s">
        <v>44</v>
      </c>
      <c r="B7158">
        <v>2024</v>
      </c>
      <c r="C7158" t="s">
        <v>57</v>
      </c>
      <c r="D7158">
        <v>174777148.69</v>
      </c>
      <c r="E7158" t="s">
        <v>98</v>
      </c>
    </row>
    <row r="7159" spans="1:5" x14ac:dyDescent="0.25">
      <c r="A7159" t="s">
        <v>44</v>
      </c>
      <c r="B7159">
        <v>2025</v>
      </c>
      <c r="C7159" t="s">
        <v>57</v>
      </c>
      <c r="D7159">
        <v>189602660.088</v>
      </c>
      <c r="E7159" t="s">
        <v>98</v>
      </c>
    </row>
    <row r="7160" spans="1:5" x14ac:dyDescent="0.25">
      <c r="A7160" t="s">
        <v>87</v>
      </c>
      <c r="B7160">
        <v>2012</v>
      </c>
      <c r="C7160" t="s">
        <v>57</v>
      </c>
      <c r="D7160">
        <v>11192060.976</v>
      </c>
      <c r="E7160" t="s">
        <v>98</v>
      </c>
    </row>
    <row r="7161" spans="1:5" x14ac:dyDescent="0.25">
      <c r="A7161" t="s">
        <v>87</v>
      </c>
      <c r="B7161">
        <v>2013</v>
      </c>
      <c r="C7161" t="s">
        <v>57</v>
      </c>
      <c r="D7161">
        <v>9742052.3420000002</v>
      </c>
      <c r="E7161" t="s">
        <v>98</v>
      </c>
    </row>
    <row r="7162" spans="1:5" x14ac:dyDescent="0.25">
      <c r="A7162" t="s">
        <v>87</v>
      </c>
      <c r="B7162">
        <v>2014</v>
      </c>
      <c r="C7162" t="s">
        <v>57</v>
      </c>
      <c r="D7162">
        <v>9024802.1669999994</v>
      </c>
      <c r="E7162" t="s">
        <v>98</v>
      </c>
    </row>
    <row r="7163" spans="1:5" x14ac:dyDescent="0.25">
      <c r="A7163" t="s">
        <v>87</v>
      </c>
      <c r="B7163">
        <v>2015</v>
      </c>
      <c r="C7163" t="s">
        <v>57</v>
      </c>
      <c r="D7163">
        <v>14522450.794</v>
      </c>
      <c r="E7163" t="s">
        <v>98</v>
      </c>
    </row>
    <row r="7164" spans="1:5" x14ac:dyDescent="0.25">
      <c r="A7164" t="s">
        <v>87</v>
      </c>
      <c r="B7164">
        <v>2016</v>
      </c>
      <c r="C7164" t="s">
        <v>57</v>
      </c>
      <c r="D7164">
        <v>13842601.982999999</v>
      </c>
      <c r="E7164" t="s">
        <v>98</v>
      </c>
    </row>
    <row r="7165" spans="1:5" x14ac:dyDescent="0.25">
      <c r="A7165" t="s">
        <v>87</v>
      </c>
      <c r="B7165">
        <v>2017</v>
      </c>
      <c r="C7165" t="s">
        <v>57</v>
      </c>
      <c r="D7165">
        <v>13620334.938999999</v>
      </c>
      <c r="E7165" t="s">
        <v>98</v>
      </c>
    </row>
    <row r="7166" spans="1:5" x14ac:dyDescent="0.25">
      <c r="A7166" t="s">
        <v>87</v>
      </c>
      <c r="B7166">
        <v>2018</v>
      </c>
      <c r="C7166" t="s">
        <v>57</v>
      </c>
      <c r="D7166">
        <v>12624133.280999999</v>
      </c>
      <c r="E7166" t="s">
        <v>98</v>
      </c>
    </row>
    <row r="7167" spans="1:5" x14ac:dyDescent="0.25">
      <c r="A7167" t="s">
        <v>87</v>
      </c>
      <c r="B7167">
        <v>2019</v>
      </c>
      <c r="C7167" t="s">
        <v>57</v>
      </c>
      <c r="D7167">
        <v>12090987.771</v>
      </c>
      <c r="E7167" t="s">
        <v>98</v>
      </c>
    </row>
    <row r="7168" spans="1:5" x14ac:dyDescent="0.25">
      <c r="A7168" t="s">
        <v>87</v>
      </c>
      <c r="B7168">
        <v>2020</v>
      </c>
      <c r="C7168" t="s">
        <v>57</v>
      </c>
      <c r="D7168">
        <v>10821201.819</v>
      </c>
      <c r="E7168" t="s">
        <v>98</v>
      </c>
    </row>
    <row r="7169" spans="1:5" x14ac:dyDescent="0.25">
      <c r="A7169" t="s">
        <v>87</v>
      </c>
      <c r="B7169">
        <v>2021</v>
      </c>
      <c r="C7169" t="s">
        <v>57</v>
      </c>
      <c r="D7169">
        <v>9685615.3800000008</v>
      </c>
      <c r="E7169" t="s">
        <v>98</v>
      </c>
    </row>
    <row r="7170" spans="1:5" x14ac:dyDescent="0.25">
      <c r="A7170" t="s">
        <v>87</v>
      </c>
      <c r="B7170">
        <v>2022</v>
      </c>
      <c r="C7170" t="s">
        <v>57</v>
      </c>
      <c r="D7170">
        <v>14746544.596999999</v>
      </c>
      <c r="E7170" t="s">
        <v>98</v>
      </c>
    </row>
    <row r="7171" spans="1:5" x14ac:dyDescent="0.25">
      <c r="A7171" t="s">
        <v>87</v>
      </c>
      <c r="B7171">
        <v>2023</v>
      </c>
      <c r="C7171" t="s">
        <v>57</v>
      </c>
      <c r="D7171">
        <v>10448555.262</v>
      </c>
      <c r="E7171" t="s">
        <v>98</v>
      </c>
    </row>
    <row r="7172" spans="1:5" x14ac:dyDescent="0.25">
      <c r="A7172" t="s">
        <v>45</v>
      </c>
      <c r="B7172">
        <v>2015</v>
      </c>
      <c r="C7172" t="s">
        <v>57</v>
      </c>
      <c r="D7172">
        <v>8702001</v>
      </c>
      <c r="E7172" t="s">
        <v>98</v>
      </c>
    </row>
    <row r="7173" spans="1:5" x14ac:dyDescent="0.25">
      <c r="A7173" t="s">
        <v>45</v>
      </c>
      <c r="B7173">
        <v>2016</v>
      </c>
      <c r="C7173" t="s">
        <v>57</v>
      </c>
      <c r="D7173">
        <v>7525849</v>
      </c>
      <c r="E7173" t="s">
        <v>98</v>
      </c>
    </row>
    <row r="7174" spans="1:5" x14ac:dyDescent="0.25">
      <c r="A7174" t="s">
        <v>45</v>
      </c>
      <c r="B7174">
        <v>2017</v>
      </c>
      <c r="C7174" t="s">
        <v>57</v>
      </c>
      <c r="D7174">
        <v>6334230</v>
      </c>
      <c r="E7174" t="s">
        <v>98</v>
      </c>
    </row>
    <row r="7175" spans="1:5" x14ac:dyDescent="0.25">
      <c r="A7175" t="s">
        <v>45</v>
      </c>
      <c r="B7175">
        <v>2018</v>
      </c>
      <c r="C7175" t="s">
        <v>57</v>
      </c>
      <c r="D7175">
        <v>6793957</v>
      </c>
      <c r="E7175" t="s">
        <v>98</v>
      </c>
    </row>
    <row r="7176" spans="1:5" x14ac:dyDescent="0.25">
      <c r="A7176" t="s">
        <v>45</v>
      </c>
      <c r="B7176">
        <v>2019</v>
      </c>
      <c r="C7176" t="s">
        <v>57</v>
      </c>
      <c r="D7176">
        <v>5867083</v>
      </c>
      <c r="E7176" t="s">
        <v>98</v>
      </c>
    </row>
    <row r="7177" spans="1:5" x14ac:dyDescent="0.25">
      <c r="A7177" t="s">
        <v>45</v>
      </c>
      <c r="B7177">
        <v>2020</v>
      </c>
      <c r="C7177" t="s">
        <v>57</v>
      </c>
      <c r="D7177">
        <v>6518461</v>
      </c>
      <c r="E7177" t="s">
        <v>98</v>
      </c>
    </row>
    <row r="7178" spans="1:5" x14ac:dyDescent="0.25">
      <c r="A7178" t="s">
        <v>45</v>
      </c>
      <c r="B7178">
        <v>2021</v>
      </c>
      <c r="C7178" t="s">
        <v>57</v>
      </c>
      <c r="D7178">
        <v>7482973</v>
      </c>
      <c r="E7178" t="s">
        <v>98</v>
      </c>
    </row>
    <row r="7179" spans="1:5" x14ac:dyDescent="0.25">
      <c r="A7179" t="s">
        <v>45</v>
      </c>
      <c r="B7179">
        <v>2022</v>
      </c>
      <c r="C7179" t="s">
        <v>57</v>
      </c>
      <c r="D7179">
        <v>9907134</v>
      </c>
      <c r="E7179" t="s">
        <v>98</v>
      </c>
    </row>
    <row r="7180" spans="1:5" x14ac:dyDescent="0.25">
      <c r="A7180" t="s">
        <v>45</v>
      </c>
      <c r="B7180">
        <v>2023</v>
      </c>
      <c r="C7180" t="s">
        <v>57</v>
      </c>
      <c r="D7180">
        <v>24116044</v>
      </c>
      <c r="E7180" t="s">
        <v>98</v>
      </c>
    </row>
    <row r="7181" spans="1:5" x14ac:dyDescent="0.25">
      <c r="A7181" t="s">
        <v>45</v>
      </c>
      <c r="B7181">
        <v>2024</v>
      </c>
      <c r="C7181" t="s">
        <v>57</v>
      </c>
      <c r="D7181">
        <v>32186626</v>
      </c>
      <c r="E7181" t="s">
        <v>98</v>
      </c>
    </row>
    <row r="7182" spans="1:5" x14ac:dyDescent="0.25">
      <c r="A7182" t="s">
        <v>107</v>
      </c>
      <c r="B7182">
        <v>2000</v>
      </c>
      <c r="C7182" t="s">
        <v>57</v>
      </c>
      <c r="D7182">
        <v>937187.5</v>
      </c>
      <c r="E7182" t="s">
        <v>98</v>
      </c>
    </row>
    <row r="7183" spans="1:5" x14ac:dyDescent="0.25">
      <c r="A7183" t="s">
        <v>107</v>
      </c>
      <c r="B7183">
        <v>2001</v>
      </c>
      <c r="C7183" t="s">
        <v>57</v>
      </c>
      <c r="D7183">
        <v>1279314.96</v>
      </c>
      <c r="E7183" t="s">
        <v>98</v>
      </c>
    </row>
    <row r="7184" spans="1:5" x14ac:dyDescent="0.25">
      <c r="A7184" t="s">
        <v>107</v>
      </c>
      <c r="B7184">
        <v>2003</v>
      </c>
      <c r="C7184" t="s">
        <v>57</v>
      </c>
      <c r="D7184">
        <v>2420019.2400000002</v>
      </c>
      <c r="E7184" t="s">
        <v>98</v>
      </c>
    </row>
    <row r="7185" spans="1:5" x14ac:dyDescent="0.25">
      <c r="A7185" t="s">
        <v>107</v>
      </c>
      <c r="B7185">
        <v>2004</v>
      </c>
      <c r="C7185" t="s">
        <v>57</v>
      </c>
      <c r="D7185">
        <v>2963137.78</v>
      </c>
      <c r="E7185" t="s">
        <v>98</v>
      </c>
    </row>
    <row r="7186" spans="1:5" x14ac:dyDescent="0.25">
      <c r="A7186" t="s">
        <v>107</v>
      </c>
      <c r="B7186">
        <v>2005</v>
      </c>
      <c r="C7186" t="s">
        <v>57</v>
      </c>
      <c r="D7186">
        <v>4618585.6399999997</v>
      </c>
      <c r="E7186" t="s">
        <v>98</v>
      </c>
    </row>
    <row r="7187" spans="1:5" x14ac:dyDescent="0.25">
      <c r="A7187" t="s">
        <v>107</v>
      </c>
      <c r="B7187">
        <v>2006</v>
      </c>
      <c r="C7187" t="s">
        <v>57</v>
      </c>
      <c r="D7187">
        <v>8235709.6299999999</v>
      </c>
      <c r="E7187" t="s">
        <v>98</v>
      </c>
    </row>
    <row r="7188" spans="1:5" x14ac:dyDescent="0.25">
      <c r="A7188" t="s">
        <v>107</v>
      </c>
      <c r="B7188">
        <v>2007</v>
      </c>
      <c r="C7188" t="s">
        <v>57</v>
      </c>
      <c r="D7188">
        <v>6206445</v>
      </c>
      <c r="E7188" t="s">
        <v>98</v>
      </c>
    </row>
    <row r="7189" spans="1:5" x14ac:dyDescent="0.25">
      <c r="A7189" t="s">
        <v>107</v>
      </c>
      <c r="B7189">
        <v>2008</v>
      </c>
      <c r="C7189" t="s">
        <v>57</v>
      </c>
      <c r="D7189">
        <v>11504849.67</v>
      </c>
      <c r="E7189" t="s">
        <v>98</v>
      </c>
    </row>
    <row r="7190" spans="1:5" x14ac:dyDescent="0.25">
      <c r="A7190" t="s">
        <v>107</v>
      </c>
      <c r="B7190">
        <v>2009</v>
      </c>
      <c r="C7190" t="s">
        <v>57</v>
      </c>
      <c r="D7190">
        <v>9143631.3900000006</v>
      </c>
      <c r="E7190" t="s">
        <v>98</v>
      </c>
    </row>
    <row r="7191" spans="1:5" x14ac:dyDescent="0.25">
      <c r="A7191" t="s">
        <v>107</v>
      </c>
      <c r="B7191">
        <v>2010</v>
      </c>
      <c r="C7191" t="s">
        <v>57</v>
      </c>
      <c r="D7191">
        <v>6920873.8159999996</v>
      </c>
      <c r="E7191" t="s">
        <v>98</v>
      </c>
    </row>
    <row r="7192" spans="1:5" x14ac:dyDescent="0.25">
      <c r="A7192" t="s">
        <v>107</v>
      </c>
      <c r="B7192">
        <v>2011</v>
      </c>
      <c r="C7192" t="s">
        <v>57</v>
      </c>
      <c r="D7192">
        <v>10244534.16</v>
      </c>
      <c r="E7192" t="s">
        <v>98</v>
      </c>
    </row>
    <row r="7193" spans="1:5" x14ac:dyDescent="0.25">
      <c r="A7193" t="s">
        <v>107</v>
      </c>
      <c r="B7193">
        <v>2012</v>
      </c>
      <c r="C7193" t="s">
        <v>57</v>
      </c>
      <c r="D7193">
        <v>14463050.220000001</v>
      </c>
      <c r="E7193" t="s">
        <v>98</v>
      </c>
    </row>
    <row r="7194" spans="1:5" x14ac:dyDescent="0.25">
      <c r="A7194" t="s">
        <v>107</v>
      </c>
      <c r="B7194">
        <v>2013</v>
      </c>
      <c r="C7194" t="s">
        <v>57</v>
      </c>
      <c r="D7194">
        <v>17099683.138</v>
      </c>
      <c r="E7194" t="s">
        <v>98</v>
      </c>
    </row>
    <row r="7195" spans="1:5" x14ac:dyDescent="0.25">
      <c r="A7195" t="s">
        <v>107</v>
      </c>
      <c r="B7195">
        <v>2014</v>
      </c>
      <c r="C7195" t="s">
        <v>57</v>
      </c>
      <c r="D7195">
        <v>16979268.120000001</v>
      </c>
      <c r="E7195" t="s">
        <v>98</v>
      </c>
    </row>
    <row r="7196" spans="1:5" x14ac:dyDescent="0.25">
      <c r="A7196" t="s">
        <v>107</v>
      </c>
      <c r="B7196">
        <v>2015</v>
      </c>
      <c r="C7196" t="s">
        <v>57</v>
      </c>
      <c r="D7196">
        <v>16834825.532000002</v>
      </c>
      <c r="E7196" t="s">
        <v>98</v>
      </c>
    </row>
    <row r="7197" spans="1:5" x14ac:dyDescent="0.25">
      <c r="A7197" t="s">
        <v>107</v>
      </c>
      <c r="B7197">
        <v>2016</v>
      </c>
      <c r="C7197" t="s">
        <v>57</v>
      </c>
      <c r="D7197">
        <v>20340296.763999999</v>
      </c>
      <c r="E7197" t="s">
        <v>98</v>
      </c>
    </row>
    <row r="7198" spans="1:5" x14ac:dyDescent="0.25">
      <c r="A7198" t="s">
        <v>107</v>
      </c>
      <c r="B7198">
        <v>2017</v>
      </c>
      <c r="C7198" t="s">
        <v>57</v>
      </c>
      <c r="D7198">
        <v>28505103.16</v>
      </c>
      <c r="E7198" t="s">
        <v>98</v>
      </c>
    </row>
    <row r="7199" spans="1:5" x14ac:dyDescent="0.25">
      <c r="A7199" t="s">
        <v>107</v>
      </c>
      <c r="B7199">
        <v>2018</v>
      </c>
      <c r="C7199" t="s">
        <v>57</v>
      </c>
      <c r="D7199">
        <v>31168792.59</v>
      </c>
      <c r="E7199" t="s">
        <v>98</v>
      </c>
    </row>
    <row r="7200" spans="1:5" x14ac:dyDescent="0.25">
      <c r="A7200" t="s">
        <v>107</v>
      </c>
      <c r="B7200">
        <v>2019</v>
      </c>
      <c r="C7200" t="s">
        <v>57</v>
      </c>
      <c r="D7200">
        <v>30563187.530000001</v>
      </c>
      <c r="E7200" t="s">
        <v>98</v>
      </c>
    </row>
    <row r="7201" spans="1:5" x14ac:dyDescent="0.25">
      <c r="A7201" t="s">
        <v>107</v>
      </c>
      <c r="B7201">
        <v>2020</v>
      </c>
      <c r="C7201" t="s">
        <v>57</v>
      </c>
      <c r="D7201">
        <v>35482113.219999999</v>
      </c>
      <c r="E7201" t="s">
        <v>98</v>
      </c>
    </row>
    <row r="7202" spans="1:5" x14ac:dyDescent="0.25">
      <c r="A7202" t="s">
        <v>107</v>
      </c>
      <c r="B7202">
        <v>2021</v>
      </c>
      <c r="C7202" t="s">
        <v>57</v>
      </c>
      <c r="D7202">
        <v>39180462</v>
      </c>
      <c r="E7202" t="s">
        <v>98</v>
      </c>
    </row>
    <row r="7203" spans="1:5" x14ac:dyDescent="0.25">
      <c r="A7203" t="s">
        <v>107</v>
      </c>
      <c r="B7203">
        <v>2022</v>
      </c>
      <c r="C7203" t="s">
        <v>57</v>
      </c>
      <c r="D7203">
        <v>36510467.159999996</v>
      </c>
      <c r="E7203" t="s">
        <v>98</v>
      </c>
    </row>
    <row r="7204" spans="1:5" x14ac:dyDescent="0.25">
      <c r="A7204" t="s">
        <v>107</v>
      </c>
      <c r="B7204">
        <v>2023</v>
      </c>
      <c r="C7204" t="s">
        <v>57</v>
      </c>
      <c r="D7204">
        <v>41363148.520000003</v>
      </c>
      <c r="E7204" t="s">
        <v>98</v>
      </c>
    </row>
    <row r="7205" spans="1:5" x14ac:dyDescent="0.25">
      <c r="A7205" t="s">
        <v>107</v>
      </c>
      <c r="B7205">
        <v>2024</v>
      </c>
      <c r="C7205" t="s">
        <v>57</v>
      </c>
      <c r="D7205">
        <v>46420998.590000004</v>
      </c>
      <c r="E7205" t="s">
        <v>98</v>
      </c>
    </row>
    <row r="7206" spans="1:5" x14ac:dyDescent="0.25">
      <c r="A7206" t="s">
        <v>107</v>
      </c>
      <c r="B7206">
        <v>2025</v>
      </c>
      <c r="C7206" t="s">
        <v>57</v>
      </c>
      <c r="D7206">
        <v>36007162.740000002</v>
      </c>
      <c r="E7206" t="s">
        <v>98</v>
      </c>
    </row>
    <row r="7207" spans="1:5" x14ac:dyDescent="0.25">
      <c r="A7207" t="s">
        <v>86</v>
      </c>
      <c r="B7207">
        <v>2013</v>
      </c>
      <c r="C7207" t="s">
        <v>57</v>
      </c>
      <c r="D7207">
        <v>20942979</v>
      </c>
      <c r="E7207" t="s">
        <v>98</v>
      </c>
    </row>
    <row r="7208" spans="1:5" x14ac:dyDescent="0.25">
      <c r="A7208" t="s">
        <v>86</v>
      </c>
      <c r="B7208">
        <v>2014</v>
      </c>
      <c r="C7208" t="s">
        <v>57</v>
      </c>
      <c r="D7208">
        <v>23304263</v>
      </c>
      <c r="E7208" t="s">
        <v>98</v>
      </c>
    </row>
    <row r="7209" spans="1:5" x14ac:dyDescent="0.25">
      <c r="A7209" t="s">
        <v>86</v>
      </c>
      <c r="B7209">
        <v>2015</v>
      </c>
      <c r="C7209" t="s">
        <v>57</v>
      </c>
      <c r="D7209">
        <v>14873886</v>
      </c>
      <c r="E7209" t="s">
        <v>98</v>
      </c>
    </row>
    <row r="7210" spans="1:5" x14ac:dyDescent="0.25">
      <c r="A7210" t="s">
        <v>86</v>
      </c>
      <c r="B7210">
        <v>2016</v>
      </c>
      <c r="C7210" t="s">
        <v>57</v>
      </c>
      <c r="D7210">
        <v>15666142.57</v>
      </c>
      <c r="E7210" t="s">
        <v>98</v>
      </c>
    </row>
    <row r="7211" spans="1:5" x14ac:dyDescent="0.25">
      <c r="A7211" t="s">
        <v>86</v>
      </c>
      <c r="B7211">
        <v>2017</v>
      </c>
      <c r="C7211" t="s">
        <v>57</v>
      </c>
      <c r="D7211">
        <v>13672031.539999999</v>
      </c>
      <c r="E7211" t="s">
        <v>98</v>
      </c>
    </row>
    <row r="7212" spans="1:5" x14ac:dyDescent="0.25">
      <c r="A7212" t="s">
        <v>86</v>
      </c>
      <c r="B7212">
        <v>2018</v>
      </c>
      <c r="C7212" t="s">
        <v>57</v>
      </c>
      <c r="D7212">
        <v>16493369.560000001</v>
      </c>
      <c r="E7212" t="s">
        <v>98</v>
      </c>
    </row>
    <row r="7213" spans="1:5" x14ac:dyDescent="0.25">
      <c r="A7213" t="s">
        <v>86</v>
      </c>
      <c r="B7213">
        <v>2019</v>
      </c>
      <c r="C7213" t="s">
        <v>57</v>
      </c>
      <c r="D7213">
        <v>23448150.199999999</v>
      </c>
      <c r="E7213" t="s">
        <v>98</v>
      </c>
    </row>
    <row r="7214" spans="1:5" x14ac:dyDescent="0.25">
      <c r="A7214" t="s">
        <v>86</v>
      </c>
      <c r="B7214">
        <v>2020</v>
      </c>
      <c r="C7214" t="s">
        <v>57</v>
      </c>
      <c r="D7214">
        <v>22007718.82</v>
      </c>
      <c r="E7214" t="s">
        <v>98</v>
      </c>
    </row>
    <row r="7215" spans="1:5" x14ac:dyDescent="0.25">
      <c r="A7215" t="s">
        <v>86</v>
      </c>
      <c r="B7215">
        <v>2021</v>
      </c>
      <c r="C7215" t="s">
        <v>57</v>
      </c>
      <c r="D7215">
        <v>22026696.699999999</v>
      </c>
      <c r="E7215" t="s">
        <v>98</v>
      </c>
    </row>
    <row r="7216" spans="1:5" x14ac:dyDescent="0.25">
      <c r="A7216" t="s">
        <v>85</v>
      </c>
      <c r="B7216">
        <v>2015</v>
      </c>
      <c r="C7216" t="s">
        <v>57</v>
      </c>
      <c r="D7216">
        <v>138681011.25600001</v>
      </c>
      <c r="E7216" t="s">
        <v>98</v>
      </c>
    </row>
    <row r="7217" spans="1:5" x14ac:dyDescent="0.25">
      <c r="A7217" t="s">
        <v>85</v>
      </c>
      <c r="B7217">
        <v>2016</v>
      </c>
      <c r="C7217" t="s">
        <v>57</v>
      </c>
      <c r="D7217">
        <v>158209264.428</v>
      </c>
      <c r="E7217" t="s">
        <v>98</v>
      </c>
    </row>
    <row r="7218" spans="1:5" x14ac:dyDescent="0.25">
      <c r="A7218" t="s">
        <v>85</v>
      </c>
      <c r="B7218">
        <v>2017</v>
      </c>
      <c r="C7218" t="s">
        <v>57</v>
      </c>
      <c r="D7218">
        <v>115186445.01100001</v>
      </c>
      <c r="E7218" t="s">
        <v>98</v>
      </c>
    </row>
    <row r="7219" spans="1:5" x14ac:dyDescent="0.25">
      <c r="A7219" t="s">
        <v>85</v>
      </c>
      <c r="B7219">
        <v>2020</v>
      </c>
      <c r="C7219" t="s">
        <v>57</v>
      </c>
      <c r="D7219">
        <v>262697833.167</v>
      </c>
      <c r="E7219" t="s">
        <v>98</v>
      </c>
    </row>
    <row r="7220" spans="1:5" x14ac:dyDescent="0.25">
      <c r="A7220" t="s">
        <v>85</v>
      </c>
      <c r="B7220">
        <v>2021</v>
      </c>
      <c r="C7220" t="s">
        <v>57</v>
      </c>
      <c r="D7220">
        <v>184005562.067</v>
      </c>
      <c r="E7220" t="s">
        <v>98</v>
      </c>
    </row>
    <row r="7221" spans="1:5" x14ac:dyDescent="0.25">
      <c r="A7221" t="s">
        <v>85</v>
      </c>
      <c r="B7221">
        <v>2025</v>
      </c>
      <c r="C7221" t="s">
        <v>57</v>
      </c>
      <c r="D7221">
        <v>69591992.128999993</v>
      </c>
      <c r="E7221" t="s">
        <v>98</v>
      </c>
    </row>
    <row r="7222" spans="1:5" x14ac:dyDescent="0.25">
      <c r="A7222" t="s">
        <v>106</v>
      </c>
      <c r="B7222">
        <v>2010</v>
      </c>
      <c r="C7222" t="s">
        <v>57</v>
      </c>
      <c r="D7222">
        <v>16328634</v>
      </c>
      <c r="E7222" t="s">
        <v>98</v>
      </c>
    </row>
    <row r="7223" spans="1:5" x14ac:dyDescent="0.25">
      <c r="A7223" t="s">
        <v>106</v>
      </c>
      <c r="B7223">
        <v>2011</v>
      </c>
      <c r="C7223" t="s">
        <v>57</v>
      </c>
      <c r="D7223">
        <v>20586068</v>
      </c>
      <c r="E7223" t="s">
        <v>98</v>
      </c>
    </row>
    <row r="7224" spans="1:5" x14ac:dyDescent="0.25">
      <c r="A7224" t="s">
        <v>106</v>
      </c>
      <c r="B7224">
        <v>2012</v>
      </c>
      <c r="C7224" t="s">
        <v>57</v>
      </c>
      <c r="D7224">
        <v>15896837</v>
      </c>
      <c r="E7224" t="s">
        <v>98</v>
      </c>
    </row>
    <row r="7225" spans="1:5" x14ac:dyDescent="0.25">
      <c r="A7225" t="s">
        <v>106</v>
      </c>
      <c r="B7225">
        <v>2013</v>
      </c>
      <c r="C7225" t="s">
        <v>57</v>
      </c>
      <c r="D7225">
        <v>15860302</v>
      </c>
      <c r="E7225" t="s">
        <v>98</v>
      </c>
    </row>
    <row r="7226" spans="1:5" x14ac:dyDescent="0.25">
      <c r="A7226" t="s">
        <v>106</v>
      </c>
      <c r="B7226">
        <v>2014</v>
      </c>
      <c r="C7226" t="s">
        <v>57</v>
      </c>
      <c r="D7226">
        <v>12529267</v>
      </c>
      <c r="E7226" t="s">
        <v>98</v>
      </c>
    </row>
    <row r="7227" spans="1:5" x14ac:dyDescent="0.25">
      <c r="A7227" t="s">
        <v>106</v>
      </c>
      <c r="B7227">
        <v>2015</v>
      </c>
      <c r="C7227" t="s">
        <v>57</v>
      </c>
      <c r="D7227">
        <v>6457665</v>
      </c>
      <c r="E7227" t="s">
        <v>98</v>
      </c>
    </row>
    <row r="7228" spans="1:5" x14ac:dyDescent="0.25">
      <c r="A7228" t="s">
        <v>106</v>
      </c>
      <c r="B7228">
        <v>2016</v>
      </c>
      <c r="C7228" t="s">
        <v>57</v>
      </c>
      <c r="D7228">
        <v>8776209</v>
      </c>
      <c r="E7228" t="s">
        <v>98</v>
      </c>
    </row>
    <row r="7229" spans="1:5" x14ac:dyDescent="0.25">
      <c r="A7229" t="s">
        <v>106</v>
      </c>
      <c r="B7229">
        <v>2017</v>
      </c>
      <c r="C7229" t="s">
        <v>57</v>
      </c>
      <c r="D7229">
        <v>15504051</v>
      </c>
      <c r="E7229" t="s">
        <v>98</v>
      </c>
    </row>
    <row r="7230" spans="1:5" x14ac:dyDescent="0.25">
      <c r="A7230" t="s">
        <v>106</v>
      </c>
      <c r="B7230">
        <v>2018</v>
      </c>
      <c r="C7230" t="s">
        <v>57</v>
      </c>
      <c r="D7230">
        <v>14982136</v>
      </c>
      <c r="E7230" t="s">
        <v>98</v>
      </c>
    </row>
    <row r="7231" spans="1:5" x14ac:dyDescent="0.25">
      <c r="A7231" t="s">
        <v>106</v>
      </c>
      <c r="B7231">
        <v>2019</v>
      </c>
      <c r="C7231" t="s">
        <v>57</v>
      </c>
      <c r="D7231">
        <v>14755705</v>
      </c>
      <c r="E7231" t="s">
        <v>98</v>
      </c>
    </row>
    <row r="7232" spans="1:5" x14ac:dyDescent="0.25">
      <c r="A7232" t="s">
        <v>106</v>
      </c>
      <c r="B7232">
        <v>2020</v>
      </c>
      <c r="C7232" t="s">
        <v>57</v>
      </c>
      <c r="D7232">
        <v>13944678</v>
      </c>
      <c r="E7232" t="s">
        <v>98</v>
      </c>
    </row>
    <row r="7233" spans="1:5" x14ac:dyDescent="0.25">
      <c r="A7233" t="s">
        <v>106</v>
      </c>
      <c r="B7233">
        <v>2021</v>
      </c>
      <c r="C7233" t="s">
        <v>57</v>
      </c>
      <c r="D7233">
        <v>17504626</v>
      </c>
      <c r="E7233" t="s">
        <v>98</v>
      </c>
    </row>
    <row r="7234" spans="1:5" x14ac:dyDescent="0.25">
      <c r="A7234" t="s">
        <v>106</v>
      </c>
      <c r="B7234">
        <v>2022</v>
      </c>
      <c r="C7234" t="s">
        <v>57</v>
      </c>
      <c r="D7234">
        <v>19690873</v>
      </c>
      <c r="E7234" t="s">
        <v>98</v>
      </c>
    </row>
    <row r="7235" spans="1:5" x14ac:dyDescent="0.25">
      <c r="A7235" t="s">
        <v>106</v>
      </c>
      <c r="B7235">
        <v>2023</v>
      </c>
      <c r="C7235" t="s">
        <v>57</v>
      </c>
      <c r="D7235">
        <v>21405098</v>
      </c>
      <c r="E7235" t="s">
        <v>98</v>
      </c>
    </row>
    <row r="7236" spans="1:5" x14ac:dyDescent="0.25">
      <c r="A7236" t="s">
        <v>106</v>
      </c>
      <c r="B7236">
        <v>2024</v>
      </c>
      <c r="C7236" t="s">
        <v>57</v>
      </c>
      <c r="D7236">
        <v>24416640</v>
      </c>
      <c r="E7236" t="s">
        <v>98</v>
      </c>
    </row>
    <row r="7237" spans="1:5" x14ac:dyDescent="0.25">
      <c r="A7237" t="s">
        <v>106</v>
      </c>
      <c r="B7237">
        <v>2025</v>
      </c>
      <c r="C7237" t="s">
        <v>57</v>
      </c>
      <c r="D7237">
        <v>20036752</v>
      </c>
      <c r="E7237" t="s">
        <v>98</v>
      </c>
    </row>
    <row r="7238" spans="1:5" x14ac:dyDescent="0.25">
      <c r="A7238" t="s">
        <v>62</v>
      </c>
      <c r="B7238">
        <v>2010</v>
      </c>
      <c r="C7238" t="s">
        <v>57</v>
      </c>
      <c r="D7238">
        <v>11316722</v>
      </c>
      <c r="E7238" t="s">
        <v>98</v>
      </c>
    </row>
    <row r="7239" spans="1:5" x14ac:dyDescent="0.25">
      <c r="A7239" t="s">
        <v>62</v>
      </c>
      <c r="B7239">
        <v>2011</v>
      </c>
      <c r="C7239" t="s">
        <v>57</v>
      </c>
      <c r="D7239">
        <v>12040882</v>
      </c>
      <c r="E7239" t="s">
        <v>98</v>
      </c>
    </row>
    <row r="7240" spans="1:5" x14ac:dyDescent="0.25">
      <c r="A7240" t="s">
        <v>62</v>
      </c>
      <c r="B7240">
        <v>2012</v>
      </c>
      <c r="C7240" t="s">
        <v>57</v>
      </c>
      <c r="D7240">
        <v>15515067</v>
      </c>
      <c r="E7240" t="s">
        <v>98</v>
      </c>
    </row>
    <row r="7241" spans="1:5" x14ac:dyDescent="0.25">
      <c r="A7241" t="s">
        <v>62</v>
      </c>
      <c r="B7241">
        <v>2013</v>
      </c>
      <c r="C7241" t="s">
        <v>57</v>
      </c>
      <c r="D7241">
        <v>12705170.033</v>
      </c>
      <c r="E7241" t="s">
        <v>98</v>
      </c>
    </row>
    <row r="7242" spans="1:5" x14ac:dyDescent="0.25">
      <c r="A7242" t="s">
        <v>62</v>
      </c>
      <c r="B7242">
        <v>2014</v>
      </c>
      <c r="C7242" t="s">
        <v>57</v>
      </c>
      <c r="D7242">
        <v>12034678.714</v>
      </c>
      <c r="E7242" t="s">
        <v>98</v>
      </c>
    </row>
    <row r="7243" spans="1:5" x14ac:dyDescent="0.25">
      <c r="A7243" t="s">
        <v>62</v>
      </c>
      <c r="B7243">
        <v>2015</v>
      </c>
      <c r="C7243" t="s">
        <v>57</v>
      </c>
      <c r="D7243">
        <v>10962577.352</v>
      </c>
      <c r="E7243" t="s">
        <v>98</v>
      </c>
    </row>
    <row r="7244" spans="1:5" x14ac:dyDescent="0.25">
      <c r="A7244" t="s">
        <v>62</v>
      </c>
      <c r="B7244">
        <v>2016</v>
      </c>
      <c r="C7244" t="s">
        <v>57</v>
      </c>
      <c r="D7244">
        <v>12172298.118000001</v>
      </c>
      <c r="E7244" t="s">
        <v>98</v>
      </c>
    </row>
    <row r="7245" spans="1:5" x14ac:dyDescent="0.25">
      <c r="A7245" t="s">
        <v>62</v>
      </c>
      <c r="B7245">
        <v>2017</v>
      </c>
      <c r="C7245" t="s">
        <v>57</v>
      </c>
      <c r="D7245">
        <v>10496958.174000001</v>
      </c>
      <c r="E7245" t="s">
        <v>98</v>
      </c>
    </row>
    <row r="7246" spans="1:5" x14ac:dyDescent="0.25">
      <c r="A7246" t="s">
        <v>62</v>
      </c>
      <c r="B7246">
        <v>2018</v>
      </c>
      <c r="C7246" t="s">
        <v>57</v>
      </c>
      <c r="D7246">
        <v>11700502.425000001</v>
      </c>
      <c r="E7246" t="s">
        <v>98</v>
      </c>
    </row>
    <row r="7247" spans="1:5" x14ac:dyDescent="0.25">
      <c r="A7247" t="s">
        <v>62</v>
      </c>
      <c r="B7247">
        <v>2019</v>
      </c>
      <c r="C7247" t="s">
        <v>57</v>
      </c>
      <c r="D7247">
        <v>11689691.717</v>
      </c>
      <c r="E7247" t="s">
        <v>98</v>
      </c>
    </row>
    <row r="7248" spans="1:5" x14ac:dyDescent="0.25">
      <c r="A7248" t="s">
        <v>62</v>
      </c>
      <c r="B7248">
        <v>2020</v>
      </c>
      <c r="C7248" t="s">
        <v>57</v>
      </c>
      <c r="D7248">
        <v>29000140.423999999</v>
      </c>
      <c r="E7248" t="s">
        <v>98</v>
      </c>
    </row>
    <row r="7249" spans="1:5" x14ac:dyDescent="0.25">
      <c r="A7249" t="s">
        <v>62</v>
      </c>
      <c r="B7249">
        <v>2021</v>
      </c>
      <c r="C7249" t="s">
        <v>57</v>
      </c>
      <c r="D7249">
        <v>12012170.978</v>
      </c>
      <c r="E7249" t="s">
        <v>98</v>
      </c>
    </row>
    <row r="7250" spans="1:5" x14ac:dyDescent="0.25">
      <c r="A7250" t="s">
        <v>62</v>
      </c>
      <c r="B7250">
        <v>2022</v>
      </c>
      <c r="C7250" t="s">
        <v>57</v>
      </c>
      <c r="D7250">
        <v>10968075.765000001</v>
      </c>
      <c r="E7250" t="s">
        <v>98</v>
      </c>
    </row>
    <row r="7251" spans="1:5" x14ac:dyDescent="0.25">
      <c r="A7251" t="s">
        <v>62</v>
      </c>
      <c r="B7251">
        <v>2023</v>
      </c>
      <c r="C7251" t="s">
        <v>57</v>
      </c>
      <c r="D7251">
        <v>10438627.106000001</v>
      </c>
      <c r="E7251" t="s">
        <v>98</v>
      </c>
    </row>
    <row r="7252" spans="1:5" x14ac:dyDescent="0.25">
      <c r="A7252" t="s">
        <v>62</v>
      </c>
      <c r="B7252">
        <v>2024</v>
      </c>
      <c r="C7252" t="s">
        <v>57</v>
      </c>
      <c r="D7252">
        <v>11298957.674000001</v>
      </c>
      <c r="E7252" t="s">
        <v>98</v>
      </c>
    </row>
    <row r="7253" spans="1:5" x14ac:dyDescent="0.25">
      <c r="A7253" t="s">
        <v>105</v>
      </c>
      <c r="B7253">
        <v>2010</v>
      </c>
      <c r="C7253" t="s">
        <v>57</v>
      </c>
      <c r="D7253">
        <v>6466426.398</v>
      </c>
      <c r="E7253" t="s">
        <v>98</v>
      </c>
    </row>
    <row r="7254" spans="1:5" x14ac:dyDescent="0.25">
      <c r="A7254" t="s">
        <v>105</v>
      </c>
      <c r="B7254">
        <v>2011</v>
      </c>
      <c r="C7254" t="s">
        <v>57</v>
      </c>
      <c r="D7254">
        <v>9470427.7719999999</v>
      </c>
      <c r="E7254" t="s">
        <v>98</v>
      </c>
    </row>
    <row r="7255" spans="1:5" x14ac:dyDescent="0.25">
      <c r="A7255" t="s">
        <v>105</v>
      </c>
      <c r="B7255">
        <v>2012</v>
      </c>
      <c r="C7255" t="s">
        <v>57</v>
      </c>
      <c r="D7255">
        <v>9286721.5989999995</v>
      </c>
      <c r="E7255" t="s">
        <v>98</v>
      </c>
    </row>
    <row r="7256" spans="1:5" x14ac:dyDescent="0.25">
      <c r="A7256" t="s">
        <v>105</v>
      </c>
      <c r="B7256">
        <v>2013</v>
      </c>
      <c r="C7256" t="s">
        <v>57</v>
      </c>
      <c r="D7256">
        <v>12265647.502</v>
      </c>
      <c r="E7256" t="s">
        <v>98</v>
      </c>
    </row>
    <row r="7257" spans="1:5" x14ac:dyDescent="0.25">
      <c r="A7257" t="s">
        <v>105</v>
      </c>
      <c r="B7257">
        <v>2014</v>
      </c>
      <c r="C7257" t="s">
        <v>57</v>
      </c>
      <c r="D7257">
        <v>12565740.664000001</v>
      </c>
      <c r="E7257" t="s">
        <v>98</v>
      </c>
    </row>
    <row r="7258" spans="1:5" x14ac:dyDescent="0.25">
      <c r="A7258" t="s">
        <v>105</v>
      </c>
      <c r="B7258">
        <v>2015</v>
      </c>
      <c r="C7258" t="s">
        <v>57</v>
      </c>
      <c r="D7258">
        <v>12225952.484999999</v>
      </c>
      <c r="E7258" t="s">
        <v>98</v>
      </c>
    </row>
    <row r="7259" spans="1:5" x14ac:dyDescent="0.25">
      <c r="A7259" t="s">
        <v>105</v>
      </c>
      <c r="B7259">
        <v>2016</v>
      </c>
      <c r="C7259" t="s">
        <v>57</v>
      </c>
      <c r="D7259">
        <v>11054415.528000001</v>
      </c>
      <c r="E7259" t="s">
        <v>98</v>
      </c>
    </row>
    <row r="7260" spans="1:5" x14ac:dyDescent="0.25">
      <c r="A7260" t="s">
        <v>105</v>
      </c>
      <c r="B7260">
        <v>2017</v>
      </c>
      <c r="C7260" t="s">
        <v>57</v>
      </c>
      <c r="D7260">
        <v>13139342.362</v>
      </c>
      <c r="E7260" t="s">
        <v>98</v>
      </c>
    </row>
    <row r="7261" spans="1:5" x14ac:dyDescent="0.25">
      <c r="A7261" t="s">
        <v>105</v>
      </c>
      <c r="B7261">
        <v>2018</v>
      </c>
      <c r="C7261" t="s">
        <v>57</v>
      </c>
      <c r="D7261">
        <v>16343841.537</v>
      </c>
      <c r="E7261" t="s">
        <v>98</v>
      </c>
    </row>
    <row r="7262" spans="1:5" x14ac:dyDescent="0.25">
      <c r="A7262" t="s">
        <v>105</v>
      </c>
      <c r="B7262">
        <v>2019</v>
      </c>
      <c r="C7262" t="s">
        <v>57</v>
      </c>
      <c r="D7262">
        <v>16867116.440000001</v>
      </c>
      <c r="E7262" t="s">
        <v>98</v>
      </c>
    </row>
    <row r="7263" spans="1:5" x14ac:dyDescent="0.25">
      <c r="A7263" t="s">
        <v>105</v>
      </c>
      <c r="B7263">
        <v>2020</v>
      </c>
      <c r="C7263" t="s">
        <v>57</v>
      </c>
      <c r="D7263">
        <v>17978268.778999999</v>
      </c>
      <c r="E7263" t="s">
        <v>98</v>
      </c>
    </row>
    <row r="7264" spans="1:5" x14ac:dyDescent="0.25">
      <c r="A7264" t="s">
        <v>105</v>
      </c>
      <c r="B7264">
        <v>2021</v>
      </c>
      <c r="C7264" t="s">
        <v>57</v>
      </c>
      <c r="D7264">
        <v>17668516.958000001</v>
      </c>
      <c r="E7264" t="s">
        <v>98</v>
      </c>
    </row>
    <row r="7265" spans="1:5" x14ac:dyDescent="0.25">
      <c r="A7265" t="s">
        <v>105</v>
      </c>
      <c r="B7265">
        <v>2022</v>
      </c>
      <c r="C7265" t="s">
        <v>57</v>
      </c>
      <c r="D7265">
        <v>22563665.993000001</v>
      </c>
      <c r="E7265" t="s">
        <v>98</v>
      </c>
    </row>
    <row r="7266" spans="1:5" x14ac:dyDescent="0.25">
      <c r="A7266" t="s">
        <v>105</v>
      </c>
      <c r="B7266">
        <v>2023</v>
      </c>
      <c r="C7266" t="s">
        <v>57</v>
      </c>
      <c r="D7266">
        <v>21138197.704999998</v>
      </c>
      <c r="E7266" t="s">
        <v>98</v>
      </c>
    </row>
    <row r="7267" spans="1:5" x14ac:dyDescent="0.25">
      <c r="A7267" t="s">
        <v>105</v>
      </c>
      <c r="B7267">
        <v>2024</v>
      </c>
      <c r="C7267" t="s">
        <v>57</v>
      </c>
      <c r="D7267">
        <v>24747661.18</v>
      </c>
      <c r="E7267" t="s">
        <v>98</v>
      </c>
    </row>
    <row r="7268" spans="1:5" x14ac:dyDescent="0.25">
      <c r="A7268" t="s">
        <v>105</v>
      </c>
      <c r="B7268">
        <v>2025</v>
      </c>
      <c r="C7268" t="s">
        <v>57</v>
      </c>
      <c r="D7268">
        <v>18942460.508000001</v>
      </c>
      <c r="E7268" t="s">
        <v>98</v>
      </c>
    </row>
    <row r="7269" spans="1:5" x14ac:dyDescent="0.25">
      <c r="A7269" t="s">
        <v>84</v>
      </c>
      <c r="B7269">
        <v>2010</v>
      </c>
      <c r="C7269" t="s">
        <v>57</v>
      </c>
      <c r="D7269">
        <v>16368591.066</v>
      </c>
      <c r="E7269" t="s">
        <v>98</v>
      </c>
    </row>
    <row r="7270" spans="1:5" x14ac:dyDescent="0.25">
      <c r="A7270" t="s">
        <v>84</v>
      </c>
      <c r="B7270">
        <v>2011</v>
      </c>
      <c r="C7270" t="s">
        <v>57</v>
      </c>
      <c r="D7270">
        <v>21298932.441</v>
      </c>
      <c r="E7270" t="s">
        <v>98</v>
      </c>
    </row>
    <row r="7271" spans="1:5" x14ac:dyDescent="0.25">
      <c r="A7271" t="s">
        <v>84</v>
      </c>
      <c r="B7271">
        <v>2012</v>
      </c>
      <c r="C7271" t="s">
        <v>57</v>
      </c>
      <c r="D7271">
        <v>19990568.017000001</v>
      </c>
      <c r="E7271" t="s">
        <v>98</v>
      </c>
    </row>
    <row r="7272" spans="1:5" x14ac:dyDescent="0.25">
      <c r="A7272" t="s">
        <v>84</v>
      </c>
      <c r="B7272">
        <v>2013</v>
      </c>
      <c r="C7272" t="s">
        <v>57</v>
      </c>
      <c r="D7272">
        <v>23325817.191</v>
      </c>
      <c r="E7272" t="s">
        <v>98</v>
      </c>
    </row>
    <row r="7273" spans="1:5" x14ac:dyDescent="0.25">
      <c r="A7273" t="s">
        <v>84</v>
      </c>
      <c r="B7273">
        <v>2014</v>
      </c>
      <c r="C7273" t="s">
        <v>57</v>
      </c>
      <c r="D7273">
        <v>22388418.250999998</v>
      </c>
      <c r="E7273" t="s">
        <v>98</v>
      </c>
    </row>
    <row r="7274" spans="1:5" x14ac:dyDescent="0.25">
      <c r="A7274" t="s">
        <v>84</v>
      </c>
      <c r="B7274">
        <v>2015</v>
      </c>
      <c r="C7274" t="s">
        <v>57</v>
      </c>
      <c r="D7274">
        <v>17424525.035</v>
      </c>
      <c r="E7274" t="s">
        <v>98</v>
      </c>
    </row>
    <row r="7275" spans="1:5" x14ac:dyDescent="0.25">
      <c r="A7275" t="s">
        <v>84</v>
      </c>
      <c r="B7275">
        <v>2016</v>
      </c>
      <c r="C7275" t="s">
        <v>57</v>
      </c>
      <c r="D7275">
        <v>16910019.230999999</v>
      </c>
      <c r="E7275" t="s">
        <v>98</v>
      </c>
    </row>
    <row r="7276" spans="1:5" x14ac:dyDescent="0.25">
      <c r="A7276" t="s">
        <v>84</v>
      </c>
      <c r="B7276">
        <v>2017</v>
      </c>
      <c r="C7276" t="s">
        <v>57</v>
      </c>
      <c r="D7276">
        <v>19888849.27</v>
      </c>
      <c r="E7276" t="s">
        <v>98</v>
      </c>
    </row>
    <row r="7277" spans="1:5" x14ac:dyDescent="0.25">
      <c r="A7277" t="s">
        <v>84</v>
      </c>
      <c r="B7277">
        <v>2018</v>
      </c>
      <c r="C7277" t="s">
        <v>57</v>
      </c>
      <c r="D7277">
        <v>20028689.350000001</v>
      </c>
      <c r="E7277" t="s">
        <v>98</v>
      </c>
    </row>
    <row r="7278" spans="1:5" x14ac:dyDescent="0.25">
      <c r="A7278" t="s">
        <v>84</v>
      </c>
      <c r="B7278">
        <v>2019</v>
      </c>
      <c r="C7278" t="s">
        <v>57</v>
      </c>
      <c r="D7278">
        <v>20323551.269000001</v>
      </c>
      <c r="E7278" t="s">
        <v>98</v>
      </c>
    </row>
    <row r="7279" spans="1:5" x14ac:dyDescent="0.25">
      <c r="A7279" t="s">
        <v>84</v>
      </c>
      <c r="B7279">
        <v>2020</v>
      </c>
      <c r="C7279" t="s">
        <v>57</v>
      </c>
      <c r="D7279">
        <v>23144057.934999999</v>
      </c>
      <c r="E7279" t="s">
        <v>98</v>
      </c>
    </row>
    <row r="7280" spans="1:5" x14ac:dyDescent="0.25">
      <c r="A7280" t="s">
        <v>84</v>
      </c>
      <c r="B7280">
        <v>2021</v>
      </c>
      <c r="C7280" t="s">
        <v>57</v>
      </c>
      <c r="D7280">
        <v>23119974.223999999</v>
      </c>
      <c r="E7280" t="s">
        <v>98</v>
      </c>
    </row>
    <row r="7281" spans="1:5" x14ac:dyDescent="0.25">
      <c r="A7281" t="s">
        <v>84</v>
      </c>
      <c r="B7281">
        <v>2022</v>
      </c>
      <c r="C7281" t="s">
        <v>57</v>
      </c>
      <c r="D7281">
        <v>23868634.421</v>
      </c>
      <c r="E7281" t="s">
        <v>98</v>
      </c>
    </row>
    <row r="7282" spans="1:5" x14ac:dyDescent="0.25">
      <c r="A7282" t="s">
        <v>84</v>
      </c>
      <c r="B7282">
        <v>2023</v>
      </c>
      <c r="C7282" t="s">
        <v>57</v>
      </c>
      <c r="D7282">
        <v>25045029.607999999</v>
      </c>
      <c r="E7282" t="s">
        <v>98</v>
      </c>
    </row>
    <row r="7283" spans="1:5" x14ac:dyDescent="0.25">
      <c r="A7283" t="s">
        <v>84</v>
      </c>
      <c r="B7283">
        <v>2024</v>
      </c>
      <c r="C7283" t="s">
        <v>57</v>
      </c>
      <c r="D7283">
        <v>28433016.160999998</v>
      </c>
      <c r="E7283" t="s">
        <v>98</v>
      </c>
    </row>
    <row r="7284" spans="1:5" x14ac:dyDescent="0.25">
      <c r="A7284" t="s">
        <v>84</v>
      </c>
      <c r="B7284">
        <v>2025</v>
      </c>
      <c r="C7284" t="s">
        <v>57</v>
      </c>
      <c r="D7284">
        <v>20176318.124000002</v>
      </c>
      <c r="E7284" t="s">
        <v>98</v>
      </c>
    </row>
    <row r="7285" spans="1:5" x14ac:dyDescent="0.25">
      <c r="A7285" t="s">
        <v>48</v>
      </c>
      <c r="B7285">
        <v>2010</v>
      </c>
      <c r="C7285" t="s">
        <v>57</v>
      </c>
      <c r="D7285">
        <v>33646563.531000003</v>
      </c>
      <c r="E7285" t="s">
        <v>98</v>
      </c>
    </row>
    <row r="7286" spans="1:5" x14ac:dyDescent="0.25">
      <c r="A7286" t="s">
        <v>48</v>
      </c>
      <c r="B7286">
        <v>2011</v>
      </c>
      <c r="C7286" t="s">
        <v>57</v>
      </c>
      <c r="D7286">
        <v>31353090.432</v>
      </c>
      <c r="E7286" t="s">
        <v>98</v>
      </c>
    </row>
    <row r="7287" spans="1:5" x14ac:dyDescent="0.25">
      <c r="A7287" t="s">
        <v>48</v>
      </c>
      <c r="B7287">
        <v>2012</v>
      </c>
      <c r="C7287" t="s">
        <v>57</v>
      </c>
      <c r="D7287">
        <v>49823833.011</v>
      </c>
      <c r="E7287" t="s">
        <v>98</v>
      </c>
    </row>
    <row r="7288" spans="1:5" x14ac:dyDescent="0.25">
      <c r="A7288" t="s">
        <v>48</v>
      </c>
      <c r="B7288">
        <v>2013</v>
      </c>
      <c r="C7288" t="s">
        <v>57</v>
      </c>
      <c r="D7288">
        <v>51251206.605999999</v>
      </c>
      <c r="E7288" t="s">
        <v>98</v>
      </c>
    </row>
    <row r="7289" spans="1:5" x14ac:dyDescent="0.25">
      <c r="A7289" t="s">
        <v>48</v>
      </c>
      <c r="B7289">
        <v>2014</v>
      </c>
      <c r="C7289" t="s">
        <v>57</v>
      </c>
      <c r="D7289">
        <v>44611831.131999999</v>
      </c>
      <c r="E7289" t="s">
        <v>98</v>
      </c>
    </row>
    <row r="7290" spans="1:5" x14ac:dyDescent="0.25">
      <c r="A7290" t="s">
        <v>48</v>
      </c>
      <c r="B7290">
        <v>2015</v>
      </c>
      <c r="C7290" t="s">
        <v>57</v>
      </c>
      <c r="D7290">
        <v>37803646.656999998</v>
      </c>
      <c r="E7290" t="s">
        <v>98</v>
      </c>
    </row>
    <row r="7291" spans="1:5" x14ac:dyDescent="0.25">
      <c r="A7291" t="s">
        <v>48</v>
      </c>
      <c r="B7291">
        <v>2016</v>
      </c>
      <c r="C7291" t="s">
        <v>57</v>
      </c>
      <c r="D7291">
        <v>23910724.145</v>
      </c>
      <c r="E7291" t="s">
        <v>98</v>
      </c>
    </row>
    <row r="7292" spans="1:5" x14ac:dyDescent="0.25">
      <c r="A7292" t="s">
        <v>48</v>
      </c>
      <c r="B7292">
        <v>2017</v>
      </c>
      <c r="C7292" t="s">
        <v>57</v>
      </c>
      <c r="D7292">
        <v>46739352.033</v>
      </c>
      <c r="E7292" t="s">
        <v>98</v>
      </c>
    </row>
    <row r="7293" spans="1:5" x14ac:dyDescent="0.25">
      <c r="A7293" t="s">
        <v>48</v>
      </c>
      <c r="B7293">
        <v>2018</v>
      </c>
      <c r="C7293" t="s">
        <v>57</v>
      </c>
      <c r="D7293">
        <v>39992173.489</v>
      </c>
      <c r="E7293" t="s">
        <v>98</v>
      </c>
    </row>
    <row r="7294" spans="1:5" x14ac:dyDescent="0.25">
      <c r="A7294" t="s">
        <v>48</v>
      </c>
      <c r="B7294">
        <v>2019</v>
      </c>
      <c r="C7294" t="s">
        <v>57</v>
      </c>
      <c r="D7294">
        <v>46407730.967</v>
      </c>
      <c r="E7294" t="s">
        <v>98</v>
      </c>
    </row>
    <row r="7295" spans="1:5" x14ac:dyDescent="0.25">
      <c r="A7295" t="s">
        <v>48</v>
      </c>
      <c r="B7295">
        <v>2020</v>
      </c>
      <c r="C7295" t="s">
        <v>57</v>
      </c>
      <c r="D7295">
        <v>27181612.339000002</v>
      </c>
      <c r="E7295" t="s">
        <v>98</v>
      </c>
    </row>
    <row r="7296" spans="1:5" x14ac:dyDescent="0.25">
      <c r="A7296" t="s">
        <v>48</v>
      </c>
      <c r="B7296">
        <v>2021</v>
      </c>
      <c r="C7296" t="s">
        <v>57</v>
      </c>
      <c r="D7296">
        <v>35719424.615999997</v>
      </c>
      <c r="E7296" t="s">
        <v>98</v>
      </c>
    </row>
    <row r="7297" spans="1:5" x14ac:dyDescent="0.25">
      <c r="A7297" t="s">
        <v>48</v>
      </c>
      <c r="B7297">
        <v>2022</v>
      </c>
      <c r="C7297" t="s">
        <v>57</v>
      </c>
      <c r="D7297">
        <v>37012640.895000003</v>
      </c>
      <c r="E7297" t="s">
        <v>98</v>
      </c>
    </row>
    <row r="7298" spans="1:5" x14ac:dyDescent="0.25">
      <c r="A7298" t="s">
        <v>48</v>
      </c>
      <c r="B7298">
        <v>2023</v>
      </c>
      <c r="C7298" t="s">
        <v>57</v>
      </c>
      <c r="D7298">
        <v>24575438.504999999</v>
      </c>
      <c r="E7298" t="s">
        <v>98</v>
      </c>
    </row>
    <row r="7299" spans="1:5" x14ac:dyDescent="0.25">
      <c r="A7299" t="s">
        <v>48</v>
      </c>
      <c r="B7299">
        <v>2024</v>
      </c>
      <c r="C7299" t="s">
        <v>57</v>
      </c>
      <c r="D7299">
        <v>47773301.384000003</v>
      </c>
      <c r="E7299" t="s">
        <v>98</v>
      </c>
    </row>
    <row r="7300" spans="1:5" x14ac:dyDescent="0.25">
      <c r="A7300" t="s">
        <v>48</v>
      </c>
      <c r="B7300">
        <v>2025</v>
      </c>
      <c r="C7300" t="s">
        <v>57</v>
      </c>
      <c r="D7300">
        <v>23341893.015999999</v>
      </c>
      <c r="E7300" t="s">
        <v>98</v>
      </c>
    </row>
    <row r="7301" spans="1:5" x14ac:dyDescent="0.25">
      <c r="A7301" t="s">
        <v>49</v>
      </c>
      <c r="B7301">
        <v>2002</v>
      </c>
      <c r="C7301" t="s">
        <v>57</v>
      </c>
      <c r="D7301">
        <v>63260874.240000002</v>
      </c>
      <c r="E7301" t="s">
        <v>98</v>
      </c>
    </row>
    <row r="7302" spans="1:5" x14ac:dyDescent="0.25">
      <c r="A7302" t="s">
        <v>49</v>
      </c>
      <c r="B7302">
        <v>2003</v>
      </c>
      <c r="C7302" t="s">
        <v>57</v>
      </c>
      <c r="D7302">
        <v>107058934.02500001</v>
      </c>
      <c r="E7302" t="s">
        <v>98</v>
      </c>
    </row>
    <row r="7303" spans="1:5" x14ac:dyDescent="0.25">
      <c r="A7303" t="s">
        <v>49</v>
      </c>
      <c r="B7303">
        <v>2004</v>
      </c>
      <c r="C7303" t="s">
        <v>57</v>
      </c>
      <c r="D7303">
        <v>118133797.634</v>
      </c>
      <c r="E7303" t="s">
        <v>98</v>
      </c>
    </row>
    <row r="7304" spans="1:5" x14ac:dyDescent="0.25">
      <c r="A7304" t="s">
        <v>49</v>
      </c>
      <c r="B7304">
        <v>2005</v>
      </c>
      <c r="C7304" t="s">
        <v>57</v>
      </c>
      <c r="D7304">
        <v>206899070.84099999</v>
      </c>
      <c r="E7304" t="s">
        <v>98</v>
      </c>
    </row>
    <row r="7305" spans="1:5" x14ac:dyDescent="0.25">
      <c r="A7305" t="s">
        <v>49</v>
      </c>
      <c r="B7305">
        <v>2006</v>
      </c>
      <c r="C7305" t="s">
        <v>57</v>
      </c>
      <c r="D7305">
        <v>270129689.11900002</v>
      </c>
      <c r="E7305" t="s">
        <v>98</v>
      </c>
    </row>
    <row r="7306" spans="1:5" x14ac:dyDescent="0.25">
      <c r="A7306" t="s">
        <v>49</v>
      </c>
      <c r="B7306">
        <v>2007</v>
      </c>
      <c r="C7306" t="s">
        <v>57</v>
      </c>
      <c r="D7306">
        <v>313074983.22600001</v>
      </c>
      <c r="E7306" t="s">
        <v>98</v>
      </c>
    </row>
    <row r="7307" spans="1:5" x14ac:dyDescent="0.25">
      <c r="A7307" t="s">
        <v>49</v>
      </c>
      <c r="B7307">
        <v>2008</v>
      </c>
      <c r="C7307" t="s">
        <v>57</v>
      </c>
      <c r="D7307">
        <v>407854252.11400002</v>
      </c>
      <c r="E7307" t="s">
        <v>98</v>
      </c>
    </row>
    <row r="7308" spans="1:5" x14ac:dyDescent="0.25">
      <c r="A7308" t="s">
        <v>49</v>
      </c>
      <c r="B7308">
        <v>2009</v>
      </c>
      <c r="C7308" t="s">
        <v>57</v>
      </c>
      <c r="D7308">
        <v>398069920.91299999</v>
      </c>
      <c r="E7308" t="s">
        <v>98</v>
      </c>
    </row>
    <row r="7309" spans="1:5" x14ac:dyDescent="0.25">
      <c r="A7309" t="s">
        <v>49</v>
      </c>
      <c r="B7309">
        <v>2010</v>
      </c>
      <c r="C7309" t="s">
        <v>57</v>
      </c>
      <c r="D7309">
        <v>397843755.51099998</v>
      </c>
      <c r="E7309" t="s">
        <v>98</v>
      </c>
    </row>
    <row r="7310" spans="1:5" x14ac:dyDescent="0.25">
      <c r="A7310" t="s">
        <v>49</v>
      </c>
      <c r="B7310">
        <v>2011</v>
      </c>
      <c r="C7310" t="s">
        <v>57</v>
      </c>
      <c r="D7310">
        <v>436326167.986</v>
      </c>
      <c r="E7310" t="s">
        <v>98</v>
      </c>
    </row>
    <row r="7311" spans="1:5" x14ac:dyDescent="0.25">
      <c r="A7311" t="s">
        <v>49</v>
      </c>
      <c r="B7311">
        <v>2012</v>
      </c>
      <c r="C7311" t="s">
        <v>57</v>
      </c>
      <c r="D7311">
        <v>539862154.75300002</v>
      </c>
      <c r="E7311" t="s">
        <v>98</v>
      </c>
    </row>
    <row r="7312" spans="1:5" x14ac:dyDescent="0.25">
      <c r="A7312" t="s">
        <v>49</v>
      </c>
      <c r="B7312">
        <v>2013</v>
      </c>
      <c r="C7312" t="s">
        <v>57</v>
      </c>
      <c r="D7312">
        <v>582428048.29299998</v>
      </c>
      <c r="E7312" t="s">
        <v>98</v>
      </c>
    </row>
    <row r="7313" spans="1:5" x14ac:dyDescent="0.25">
      <c r="A7313" t="s">
        <v>49</v>
      </c>
      <c r="B7313">
        <v>2014</v>
      </c>
      <c r="C7313" t="s">
        <v>57</v>
      </c>
      <c r="D7313">
        <v>504777429.509</v>
      </c>
      <c r="E7313" t="s">
        <v>98</v>
      </c>
    </row>
    <row r="7314" spans="1:5" x14ac:dyDescent="0.25">
      <c r="A7314" t="s">
        <v>49</v>
      </c>
      <c r="B7314">
        <v>2015</v>
      </c>
      <c r="C7314" t="s">
        <v>57</v>
      </c>
      <c r="D7314">
        <v>464607944.611</v>
      </c>
      <c r="E7314" t="s">
        <v>98</v>
      </c>
    </row>
    <row r="7315" spans="1:5" x14ac:dyDescent="0.25">
      <c r="A7315" t="s">
        <v>49</v>
      </c>
      <c r="B7315">
        <v>2016</v>
      </c>
      <c r="C7315" t="s">
        <v>57</v>
      </c>
      <c r="D7315">
        <v>405801807.42799997</v>
      </c>
      <c r="E7315" t="s">
        <v>98</v>
      </c>
    </row>
    <row r="7316" spans="1:5" x14ac:dyDescent="0.25">
      <c r="A7316" t="s">
        <v>49</v>
      </c>
      <c r="B7316">
        <v>2017</v>
      </c>
      <c r="C7316" t="s">
        <v>57</v>
      </c>
      <c r="D7316">
        <v>619260506.75699997</v>
      </c>
      <c r="E7316" t="s">
        <v>98</v>
      </c>
    </row>
    <row r="7317" spans="1:5" x14ac:dyDescent="0.25">
      <c r="A7317" t="s">
        <v>49</v>
      </c>
      <c r="B7317">
        <v>2018</v>
      </c>
      <c r="C7317" t="s">
        <v>57</v>
      </c>
      <c r="D7317">
        <v>706951190.95000005</v>
      </c>
      <c r="E7317" t="s">
        <v>98</v>
      </c>
    </row>
    <row r="7318" spans="1:5" x14ac:dyDescent="0.25">
      <c r="A7318" t="s">
        <v>49</v>
      </c>
      <c r="B7318">
        <v>2019</v>
      </c>
      <c r="C7318" t="s">
        <v>57</v>
      </c>
      <c r="D7318">
        <v>715354608.125</v>
      </c>
      <c r="E7318" t="s">
        <v>98</v>
      </c>
    </row>
    <row r="7319" spans="1:5" x14ac:dyDescent="0.25">
      <c r="A7319" t="s">
        <v>49</v>
      </c>
      <c r="B7319">
        <v>2020</v>
      </c>
      <c r="C7319" t="s">
        <v>57</v>
      </c>
      <c r="D7319">
        <v>612321948.60800004</v>
      </c>
      <c r="E7319" t="s">
        <v>98</v>
      </c>
    </row>
    <row r="7320" spans="1:5" x14ac:dyDescent="0.25">
      <c r="A7320" t="s">
        <v>49</v>
      </c>
      <c r="B7320">
        <v>2021</v>
      </c>
      <c r="C7320" t="s">
        <v>57</v>
      </c>
      <c r="D7320">
        <v>653178549.50999999</v>
      </c>
      <c r="E7320" t="s">
        <v>98</v>
      </c>
    </row>
    <row r="7321" spans="1:5" x14ac:dyDescent="0.25">
      <c r="A7321" t="s">
        <v>49</v>
      </c>
      <c r="B7321">
        <v>2022</v>
      </c>
      <c r="C7321" t="s">
        <v>57</v>
      </c>
      <c r="D7321">
        <v>881492356.47500002</v>
      </c>
      <c r="E7321" t="s">
        <v>98</v>
      </c>
    </row>
    <row r="7322" spans="1:5" x14ac:dyDescent="0.25">
      <c r="A7322" t="s">
        <v>49</v>
      </c>
      <c r="B7322">
        <v>2023</v>
      </c>
      <c r="C7322" t="s">
        <v>57</v>
      </c>
      <c r="D7322">
        <v>816105992.50199997</v>
      </c>
      <c r="E7322" t="s">
        <v>98</v>
      </c>
    </row>
    <row r="7323" spans="1:5" x14ac:dyDescent="0.25">
      <c r="A7323" t="s">
        <v>49</v>
      </c>
      <c r="B7323">
        <v>2024</v>
      </c>
      <c r="C7323" t="s">
        <v>57</v>
      </c>
      <c r="D7323">
        <v>930840252.18400002</v>
      </c>
      <c r="E7323" t="s">
        <v>98</v>
      </c>
    </row>
    <row r="7324" spans="1:5" x14ac:dyDescent="0.25">
      <c r="A7324" t="s">
        <v>49</v>
      </c>
      <c r="B7324">
        <v>2025</v>
      </c>
      <c r="C7324" t="s">
        <v>57</v>
      </c>
      <c r="D7324">
        <v>912605897.63199997</v>
      </c>
      <c r="E7324" t="s">
        <v>98</v>
      </c>
    </row>
    <row r="7325" spans="1:5" x14ac:dyDescent="0.25">
      <c r="A7325" t="s">
        <v>104</v>
      </c>
      <c r="B7325">
        <v>2007</v>
      </c>
      <c r="C7325" t="s">
        <v>57</v>
      </c>
      <c r="D7325">
        <v>10700140.744999999</v>
      </c>
      <c r="E7325" t="s">
        <v>98</v>
      </c>
    </row>
    <row r="7326" spans="1:5" x14ac:dyDescent="0.25">
      <c r="A7326" t="s">
        <v>104</v>
      </c>
      <c r="B7326">
        <v>2008</v>
      </c>
      <c r="C7326" t="s">
        <v>57</v>
      </c>
      <c r="D7326">
        <v>11655895.691</v>
      </c>
      <c r="E7326" t="s">
        <v>98</v>
      </c>
    </row>
    <row r="7327" spans="1:5" x14ac:dyDescent="0.25">
      <c r="A7327" t="s">
        <v>104</v>
      </c>
      <c r="B7327">
        <v>2009</v>
      </c>
      <c r="C7327" t="s">
        <v>57</v>
      </c>
      <c r="D7327">
        <v>7118965.4280000003</v>
      </c>
      <c r="E7327" t="s">
        <v>98</v>
      </c>
    </row>
    <row r="7328" spans="1:5" x14ac:dyDescent="0.25">
      <c r="A7328" t="s">
        <v>104</v>
      </c>
      <c r="B7328">
        <v>2017</v>
      </c>
      <c r="C7328" t="s">
        <v>57</v>
      </c>
      <c r="D7328">
        <v>6645524.767</v>
      </c>
      <c r="E7328" t="s">
        <v>98</v>
      </c>
    </row>
    <row r="7329" spans="1:5" x14ac:dyDescent="0.25">
      <c r="A7329" t="s">
        <v>104</v>
      </c>
      <c r="B7329">
        <v>2018</v>
      </c>
      <c r="C7329" t="s">
        <v>57</v>
      </c>
      <c r="D7329">
        <v>9251092.0950000007</v>
      </c>
      <c r="E7329" t="s">
        <v>98</v>
      </c>
    </row>
    <row r="7330" spans="1:5" x14ac:dyDescent="0.25">
      <c r="A7330" t="s">
        <v>104</v>
      </c>
      <c r="B7330">
        <v>2019</v>
      </c>
      <c r="C7330" t="s">
        <v>57</v>
      </c>
      <c r="D7330">
        <v>10779304.83</v>
      </c>
      <c r="E7330" t="s">
        <v>98</v>
      </c>
    </row>
    <row r="7331" spans="1:5" x14ac:dyDescent="0.25">
      <c r="A7331" t="s">
        <v>104</v>
      </c>
      <c r="B7331">
        <v>2020</v>
      </c>
      <c r="C7331" t="s">
        <v>57</v>
      </c>
      <c r="D7331">
        <v>10760907.99</v>
      </c>
      <c r="E7331" t="s">
        <v>98</v>
      </c>
    </row>
    <row r="7332" spans="1:5" x14ac:dyDescent="0.25">
      <c r="A7332" t="s">
        <v>104</v>
      </c>
      <c r="B7332">
        <v>2021</v>
      </c>
      <c r="C7332" t="s">
        <v>57</v>
      </c>
      <c r="D7332">
        <v>8687653.5899999999</v>
      </c>
      <c r="E7332" t="s">
        <v>98</v>
      </c>
    </row>
    <row r="7333" spans="1:5" x14ac:dyDescent="0.25">
      <c r="A7333" t="s">
        <v>104</v>
      </c>
      <c r="B7333">
        <v>2022</v>
      </c>
      <c r="C7333" t="s">
        <v>57</v>
      </c>
      <c r="D7333">
        <v>13795601.472999999</v>
      </c>
      <c r="E7333" t="s">
        <v>98</v>
      </c>
    </row>
    <row r="7334" spans="1:5" x14ac:dyDescent="0.25">
      <c r="A7334" t="s">
        <v>104</v>
      </c>
      <c r="B7334">
        <v>2023</v>
      </c>
      <c r="C7334" t="s">
        <v>57</v>
      </c>
      <c r="D7334">
        <v>10419653.611</v>
      </c>
      <c r="E7334" t="s">
        <v>98</v>
      </c>
    </row>
    <row r="7335" spans="1:5" x14ac:dyDescent="0.25">
      <c r="A7335" t="s">
        <v>103</v>
      </c>
      <c r="B7335">
        <v>2012</v>
      </c>
      <c r="C7335" t="s">
        <v>57</v>
      </c>
      <c r="D7335">
        <v>2020937</v>
      </c>
      <c r="E7335" t="s">
        <v>98</v>
      </c>
    </row>
    <row r="7336" spans="1:5" x14ac:dyDescent="0.25">
      <c r="A7336" t="s">
        <v>103</v>
      </c>
      <c r="B7336">
        <v>2015</v>
      </c>
      <c r="C7336" t="s">
        <v>57</v>
      </c>
      <c r="D7336">
        <v>1929428.31</v>
      </c>
      <c r="E7336" t="s">
        <v>98</v>
      </c>
    </row>
    <row r="7337" spans="1:5" x14ac:dyDescent="0.25">
      <c r="A7337" t="s">
        <v>103</v>
      </c>
      <c r="B7337">
        <v>2016</v>
      </c>
      <c r="C7337" t="s">
        <v>57</v>
      </c>
      <c r="D7337">
        <v>1970989</v>
      </c>
      <c r="E7337" t="s">
        <v>98</v>
      </c>
    </row>
    <row r="7338" spans="1:5" x14ac:dyDescent="0.25">
      <c r="A7338" t="s">
        <v>103</v>
      </c>
      <c r="B7338">
        <v>2018</v>
      </c>
      <c r="C7338" t="s">
        <v>57</v>
      </c>
      <c r="D7338">
        <v>1822130</v>
      </c>
      <c r="E7338" t="s">
        <v>98</v>
      </c>
    </row>
    <row r="7339" spans="1:5" x14ac:dyDescent="0.25">
      <c r="A7339" t="s">
        <v>102</v>
      </c>
      <c r="B7339">
        <v>2009</v>
      </c>
      <c r="C7339" t="s">
        <v>57</v>
      </c>
      <c r="D7339">
        <v>2416078.6320000002</v>
      </c>
      <c r="E7339" t="s">
        <v>98</v>
      </c>
    </row>
    <row r="7340" spans="1:5" x14ac:dyDescent="0.25">
      <c r="A7340" t="s">
        <v>101</v>
      </c>
      <c r="B7340">
        <v>2010</v>
      </c>
      <c r="C7340" t="s">
        <v>57</v>
      </c>
      <c r="D7340">
        <v>17526526.379999999</v>
      </c>
      <c r="E7340" t="s">
        <v>98</v>
      </c>
    </row>
    <row r="7341" spans="1:5" x14ac:dyDescent="0.25">
      <c r="A7341" t="s">
        <v>101</v>
      </c>
      <c r="B7341">
        <v>2011</v>
      </c>
      <c r="C7341" t="s">
        <v>57</v>
      </c>
      <c r="D7341">
        <v>24399572.506000001</v>
      </c>
      <c r="E7341" t="s">
        <v>98</v>
      </c>
    </row>
    <row r="7342" spans="1:5" x14ac:dyDescent="0.25">
      <c r="A7342" t="s">
        <v>101</v>
      </c>
      <c r="B7342">
        <v>2012</v>
      </c>
      <c r="C7342" t="s">
        <v>57</v>
      </c>
      <c r="D7342">
        <v>26376042.842</v>
      </c>
      <c r="E7342" t="s">
        <v>98</v>
      </c>
    </row>
    <row r="7343" spans="1:5" x14ac:dyDescent="0.25">
      <c r="A7343" t="s">
        <v>101</v>
      </c>
      <c r="B7343">
        <v>2013</v>
      </c>
      <c r="C7343" t="s">
        <v>57</v>
      </c>
      <c r="D7343">
        <v>33354528.445</v>
      </c>
      <c r="E7343" t="s">
        <v>98</v>
      </c>
    </row>
    <row r="7344" spans="1:5" x14ac:dyDescent="0.25">
      <c r="A7344" t="s">
        <v>101</v>
      </c>
      <c r="B7344">
        <v>2014</v>
      </c>
      <c r="C7344" t="s">
        <v>57</v>
      </c>
      <c r="D7344">
        <v>29894933.487</v>
      </c>
      <c r="E7344" t="s">
        <v>98</v>
      </c>
    </row>
    <row r="7345" spans="1:5" x14ac:dyDescent="0.25">
      <c r="A7345" t="s">
        <v>101</v>
      </c>
      <c r="B7345">
        <v>2015</v>
      </c>
      <c r="C7345" t="s">
        <v>57</v>
      </c>
      <c r="D7345">
        <v>24938028.910999998</v>
      </c>
      <c r="E7345" t="s">
        <v>98</v>
      </c>
    </row>
    <row r="7346" spans="1:5" x14ac:dyDescent="0.25">
      <c r="A7346" t="s">
        <v>101</v>
      </c>
      <c r="B7346">
        <v>2016</v>
      </c>
      <c r="C7346" t="s">
        <v>57</v>
      </c>
      <c r="D7346">
        <v>24175327.973999999</v>
      </c>
      <c r="E7346" t="s">
        <v>98</v>
      </c>
    </row>
    <row r="7347" spans="1:5" x14ac:dyDescent="0.25">
      <c r="A7347" t="s">
        <v>101</v>
      </c>
      <c r="B7347">
        <v>2017</v>
      </c>
      <c r="C7347" t="s">
        <v>57</v>
      </c>
      <c r="D7347">
        <v>26093385.620999999</v>
      </c>
      <c r="E7347" t="s">
        <v>98</v>
      </c>
    </row>
    <row r="7348" spans="1:5" x14ac:dyDescent="0.25">
      <c r="A7348" t="s">
        <v>101</v>
      </c>
      <c r="B7348">
        <v>2018</v>
      </c>
      <c r="C7348" t="s">
        <v>57</v>
      </c>
      <c r="D7348">
        <v>31792867.232999999</v>
      </c>
      <c r="E7348" t="s">
        <v>98</v>
      </c>
    </row>
    <row r="7349" spans="1:5" x14ac:dyDescent="0.25">
      <c r="A7349" t="s">
        <v>101</v>
      </c>
      <c r="B7349">
        <v>2019</v>
      </c>
      <c r="C7349" t="s">
        <v>57</v>
      </c>
      <c r="D7349">
        <v>34523713.732000001</v>
      </c>
      <c r="E7349" t="s">
        <v>98</v>
      </c>
    </row>
    <row r="7350" spans="1:5" x14ac:dyDescent="0.25">
      <c r="A7350" t="s">
        <v>101</v>
      </c>
      <c r="B7350">
        <v>2020</v>
      </c>
      <c r="C7350" t="s">
        <v>57</v>
      </c>
      <c r="D7350">
        <v>34844754.277000003</v>
      </c>
      <c r="E7350" t="s">
        <v>98</v>
      </c>
    </row>
    <row r="7351" spans="1:5" x14ac:dyDescent="0.25">
      <c r="A7351" t="s">
        <v>101</v>
      </c>
      <c r="B7351">
        <v>2021</v>
      </c>
      <c r="C7351" t="s">
        <v>57</v>
      </c>
      <c r="D7351">
        <v>25897897.291000001</v>
      </c>
      <c r="E7351" t="s">
        <v>98</v>
      </c>
    </row>
    <row r="7352" spans="1:5" x14ac:dyDescent="0.25">
      <c r="A7352" t="s">
        <v>101</v>
      </c>
      <c r="B7352">
        <v>2022</v>
      </c>
      <c r="C7352" t="s">
        <v>57</v>
      </c>
      <c r="D7352">
        <v>30011694.611000001</v>
      </c>
      <c r="E7352" t="s">
        <v>98</v>
      </c>
    </row>
    <row r="7353" spans="1:5" x14ac:dyDescent="0.25">
      <c r="A7353" t="s">
        <v>101</v>
      </c>
      <c r="B7353">
        <v>2023</v>
      </c>
      <c r="C7353" t="s">
        <v>57</v>
      </c>
      <c r="D7353">
        <v>31910254.728999998</v>
      </c>
      <c r="E7353" t="s">
        <v>98</v>
      </c>
    </row>
    <row r="7354" spans="1:5" x14ac:dyDescent="0.25">
      <c r="A7354" t="s">
        <v>101</v>
      </c>
      <c r="B7354">
        <v>2024</v>
      </c>
      <c r="C7354" t="s">
        <v>57</v>
      </c>
      <c r="D7354">
        <v>36036677.416000001</v>
      </c>
      <c r="E7354" t="s">
        <v>98</v>
      </c>
    </row>
    <row r="7355" spans="1:5" x14ac:dyDescent="0.25">
      <c r="A7355" t="s">
        <v>101</v>
      </c>
      <c r="B7355">
        <v>2025</v>
      </c>
      <c r="C7355" t="s">
        <v>57</v>
      </c>
      <c r="D7355">
        <v>29372019.673999999</v>
      </c>
      <c r="E7355" t="s">
        <v>98</v>
      </c>
    </row>
    <row r="7356" spans="1:5" x14ac:dyDescent="0.25">
      <c r="A7356" t="s">
        <v>100</v>
      </c>
      <c r="B7356">
        <v>2000</v>
      </c>
      <c r="C7356" t="s">
        <v>57</v>
      </c>
      <c r="D7356">
        <v>26498259.897</v>
      </c>
      <c r="E7356" t="s">
        <v>98</v>
      </c>
    </row>
    <row r="7357" spans="1:5" x14ac:dyDescent="0.25">
      <c r="A7357" t="s">
        <v>100</v>
      </c>
      <c r="B7357">
        <v>2001</v>
      </c>
      <c r="C7357" t="s">
        <v>57</v>
      </c>
      <c r="D7357">
        <v>24995215.829999998</v>
      </c>
      <c r="E7357" t="s">
        <v>98</v>
      </c>
    </row>
    <row r="7358" spans="1:5" x14ac:dyDescent="0.25">
      <c r="A7358" t="s">
        <v>100</v>
      </c>
      <c r="B7358">
        <v>2002</v>
      </c>
      <c r="C7358" t="s">
        <v>57</v>
      </c>
      <c r="D7358">
        <v>28402097.366</v>
      </c>
      <c r="E7358" t="s">
        <v>98</v>
      </c>
    </row>
    <row r="7359" spans="1:5" x14ac:dyDescent="0.25">
      <c r="A7359" t="s">
        <v>100</v>
      </c>
      <c r="B7359">
        <v>2003</v>
      </c>
      <c r="C7359" t="s">
        <v>57</v>
      </c>
      <c r="D7359">
        <v>32073120.504000001</v>
      </c>
      <c r="E7359" t="s">
        <v>98</v>
      </c>
    </row>
    <row r="7360" spans="1:5" x14ac:dyDescent="0.25">
      <c r="A7360" t="s">
        <v>100</v>
      </c>
      <c r="B7360">
        <v>2004</v>
      </c>
      <c r="C7360" t="s">
        <v>57</v>
      </c>
      <c r="D7360">
        <v>30922069.864</v>
      </c>
      <c r="E7360" t="s">
        <v>98</v>
      </c>
    </row>
    <row r="7361" spans="1:5" x14ac:dyDescent="0.25">
      <c r="A7361" t="s">
        <v>100</v>
      </c>
      <c r="B7361">
        <v>2005</v>
      </c>
      <c r="C7361" t="s">
        <v>57</v>
      </c>
      <c r="D7361">
        <v>34094296.553000003</v>
      </c>
      <c r="E7361" t="s">
        <v>98</v>
      </c>
    </row>
    <row r="7362" spans="1:5" x14ac:dyDescent="0.25">
      <c r="A7362" t="s">
        <v>100</v>
      </c>
      <c r="B7362">
        <v>2006</v>
      </c>
      <c r="C7362" t="s">
        <v>57</v>
      </c>
      <c r="D7362">
        <v>37768139.659000002</v>
      </c>
      <c r="E7362" t="s">
        <v>98</v>
      </c>
    </row>
    <row r="7363" spans="1:5" x14ac:dyDescent="0.25">
      <c r="A7363" t="s">
        <v>100</v>
      </c>
      <c r="B7363">
        <v>2007</v>
      </c>
      <c r="C7363" t="s">
        <v>57</v>
      </c>
      <c r="D7363">
        <v>39470701.560999997</v>
      </c>
      <c r="E7363" t="s">
        <v>98</v>
      </c>
    </row>
    <row r="7364" spans="1:5" x14ac:dyDescent="0.25">
      <c r="A7364" t="s">
        <v>100</v>
      </c>
      <c r="B7364">
        <v>2008</v>
      </c>
      <c r="C7364" t="s">
        <v>57</v>
      </c>
      <c r="D7364">
        <v>50722897.754000001</v>
      </c>
      <c r="E7364" t="s">
        <v>98</v>
      </c>
    </row>
    <row r="7365" spans="1:5" x14ac:dyDescent="0.25">
      <c r="A7365" t="s">
        <v>100</v>
      </c>
      <c r="B7365">
        <v>2009</v>
      </c>
      <c r="C7365" t="s">
        <v>57</v>
      </c>
      <c r="D7365">
        <v>45067082.202</v>
      </c>
      <c r="E7365" t="s">
        <v>98</v>
      </c>
    </row>
    <row r="7366" spans="1:5" x14ac:dyDescent="0.25">
      <c r="A7366" t="s">
        <v>100</v>
      </c>
      <c r="B7366">
        <v>2012</v>
      </c>
      <c r="C7366" t="s">
        <v>57</v>
      </c>
      <c r="D7366">
        <v>50645284.377999999</v>
      </c>
      <c r="E7366" t="s">
        <v>98</v>
      </c>
    </row>
    <row r="7367" spans="1:5" x14ac:dyDescent="0.25">
      <c r="A7367" t="s">
        <v>100</v>
      </c>
      <c r="B7367">
        <v>2013</v>
      </c>
      <c r="C7367" t="s">
        <v>57</v>
      </c>
      <c r="D7367">
        <v>66842363.489</v>
      </c>
      <c r="E7367" t="s">
        <v>98</v>
      </c>
    </row>
    <row r="7368" spans="1:5" x14ac:dyDescent="0.25">
      <c r="A7368" t="s">
        <v>100</v>
      </c>
      <c r="B7368">
        <v>2014</v>
      </c>
      <c r="C7368" t="s">
        <v>57</v>
      </c>
      <c r="D7368">
        <v>58079467.098999999</v>
      </c>
      <c r="E7368" t="s">
        <v>98</v>
      </c>
    </row>
    <row r="7369" spans="1:5" x14ac:dyDescent="0.25">
      <c r="A7369" t="s">
        <v>100</v>
      </c>
      <c r="B7369">
        <v>2015</v>
      </c>
      <c r="C7369" t="s">
        <v>57</v>
      </c>
      <c r="D7369">
        <v>51523793.511</v>
      </c>
      <c r="E7369" t="s">
        <v>98</v>
      </c>
    </row>
    <row r="7370" spans="1:5" x14ac:dyDescent="0.25">
      <c r="A7370" t="s">
        <v>100</v>
      </c>
      <c r="B7370">
        <v>2016</v>
      </c>
      <c r="C7370" t="s">
        <v>57</v>
      </c>
      <c r="D7370">
        <v>51332622.585000001</v>
      </c>
      <c r="E7370" t="s">
        <v>98</v>
      </c>
    </row>
    <row r="7371" spans="1:5" x14ac:dyDescent="0.25">
      <c r="A7371" t="s">
        <v>100</v>
      </c>
      <c r="B7371">
        <v>2017</v>
      </c>
      <c r="C7371" t="s">
        <v>57</v>
      </c>
      <c r="D7371">
        <v>58826502.693000004</v>
      </c>
      <c r="E7371" t="s">
        <v>98</v>
      </c>
    </row>
    <row r="7372" spans="1:5" x14ac:dyDescent="0.25">
      <c r="A7372" t="s">
        <v>100</v>
      </c>
      <c r="B7372">
        <v>2018</v>
      </c>
      <c r="C7372" t="s">
        <v>57</v>
      </c>
      <c r="D7372">
        <v>62075646.494000003</v>
      </c>
      <c r="E7372" t="s">
        <v>98</v>
      </c>
    </row>
    <row r="7373" spans="1:5" x14ac:dyDescent="0.25">
      <c r="A7373" t="s">
        <v>100</v>
      </c>
      <c r="B7373">
        <v>2019</v>
      </c>
      <c r="C7373" t="s">
        <v>57</v>
      </c>
      <c r="D7373">
        <v>55576283.122000001</v>
      </c>
      <c r="E7373" t="s">
        <v>98</v>
      </c>
    </row>
    <row r="7374" spans="1:5" x14ac:dyDescent="0.25">
      <c r="A7374" t="s">
        <v>100</v>
      </c>
      <c r="B7374">
        <v>2020</v>
      </c>
      <c r="C7374" t="s">
        <v>57</v>
      </c>
      <c r="D7374">
        <v>65233560.625</v>
      </c>
      <c r="E7374" t="s">
        <v>98</v>
      </c>
    </row>
    <row r="7375" spans="1:5" x14ac:dyDescent="0.25">
      <c r="A7375" t="s">
        <v>100</v>
      </c>
      <c r="B7375">
        <v>2021</v>
      </c>
      <c r="C7375" t="s">
        <v>57</v>
      </c>
      <c r="D7375">
        <v>59921692.638999999</v>
      </c>
      <c r="E7375" t="s">
        <v>98</v>
      </c>
    </row>
    <row r="7376" spans="1:5" x14ac:dyDescent="0.25">
      <c r="A7376" t="s">
        <v>100</v>
      </c>
      <c r="B7376">
        <v>2022</v>
      </c>
      <c r="C7376" t="s">
        <v>57</v>
      </c>
      <c r="D7376">
        <v>63676157.931000002</v>
      </c>
      <c r="E7376" t="s">
        <v>98</v>
      </c>
    </row>
    <row r="7377" spans="1:5" x14ac:dyDescent="0.25">
      <c r="A7377" t="s">
        <v>100</v>
      </c>
      <c r="B7377">
        <v>2023</v>
      </c>
      <c r="C7377" t="s">
        <v>57</v>
      </c>
      <c r="D7377">
        <v>59243801.767999999</v>
      </c>
      <c r="E7377" t="s">
        <v>98</v>
      </c>
    </row>
    <row r="7378" spans="1:5" x14ac:dyDescent="0.25">
      <c r="A7378" t="s">
        <v>100</v>
      </c>
      <c r="B7378">
        <v>2024</v>
      </c>
      <c r="C7378" t="s">
        <v>57</v>
      </c>
      <c r="D7378">
        <v>69416250.584000006</v>
      </c>
      <c r="E7378" t="s">
        <v>98</v>
      </c>
    </row>
    <row r="7379" spans="1:5" x14ac:dyDescent="0.25">
      <c r="A7379" t="s">
        <v>100</v>
      </c>
      <c r="B7379">
        <v>2025</v>
      </c>
      <c r="C7379" t="s">
        <v>57</v>
      </c>
      <c r="D7379">
        <v>63610073.998000003</v>
      </c>
      <c r="E7379" t="s">
        <v>98</v>
      </c>
    </row>
    <row r="7380" spans="1:5" x14ac:dyDescent="0.25">
      <c r="A7380" t="s">
        <v>50</v>
      </c>
      <c r="B7380">
        <v>2010</v>
      </c>
      <c r="C7380" t="s">
        <v>57</v>
      </c>
      <c r="D7380">
        <v>1879315622</v>
      </c>
      <c r="E7380" t="s">
        <v>98</v>
      </c>
    </row>
    <row r="7381" spans="1:5" x14ac:dyDescent="0.25">
      <c r="A7381" t="s">
        <v>50</v>
      </c>
      <c r="B7381">
        <v>2011</v>
      </c>
      <c r="C7381" t="s">
        <v>57</v>
      </c>
      <c r="D7381">
        <v>1540146668</v>
      </c>
      <c r="E7381" t="s">
        <v>98</v>
      </c>
    </row>
    <row r="7382" spans="1:5" x14ac:dyDescent="0.25">
      <c r="A7382" t="s">
        <v>50</v>
      </c>
      <c r="B7382">
        <v>2012</v>
      </c>
      <c r="C7382" t="s">
        <v>57</v>
      </c>
      <c r="D7382">
        <v>155553489</v>
      </c>
      <c r="E7382" t="s">
        <v>98</v>
      </c>
    </row>
    <row r="7383" spans="1:5" x14ac:dyDescent="0.25">
      <c r="A7383" t="s">
        <v>50</v>
      </c>
      <c r="B7383">
        <v>2013</v>
      </c>
      <c r="C7383" t="s">
        <v>57</v>
      </c>
      <c r="D7383">
        <v>137007386</v>
      </c>
      <c r="E7383" t="s">
        <v>98</v>
      </c>
    </row>
    <row r="7384" spans="1:5" x14ac:dyDescent="0.25">
      <c r="A7384" t="s">
        <v>50</v>
      </c>
      <c r="B7384">
        <v>2014</v>
      </c>
      <c r="C7384" t="s">
        <v>57</v>
      </c>
      <c r="D7384">
        <v>106681715.124</v>
      </c>
      <c r="E7384" t="s">
        <v>98</v>
      </c>
    </row>
    <row r="7385" spans="1:5" x14ac:dyDescent="0.25">
      <c r="A7385" t="s">
        <v>50</v>
      </c>
      <c r="B7385">
        <v>2015</v>
      </c>
      <c r="C7385" t="s">
        <v>57</v>
      </c>
      <c r="D7385">
        <v>116911150.86</v>
      </c>
      <c r="E7385" t="s">
        <v>98</v>
      </c>
    </row>
    <row r="7386" spans="1:5" x14ac:dyDescent="0.25">
      <c r="A7386" t="s">
        <v>50</v>
      </c>
      <c r="B7386">
        <v>2016</v>
      </c>
      <c r="C7386" t="s">
        <v>57</v>
      </c>
      <c r="D7386">
        <v>132976277.75</v>
      </c>
      <c r="E7386" t="s">
        <v>98</v>
      </c>
    </row>
    <row r="7387" spans="1:5" x14ac:dyDescent="0.25">
      <c r="A7387" t="s">
        <v>50</v>
      </c>
      <c r="B7387">
        <v>2017</v>
      </c>
      <c r="C7387" t="s">
        <v>57</v>
      </c>
      <c r="D7387">
        <v>100851339.34999999</v>
      </c>
      <c r="E7387" t="s">
        <v>98</v>
      </c>
    </row>
    <row r="7388" spans="1:5" x14ac:dyDescent="0.25">
      <c r="A7388" t="s">
        <v>50</v>
      </c>
      <c r="B7388">
        <v>2018</v>
      </c>
      <c r="C7388" t="s">
        <v>57</v>
      </c>
      <c r="D7388">
        <v>124016234.98999999</v>
      </c>
      <c r="E7388" t="s">
        <v>98</v>
      </c>
    </row>
    <row r="7389" spans="1:5" x14ac:dyDescent="0.25">
      <c r="A7389" t="s">
        <v>50</v>
      </c>
      <c r="B7389">
        <v>2019</v>
      </c>
      <c r="C7389" t="s">
        <v>57</v>
      </c>
      <c r="D7389">
        <v>142143354.92899999</v>
      </c>
      <c r="E7389" t="s">
        <v>98</v>
      </c>
    </row>
    <row r="7390" spans="1:5" x14ac:dyDescent="0.25">
      <c r="A7390" t="s">
        <v>50</v>
      </c>
      <c r="B7390">
        <v>2020</v>
      </c>
      <c r="C7390" t="s">
        <v>57</v>
      </c>
      <c r="D7390">
        <v>156816499.42500001</v>
      </c>
      <c r="E7390" t="s">
        <v>98</v>
      </c>
    </row>
    <row r="7391" spans="1:5" x14ac:dyDescent="0.25">
      <c r="A7391" t="s">
        <v>50</v>
      </c>
      <c r="B7391">
        <v>2021</v>
      </c>
      <c r="C7391" t="s">
        <v>57</v>
      </c>
      <c r="D7391">
        <v>127826250.142</v>
      </c>
      <c r="E7391" t="s">
        <v>98</v>
      </c>
    </row>
    <row r="7392" spans="1:5" x14ac:dyDescent="0.25">
      <c r="A7392" t="s">
        <v>50</v>
      </c>
      <c r="B7392">
        <v>2022</v>
      </c>
      <c r="C7392" t="s">
        <v>57</v>
      </c>
      <c r="D7392">
        <v>196505249.523</v>
      </c>
      <c r="E7392" t="s">
        <v>98</v>
      </c>
    </row>
    <row r="7393" spans="1:5" x14ac:dyDescent="0.25">
      <c r="A7393" t="s">
        <v>50</v>
      </c>
      <c r="B7393">
        <v>2023</v>
      </c>
      <c r="C7393" t="s">
        <v>57</v>
      </c>
      <c r="D7393">
        <v>227070080.59999999</v>
      </c>
      <c r="E7393" t="s">
        <v>98</v>
      </c>
    </row>
    <row r="7394" spans="1:5" x14ac:dyDescent="0.25">
      <c r="A7394" t="s">
        <v>50</v>
      </c>
      <c r="B7394">
        <v>2024</v>
      </c>
      <c r="C7394" t="s">
        <v>57</v>
      </c>
      <c r="D7394">
        <v>288921092.64200002</v>
      </c>
      <c r="E7394" t="s">
        <v>98</v>
      </c>
    </row>
    <row r="7395" spans="1:5" x14ac:dyDescent="0.25">
      <c r="A7395" t="s">
        <v>50</v>
      </c>
      <c r="B7395">
        <v>2025</v>
      </c>
      <c r="C7395" t="s">
        <v>57</v>
      </c>
      <c r="D7395">
        <v>40499689.818000004</v>
      </c>
      <c r="E7395" t="s">
        <v>98</v>
      </c>
    </row>
    <row r="7396" spans="1:5" x14ac:dyDescent="0.25">
      <c r="A7396" t="s">
        <v>61</v>
      </c>
      <c r="B7396">
        <v>2011</v>
      </c>
      <c r="C7396" t="s">
        <v>57</v>
      </c>
      <c r="D7396">
        <v>4529059.6140000001</v>
      </c>
      <c r="E7396" t="s">
        <v>98</v>
      </c>
    </row>
    <row r="7397" spans="1:5" x14ac:dyDescent="0.25">
      <c r="A7397" t="s">
        <v>61</v>
      </c>
      <c r="B7397">
        <v>2012</v>
      </c>
      <c r="C7397" t="s">
        <v>57</v>
      </c>
      <c r="D7397">
        <v>5589487.3480000002</v>
      </c>
      <c r="E7397" t="s">
        <v>98</v>
      </c>
    </row>
    <row r="7398" spans="1:5" x14ac:dyDescent="0.25">
      <c r="A7398" t="s">
        <v>61</v>
      </c>
      <c r="B7398">
        <v>2013</v>
      </c>
      <c r="C7398" t="s">
        <v>57</v>
      </c>
      <c r="D7398">
        <v>6062004.716</v>
      </c>
      <c r="E7398" t="s">
        <v>98</v>
      </c>
    </row>
    <row r="7399" spans="1:5" x14ac:dyDescent="0.25">
      <c r="A7399" t="s">
        <v>61</v>
      </c>
      <c r="B7399">
        <v>2014</v>
      </c>
      <c r="C7399" t="s">
        <v>57</v>
      </c>
      <c r="D7399">
        <v>6215570.4670000002</v>
      </c>
      <c r="E7399" t="s">
        <v>98</v>
      </c>
    </row>
    <row r="7400" spans="1:5" x14ac:dyDescent="0.25">
      <c r="A7400" t="s">
        <v>61</v>
      </c>
      <c r="B7400">
        <v>2015</v>
      </c>
      <c r="C7400" t="s">
        <v>57</v>
      </c>
      <c r="D7400">
        <v>5535094.4950000001</v>
      </c>
      <c r="E7400" t="s">
        <v>98</v>
      </c>
    </row>
    <row r="7401" spans="1:5" x14ac:dyDescent="0.25">
      <c r="A7401" t="s">
        <v>61</v>
      </c>
      <c r="B7401">
        <v>2016</v>
      </c>
      <c r="C7401" t="s">
        <v>57</v>
      </c>
      <c r="D7401">
        <v>4689326.5410000002</v>
      </c>
      <c r="E7401" t="s">
        <v>98</v>
      </c>
    </row>
    <row r="7402" spans="1:5" x14ac:dyDescent="0.25">
      <c r="A7402" t="s">
        <v>61</v>
      </c>
      <c r="B7402">
        <v>2017</v>
      </c>
      <c r="C7402" t="s">
        <v>57</v>
      </c>
      <c r="D7402">
        <v>4947240.8779999996</v>
      </c>
      <c r="E7402" t="s">
        <v>98</v>
      </c>
    </row>
    <row r="7403" spans="1:5" x14ac:dyDescent="0.25">
      <c r="A7403" t="s">
        <v>61</v>
      </c>
      <c r="B7403">
        <v>2018</v>
      </c>
      <c r="C7403" t="s">
        <v>57</v>
      </c>
      <c r="D7403">
        <v>6766122.6979999999</v>
      </c>
      <c r="E7403" t="s">
        <v>98</v>
      </c>
    </row>
    <row r="7404" spans="1:5" x14ac:dyDescent="0.25">
      <c r="A7404" t="s">
        <v>61</v>
      </c>
      <c r="B7404">
        <v>2019</v>
      </c>
      <c r="C7404" t="s">
        <v>57</v>
      </c>
      <c r="D7404">
        <v>9885515.159</v>
      </c>
      <c r="E7404" t="s">
        <v>98</v>
      </c>
    </row>
    <row r="7405" spans="1:5" x14ac:dyDescent="0.25">
      <c r="A7405" t="s">
        <v>61</v>
      </c>
      <c r="B7405">
        <v>2020</v>
      </c>
      <c r="C7405" t="s">
        <v>57</v>
      </c>
      <c r="D7405">
        <v>7867483.8499999996</v>
      </c>
      <c r="E7405" t="s">
        <v>98</v>
      </c>
    </row>
    <row r="7406" spans="1:5" x14ac:dyDescent="0.25">
      <c r="A7406" t="s">
        <v>61</v>
      </c>
      <c r="B7406">
        <v>2021</v>
      </c>
      <c r="C7406" t="s">
        <v>57</v>
      </c>
      <c r="D7406">
        <v>7004704.9330000002</v>
      </c>
      <c r="E7406" t="s">
        <v>98</v>
      </c>
    </row>
    <row r="7407" spans="1:5" x14ac:dyDescent="0.25">
      <c r="A7407" t="s">
        <v>61</v>
      </c>
      <c r="B7407">
        <v>2023</v>
      </c>
      <c r="C7407" t="s">
        <v>57</v>
      </c>
      <c r="D7407">
        <v>7590168.9340000004</v>
      </c>
      <c r="E7407" t="s">
        <v>98</v>
      </c>
    </row>
    <row r="7408" spans="1:5" x14ac:dyDescent="0.25">
      <c r="A7408" t="s">
        <v>61</v>
      </c>
      <c r="B7408">
        <v>2024</v>
      </c>
      <c r="C7408" t="s">
        <v>57</v>
      </c>
      <c r="D7408">
        <v>8659768.4609999992</v>
      </c>
      <c r="E7408" t="s">
        <v>98</v>
      </c>
    </row>
    <row r="7409" spans="1:5" x14ac:dyDescent="0.25">
      <c r="A7409" t="s">
        <v>51</v>
      </c>
      <c r="B7409">
        <v>2014</v>
      </c>
      <c r="C7409" t="s">
        <v>57</v>
      </c>
      <c r="D7409">
        <v>11126596.737</v>
      </c>
      <c r="E7409" t="s">
        <v>98</v>
      </c>
    </row>
    <row r="7410" spans="1:5" x14ac:dyDescent="0.25">
      <c r="A7410" t="s">
        <v>52</v>
      </c>
      <c r="B7410">
        <v>2014</v>
      </c>
      <c r="C7410" t="s">
        <v>57</v>
      </c>
      <c r="D7410">
        <v>4448063</v>
      </c>
      <c r="E7410" t="s">
        <v>98</v>
      </c>
    </row>
    <row r="7411" spans="1:5" x14ac:dyDescent="0.25">
      <c r="A7411" t="s">
        <v>52</v>
      </c>
      <c r="B7411">
        <v>2015</v>
      </c>
      <c r="C7411" t="s">
        <v>57</v>
      </c>
      <c r="D7411">
        <v>4131190</v>
      </c>
      <c r="E7411" t="s">
        <v>98</v>
      </c>
    </row>
    <row r="7412" spans="1:5" x14ac:dyDescent="0.25">
      <c r="A7412" t="s">
        <v>52</v>
      </c>
      <c r="B7412">
        <v>2016</v>
      </c>
      <c r="C7412" t="s">
        <v>57</v>
      </c>
      <c r="D7412">
        <v>3364566</v>
      </c>
      <c r="E7412" t="s">
        <v>98</v>
      </c>
    </row>
    <row r="7413" spans="1:5" x14ac:dyDescent="0.25">
      <c r="A7413" t="s">
        <v>52</v>
      </c>
      <c r="B7413">
        <v>2017</v>
      </c>
      <c r="C7413" t="s">
        <v>57</v>
      </c>
      <c r="D7413">
        <v>2689412</v>
      </c>
      <c r="E7413" t="s">
        <v>98</v>
      </c>
    </row>
    <row r="7414" spans="1:5" x14ac:dyDescent="0.25">
      <c r="A7414" t="s">
        <v>52</v>
      </c>
      <c r="B7414">
        <v>2019</v>
      </c>
      <c r="C7414" t="s">
        <v>57</v>
      </c>
      <c r="D7414">
        <v>4129142</v>
      </c>
      <c r="E7414" t="s">
        <v>98</v>
      </c>
    </row>
    <row r="7415" spans="1:5" x14ac:dyDescent="0.25">
      <c r="A7415" t="s">
        <v>52</v>
      </c>
      <c r="B7415">
        <v>2020</v>
      </c>
      <c r="C7415" t="s">
        <v>57</v>
      </c>
      <c r="D7415">
        <v>10703555</v>
      </c>
      <c r="E7415" t="s">
        <v>98</v>
      </c>
    </row>
    <row r="7416" spans="1:5" x14ac:dyDescent="0.25">
      <c r="A7416" t="s">
        <v>52</v>
      </c>
      <c r="B7416">
        <v>2021</v>
      </c>
      <c r="C7416" t="s">
        <v>57</v>
      </c>
      <c r="D7416">
        <v>10736194</v>
      </c>
      <c r="E7416" t="s">
        <v>98</v>
      </c>
    </row>
    <row r="7417" spans="1:5" x14ac:dyDescent="0.25">
      <c r="A7417" t="s">
        <v>52</v>
      </c>
      <c r="B7417">
        <v>2022</v>
      </c>
      <c r="C7417" t="s">
        <v>57</v>
      </c>
      <c r="D7417">
        <v>14462900</v>
      </c>
      <c r="E7417" t="s">
        <v>98</v>
      </c>
    </row>
    <row r="7418" spans="1:5" x14ac:dyDescent="0.25">
      <c r="A7418" t="s">
        <v>52</v>
      </c>
      <c r="B7418">
        <v>2023</v>
      </c>
      <c r="C7418" t="s">
        <v>57</v>
      </c>
      <c r="D7418">
        <v>9970307</v>
      </c>
      <c r="E7418" t="s">
        <v>98</v>
      </c>
    </row>
    <row r="7419" spans="1:5" x14ac:dyDescent="0.25">
      <c r="A7419" t="s">
        <v>52</v>
      </c>
      <c r="B7419">
        <v>2024</v>
      </c>
      <c r="C7419" t="s">
        <v>57</v>
      </c>
      <c r="D7419">
        <v>16479564</v>
      </c>
      <c r="E7419" t="s">
        <v>98</v>
      </c>
    </row>
    <row r="7420" spans="1:5" x14ac:dyDescent="0.25">
      <c r="A7420" t="s">
        <v>52</v>
      </c>
      <c r="B7420">
        <v>2025</v>
      </c>
      <c r="C7420" t="s">
        <v>57</v>
      </c>
      <c r="D7420">
        <v>8479402</v>
      </c>
      <c r="E7420" t="s">
        <v>98</v>
      </c>
    </row>
    <row r="7421" spans="1:5" x14ac:dyDescent="0.25">
      <c r="A7421" t="s">
        <v>53</v>
      </c>
      <c r="B7421">
        <v>2010</v>
      </c>
      <c r="C7421" t="s">
        <v>57</v>
      </c>
      <c r="D7421">
        <v>950600398</v>
      </c>
      <c r="E7421" t="s">
        <v>98</v>
      </c>
    </row>
    <row r="7422" spans="1:5" x14ac:dyDescent="0.25">
      <c r="A7422" t="s">
        <v>53</v>
      </c>
      <c r="B7422">
        <v>2016</v>
      </c>
      <c r="C7422" t="s">
        <v>57</v>
      </c>
      <c r="D7422">
        <v>839412728</v>
      </c>
      <c r="E7422" t="s">
        <v>98</v>
      </c>
    </row>
    <row r="7423" spans="1:5" x14ac:dyDescent="0.25">
      <c r="A7423" t="s">
        <v>53</v>
      </c>
      <c r="B7423">
        <v>2017</v>
      </c>
      <c r="C7423" t="s">
        <v>57</v>
      </c>
      <c r="D7423">
        <v>976793354</v>
      </c>
      <c r="E7423" t="s">
        <v>98</v>
      </c>
    </row>
    <row r="7424" spans="1:5" x14ac:dyDescent="0.25">
      <c r="A7424" t="s">
        <v>53</v>
      </c>
      <c r="B7424">
        <v>2018</v>
      </c>
      <c r="C7424" t="s">
        <v>57</v>
      </c>
      <c r="D7424">
        <v>1102559745</v>
      </c>
      <c r="E7424" t="s">
        <v>98</v>
      </c>
    </row>
    <row r="7425" spans="1:5" x14ac:dyDescent="0.25">
      <c r="A7425" t="s">
        <v>53</v>
      </c>
      <c r="B7425">
        <v>2019</v>
      </c>
      <c r="C7425" t="s">
        <v>57</v>
      </c>
      <c r="D7425">
        <v>1129684296</v>
      </c>
      <c r="E7425" t="s">
        <v>98</v>
      </c>
    </row>
    <row r="7426" spans="1:5" x14ac:dyDescent="0.25">
      <c r="A7426" t="s">
        <v>53</v>
      </c>
      <c r="B7426">
        <v>2020</v>
      </c>
      <c r="C7426" t="s">
        <v>57</v>
      </c>
      <c r="D7426">
        <v>1288275815</v>
      </c>
      <c r="E7426" t="s">
        <v>98</v>
      </c>
    </row>
    <row r="7427" spans="1:5" x14ac:dyDescent="0.25">
      <c r="A7427" t="s">
        <v>53</v>
      </c>
      <c r="B7427">
        <v>2021</v>
      </c>
      <c r="C7427" t="s">
        <v>57</v>
      </c>
      <c r="D7427">
        <v>1060432697</v>
      </c>
      <c r="E7427" t="s">
        <v>98</v>
      </c>
    </row>
    <row r="7428" spans="1:5" x14ac:dyDescent="0.25">
      <c r="A7428" t="s">
        <v>53</v>
      </c>
      <c r="B7428">
        <v>2022</v>
      </c>
      <c r="C7428" t="s">
        <v>57</v>
      </c>
      <c r="D7428">
        <v>1325676061</v>
      </c>
      <c r="E7428" t="s">
        <v>98</v>
      </c>
    </row>
    <row r="7429" spans="1:5" x14ac:dyDescent="0.25">
      <c r="A7429" t="s">
        <v>53</v>
      </c>
      <c r="B7429">
        <v>2023</v>
      </c>
      <c r="C7429" t="s">
        <v>57</v>
      </c>
      <c r="D7429">
        <v>1181803287</v>
      </c>
      <c r="E7429" t="s">
        <v>98</v>
      </c>
    </row>
    <row r="7430" spans="1:5" x14ac:dyDescent="0.25">
      <c r="A7430" t="s">
        <v>53</v>
      </c>
      <c r="B7430">
        <v>2024</v>
      </c>
      <c r="C7430" t="s">
        <v>57</v>
      </c>
      <c r="D7430">
        <v>1152074646</v>
      </c>
      <c r="E7430" t="s">
        <v>98</v>
      </c>
    </row>
    <row r="7431" spans="1:5" x14ac:dyDescent="0.25">
      <c r="A7431" t="s">
        <v>53</v>
      </c>
      <c r="B7431">
        <v>2025</v>
      </c>
      <c r="C7431" t="s">
        <v>57</v>
      </c>
      <c r="D7431">
        <v>904594342</v>
      </c>
      <c r="E7431" t="s">
        <v>98</v>
      </c>
    </row>
    <row r="7432" spans="1:5" x14ac:dyDescent="0.25">
      <c r="A7432" t="s">
        <v>82</v>
      </c>
      <c r="B7432">
        <v>2013</v>
      </c>
      <c r="C7432" t="s">
        <v>57</v>
      </c>
      <c r="D7432">
        <v>3396914.62</v>
      </c>
      <c r="E7432" t="s">
        <v>98</v>
      </c>
    </row>
    <row r="7433" spans="1:5" x14ac:dyDescent="0.25">
      <c r="A7433" t="s">
        <v>82</v>
      </c>
      <c r="B7433">
        <v>2017</v>
      </c>
      <c r="C7433" t="s">
        <v>57</v>
      </c>
      <c r="D7433">
        <v>3324466.3</v>
      </c>
      <c r="E7433" t="s">
        <v>98</v>
      </c>
    </row>
    <row r="7434" spans="1:5" x14ac:dyDescent="0.25">
      <c r="A7434" t="s">
        <v>82</v>
      </c>
      <c r="B7434">
        <v>2018</v>
      </c>
      <c r="C7434" t="s">
        <v>57</v>
      </c>
      <c r="D7434">
        <v>3928202.29</v>
      </c>
      <c r="E7434" t="s">
        <v>98</v>
      </c>
    </row>
    <row r="7435" spans="1:5" x14ac:dyDescent="0.25">
      <c r="A7435" t="s">
        <v>82</v>
      </c>
      <c r="B7435">
        <v>2019</v>
      </c>
      <c r="C7435" t="s">
        <v>57</v>
      </c>
      <c r="D7435">
        <v>8694330.4199999999</v>
      </c>
      <c r="E7435" t="s">
        <v>98</v>
      </c>
    </row>
    <row r="7436" spans="1:5" x14ac:dyDescent="0.25">
      <c r="A7436" t="s">
        <v>82</v>
      </c>
      <c r="B7436">
        <v>2020</v>
      </c>
      <c r="C7436" t="s">
        <v>57</v>
      </c>
      <c r="D7436">
        <v>12141598.34</v>
      </c>
      <c r="E7436" t="s">
        <v>98</v>
      </c>
    </row>
    <row r="7437" spans="1:5" x14ac:dyDescent="0.25">
      <c r="A7437" t="s">
        <v>82</v>
      </c>
      <c r="B7437">
        <v>2021</v>
      </c>
      <c r="C7437" t="s">
        <v>57</v>
      </c>
      <c r="D7437">
        <v>13873425.75</v>
      </c>
      <c r="E7437" t="s">
        <v>98</v>
      </c>
    </row>
    <row r="7438" spans="1:5" x14ac:dyDescent="0.25">
      <c r="A7438" t="s">
        <v>82</v>
      </c>
      <c r="B7438">
        <v>2022</v>
      </c>
      <c r="C7438" t="s">
        <v>57</v>
      </c>
      <c r="D7438">
        <v>11532333.1</v>
      </c>
      <c r="E7438" t="s">
        <v>98</v>
      </c>
    </row>
    <row r="7439" spans="1:5" x14ac:dyDescent="0.25">
      <c r="A7439" t="s">
        <v>82</v>
      </c>
      <c r="B7439">
        <v>2023</v>
      </c>
      <c r="C7439" t="s">
        <v>57</v>
      </c>
      <c r="D7439">
        <v>14674594.34</v>
      </c>
      <c r="E7439" t="s">
        <v>98</v>
      </c>
    </row>
    <row r="7440" spans="1:5" x14ac:dyDescent="0.25">
      <c r="A7440" t="s">
        <v>82</v>
      </c>
      <c r="B7440">
        <v>2024</v>
      </c>
      <c r="C7440" t="s">
        <v>57</v>
      </c>
      <c r="D7440">
        <v>19428950.359999999</v>
      </c>
      <c r="E7440" t="s">
        <v>98</v>
      </c>
    </row>
    <row r="7441" spans="1:5" x14ac:dyDescent="0.25">
      <c r="A7441" t="s">
        <v>82</v>
      </c>
      <c r="B7441">
        <v>2025</v>
      </c>
      <c r="C7441" t="s">
        <v>57</v>
      </c>
      <c r="D7441">
        <v>16559501.35</v>
      </c>
      <c r="E7441" t="s">
        <v>98</v>
      </c>
    </row>
    <row r="7442" spans="1:5" x14ac:dyDescent="0.25">
      <c r="A7442" t="s">
        <v>54</v>
      </c>
      <c r="B7442">
        <v>2017</v>
      </c>
      <c r="C7442" t="s">
        <v>57</v>
      </c>
      <c r="D7442">
        <v>95808999.995000005</v>
      </c>
      <c r="E7442" t="s">
        <v>98</v>
      </c>
    </row>
    <row r="7443" spans="1:5" x14ac:dyDescent="0.25">
      <c r="A7443" t="s">
        <v>54</v>
      </c>
      <c r="B7443">
        <v>2018</v>
      </c>
      <c r="C7443" t="s">
        <v>57</v>
      </c>
      <c r="D7443">
        <v>83047122.027999997</v>
      </c>
      <c r="E7443" t="s">
        <v>98</v>
      </c>
    </row>
    <row r="7444" spans="1:5" x14ac:dyDescent="0.25">
      <c r="A7444" t="s">
        <v>54</v>
      </c>
      <c r="B7444">
        <v>2019</v>
      </c>
      <c r="C7444" t="s">
        <v>57</v>
      </c>
      <c r="D7444">
        <v>82571566.951000005</v>
      </c>
      <c r="E7444" t="s">
        <v>98</v>
      </c>
    </row>
    <row r="7445" spans="1:5" x14ac:dyDescent="0.25">
      <c r="A7445" t="s">
        <v>55</v>
      </c>
      <c r="B7445">
        <v>2010</v>
      </c>
      <c r="C7445" t="s">
        <v>57</v>
      </c>
      <c r="D7445">
        <v>372249035.676</v>
      </c>
      <c r="E7445" t="s">
        <v>98</v>
      </c>
    </row>
    <row r="7446" spans="1:5" x14ac:dyDescent="0.25">
      <c r="A7446" t="s">
        <v>55</v>
      </c>
      <c r="B7446">
        <v>2011</v>
      </c>
      <c r="C7446" t="s">
        <v>57</v>
      </c>
      <c r="D7446">
        <v>468472997.18699998</v>
      </c>
      <c r="E7446" t="s">
        <v>98</v>
      </c>
    </row>
    <row r="7447" spans="1:5" x14ac:dyDescent="0.25">
      <c r="A7447" t="s">
        <v>55</v>
      </c>
      <c r="B7447">
        <v>2012</v>
      </c>
      <c r="C7447" t="s">
        <v>57</v>
      </c>
      <c r="D7447">
        <v>513709923.90499997</v>
      </c>
      <c r="E7447" t="s">
        <v>98</v>
      </c>
    </row>
    <row r="7448" spans="1:5" x14ac:dyDescent="0.25">
      <c r="A7448" t="s">
        <v>55</v>
      </c>
      <c r="B7448">
        <v>2013</v>
      </c>
      <c r="C7448" t="s">
        <v>57</v>
      </c>
      <c r="D7448">
        <v>614736717.80200005</v>
      </c>
      <c r="E7448" t="s">
        <v>98</v>
      </c>
    </row>
    <row r="7449" spans="1:5" x14ac:dyDescent="0.25">
      <c r="A7449" t="s">
        <v>55</v>
      </c>
      <c r="B7449">
        <v>2014</v>
      </c>
      <c r="C7449" t="s">
        <v>57</v>
      </c>
      <c r="D7449">
        <v>544900630.92700005</v>
      </c>
      <c r="E7449" t="s">
        <v>98</v>
      </c>
    </row>
    <row r="7450" spans="1:5" x14ac:dyDescent="0.25">
      <c r="A7450" t="s">
        <v>55</v>
      </c>
      <c r="B7450">
        <v>2015</v>
      </c>
      <c r="C7450" t="s">
        <v>57</v>
      </c>
      <c r="D7450">
        <v>506092439.57200003</v>
      </c>
      <c r="E7450" t="s">
        <v>98</v>
      </c>
    </row>
    <row r="7451" spans="1:5" x14ac:dyDescent="0.25">
      <c r="A7451" t="s">
        <v>55</v>
      </c>
      <c r="B7451">
        <v>2016</v>
      </c>
      <c r="C7451" t="s">
        <v>57</v>
      </c>
      <c r="D7451">
        <v>463117204.51800001</v>
      </c>
      <c r="E7451" t="s">
        <v>98</v>
      </c>
    </row>
    <row r="7452" spans="1:5" x14ac:dyDescent="0.25">
      <c r="A7452" t="s">
        <v>55</v>
      </c>
      <c r="B7452">
        <v>2017</v>
      </c>
      <c r="C7452" t="s">
        <v>57</v>
      </c>
      <c r="D7452">
        <v>513326934.69999999</v>
      </c>
      <c r="E7452" t="s">
        <v>98</v>
      </c>
    </row>
    <row r="7453" spans="1:5" x14ac:dyDescent="0.25">
      <c r="A7453" t="s">
        <v>55</v>
      </c>
      <c r="B7453">
        <v>2018</v>
      </c>
      <c r="C7453" t="s">
        <v>57</v>
      </c>
      <c r="D7453">
        <v>549980928.58800006</v>
      </c>
      <c r="E7453" t="s">
        <v>98</v>
      </c>
    </row>
    <row r="7454" spans="1:5" x14ac:dyDescent="0.25">
      <c r="A7454" t="s">
        <v>55</v>
      </c>
      <c r="B7454">
        <v>2019</v>
      </c>
      <c r="C7454" t="s">
        <v>57</v>
      </c>
      <c r="D7454">
        <v>511914242.71200001</v>
      </c>
      <c r="E7454" t="s">
        <v>98</v>
      </c>
    </row>
    <row r="7455" spans="1:5" x14ac:dyDescent="0.25">
      <c r="A7455" t="s">
        <v>55</v>
      </c>
      <c r="B7455">
        <v>2020</v>
      </c>
      <c r="C7455" t="s">
        <v>57</v>
      </c>
      <c r="D7455">
        <v>481385030.02999997</v>
      </c>
      <c r="E7455" t="s">
        <v>98</v>
      </c>
    </row>
    <row r="7456" spans="1:5" x14ac:dyDescent="0.25">
      <c r="A7456" t="s">
        <v>55</v>
      </c>
      <c r="B7456">
        <v>2021</v>
      </c>
      <c r="C7456" t="s">
        <v>57</v>
      </c>
      <c r="D7456">
        <v>450156235.20200002</v>
      </c>
      <c r="E7456" t="s">
        <v>98</v>
      </c>
    </row>
    <row r="7457" spans="1:5" x14ac:dyDescent="0.25">
      <c r="A7457" t="s">
        <v>55</v>
      </c>
      <c r="B7457">
        <v>2022</v>
      </c>
      <c r="C7457" t="s">
        <v>57</v>
      </c>
      <c r="D7457">
        <v>443369681.454</v>
      </c>
      <c r="E7457" t="s">
        <v>98</v>
      </c>
    </row>
    <row r="7458" spans="1:5" x14ac:dyDescent="0.25">
      <c r="A7458" t="s">
        <v>55</v>
      </c>
      <c r="B7458">
        <v>2023</v>
      </c>
      <c r="C7458" t="s">
        <v>57</v>
      </c>
      <c r="D7458">
        <v>464720676.34600002</v>
      </c>
      <c r="E7458" t="s">
        <v>98</v>
      </c>
    </row>
    <row r="7459" spans="1:5" x14ac:dyDescent="0.25">
      <c r="A7459" t="s">
        <v>55</v>
      </c>
      <c r="B7459">
        <v>2024</v>
      </c>
      <c r="C7459" t="s">
        <v>57</v>
      </c>
      <c r="D7459">
        <v>539916437.847</v>
      </c>
      <c r="E7459" t="s">
        <v>98</v>
      </c>
    </row>
    <row r="7460" spans="1:5" x14ac:dyDescent="0.25">
      <c r="A7460" t="s">
        <v>55</v>
      </c>
      <c r="B7460">
        <v>2025</v>
      </c>
      <c r="C7460" t="s">
        <v>57</v>
      </c>
      <c r="D7460">
        <v>485959667.954</v>
      </c>
      <c r="E7460" t="s">
        <v>98</v>
      </c>
    </row>
    <row r="7461" spans="1:5" x14ac:dyDescent="0.25">
      <c r="A7461" t="s">
        <v>99</v>
      </c>
      <c r="B7461">
        <v>2012</v>
      </c>
      <c r="C7461" t="s">
        <v>57</v>
      </c>
      <c r="D7461">
        <v>5022941.43</v>
      </c>
      <c r="E7461" t="s">
        <v>98</v>
      </c>
    </row>
    <row r="7462" spans="1:5" x14ac:dyDescent="0.25">
      <c r="A7462" t="s">
        <v>99</v>
      </c>
      <c r="B7462">
        <v>2014</v>
      </c>
      <c r="C7462" t="s">
        <v>57</v>
      </c>
      <c r="D7462">
        <v>7140501.3700000001</v>
      </c>
      <c r="E7462" t="s">
        <v>98</v>
      </c>
    </row>
    <row r="7463" spans="1:5" x14ac:dyDescent="0.25">
      <c r="A7463" t="s">
        <v>99</v>
      </c>
      <c r="B7463">
        <v>2019</v>
      </c>
      <c r="C7463" t="s">
        <v>57</v>
      </c>
      <c r="D7463">
        <v>8814301.6999999993</v>
      </c>
      <c r="E7463" t="s">
        <v>98</v>
      </c>
    </row>
    <row r="7464" spans="1:5" x14ac:dyDescent="0.25">
      <c r="A7464" t="s">
        <v>99</v>
      </c>
      <c r="B7464">
        <v>2020</v>
      </c>
      <c r="C7464" t="s">
        <v>57</v>
      </c>
      <c r="D7464">
        <v>9096555.0700000003</v>
      </c>
      <c r="E7464" t="s">
        <v>98</v>
      </c>
    </row>
    <row r="7465" spans="1:5" x14ac:dyDescent="0.25">
      <c r="A7465" t="s">
        <v>99</v>
      </c>
      <c r="B7465">
        <v>2021</v>
      </c>
      <c r="C7465" t="s">
        <v>57</v>
      </c>
      <c r="D7465">
        <v>9281306.5</v>
      </c>
      <c r="E7465" t="s">
        <v>98</v>
      </c>
    </row>
    <row r="7466" spans="1:5" x14ac:dyDescent="0.25">
      <c r="A7466" t="s">
        <v>99</v>
      </c>
      <c r="B7466">
        <v>2022</v>
      </c>
      <c r="C7466" t="s">
        <v>57</v>
      </c>
      <c r="D7466">
        <v>11099378.710000001</v>
      </c>
      <c r="E7466" t="s">
        <v>98</v>
      </c>
    </row>
    <row r="7467" spans="1:5" x14ac:dyDescent="0.25">
      <c r="A7467" t="s">
        <v>99</v>
      </c>
      <c r="B7467">
        <v>2023</v>
      </c>
      <c r="C7467" t="s">
        <v>57</v>
      </c>
      <c r="D7467">
        <v>12967821.27</v>
      </c>
      <c r="E7467" t="s">
        <v>98</v>
      </c>
    </row>
    <row r="7468" spans="1:5" x14ac:dyDescent="0.25">
      <c r="A7468" t="s">
        <v>56</v>
      </c>
      <c r="B7468">
        <v>2017</v>
      </c>
      <c r="C7468" t="s">
        <v>57</v>
      </c>
      <c r="D7468">
        <v>9065504.8929999992</v>
      </c>
      <c r="E7468" t="s">
        <v>98</v>
      </c>
    </row>
    <row r="7469" spans="1:5" x14ac:dyDescent="0.25">
      <c r="A7469" t="s">
        <v>56</v>
      </c>
      <c r="B7469">
        <v>2018</v>
      </c>
      <c r="C7469" t="s">
        <v>57</v>
      </c>
      <c r="D7469">
        <v>16663814.509</v>
      </c>
      <c r="E7469" t="s">
        <v>98</v>
      </c>
    </row>
    <row r="7470" spans="1:5" x14ac:dyDescent="0.25">
      <c r="A7470" t="s">
        <v>56</v>
      </c>
      <c r="B7470">
        <v>2019</v>
      </c>
      <c r="C7470" t="s">
        <v>57</v>
      </c>
      <c r="D7470">
        <v>11754393.649</v>
      </c>
      <c r="E7470" t="s">
        <v>98</v>
      </c>
    </row>
    <row r="7471" spans="1:5" x14ac:dyDescent="0.25">
      <c r="A7471" t="s">
        <v>56</v>
      </c>
      <c r="B7471">
        <v>2020</v>
      </c>
      <c r="C7471" t="s">
        <v>57</v>
      </c>
      <c r="D7471">
        <v>14128265.801000001</v>
      </c>
      <c r="E7471" t="s">
        <v>98</v>
      </c>
    </row>
    <row r="7472" spans="1:5" x14ac:dyDescent="0.25">
      <c r="A7472" t="s">
        <v>56</v>
      </c>
      <c r="B7472">
        <v>2021</v>
      </c>
      <c r="C7472" t="s">
        <v>57</v>
      </c>
      <c r="D7472">
        <v>15084511.027000001</v>
      </c>
      <c r="E7472" t="s">
        <v>98</v>
      </c>
    </row>
    <row r="7473" spans="1:5" x14ac:dyDescent="0.25">
      <c r="A7473" t="s">
        <v>56</v>
      </c>
      <c r="B7473">
        <v>2022</v>
      </c>
      <c r="C7473" t="s">
        <v>57</v>
      </c>
      <c r="D7473">
        <v>14578170.855</v>
      </c>
      <c r="E7473" t="s">
        <v>98</v>
      </c>
    </row>
    <row r="7474" spans="1:5" x14ac:dyDescent="0.25">
      <c r="A7474" t="s">
        <v>56</v>
      </c>
      <c r="B7474">
        <v>2023</v>
      </c>
      <c r="C7474" t="s">
        <v>57</v>
      </c>
      <c r="D7474">
        <v>32052221.375999998</v>
      </c>
      <c r="E7474" t="s">
        <v>98</v>
      </c>
    </row>
    <row r="7475" spans="1:5" x14ac:dyDescent="0.25">
      <c r="A7475" t="s">
        <v>60</v>
      </c>
      <c r="B7475">
        <v>2012</v>
      </c>
      <c r="C7475" t="s">
        <v>57</v>
      </c>
      <c r="D7475">
        <v>14679335.702</v>
      </c>
      <c r="E7475" t="s">
        <v>98</v>
      </c>
    </row>
    <row r="7476" spans="1:5" x14ac:dyDescent="0.25">
      <c r="A7476" t="s">
        <v>60</v>
      </c>
      <c r="B7476">
        <v>2015</v>
      </c>
      <c r="C7476" t="s">
        <v>57</v>
      </c>
      <c r="D7476">
        <v>7336930.875</v>
      </c>
      <c r="E7476" t="s">
        <v>98</v>
      </c>
    </row>
    <row r="7477" spans="1:5" x14ac:dyDescent="0.25">
      <c r="A7477" t="s">
        <v>60</v>
      </c>
      <c r="B7477">
        <v>2016</v>
      </c>
      <c r="C7477" t="s">
        <v>57</v>
      </c>
      <c r="D7477">
        <v>9291588.0170000009</v>
      </c>
      <c r="E7477" t="s">
        <v>98</v>
      </c>
    </row>
    <row r="7478" spans="1:5" x14ac:dyDescent="0.25">
      <c r="A7478" t="s">
        <v>60</v>
      </c>
      <c r="B7478">
        <v>2018</v>
      </c>
      <c r="C7478" t="s">
        <v>57</v>
      </c>
      <c r="D7478">
        <v>2059640.9739999999</v>
      </c>
      <c r="E7478" t="s">
        <v>98</v>
      </c>
    </row>
    <row r="7479" spans="1:5" x14ac:dyDescent="0.25">
      <c r="A7479" t="s">
        <v>60</v>
      </c>
      <c r="B7479">
        <v>2019</v>
      </c>
      <c r="C7479" t="s">
        <v>57</v>
      </c>
      <c r="D7479">
        <v>4838031.04</v>
      </c>
      <c r="E7479" t="s">
        <v>98</v>
      </c>
    </row>
    <row r="7480" spans="1:5" x14ac:dyDescent="0.25">
      <c r="A7480" t="s">
        <v>97</v>
      </c>
      <c r="B7480">
        <v>2010</v>
      </c>
      <c r="C7480" t="s">
        <v>58</v>
      </c>
      <c r="D7480">
        <v>1.06349619696703</v>
      </c>
      <c r="E7480" t="s">
        <v>98</v>
      </c>
    </row>
    <row r="7481" spans="1:5" x14ac:dyDescent="0.25">
      <c r="A7481" t="s">
        <v>97</v>
      </c>
      <c r="B7481">
        <v>2011</v>
      </c>
      <c r="C7481" t="s">
        <v>58</v>
      </c>
      <c r="D7481">
        <v>1.0288441943937801</v>
      </c>
      <c r="E7481" t="s">
        <v>98</v>
      </c>
    </row>
    <row r="7482" spans="1:5" x14ac:dyDescent="0.25">
      <c r="A7482" t="s">
        <v>97</v>
      </c>
      <c r="B7482">
        <v>2012</v>
      </c>
      <c r="C7482" t="s">
        <v>58</v>
      </c>
      <c r="D7482">
        <v>1.56237541233577</v>
      </c>
      <c r="E7482" t="s">
        <v>98</v>
      </c>
    </row>
    <row r="7483" spans="1:5" x14ac:dyDescent="0.25">
      <c r="A7483" t="s">
        <v>97</v>
      </c>
      <c r="B7483">
        <v>2013</v>
      </c>
      <c r="C7483" t="s">
        <v>58</v>
      </c>
      <c r="D7483">
        <v>1.9152969935555499</v>
      </c>
      <c r="E7483" t="s">
        <v>98</v>
      </c>
    </row>
    <row r="7484" spans="1:5" x14ac:dyDescent="0.25">
      <c r="A7484" t="s">
        <v>97</v>
      </c>
      <c r="B7484">
        <v>2014</v>
      </c>
      <c r="C7484" t="s">
        <v>58</v>
      </c>
      <c r="D7484">
        <v>2.4447336956671402</v>
      </c>
      <c r="E7484" t="s">
        <v>98</v>
      </c>
    </row>
    <row r="7485" spans="1:5" x14ac:dyDescent="0.25">
      <c r="A7485" t="s">
        <v>97</v>
      </c>
      <c r="B7485">
        <v>2015</v>
      </c>
      <c r="C7485" t="s">
        <v>58</v>
      </c>
      <c r="D7485">
        <v>2.6336853353204299</v>
      </c>
      <c r="E7485" t="s">
        <v>98</v>
      </c>
    </row>
    <row r="7486" spans="1:5" x14ac:dyDescent="0.25">
      <c r="A7486" t="s">
        <v>97</v>
      </c>
      <c r="B7486">
        <v>2016</v>
      </c>
      <c r="C7486" t="s">
        <v>58</v>
      </c>
      <c r="D7486">
        <v>3.2227222690623001</v>
      </c>
      <c r="E7486" t="s">
        <v>98</v>
      </c>
    </row>
    <row r="7487" spans="1:5" x14ac:dyDescent="0.25">
      <c r="A7487" t="s">
        <v>97</v>
      </c>
      <c r="B7487">
        <v>2017</v>
      </c>
      <c r="C7487" t="s">
        <v>58</v>
      </c>
      <c r="D7487">
        <v>3.1411658580258601</v>
      </c>
      <c r="E7487" t="s">
        <v>98</v>
      </c>
    </row>
    <row r="7488" spans="1:5" x14ac:dyDescent="0.25">
      <c r="A7488" t="s">
        <v>125</v>
      </c>
      <c r="B7488">
        <v>2015</v>
      </c>
      <c r="C7488" t="s">
        <v>58</v>
      </c>
      <c r="D7488">
        <v>0.76516137115799798</v>
      </c>
      <c r="E7488" t="s">
        <v>98</v>
      </c>
    </row>
    <row r="7489" spans="1:5" x14ac:dyDescent="0.25">
      <c r="A7489" t="s">
        <v>125</v>
      </c>
      <c r="B7489">
        <v>2016</v>
      </c>
      <c r="C7489" t="s">
        <v>58</v>
      </c>
      <c r="D7489">
        <v>0.98960221062895304</v>
      </c>
      <c r="E7489" t="s">
        <v>98</v>
      </c>
    </row>
    <row r="7490" spans="1:5" x14ac:dyDescent="0.25">
      <c r="A7490" t="s">
        <v>125</v>
      </c>
      <c r="B7490">
        <v>2017</v>
      </c>
      <c r="C7490" t="s">
        <v>58</v>
      </c>
      <c r="D7490">
        <v>4.9813801986591804</v>
      </c>
      <c r="E7490" t="s">
        <v>98</v>
      </c>
    </row>
    <row r="7491" spans="1:5" x14ac:dyDescent="0.25">
      <c r="A7491" t="s">
        <v>125</v>
      </c>
      <c r="B7491">
        <v>2018</v>
      </c>
      <c r="C7491" t="s">
        <v>58</v>
      </c>
      <c r="D7491">
        <v>1.6472951584237101</v>
      </c>
      <c r="E7491" t="s">
        <v>98</v>
      </c>
    </row>
    <row r="7492" spans="1:5" x14ac:dyDescent="0.25">
      <c r="A7492" t="s">
        <v>125</v>
      </c>
      <c r="B7492">
        <v>2019</v>
      </c>
      <c r="C7492" t="s">
        <v>58</v>
      </c>
      <c r="D7492">
        <v>4.1681135727714604</v>
      </c>
      <c r="E7492" t="s">
        <v>98</v>
      </c>
    </row>
    <row r="7493" spans="1:5" x14ac:dyDescent="0.25">
      <c r="A7493" t="s">
        <v>125</v>
      </c>
      <c r="B7493">
        <v>2020</v>
      </c>
      <c r="C7493" t="s">
        <v>58</v>
      </c>
      <c r="D7493">
        <v>3.84494035280066</v>
      </c>
      <c r="E7493" t="s">
        <v>98</v>
      </c>
    </row>
    <row r="7494" spans="1:5" x14ac:dyDescent="0.25">
      <c r="A7494" t="s">
        <v>125</v>
      </c>
      <c r="B7494">
        <v>2021</v>
      </c>
      <c r="C7494" t="s">
        <v>58</v>
      </c>
      <c r="D7494">
        <v>2.9877796550306899</v>
      </c>
      <c r="E7494" t="s">
        <v>98</v>
      </c>
    </row>
    <row r="7495" spans="1:5" x14ac:dyDescent="0.25">
      <c r="A7495" t="s">
        <v>125</v>
      </c>
      <c r="B7495">
        <v>2022</v>
      </c>
      <c r="C7495" t="s">
        <v>58</v>
      </c>
      <c r="D7495">
        <v>3.5087066522392401</v>
      </c>
      <c r="E7495" t="s">
        <v>98</v>
      </c>
    </row>
    <row r="7496" spans="1:5" x14ac:dyDescent="0.25">
      <c r="A7496" t="s">
        <v>125</v>
      </c>
      <c r="B7496">
        <v>2023</v>
      </c>
      <c r="C7496" t="s">
        <v>58</v>
      </c>
      <c r="D7496">
        <v>3.7387756877624101</v>
      </c>
      <c r="E7496" t="s">
        <v>98</v>
      </c>
    </row>
    <row r="7497" spans="1:5" x14ac:dyDescent="0.25">
      <c r="A7497" t="s">
        <v>124</v>
      </c>
      <c r="B7497">
        <v>2010</v>
      </c>
      <c r="C7497" t="s">
        <v>58</v>
      </c>
      <c r="D7497">
        <v>3.6458275603233399</v>
      </c>
      <c r="E7497" t="s">
        <v>98</v>
      </c>
    </row>
    <row r="7498" spans="1:5" x14ac:dyDescent="0.25">
      <c r="A7498" t="s">
        <v>124</v>
      </c>
      <c r="B7498">
        <v>2011</v>
      </c>
      <c r="C7498" t="s">
        <v>58</v>
      </c>
      <c r="D7498">
        <v>4.2811528800908203</v>
      </c>
      <c r="E7498" t="s">
        <v>98</v>
      </c>
    </row>
    <row r="7499" spans="1:5" x14ac:dyDescent="0.25">
      <c r="A7499" t="s">
        <v>124</v>
      </c>
      <c r="B7499">
        <v>2012</v>
      </c>
      <c r="C7499" t="s">
        <v>58</v>
      </c>
      <c r="D7499">
        <v>5.4607965830752203</v>
      </c>
      <c r="E7499" t="s">
        <v>98</v>
      </c>
    </row>
    <row r="7500" spans="1:5" x14ac:dyDescent="0.25">
      <c r="A7500" t="s">
        <v>124</v>
      </c>
      <c r="B7500">
        <v>2013</v>
      </c>
      <c r="C7500" t="s">
        <v>58</v>
      </c>
      <c r="D7500">
        <v>5.9147216189953502</v>
      </c>
      <c r="E7500" t="s">
        <v>98</v>
      </c>
    </row>
    <row r="7501" spans="1:5" x14ac:dyDescent="0.25">
      <c r="A7501" t="s">
        <v>124</v>
      </c>
      <c r="B7501">
        <v>2014</v>
      </c>
      <c r="C7501" t="s">
        <v>58</v>
      </c>
      <c r="D7501">
        <v>5.0266993661104697</v>
      </c>
      <c r="E7501" t="s">
        <v>98</v>
      </c>
    </row>
    <row r="7502" spans="1:5" x14ac:dyDescent="0.25">
      <c r="A7502" t="s">
        <v>124</v>
      </c>
      <c r="B7502">
        <v>2015</v>
      </c>
      <c r="C7502" t="s">
        <v>58</v>
      </c>
      <c r="D7502">
        <v>4.1487693689594201</v>
      </c>
      <c r="E7502" t="s">
        <v>98</v>
      </c>
    </row>
    <row r="7503" spans="1:5" x14ac:dyDescent="0.25">
      <c r="A7503" t="s">
        <v>124</v>
      </c>
      <c r="B7503">
        <v>2016</v>
      </c>
      <c r="C7503" t="s">
        <v>58</v>
      </c>
      <c r="D7503">
        <v>4.2032933511267698</v>
      </c>
      <c r="E7503" t="s">
        <v>98</v>
      </c>
    </row>
    <row r="7504" spans="1:5" x14ac:dyDescent="0.25">
      <c r="A7504" t="s">
        <v>124</v>
      </c>
      <c r="B7504">
        <v>2017</v>
      </c>
      <c r="C7504" t="s">
        <v>58</v>
      </c>
      <c r="D7504">
        <v>4.7879904027439997</v>
      </c>
      <c r="E7504" t="s">
        <v>98</v>
      </c>
    </row>
    <row r="7505" spans="1:5" x14ac:dyDescent="0.25">
      <c r="A7505" t="s">
        <v>124</v>
      </c>
      <c r="B7505">
        <v>2018</v>
      </c>
      <c r="C7505" t="s">
        <v>58</v>
      </c>
      <c r="D7505">
        <v>5.1153183268937097</v>
      </c>
      <c r="E7505" t="s">
        <v>98</v>
      </c>
    </row>
    <row r="7506" spans="1:5" x14ac:dyDescent="0.25">
      <c r="A7506" t="s">
        <v>124</v>
      </c>
      <c r="B7506">
        <v>2019</v>
      </c>
      <c r="C7506" t="s">
        <v>58</v>
      </c>
      <c r="D7506">
        <v>4.53260832860681</v>
      </c>
      <c r="E7506" t="s">
        <v>98</v>
      </c>
    </row>
    <row r="7507" spans="1:5" x14ac:dyDescent="0.25">
      <c r="A7507" t="s">
        <v>124</v>
      </c>
      <c r="B7507">
        <v>2020</v>
      </c>
      <c r="C7507" t="s">
        <v>58</v>
      </c>
      <c r="D7507">
        <v>4.3228595190074302</v>
      </c>
      <c r="E7507" t="s">
        <v>98</v>
      </c>
    </row>
    <row r="7508" spans="1:5" x14ac:dyDescent="0.25">
      <c r="A7508" t="s">
        <v>124</v>
      </c>
      <c r="B7508">
        <v>2021</v>
      </c>
      <c r="C7508" t="s">
        <v>58</v>
      </c>
      <c r="D7508">
        <v>4.5014549886858299</v>
      </c>
      <c r="E7508" t="s">
        <v>98</v>
      </c>
    </row>
    <row r="7509" spans="1:5" x14ac:dyDescent="0.25">
      <c r="A7509" t="s">
        <v>124</v>
      </c>
      <c r="B7509">
        <v>2022</v>
      </c>
      <c r="C7509" t="s">
        <v>58</v>
      </c>
      <c r="D7509">
        <v>4.87988580568509</v>
      </c>
      <c r="E7509" t="s">
        <v>98</v>
      </c>
    </row>
    <row r="7510" spans="1:5" x14ac:dyDescent="0.25">
      <c r="A7510" t="s">
        <v>124</v>
      </c>
      <c r="B7510">
        <v>2023</v>
      </c>
      <c r="C7510" t="s">
        <v>58</v>
      </c>
      <c r="D7510">
        <v>5.3905080815055699</v>
      </c>
      <c r="E7510" t="s">
        <v>98</v>
      </c>
    </row>
    <row r="7511" spans="1:5" x14ac:dyDescent="0.25">
      <c r="A7511" t="s">
        <v>124</v>
      </c>
      <c r="B7511">
        <v>2024</v>
      </c>
      <c r="C7511" t="s">
        <v>58</v>
      </c>
      <c r="D7511">
        <v>5.4358503064568504</v>
      </c>
      <c r="E7511" t="s">
        <v>98</v>
      </c>
    </row>
    <row r="7512" spans="1:5" x14ac:dyDescent="0.25">
      <c r="A7512" t="s">
        <v>124</v>
      </c>
      <c r="B7512">
        <v>2025</v>
      </c>
      <c r="C7512" t="s">
        <v>58</v>
      </c>
      <c r="D7512">
        <v>5.0340768873577399</v>
      </c>
      <c r="E7512" t="s">
        <v>98</v>
      </c>
    </row>
    <row r="7513" spans="1:5" x14ac:dyDescent="0.25">
      <c r="A7513" t="s">
        <v>5</v>
      </c>
      <c r="B7513">
        <v>2010</v>
      </c>
      <c r="C7513" t="s">
        <v>58</v>
      </c>
      <c r="D7513">
        <v>17.298850937624199</v>
      </c>
      <c r="E7513" t="s">
        <v>98</v>
      </c>
    </row>
    <row r="7514" spans="1:5" x14ac:dyDescent="0.25">
      <c r="A7514" t="s">
        <v>5</v>
      </c>
      <c r="B7514">
        <v>2011</v>
      </c>
      <c r="C7514" t="s">
        <v>58</v>
      </c>
      <c r="D7514">
        <v>4.7732543429303904</v>
      </c>
      <c r="E7514" t="s">
        <v>98</v>
      </c>
    </row>
    <row r="7515" spans="1:5" x14ac:dyDescent="0.25">
      <c r="A7515" t="s">
        <v>5</v>
      </c>
      <c r="B7515">
        <v>2012</v>
      </c>
      <c r="C7515" t="s">
        <v>58</v>
      </c>
      <c r="D7515">
        <v>5.58365089999565</v>
      </c>
      <c r="E7515" t="s">
        <v>98</v>
      </c>
    </row>
    <row r="7516" spans="1:5" x14ac:dyDescent="0.25">
      <c r="A7516" t="s">
        <v>5</v>
      </c>
      <c r="B7516">
        <v>2013</v>
      </c>
      <c r="C7516" t="s">
        <v>58</v>
      </c>
      <c r="D7516">
        <v>5.7131127720438402</v>
      </c>
      <c r="E7516" t="s">
        <v>98</v>
      </c>
    </row>
    <row r="7517" spans="1:5" x14ac:dyDescent="0.25">
      <c r="A7517" t="s">
        <v>5</v>
      </c>
      <c r="B7517">
        <v>2014</v>
      </c>
      <c r="C7517" t="s">
        <v>58</v>
      </c>
      <c r="D7517">
        <v>5.1622061121651699</v>
      </c>
      <c r="E7517" t="s">
        <v>98</v>
      </c>
    </row>
    <row r="7518" spans="1:5" x14ac:dyDescent="0.25">
      <c r="A7518" t="s">
        <v>5</v>
      </c>
      <c r="B7518">
        <v>2015</v>
      </c>
      <c r="C7518" t="s">
        <v>58</v>
      </c>
      <c r="D7518">
        <v>4.5893839503443203</v>
      </c>
      <c r="E7518" t="s">
        <v>98</v>
      </c>
    </row>
    <row r="7519" spans="1:5" x14ac:dyDescent="0.25">
      <c r="A7519" t="s">
        <v>5</v>
      </c>
      <c r="B7519">
        <v>2016</v>
      </c>
      <c r="C7519" t="s">
        <v>58</v>
      </c>
      <c r="D7519">
        <v>4.6791773962544001</v>
      </c>
      <c r="E7519" t="s">
        <v>98</v>
      </c>
    </row>
    <row r="7520" spans="1:5" x14ac:dyDescent="0.25">
      <c r="A7520" t="s">
        <v>5</v>
      </c>
      <c r="B7520">
        <v>2017</v>
      </c>
      <c r="C7520" t="s">
        <v>58</v>
      </c>
      <c r="D7520">
        <v>4.96065537492023</v>
      </c>
      <c r="E7520" t="s">
        <v>98</v>
      </c>
    </row>
    <row r="7521" spans="1:5" x14ac:dyDescent="0.25">
      <c r="A7521" t="s">
        <v>5</v>
      </c>
      <c r="B7521">
        <v>2018</v>
      </c>
      <c r="C7521" t="s">
        <v>58</v>
      </c>
      <c r="D7521">
        <v>5.13588465977874</v>
      </c>
      <c r="E7521" t="s">
        <v>98</v>
      </c>
    </row>
    <row r="7522" spans="1:5" x14ac:dyDescent="0.25">
      <c r="A7522" t="s">
        <v>5</v>
      </c>
      <c r="B7522">
        <v>2019</v>
      </c>
      <c r="C7522" t="s">
        <v>58</v>
      </c>
      <c r="D7522">
        <v>5.0299360403670796</v>
      </c>
      <c r="E7522" t="s">
        <v>98</v>
      </c>
    </row>
    <row r="7523" spans="1:5" x14ac:dyDescent="0.25">
      <c r="A7523" t="s">
        <v>5</v>
      </c>
      <c r="B7523">
        <v>2020</v>
      </c>
      <c r="C7523" t="s">
        <v>58</v>
      </c>
      <c r="D7523">
        <v>4.8902579767152101</v>
      </c>
      <c r="E7523" t="s">
        <v>98</v>
      </c>
    </row>
    <row r="7524" spans="1:5" x14ac:dyDescent="0.25">
      <c r="A7524" t="s">
        <v>5</v>
      </c>
      <c r="B7524">
        <v>2021</v>
      </c>
      <c r="C7524" t="s">
        <v>58</v>
      </c>
      <c r="D7524">
        <v>5.03295992743395</v>
      </c>
      <c r="E7524" t="s">
        <v>98</v>
      </c>
    </row>
    <row r="7525" spans="1:5" x14ac:dyDescent="0.25">
      <c r="A7525" t="s">
        <v>5</v>
      </c>
      <c r="B7525">
        <v>2022</v>
      </c>
      <c r="C7525" t="s">
        <v>58</v>
      </c>
      <c r="D7525">
        <v>5.43685443596135</v>
      </c>
      <c r="E7525" t="s">
        <v>98</v>
      </c>
    </row>
    <row r="7526" spans="1:5" x14ac:dyDescent="0.25">
      <c r="A7526" t="s">
        <v>5</v>
      </c>
      <c r="B7526">
        <v>2023</v>
      </c>
      <c r="C7526" t="s">
        <v>58</v>
      </c>
      <c r="D7526">
        <v>5.4554743126743901</v>
      </c>
      <c r="E7526" t="s">
        <v>98</v>
      </c>
    </row>
    <row r="7527" spans="1:5" x14ac:dyDescent="0.25">
      <c r="A7527" t="s">
        <v>5</v>
      </c>
      <c r="B7527">
        <v>2024</v>
      </c>
      <c r="C7527" t="s">
        <v>58</v>
      </c>
      <c r="D7527">
        <v>5.2894298511722901</v>
      </c>
      <c r="E7527" t="s">
        <v>98</v>
      </c>
    </row>
    <row r="7528" spans="1:5" x14ac:dyDescent="0.25">
      <c r="A7528" t="s">
        <v>5</v>
      </c>
      <c r="B7528">
        <v>2025</v>
      </c>
      <c r="C7528" t="s">
        <v>58</v>
      </c>
      <c r="D7528">
        <v>5.33155412259197</v>
      </c>
      <c r="E7528" t="s">
        <v>98</v>
      </c>
    </row>
    <row r="7529" spans="1:5" x14ac:dyDescent="0.25">
      <c r="A7529" t="s">
        <v>8</v>
      </c>
      <c r="B7529">
        <v>2010</v>
      </c>
      <c r="C7529" t="s">
        <v>58</v>
      </c>
      <c r="D7529">
        <v>5.4146229730386501</v>
      </c>
      <c r="E7529" t="s">
        <v>98</v>
      </c>
    </row>
    <row r="7530" spans="1:5" x14ac:dyDescent="0.25">
      <c r="A7530" t="s">
        <v>8</v>
      </c>
      <c r="B7530">
        <v>2011</v>
      </c>
      <c r="C7530" t="s">
        <v>58</v>
      </c>
      <c r="D7530">
        <v>5.8605937776455299</v>
      </c>
      <c r="E7530" t="s">
        <v>98</v>
      </c>
    </row>
    <row r="7531" spans="1:5" x14ac:dyDescent="0.25">
      <c r="A7531" t="s">
        <v>8</v>
      </c>
      <c r="B7531">
        <v>2012</v>
      </c>
      <c r="C7531" t="s">
        <v>58</v>
      </c>
      <c r="D7531">
        <v>6.7987680823937797</v>
      </c>
      <c r="E7531" t="s">
        <v>98</v>
      </c>
    </row>
    <row r="7532" spans="1:5" x14ac:dyDescent="0.25">
      <c r="A7532" t="s">
        <v>8</v>
      </c>
      <c r="B7532">
        <v>2013</v>
      </c>
      <c r="C7532" t="s">
        <v>58</v>
      </c>
      <c r="D7532">
        <v>8.3157393317318693</v>
      </c>
      <c r="E7532" t="s">
        <v>98</v>
      </c>
    </row>
    <row r="7533" spans="1:5" x14ac:dyDescent="0.25">
      <c r="A7533" t="s">
        <v>8</v>
      </c>
      <c r="B7533">
        <v>2014</v>
      </c>
      <c r="C7533" t="s">
        <v>58</v>
      </c>
      <c r="D7533">
        <v>9.2883533485151499</v>
      </c>
      <c r="E7533" t="s">
        <v>98</v>
      </c>
    </row>
    <row r="7534" spans="1:5" x14ac:dyDescent="0.25">
      <c r="A7534" t="s">
        <v>8</v>
      </c>
      <c r="B7534">
        <v>2015</v>
      </c>
      <c r="C7534" t="s">
        <v>58</v>
      </c>
      <c r="D7534">
        <v>7.4240847860718802</v>
      </c>
      <c r="E7534" t="s">
        <v>98</v>
      </c>
    </row>
    <row r="7535" spans="1:5" x14ac:dyDescent="0.25">
      <c r="A7535" t="s">
        <v>8</v>
      </c>
      <c r="B7535">
        <v>2016</v>
      </c>
      <c r="C7535" t="s">
        <v>58</v>
      </c>
      <c r="D7535">
        <v>7.2964448738564798</v>
      </c>
      <c r="E7535" t="s">
        <v>98</v>
      </c>
    </row>
    <row r="7536" spans="1:5" x14ac:dyDescent="0.25">
      <c r="A7536" t="s">
        <v>8</v>
      </c>
      <c r="B7536">
        <v>2017</v>
      </c>
      <c r="C7536" t="s">
        <v>58</v>
      </c>
      <c r="D7536">
        <v>5.8049762298354901</v>
      </c>
      <c r="E7536" t="s">
        <v>98</v>
      </c>
    </row>
    <row r="7537" spans="1:5" x14ac:dyDescent="0.25">
      <c r="A7537" t="s">
        <v>8</v>
      </c>
      <c r="B7537">
        <v>2022</v>
      </c>
      <c r="C7537" t="s">
        <v>58</v>
      </c>
      <c r="D7537">
        <v>6.3799337604987398</v>
      </c>
      <c r="E7537" t="s">
        <v>98</v>
      </c>
    </row>
    <row r="7538" spans="1:5" x14ac:dyDescent="0.25">
      <c r="A7538" t="s">
        <v>123</v>
      </c>
      <c r="B7538">
        <v>2017</v>
      </c>
      <c r="C7538" t="s">
        <v>58</v>
      </c>
      <c r="D7538">
        <v>5.6146801824917798</v>
      </c>
      <c r="E7538" t="s">
        <v>98</v>
      </c>
    </row>
    <row r="7539" spans="1:5" x14ac:dyDescent="0.25">
      <c r="A7539" t="s">
        <v>122</v>
      </c>
      <c r="B7539">
        <v>2011</v>
      </c>
      <c r="C7539" t="s">
        <v>58</v>
      </c>
      <c r="D7539">
        <v>3.43742289592294</v>
      </c>
      <c r="E7539" t="s">
        <v>98</v>
      </c>
    </row>
    <row r="7540" spans="1:5" x14ac:dyDescent="0.25">
      <c r="A7540" t="s">
        <v>122</v>
      </c>
      <c r="B7540">
        <v>2012</v>
      </c>
      <c r="C7540" t="s">
        <v>58</v>
      </c>
      <c r="D7540">
        <v>4.3677845574731</v>
      </c>
      <c r="E7540" t="s">
        <v>98</v>
      </c>
    </row>
    <row r="7541" spans="1:5" x14ac:dyDescent="0.25">
      <c r="A7541" t="s">
        <v>122</v>
      </c>
      <c r="B7541">
        <v>2013</v>
      </c>
      <c r="C7541" t="s">
        <v>58</v>
      </c>
      <c r="D7541">
        <v>4.1839656551286701</v>
      </c>
      <c r="E7541" t="s">
        <v>98</v>
      </c>
    </row>
    <row r="7542" spans="1:5" x14ac:dyDescent="0.25">
      <c r="A7542" t="s">
        <v>122</v>
      </c>
      <c r="B7542">
        <v>2014</v>
      </c>
      <c r="C7542" t="s">
        <v>58</v>
      </c>
      <c r="D7542">
        <v>3.8558084027491502</v>
      </c>
      <c r="E7542" t="s">
        <v>98</v>
      </c>
    </row>
    <row r="7543" spans="1:5" x14ac:dyDescent="0.25">
      <c r="A7543" t="s">
        <v>122</v>
      </c>
      <c r="B7543">
        <v>2015</v>
      </c>
      <c r="C7543" t="s">
        <v>58</v>
      </c>
      <c r="D7543">
        <v>3.4273690335037501</v>
      </c>
      <c r="E7543" t="s">
        <v>98</v>
      </c>
    </row>
    <row r="7544" spans="1:5" x14ac:dyDescent="0.25">
      <c r="A7544" t="s">
        <v>122</v>
      </c>
      <c r="B7544">
        <v>2016</v>
      </c>
      <c r="C7544" t="s">
        <v>58</v>
      </c>
      <c r="D7544">
        <v>2.5857035258466099</v>
      </c>
      <c r="E7544" t="s">
        <v>98</v>
      </c>
    </row>
    <row r="7545" spans="1:5" x14ac:dyDescent="0.25">
      <c r="A7545" t="s">
        <v>122</v>
      </c>
      <c r="B7545">
        <v>2017</v>
      </c>
      <c r="C7545" t="s">
        <v>58</v>
      </c>
      <c r="D7545">
        <v>2.4194371375211299</v>
      </c>
      <c r="E7545" t="s">
        <v>98</v>
      </c>
    </row>
    <row r="7546" spans="1:5" x14ac:dyDescent="0.25">
      <c r="A7546" t="s">
        <v>122</v>
      </c>
      <c r="B7546">
        <v>2018</v>
      </c>
      <c r="C7546" t="s">
        <v>58</v>
      </c>
      <c r="D7546">
        <v>2.6675052051419201</v>
      </c>
      <c r="E7546" t="s">
        <v>98</v>
      </c>
    </row>
    <row r="7547" spans="1:5" x14ac:dyDescent="0.25">
      <c r="A7547" t="s">
        <v>122</v>
      </c>
      <c r="B7547">
        <v>2019</v>
      </c>
      <c r="C7547" t="s">
        <v>58</v>
      </c>
      <c r="D7547">
        <v>2.6284700690078102</v>
      </c>
      <c r="E7547" t="s">
        <v>98</v>
      </c>
    </row>
    <row r="7548" spans="1:5" x14ac:dyDescent="0.25">
      <c r="A7548" t="s">
        <v>122</v>
      </c>
      <c r="B7548">
        <v>2020</v>
      </c>
      <c r="C7548" t="s">
        <v>58</v>
      </c>
      <c r="D7548">
        <v>2.364126088705</v>
      </c>
      <c r="E7548" t="s">
        <v>98</v>
      </c>
    </row>
    <row r="7549" spans="1:5" x14ac:dyDescent="0.25">
      <c r="A7549" t="s">
        <v>122</v>
      </c>
      <c r="B7549">
        <v>2021</v>
      </c>
      <c r="C7549" t="s">
        <v>58</v>
      </c>
      <c r="D7549">
        <v>2.3735526570835801</v>
      </c>
      <c r="E7549" t="s">
        <v>98</v>
      </c>
    </row>
    <row r="7550" spans="1:5" x14ac:dyDescent="0.25">
      <c r="A7550" t="s">
        <v>122</v>
      </c>
      <c r="B7550">
        <v>2022</v>
      </c>
      <c r="C7550" t="s">
        <v>58</v>
      </c>
      <c r="D7550">
        <v>2.2948573559697398</v>
      </c>
      <c r="E7550" t="s">
        <v>98</v>
      </c>
    </row>
    <row r="7551" spans="1:5" x14ac:dyDescent="0.25">
      <c r="A7551" t="s">
        <v>122</v>
      </c>
      <c r="B7551">
        <v>2023</v>
      </c>
      <c r="C7551" t="s">
        <v>58</v>
      </c>
      <c r="D7551">
        <v>1.82990340888379</v>
      </c>
      <c r="E7551" t="s">
        <v>98</v>
      </c>
    </row>
    <row r="7552" spans="1:5" x14ac:dyDescent="0.25">
      <c r="A7552" t="s">
        <v>122</v>
      </c>
      <c r="B7552">
        <v>2024</v>
      </c>
      <c r="C7552" t="s">
        <v>58</v>
      </c>
      <c r="D7552">
        <v>2.9518384114301601</v>
      </c>
      <c r="E7552" t="s">
        <v>98</v>
      </c>
    </row>
    <row r="7553" spans="1:5" x14ac:dyDescent="0.25">
      <c r="A7553" t="s">
        <v>9</v>
      </c>
      <c r="B7553">
        <v>2010</v>
      </c>
      <c r="C7553" t="s">
        <v>58</v>
      </c>
      <c r="D7553">
        <v>4.3133039609866097</v>
      </c>
      <c r="E7553" t="s">
        <v>98</v>
      </c>
    </row>
    <row r="7554" spans="1:5" x14ac:dyDescent="0.25">
      <c r="A7554" t="s">
        <v>9</v>
      </c>
      <c r="B7554">
        <v>2011</v>
      </c>
      <c r="C7554" t="s">
        <v>58</v>
      </c>
      <c r="D7554">
        <v>4.8595068711615301</v>
      </c>
      <c r="E7554" t="s">
        <v>98</v>
      </c>
    </row>
    <row r="7555" spans="1:5" x14ac:dyDescent="0.25">
      <c r="A7555" t="s">
        <v>9</v>
      </c>
      <c r="B7555">
        <v>2012</v>
      </c>
      <c r="C7555" t="s">
        <v>58</v>
      </c>
      <c r="D7555">
        <v>5.3870387985706003</v>
      </c>
      <c r="E7555" t="s">
        <v>98</v>
      </c>
    </row>
    <row r="7556" spans="1:5" x14ac:dyDescent="0.25">
      <c r="A7556" t="s">
        <v>9</v>
      </c>
      <c r="B7556">
        <v>2013</v>
      </c>
      <c r="C7556" t="s">
        <v>58</v>
      </c>
      <c r="D7556">
        <v>6.30626833275723</v>
      </c>
      <c r="E7556" t="s">
        <v>98</v>
      </c>
    </row>
    <row r="7557" spans="1:5" x14ac:dyDescent="0.25">
      <c r="A7557" t="s">
        <v>9</v>
      </c>
      <c r="B7557">
        <v>2014</v>
      </c>
      <c r="C7557" t="s">
        <v>58</v>
      </c>
      <c r="D7557">
        <v>5.6224269580158399</v>
      </c>
      <c r="E7557" t="s">
        <v>98</v>
      </c>
    </row>
    <row r="7558" spans="1:5" x14ac:dyDescent="0.25">
      <c r="A7558" t="s">
        <v>9</v>
      </c>
      <c r="B7558">
        <v>2015</v>
      </c>
      <c r="C7558" t="s">
        <v>58</v>
      </c>
      <c r="D7558">
        <v>4.7325383822501603</v>
      </c>
      <c r="E7558" t="s">
        <v>98</v>
      </c>
    </row>
    <row r="7559" spans="1:5" x14ac:dyDescent="0.25">
      <c r="A7559" t="s">
        <v>9</v>
      </c>
      <c r="B7559">
        <v>2016</v>
      </c>
      <c r="C7559" t="s">
        <v>58</v>
      </c>
      <c r="D7559">
        <v>4.7113972610998296</v>
      </c>
      <c r="E7559" t="s">
        <v>98</v>
      </c>
    </row>
    <row r="7560" spans="1:5" x14ac:dyDescent="0.25">
      <c r="A7560" t="s">
        <v>9</v>
      </c>
      <c r="B7560">
        <v>2017</v>
      </c>
      <c r="C7560" t="s">
        <v>58</v>
      </c>
      <c r="D7560">
        <v>5.0652610916238103</v>
      </c>
      <c r="E7560" t="s">
        <v>98</v>
      </c>
    </row>
    <row r="7561" spans="1:5" x14ac:dyDescent="0.25">
      <c r="A7561" t="s">
        <v>9</v>
      </c>
      <c r="B7561">
        <v>2018</v>
      </c>
      <c r="C7561" t="s">
        <v>58</v>
      </c>
      <c r="D7561">
        <v>5.7435957014665204</v>
      </c>
      <c r="E7561" t="s">
        <v>98</v>
      </c>
    </row>
    <row r="7562" spans="1:5" x14ac:dyDescent="0.25">
      <c r="A7562" t="s">
        <v>9</v>
      </c>
      <c r="B7562">
        <v>2019</v>
      </c>
      <c r="C7562" t="s">
        <v>58</v>
      </c>
      <c r="D7562">
        <v>5.3978541338663399</v>
      </c>
      <c r="E7562" t="s">
        <v>98</v>
      </c>
    </row>
    <row r="7563" spans="1:5" x14ac:dyDescent="0.25">
      <c r="A7563" t="s">
        <v>9</v>
      </c>
      <c r="B7563">
        <v>2020</v>
      </c>
      <c r="C7563" t="s">
        <v>58</v>
      </c>
      <c r="D7563">
        <v>5.6390821783493701</v>
      </c>
      <c r="E7563" t="s">
        <v>98</v>
      </c>
    </row>
    <row r="7564" spans="1:5" x14ac:dyDescent="0.25">
      <c r="A7564" t="s">
        <v>9</v>
      </c>
      <c r="B7564">
        <v>2021</v>
      </c>
      <c r="C7564" t="s">
        <v>58</v>
      </c>
      <c r="D7564">
        <v>5.6252809183487198</v>
      </c>
      <c r="E7564" t="s">
        <v>98</v>
      </c>
    </row>
    <row r="7565" spans="1:5" x14ac:dyDescent="0.25">
      <c r="A7565" t="s">
        <v>9</v>
      </c>
      <c r="B7565">
        <v>2022</v>
      </c>
      <c r="C7565" t="s">
        <v>58</v>
      </c>
      <c r="D7565">
        <v>5.3689130350277496</v>
      </c>
      <c r="E7565" t="s">
        <v>98</v>
      </c>
    </row>
    <row r="7566" spans="1:5" x14ac:dyDescent="0.25">
      <c r="A7566" t="s">
        <v>9</v>
      </c>
      <c r="B7566">
        <v>2023</v>
      </c>
      <c r="C7566" t="s">
        <v>58</v>
      </c>
      <c r="D7566">
        <v>6.1560545849184098</v>
      </c>
      <c r="E7566" t="s">
        <v>98</v>
      </c>
    </row>
    <row r="7567" spans="1:5" x14ac:dyDescent="0.25">
      <c r="A7567" t="s">
        <v>9</v>
      </c>
      <c r="B7567">
        <v>2024</v>
      </c>
      <c r="C7567" t="s">
        <v>58</v>
      </c>
      <c r="D7567">
        <v>6.0651567803133499</v>
      </c>
      <c r="E7567" t="s">
        <v>98</v>
      </c>
    </row>
    <row r="7568" spans="1:5" x14ac:dyDescent="0.25">
      <c r="A7568" t="s">
        <v>9</v>
      </c>
      <c r="B7568">
        <v>2025</v>
      </c>
      <c r="C7568" t="s">
        <v>58</v>
      </c>
      <c r="D7568">
        <v>6.1843232523305502</v>
      </c>
      <c r="E7568" t="s">
        <v>98</v>
      </c>
    </row>
    <row r="7569" spans="1:5" x14ac:dyDescent="0.25">
      <c r="A7569" t="s">
        <v>121</v>
      </c>
      <c r="B7569">
        <v>2010</v>
      </c>
      <c r="C7569" t="s">
        <v>58</v>
      </c>
      <c r="D7569">
        <v>3.4572431839713</v>
      </c>
      <c r="E7569" t="s">
        <v>98</v>
      </c>
    </row>
    <row r="7570" spans="1:5" x14ac:dyDescent="0.25">
      <c r="A7570" t="s">
        <v>121</v>
      </c>
      <c r="B7570">
        <v>2011</v>
      </c>
      <c r="C7570" t="s">
        <v>58</v>
      </c>
      <c r="D7570">
        <v>4.3978431007010297</v>
      </c>
      <c r="E7570" t="s">
        <v>98</v>
      </c>
    </row>
    <row r="7571" spans="1:5" x14ac:dyDescent="0.25">
      <c r="A7571" t="s">
        <v>121</v>
      </c>
      <c r="B7571">
        <v>2012</v>
      </c>
      <c r="C7571" t="s">
        <v>58</v>
      </c>
      <c r="D7571">
        <v>5.5267906124557697</v>
      </c>
      <c r="E7571" t="s">
        <v>98</v>
      </c>
    </row>
    <row r="7572" spans="1:5" x14ac:dyDescent="0.25">
      <c r="A7572" t="s">
        <v>121</v>
      </c>
      <c r="B7572">
        <v>2013</v>
      </c>
      <c r="C7572" t="s">
        <v>58</v>
      </c>
      <c r="D7572">
        <v>5.6576459531608201</v>
      </c>
      <c r="E7572" t="s">
        <v>98</v>
      </c>
    </row>
    <row r="7573" spans="1:5" x14ac:dyDescent="0.25">
      <c r="A7573" t="s">
        <v>121</v>
      </c>
      <c r="B7573">
        <v>2014</v>
      </c>
      <c r="C7573" t="s">
        <v>58</v>
      </c>
      <c r="D7573">
        <v>4.2576008752472498</v>
      </c>
      <c r="E7573" t="s">
        <v>98</v>
      </c>
    </row>
    <row r="7574" spans="1:5" x14ac:dyDescent="0.25">
      <c r="A7574" t="s">
        <v>121</v>
      </c>
      <c r="B7574">
        <v>2015</v>
      </c>
      <c r="C7574" t="s">
        <v>58</v>
      </c>
      <c r="D7574">
        <v>3.5705373547606101</v>
      </c>
      <c r="E7574" t="s">
        <v>98</v>
      </c>
    </row>
    <row r="7575" spans="1:5" x14ac:dyDescent="0.25">
      <c r="A7575" t="s">
        <v>121</v>
      </c>
      <c r="B7575">
        <v>2016</v>
      </c>
      <c r="C7575" t="s">
        <v>58</v>
      </c>
      <c r="D7575">
        <v>3.7266356836022601</v>
      </c>
      <c r="E7575" t="s">
        <v>98</v>
      </c>
    </row>
    <row r="7576" spans="1:5" x14ac:dyDescent="0.25">
      <c r="A7576" t="s">
        <v>121</v>
      </c>
      <c r="B7576">
        <v>2017</v>
      </c>
      <c r="C7576" t="s">
        <v>58</v>
      </c>
      <c r="D7576">
        <v>4.1525460196508304</v>
      </c>
      <c r="E7576" t="s">
        <v>98</v>
      </c>
    </row>
    <row r="7577" spans="1:5" x14ac:dyDescent="0.25">
      <c r="A7577" t="s">
        <v>121</v>
      </c>
      <c r="B7577">
        <v>2018</v>
      </c>
      <c r="C7577" t="s">
        <v>58</v>
      </c>
      <c r="D7577">
        <v>4.4373224441638</v>
      </c>
      <c r="E7577" t="s">
        <v>98</v>
      </c>
    </row>
    <row r="7578" spans="1:5" x14ac:dyDescent="0.25">
      <c r="A7578" t="s">
        <v>121</v>
      </c>
      <c r="B7578">
        <v>2019</v>
      </c>
      <c r="C7578" t="s">
        <v>58</v>
      </c>
      <c r="D7578">
        <v>4.3600805862553402</v>
      </c>
      <c r="E7578" t="s">
        <v>98</v>
      </c>
    </row>
    <row r="7579" spans="1:5" x14ac:dyDescent="0.25">
      <c r="A7579" t="s">
        <v>121</v>
      </c>
      <c r="B7579">
        <v>2020</v>
      </c>
      <c r="C7579" t="s">
        <v>58</v>
      </c>
      <c r="D7579">
        <v>4.2158057709102499</v>
      </c>
      <c r="E7579" t="s">
        <v>98</v>
      </c>
    </row>
    <row r="7580" spans="1:5" x14ac:dyDescent="0.25">
      <c r="A7580" t="s">
        <v>121</v>
      </c>
      <c r="B7580">
        <v>2021</v>
      </c>
      <c r="C7580" t="s">
        <v>58</v>
      </c>
      <c r="D7580">
        <v>4.9820665339794603</v>
      </c>
      <c r="E7580" t="s">
        <v>98</v>
      </c>
    </row>
    <row r="7581" spans="1:5" x14ac:dyDescent="0.25">
      <c r="A7581" t="s">
        <v>121</v>
      </c>
      <c r="B7581">
        <v>2022</v>
      </c>
      <c r="C7581" t="s">
        <v>58</v>
      </c>
      <c r="D7581">
        <v>4.7654602171480001</v>
      </c>
      <c r="E7581" t="s">
        <v>98</v>
      </c>
    </row>
    <row r="7582" spans="1:5" x14ac:dyDescent="0.25">
      <c r="A7582" t="s">
        <v>121</v>
      </c>
      <c r="B7582">
        <v>2023</v>
      </c>
      <c r="C7582" t="s">
        <v>58</v>
      </c>
      <c r="D7582">
        <v>4.8862903508529802</v>
      </c>
      <c r="E7582" t="s">
        <v>98</v>
      </c>
    </row>
    <row r="7583" spans="1:5" x14ac:dyDescent="0.25">
      <c r="A7583" t="s">
        <v>121</v>
      </c>
      <c r="B7583">
        <v>2024</v>
      </c>
      <c r="C7583" t="s">
        <v>58</v>
      </c>
      <c r="D7583">
        <v>4.8772909699288496</v>
      </c>
      <c r="E7583" t="s">
        <v>98</v>
      </c>
    </row>
    <row r="7584" spans="1:5" x14ac:dyDescent="0.25">
      <c r="A7584" t="s">
        <v>121</v>
      </c>
      <c r="B7584">
        <v>2025</v>
      </c>
      <c r="C7584" t="s">
        <v>58</v>
      </c>
      <c r="D7584">
        <v>5.1492324776902203</v>
      </c>
      <c r="E7584" t="s">
        <v>98</v>
      </c>
    </row>
    <row r="7585" spans="1:5" x14ac:dyDescent="0.25">
      <c r="A7585" t="s">
        <v>10</v>
      </c>
      <c r="B7585">
        <v>2000</v>
      </c>
      <c r="C7585" t="s">
        <v>58</v>
      </c>
      <c r="D7585">
        <v>2.3216386388757302</v>
      </c>
      <c r="E7585" t="s">
        <v>98</v>
      </c>
    </row>
    <row r="7586" spans="1:5" x14ac:dyDescent="0.25">
      <c r="A7586" t="s">
        <v>10</v>
      </c>
      <c r="B7586">
        <v>2007</v>
      </c>
      <c r="C7586" t="s">
        <v>58</v>
      </c>
      <c r="D7586">
        <v>3.32238365083193</v>
      </c>
      <c r="E7586" t="s">
        <v>98</v>
      </c>
    </row>
    <row r="7587" spans="1:5" x14ac:dyDescent="0.25">
      <c r="A7587" t="s">
        <v>10</v>
      </c>
      <c r="B7587">
        <v>2009</v>
      </c>
      <c r="C7587" t="s">
        <v>58</v>
      </c>
      <c r="D7587">
        <v>3.68614986361571</v>
      </c>
      <c r="E7587" t="s">
        <v>98</v>
      </c>
    </row>
    <row r="7588" spans="1:5" x14ac:dyDescent="0.25">
      <c r="A7588" t="s">
        <v>10</v>
      </c>
      <c r="B7588">
        <v>2010</v>
      </c>
      <c r="C7588" t="s">
        <v>58</v>
      </c>
      <c r="D7588">
        <v>4.1142537317013899</v>
      </c>
      <c r="E7588" t="s">
        <v>98</v>
      </c>
    </row>
    <row r="7589" spans="1:5" x14ac:dyDescent="0.25">
      <c r="A7589" t="s">
        <v>10</v>
      </c>
      <c r="B7589">
        <v>2011</v>
      </c>
      <c r="C7589" t="s">
        <v>58</v>
      </c>
      <c r="D7589">
        <v>4.3684885214588398</v>
      </c>
      <c r="E7589" t="s">
        <v>98</v>
      </c>
    </row>
    <row r="7590" spans="1:5" x14ac:dyDescent="0.25">
      <c r="A7590" t="s">
        <v>10</v>
      </c>
      <c r="B7590">
        <v>2012</v>
      </c>
      <c r="C7590" t="s">
        <v>58</v>
      </c>
      <c r="D7590">
        <v>5.5113902109407098</v>
      </c>
      <c r="E7590" t="s">
        <v>98</v>
      </c>
    </row>
    <row r="7591" spans="1:5" x14ac:dyDescent="0.25">
      <c r="A7591" t="s">
        <v>10</v>
      </c>
      <c r="B7591">
        <v>2013</v>
      </c>
      <c r="C7591" t="s">
        <v>58</v>
      </c>
      <c r="D7591">
        <v>6.0612280358300001</v>
      </c>
      <c r="E7591" t="s">
        <v>98</v>
      </c>
    </row>
    <row r="7592" spans="1:5" x14ac:dyDescent="0.25">
      <c r="A7592" t="s">
        <v>10</v>
      </c>
      <c r="B7592">
        <v>2014</v>
      </c>
      <c r="C7592" t="s">
        <v>58</v>
      </c>
      <c r="D7592">
        <v>4.8024696963077904</v>
      </c>
      <c r="E7592" t="s">
        <v>98</v>
      </c>
    </row>
    <row r="7593" spans="1:5" x14ac:dyDescent="0.25">
      <c r="A7593" t="s">
        <v>10</v>
      </c>
      <c r="B7593">
        <v>2015</v>
      </c>
      <c r="C7593" t="s">
        <v>58</v>
      </c>
      <c r="D7593">
        <v>4.0547871806483897</v>
      </c>
      <c r="E7593" t="s">
        <v>98</v>
      </c>
    </row>
    <row r="7594" spans="1:5" x14ac:dyDescent="0.25">
      <c r="A7594" t="s">
        <v>10</v>
      </c>
      <c r="B7594">
        <v>2016</v>
      </c>
      <c r="C7594" t="s">
        <v>58</v>
      </c>
      <c r="D7594">
        <v>4.1194305406385299</v>
      </c>
      <c r="E7594" t="s">
        <v>98</v>
      </c>
    </row>
    <row r="7595" spans="1:5" x14ac:dyDescent="0.25">
      <c r="A7595" t="s">
        <v>10</v>
      </c>
      <c r="B7595">
        <v>2017</v>
      </c>
      <c r="C7595" t="s">
        <v>58</v>
      </c>
      <c r="D7595">
        <v>4.8524464975693098</v>
      </c>
      <c r="E7595" t="s">
        <v>98</v>
      </c>
    </row>
    <row r="7596" spans="1:5" x14ac:dyDescent="0.25">
      <c r="A7596" t="s">
        <v>10</v>
      </c>
      <c r="B7596">
        <v>2018</v>
      </c>
      <c r="C7596" t="s">
        <v>58</v>
      </c>
      <c r="D7596">
        <v>5.5444055314951202</v>
      </c>
      <c r="E7596" t="s">
        <v>98</v>
      </c>
    </row>
    <row r="7597" spans="1:5" x14ac:dyDescent="0.25">
      <c r="A7597" t="s">
        <v>10</v>
      </c>
      <c r="B7597">
        <v>2019</v>
      </c>
      <c r="C7597" t="s">
        <v>58</v>
      </c>
      <c r="D7597">
        <v>4.54442897761853</v>
      </c>
      <c r="E7597" t="s">
        <v>98</v>
      </c>
    </row>
    <row r="7598" spans="1:5" x14ac:dyDescent="0.25">
      <c r="A7598" t="s">
        <v>10</v>
      </c>
      <c r="B7598">
        <v>2020</v>
      </c>
      <c r="C7598" t="s">
        <v>58</v>
      </c>
      <c r="D7598">
        <v>4.3757518940734998</v>
      </c>
      <c r="E7598" t="s">
        <v>98</v>
      </c>
    </row>
    <row r="7599" spans="1:5" x14ac:dyDescent="0.25">
      <c r="A7599" t="s">
        <v>10</v>
      </c>
      <c r="B7599">
        <v>2021</v>
      </c>
      <c r="C7599" t="s">
        <v>58</v>
      </c>
      <c r="D7599">
        <v>4.2490902477932302</v>
      </c>
      <c r="E7599" t="s">
        <v>98</v>
      </c>
    </row>
    <row r="7600" spans="1:5" x14ac:dyDescent="0.25">
      <c r="A7600" t="s">
        <v>10</v>
      </c>
      <c r="B7600">
        <v>2022</v>
      </c>
      <c r="C7600" t="s">
        <v>58</v>
      </c>
      <c r="D7600">
        <v>5.3028139182745297</v>
      </c>
      <c r="E7600" t="s">
        <v>98</v>
      </c>
    </row>
    <row r="7601" spans="1:5" x14ac:dyDescent="0.25">
      <c r="A7601" t="s">
        <v>10</v>
      </c>
      <c r="B7601">
        <v>2024</v>
      </c>
      <c r="C7601" t="s">
        <v>58</v>
      </c>
      <c r="D7601">
        <v>4.9172372203767001</v>
      </c>
      <c r="E7601" t="s">
        <v>98</v>
      </c>
    </row>
    <row r="7602" spans="1:5" x14ac:dyDescent="0.25">
      <c r="A7602" t="s">
        <v>10</v>
      </c>
      <c r="B7602">
        <v>2025</v>
      </c>
      <c r="C7602" t="s">
        <v>58</v>
      </c>
      <c r="D7602">
        <v>4.56316654961301</v>
      </c>
      <c r="E7602" t="s">
        <v>98</v>
      </c>
    </row>
    <row r="7603" spans="1:5" x14ac:dyDescent="0.25">
      <c r="A7603" t="s">
        <v>120</v>
      </c>
      <c r="B7603">
        <v>2013</v>
      </c>
      <c r="C7603" t="s">
        <v>58</v>
      </c>
      <c r="D7603">
        <v>4.66929819606049</v>
      </c>
      <c r="E7603" t="s">
        <v>98</v>
      </c>
    </row>
    <row r="7604" spans="1:5" x14ac:dyDescent="0.25">
      <c r="A7604" t="s">
        <v>120</v>
      </c>
      <c r="B7604">
        <v>2014</v>
      </c>
      <c r="C7604" t="s">
        <v>58</v>
      </c>
      <c r="D7604">
        <v>4.6854445872891803</v>
      </c>
      <c r="E7604" t="s">
        <v>98</v>
      </c>
    </row>
    <row r="7605" spans="1:5" x14ac:dyDescent="0.25">
      <c r="A7605" t="s">
        <v>120</v>
      </c>
      <c r="B7605">
        <v>2016</v>
      </c>
      <c r="C7605" t="s">
        <v>58</v>
      </c>
      <c r="D7605">
        <v>3.7357368689269399</v>
      </c>
      <c r="E7605" t="s">
        <v>98</v>
      </c>
    </row>
    <row r="7606" spans="1:5" x14ac:dyDescent="0.25">
      <c r="A7606" t="s">
        <v>120</v>
      </c>
      <c r="B7606">
        <v>2018</v>
      </c>
      <c r="C7606" t="s">
        <v>58</v>
      </c>
      <c r="D7606">
        <v>4.6889183659900402</v>
      </c>
      <c r="E7606" t="s">
        <v>98</v>
      </c>
    </row>
    <row r="7607" spans="1:5" x14ac:dyDescent="0.25">
      <c r="A7607" t="s">
        <v>120</v>
      </c>
      <c r="B7607">
        <v>2019</v>
      </c>
      <c r="C7607" t="s">
        <v>58</v>
      </c>
      <c r="D7607">
        <v>4.47150802977339</v>
      </c>
      <c r="E7607" t="s">
        <v>98</v>
      </c>
    </row>
    <row r="7608" spans="1:5" x14ac:dyDescent="0.25">
      <c r="A7608" t="s">
        <v>120</v>
      </c>
      <c r="B7608">
        <v>2020</v>
      </c>
      <c r="C7608" t="s">
        <v>58</v>
      </c>
      <c r="D7608">
        <v>3.8879675821458699</v>
      </c>
      <c r="E7608" t="s">
        <v>98</v>
      </c>
    </row>
    <row r="7609" spans="1:5" x14ac:dyDescent="0.25">
      <c r="A7609" t="s">
        <v>120</v>
      </c>
      <c r="B7609">
        <v>2021</v>
      </c>
      <c r="C7609" t="s">
        <v>58</v>
      </c>
      <c r="D7609">
        <v>4.4888566397544096</v>
      </c>
      <c r="E7609" t="s">
        <v>98</v>
      </c>
    </row>
    <row r="7610" spans="1:5" x14ac:dyDescent="0.25">
      <c r="A7610" t="s">
        <v>120</v>
      </c>
      <c r="B7610">
        <v>2022</v>
      </c>
      <c r="C7610" t="s">
        <v>58</v>
      </c>
      <c r="D7610">
        <v>4.4593365950046104</v>
      </c>
      <c r="E7610" t="s">
        <v>98</v>
      </c>
    </row>
    <row r="7611" spans="1:5" x14ac:dyDescent="0.25">
      <c r="A7611" t="s">
        <v>120</v>
      </c>
      <c r="B7611">
        <v>2023</v>
      </c>
      <c r="C7611" t="s">
        <v>58</v>
      </c>
      <c r="D7611">
        <v>4.8310702610315603</v>
      </c>
      <c r="E7611" t="s">
        <v>98</v>
      </c>
    </row>
    <row r="7612" spans="1:5" x14ac:dyDescent="0.25">
      <c r="A7612" t="s">
        <v>11</v>
      </c>
      <c r="B7612">
        <v>2010</v>
      </c>
      <c r="C7612" t="s">
        <v>58</v>
      </c>
      <c r="D7612">
        <v>3.6932213813030299</v>
      </c>
      <c r="E7612" t="s">
        <v>98</v>
      </c>
    </row>
    <row r="7613" spans="1:5" x14ac:dyDescent="0.25">
      <c r="A7613" t="s">
        <v>11</v>
      </c>
      <c r="B7613">
        <v>2011</v>
      </c>
      <c r="C7613" t="s">
        <v>58</v>
      </c>
      <c r="D7613">
        <v>4.5227388027088002</v>
      </c>
      <c r="E7613" t="s">
        <v>98</v>
      </c>
    </row>
    <row r="7614" spans="1:5" x14ac:dyDescent="0.25">
      <c r="A7614" t="s">
        <v>11</v>
      </c>
      <c r="B7614">
        <v>2012</v>
      </c>
      <c r="C7614" t="s">
        <v>58</v>
      </c>
      <c r="D7614">
        <v>4.9980537248017898</v>
      </c>
      <c r="E7614" t="s">
        <v>98</v>
      </c>
    </row>
    <row r="7615" spans="1:5" x14ac:dyDescent="0.25">
      <c r="A7615" t="s">
        <v>11</v>
      </c>
      <c r="B7615">
        <v>2013</v>
      </c>
      <c r="C7615" t="s">
        <v>58</v>
      </c>
      <c r="D7615">
        <v>5.1887744956944699</v>
      </c>
      <c r="E7615" t="s">
        <v>98</v>
      </c>
    </row>
    <row r="7616" spans="1:5" x14ac:dyDescent="0.25">
      <c r="A7616" t="s">
        <v>11</v>
      </c>
      <c r="B7616">
        <v>2014</v>
      </c>
      <c r="C7616" t="s">
        <v>58</v>
      </c>
      <c r="D7616">
        <v>4.5228710654083901</v>
      </c>
      <c r="E7616" t="s">
        <v>98</v>
      </c>
    </row>
    <row r="7617" spans="1:5" x14ac:dyDescent="0.25">
      <c r="A7617" t="s">
        <v>11</v>
      </c>
      <c r="B7617">
        <v>2015</v>
      </c>
      <c r="C7617" t="s">
        <v>58</v>
      </c>
      <c r="D7617">
        <v>4.4078334907105896</v>
      </c>
      <c r="E7617" t="s">
        <v>98</v>
      </c>
    </row>
    <row r="7618" spans="1:5" x14ac:dyDescent="0.25">
      <c r="A7618" t="s">
        <v>11</v>
      </c>
      <c r="B7618">
        <v>2016</v>
      </c>
      <c r="C7618" t="s">
        <v>58</v>
      </c>
      <c r="D7618">
        <v>5.3343165163711497</v>
      </c>
      <c r="E7618" t="s">
        <v>98</v>
      </c>
    </row>
    <row r="7619" spans="1:5" x14ac:dyDescent="0.25">
      <c r="A7619" t="s">
        <v>11</v>
      </c>
      <c r="B7619">
        <v>2017</v>
      </c>
      <c r="C7619" t="s">
        <v>58</v>
      </c>
      <c r="D7619">
        <v>5.0176195542590198</v>
      </c>
      <c r="E7619" t="s">
        <v>98</v>
      </c>
    </row>
    <row r="7620" spans="1:5" x14ac:dyDescent="0.25">
      <c r="A7620" t="s">
        <v>11</v>
      </c>
      <c r="B7620">
        <v>2018</v>
      </c>
      <c r="C7620" t="s">
        <v>58</v>
      </c>
      <c r="D7620">
        <v>6.0797160846930201</v>
      </c>
      <c r="E7620" t="s">
        <v>98</v>
      </c>
    </row>
    <row r="7621" spans="1:5" x14ac:dyDescent="0.25">
      <c r="A7621" t="s">
        <v>11</v>
      </c>
      <c r="B7621">
        <v>2019</v>
      </c>
      <c r="C7621" t="s">
        <v>58</v>
      </c>
      <c r="D7621">
        <v>5.5262567559195901</v>
      </c>
      <c r="E7621" t="s">
        <v>98</v>
      </c>
    </row>
    <row r="7622" spans="1:5" x14ac:dyDescent="0.25">
      <c r="A7622" t="s">
        <v>11</v>
      </c>
      <c r="B7622">
        <v>2020</v>
      </c>
      <c r="C7622" t="s">
        <v>58</v>
      </c>
      <c r="D7622">
        <v>4.5435130230539604</v>
      </c>
      <c r="E7622" t="s">
        <v>98</v>
      </c>
    </row>
    <row r="7623" spans="1:5" x14ac:dyDescent="0.25">
      <c r="A7623" t="s">
        <v>11</v>
      </c>
      <c r="B7623">
        <v>2021</v>
      </c>
      <c r="C7623" t="s">
        <v>58</v>
      </c>
      <c r="D7623">
        <v>5.0145196358811299</v>
      </c>
      <c r="E7623" t="s">
        <v>98</v>
      </c>
    </row>
    <row r="7624" spans="1:5" x14ac:dyDescent="0.25">
      <c r="A7624" t="s">
        <v>11</v>
      </c>
      <c r="B7624">
        <v>2022</v>
      </c>
      <c r="C7624" t="s">
        <v>58</v>
      </c>
      <c r="D7624">
        <v>5.1368367987732899</v>
      </c>
      <c r="E7624" t="s">
        <v>98</v>
      </c>
    </row>
    <row r="7625" spans="1:5" x14ac:dyDescent="0.25">
      <c r="A7625" t="s">
        <v>11</v>
      </c>
      <c r="B7625">
        <v>2023</v>
      </c>
      <c r="C7625" t="s">
        <v>58</v>
      </c>
      <c r="D7625">
        <v>5.5610977397730297</v>
      </c>
      <c r="E7625" t="s">
        <v>98</v>
      </c>
    </row>
    <row r="7626" spans="1:5" x14ac:dyDescent="0.25">
      <c r="A7626" t="s">
        <v>11</v>
      </c>
      <c r="B7626">
        <v>2024</v>
      </c>
      <c r="C7626" t="s">
        <v>58</v>
      </c>
      <c r="D7626">
        <v>5.2743081694235698</v>
      </c>
      <c r="E7626" t="s">
        <v>98</v>
      </c>
    </row>
    <row r="7627" spans="1:5" x14ac:dyDescent="0.25">
      <c r="A7627" t="s">
        <v>11</v>
      </c>
      <c r="B7627">
        <v>2025</v>
      </c>
      <c r="C7627" t="s">
        <v>58</v>
      </c>
      <c r="D7627">
        <v>5.2257596010867999</v>
      </c>
      <c r="E7627" t="s">
        <v>98</v>
      </c>
    </row>
    <row r="7628" spans="1:5" x14ac:dyDescent="0.25">
      <c r="A7628" t="s">
        <v>95</v>
      </c>
      <c r="B7628">
        <v>2003</v>
      </c>
      <c r="C7628" t="s">
        <v>58</v>
      </c>
      <c r="D7628">
        <v>2.3868159082489799</v>
      </c>
      <c r="E7628" t="s">
        <v>98</v>
      </c>
    </row>
    <row r="7629" spans="1:5" x14ac:dyDescent="0.25">
      <c r="A7629" t="s">
        <v>95</v>
      </c>
      <c r="B7629">
        <v>2004</v>
      </c>
      <c r="C7629" t="s">
        <v>58</v>
      </c>
      <c r="D7629">
        <v>2.5173859066290798</v>
      </c>
      <c r="E7629" t="s">
        <v>98</v>
      </c>
    </row>
    <row r="7630" spans="1:5" x14ac:dyDescent="0.25">
      <c r="A7630" t="s">
        <v>95</v>
      </c>
      <c r="B7630">
        <v>2005</v>
      </c>
      <c r="C7630" t="s">
        <v>58</v>
      </c>
      <c r="D7630">
        <v>2.7092205990082099</v>
      </c>
      <c r="E7630" t="s">
        <v>98</v>
      </c>
    </row>
    <row r="7631" spans="1:5" x14ac:dyDescent="0.25">
      <c r="A7631" t="s">
        <v>95</v>
      </c>
      <c r="B7631">
        <v>2006</v>
      </c>
      <c r="C7631" t="s">
        <v>58</v>
      </c>
      <c r="D7631">
        <v>2.9702502572430398</v>
      </c>
      <c r="E7631" t="s">
        <v>98</v>
      </c>
    </row>
    <row r="7632" spans="1:5" x14ac:dyDescent="0.25">
      <c r="A7632" t="s">
        <v>95</v>
      </c>
      <c r="B7632">
        <v>2007</v>
      </c>
      <c r="C7632" t="s">
        <v>58</v>
      </c>
      <c r="D7632">
        <v>3.3347115221119501</v>
      </c>
      <c r="E7632" t="s">
        <v>98</v>
      </c>
    </row>
    <row r="7633" spans="1:5" x14ac:dyDescent="0.25">
      <c r="A7633" t="s">
        <v>95</v>
      </c>
      <c r="B7633">
        <v>2008</v>
      </c>
      <c r="C7633" t="s">
        <v>58</v>
      </c>
      <c r="D7633">
        <v>4.1167847240995199</v>
      </c>
      <c r="E7633" t="s">
        <v>98</v>
      </c>
    </row>
    <row r="7634" spans="1:5" x14ac:dyDescent="0.25">
      <c r="A7634" t="s">
        <v>95</v>
      </c>
      <c r="B7634">
        <v>2009</v>
      </c>
      <c r="C7634" t="s">
        <v>58</v>
      </c>
      <c r="D7634">
        <v>3.8764781119748202</v>
      </c>
      <c r="E7634" t="s">
        <v>98</v>
      </c>
    </row>
    <row r="7635" spans="1:5" x14ac:dyDescent="0.25">
      <c r="A7635" t="s">
        <v>95</v>
      </c>
      <c r="B7635">
        <v>2010</v>
      </c>
      <c r="C7635" t="s">
        <v>58</v>
      </c>
      <c r="D7635">
        <v>3.8736470720374201</v>
      </c>
      <c r="E7635" t="s">
        <v>98</v>
      </c>
    </row>
    <row r="7636" spans="1:5" x14ac:dyDescent="0.25">
      <c r="A7636" t="s">
        <v>95</v>
      </c>
      <c r="B7636">
        <v>2011</v>
      </c>
      <c r="C7636" t="s">
        <v>58</v>
      </c>
      <c r="D7636">
        <v>4.3396244256105296</v>
      </c>
      <c r="E7636" t="s">
        <v>98</v>
      </c>
    </row>
    <row r="7637" spans="1:5" x14ac:dyDescent="0.25">
      <c r="A7637" t="s">
        <v>95</v>
      </c>
      <c r="B7637">
        <v>2012</v>
      </c>
      <c r="C7637" t="s">
        <v>58</v>
      </c>
      <c r="D7637">
        <v>5.33307525329512</v>
      </c>
      <c r="E7637" t="s">
        <v>98</v>
      </c>
    </row>
    <row r="7638" spans="1:5" x14ac:dyDescent="0.25">
      <c r="A7638" t="s">
        <v>95</v>
      </c>
      <c r="B7638">
        <v>2013</v>
      </c>
      <c r="C7638" t="s">
        <v>58</v>
      </c>
      <c r="D7638">
        <v>5.4294674085689598</v>
      </c>
      <c r="E7638" t="s">
        <v>98</v>
      </c>
    </row>
    <row r="7639" spans="1:5" x14ac:dyDescent="0.25">
      <c r="A7639" t="s">
        <v>95</v>
      </c>
      <c r="B7639">
        <v>2014</v>
      </c>
      <c r="C7639" t="s">
        <v>58</v>
      </c>
      <c r="D7639">
        <v>4.6027497047697903</v>
      </c>
      <c r="E7639" t="s">
        <v>98</v>
      </c>
    </row>
    <row r="7640" spans="1:5" x14ac:dyDescent="0.25">
      <c r="A7640" t="s">
        <v>95</v>
      </c>
      <c r="B7640">
        <v>2015</v>
      </c>
      <c r="C7640" t="s">
        <v>58</v>
      </c>
      <c r="D7640">
        <v>3.78675241854156</v>
      </c>
      <c r="E7640" t="s">
        <v>98</v>
      </c>
    </row>
    <row r="7641" spans="1:5" x14ac:dyDescent="0.25">
      <c r="A7641" t="s">
        <v>95</v>
      </c>
      <c r="B7641">
        <v>2016</v>
      </c>
      <c r="C7641" t="s">
        <v>58</v>
      </c>
      <c r="D7641">
        <v>3.66835758533208</v>
      </c>
      <c r="E7641" t="s">
        <v>98</v>
      </c>
    </row>
    <row r="7642" spans="1:5" x14ac:dyDescent="0.25">
      <c r="A7642" t="s">
        <v>95</v>
      </c>
      <c r="B7642">
        <v>2017</v>
      </c>
      <c r="C7642" t="s">
        <v>58</v>
      </c>
      <c r="D7642">
        <v>3.6884877852973199</v>
      </c>
      <c r="E7642" t="s">
        <v>98</v>
      </c>
    </row>
    <row r="7643" spans="1:5" x14ac:dyDescent="0.25">
      <c r="A7643" t="s">
        <v>95</v>
      </c>
      <c r="B7643">
        <v>2018</v>
      </c>
      <c r="C7643" t="s">
        <v>58</v>
      </c>
      <c r="D7643">
        <v>3.7577409951958902</v>
      </c>
      <c r="E7643" t="s">
        <v>98</v>
      </c>
    </row>
    <row r="7644" spans="1:5" x14ac:dyDescent="0.25">
      <c r="A7644" t="s">
        <v>95</v>
      </c>
      <c r="B7644">
        <v>2019</v>
      </c>
      <c r="C7644" t="s">
        <v>58</v>
      </c>
      <c r="D7644">
        <v>3.6157735112644098</v>
      </c>
      <c r="E7644" t="s">
        <v>98</v>
      </c>
    </row>
    <row r="7645" spans="1:5" x14ac:dyDescent="0.25">
      <c r="A7645" t="s">
        <v>95</v>
      </c>
      <c r="B7645">
        <v>2020</v>
      </c>
      <c r="C7645" t="s">
        <v>58</v>
      </c>
      <c r="D7645">
        <v>3.36623372061938</v>
      </c>
      <c r="E7645" t="s">
        <v>98</v>
      </c>
    </row>
    <row r="7646" spans="1:5" x14ac:dyDescent="0.25">
      <c r="A7646" t="s">
        <v>95</v>
      </c>
      <c r="B7646">
        <v>2021</v>
      </c>
      <c r="C7646" t="s">
        <v>58</v>
      </c>
      <c r="D7646">
        <v>3.54352610645096</v>
      </c>
      <c r="E7646" t="s">
        <v>98</v>
      </c>
    </row>
    <row r="7647" spans="1:5" x14ac:dyDescent="0.25">
      <c r="A7647" t="s">
        <v>95</v>
      </c>
      <c r="B7647">
        <v>2022</v>
      </c>
      <c r="C7647" t="s">
        <v>58</v>
      </c>
      <c r="D7647">
        <v>3.9591961641565998</v>
      </c>
      <c r="E7647" t="s">
        <v>98</v>
      </c>
    </row>
    <row r="7648" spans="1:5" x14ac:dyDescent="0.25">
      <c r="A7648" t="s">
        <v>95</v>
      </c>
      <c r="B7648">
        <v>2023</v>
      </c>
      <c r="C7648" t="s">
        <v>58</v>
      </c>
      <c r="D7648">
        <v>4.2038466296325998</v>
      </c>
      <c r="E7648" t="s">
        <v>98</v>
      </c>
    </row>
    <row r="7649" spans="1:5" x14ac:dyDescent="0.25">
      <c r="A7649" t="s">
        <v>95</v>
      </c>
      <c r="B7649">
        <v>2024</v>
      </c>
      <c r="C7649" t="s">
        <v>58</v>
      </c>
      <c r="D7649">
        <v>4.0560158053609303</v>
      </c>
      <c r="E7649" t="s">
        <v>98</v>
      </c>
    </row>
    <row r="7650" spans="1:5" x14ac:dyDescent="0.25">
      <c r="A7650" t="s">
        <v>95</v>
      </c>
      <c r="B7650">
        <v>2025</v>
      </c>
      <c r="C7650" t="s">
        <v>58</v>
      </c>
      <c r="D7650">
        <v>3.9455467007425198</v>
      </c>
      <c r="E7650" t="s">
        <v>98</v>
      </c>
    </row>
    <row r="7651" spans="1:5" x14ac:dyDescent="0.25">
      <c r="A7651" t="s">
        <v>12</v>
      </c>
      <c r="B7651">
        <v>2010</v>
      </c>
      <c r="C7651" t="s">
        <v>58</v>
      </c>
      <c r="D7651">
        <v>2.8091096337194998</v>
      </c>
      <c r="E7651" t="s">
        <v>98</v>
      </c>
    </row>
    <row r="7652" spans="1:5" x14ac:dyDescent="0.25">
      <c r="A7652" t="s">
        <v>12</v>
      </c>
      <c r="B7652">
        <v>2011</v>
      </c>
      <c r="C7652" t="s">
        <v>58</v>
      </c>
      <c r="D7652">
        <v>3.7367100538735198</v>
      </c>
      <c r="E7652" t="s">
        <v>98</v>
      </c>
    </row>
    <row r="7653" spans="1:5" x14ac:dyDescent="0.25">
      <c r="A7653" t="s">
        <v>12</v>
      </c>
      <c r="B7653">
        <v>2012</v>
      </c>
      <c r="C7653" t="s">
        <v>58</v>
      </c>
      <c r="D7653">
        <v>4.9597837153658197</v>
      </c>
      <c r="E7653" t="s">
        <v>98</v>
      </c>
    </row>
    <row r="7654" spans="1:5" x14ac:dyDescent="0.25">
      <c r="A7654" t="s">
        <v>12</v>
      </c>
      <c r="B7654">
        <v>2015</v>
      </c>
      <c r="C7654" t="s">
        <v>58</v>
      </c>
      <c r="D7654">
        <v>3.4336885571893001</v>
      </c>
      <c r="E7654" t="s">
        <v>98</v>
      </c>
    </row>
    <row r="7655" spans="1:5" x14ac:dyDescent="0.25">
      <c r="A7655" t="s">
        <v>12</v>
      </c>
      <c r="B7655">
        <v>2016</v>
      </c>
      <c r="C7655" t="s">
        <v>58</v>
      </c>
      <c r="D7655">
        <v>3.80679702469198</v>
      </c>
      <c r="E7655" t="s">
        <v>98</v>
      </c>
    </row>
    <row r="7656" spans="1:5" x14ac:dyDescent="0.25">
      <c r="A7656" t="s">
        <v>12</v>
      </c>
      <c r="B7656">
        <v>2017</v>
      </c>
      <c r="C7656" t="s">
        <v>58</v>
      </c>
      <c r="D7656">
        <v>4.5182396426984104</v>
      </c>
      <c r="E7656" t="s">
        <v>98</v>
      </c>
    </row>
    <row r="7657" spans="1:5" x14ac:dyDescent="0.25">
      <c r="A7657" t="s">
        <v>12</v>
      </c>
      <c r="B7657">
        <v>2018</v>
      </c>
      <c r="C7657" t="s">
        <v>58</v>
      </c>
      <c r="D7657">
        <v>4.7600337686854202</v>
      </c>
      <c r="E7657" t="s">
        <v>98</v>
      </c>
    </row>
    <row r="7658" spans="1:5" x14ac:dyDescent="0.25">
      <c r="A7658" t="s">
        <v>12</v>
      </c>
      <c r="B7658">
        <v>2019</v>
      </c>
      <c r="C7658" t="s">
        <v>58</v>
      </c>
      <c r="D7658">
        <v>4.3714933380863004</v>
      </c>
      <c r="E7658" t="s">
        <v>98</v>
      </c>
    </row>
    <row r="7659" spans="1:5" x14ac:dyDescent="0.25">
      <c r="A7659" t="s">
        <v>12</v>
      </c>
      <c r="B7659">
        <v>2020</v>
      </c>
      <c r="C7659" t="s">
        <v>58</v>
      </c>
      <c r="D7659">
        <v>4.4657090911230499</v>
      </c>
      <c r="E7659" t="s">
        <v>98</v>
      </c>
    </row>
    <row r="7660" spans="1:5" x14ac:dyDescent="0.25">
      <c r="A7660" t="s">
        <v>12</v>
      </c>
      <c r="B7660">
        <v>2021</v>
      </c>
      <c r="C7660" t="s">
        <v>58</v>
      </c>
      <c r="D7660">
        <v>4.55324770682427</v>
      </c>
      <c r="E7660" t="s">
        <v>98</v>
      </c>
    </row>
    <row r="7661" spans="1:5" x14ac:dyDescent="0.25">
      <c r="A7661" t="s">
        <v>12</v>
      </c>
      <c r="B7661">
        <v>2022</v>
      </c>
      <c r="C7661" t="s">
        <v>58</v>
      </c>
      <c r="D7661">
        <v>4.7709766129722997</v>
      </c>
      <c r="E7661" t="s">
        <v>98</v>
      </c>
    </row>
    <row r="7662" spans="1:5" x14ac:dyDescent="0.25">
      <c r="A7662" t="s">
        <v>12</v>
      </c>
      <c r="B7662">
        <v>2023</v>
      </c>
      <c r="C7662" t="s">
        <v>58</v>
      </c>
      <c r="D7662">
        <v>5.0155845097491101</v>
      </c>
      <c r="E7662" t="s">
        <v>98</v>
      </c>
    </row>
    <row r="7663" spans="1:5" x14ac:dyDescent="0.25">
      <c r="A7663" t="s">
        <v>12</v>
      </c>
      <c r="B7663">
        <v>2024</v>
      </c>
      <c r="C7663" t="s">
        <v>58</v>
      </c>
      <c r="D7663">
        <v>5.2579108865904898</v>
      </c>
      <c r="E7663" t="s">
        <v>98</v>
      </c>
    </row>
    <row r="7664" spans="1:5" x14ac:dyDescent="0.25">
      <c r="A7664" t="s">
        <v>12</v>
      </c>
      <c r="B7664">
        <v>2025</v>
      </c>
      <c r="C7664" t="s">
        <v>58</v>
      </c>
      <c r="D7664">
        <v>4.5232633142877496</v>
      </c>
      <c r="E7664" t="s">
        <v>98</v>
      </c>
    </row>
    <row r="7665" spans="1:5" x14ac:dyDescent="0.25">
      <c r="A7665" t="s">
        <v>13</v>
      </c>
      <c r="B7665">
        <v>2010</v>
      </c>
      <c r="C7665" t="s">
        <v>58</v>
      </c>
      <c r="D7665">
        <v>3.87524108257624</v>
      </c>
      <c r="E7665" t="s">
        <v>98</v>
      </c>
    </row>
    <row r="7666" spans="1:5" x14ac:dyDescent="0.25">
      <c r="A7666" t="s">
        <v>13</v>
      </c>
      <c r="B7666">
        <v>2014</v>
      </c>
      <c r="C7666" t="s">
        <v>58</v>
      </c>
      <c r="D7666">
        <v>5.1187658522387496</v>
      </c>
      <c r="E7666" t="s">
        <v>98</v>
      </c>
    </row>
    <row r="7667" spans="1:5" x14ac:dyDescent="0.25">
      <c r="A7667" t="s">
        <v>13</v>
      </c>
      <c r="B7667">
        <v>2015</v>
      </c>
      <c r="C7667" t="s">
        <v>58</v>
      </c>
      <c r="D7667">
        <v>5.4908063971747296</v>
      </c>
      <c r="E7667" t="s">
        <v>98</v>
      </c>
    </row>
    <row r="7668" spans="1:5" x14ac:dyDescent="0.25">
      <c r="A7668" t="s">
        <v>13</v>
      </c>
      <c r="B7668">
        <v>2016</v>
      </c>
      <c r="C7668" t="s">
        <v>58</v>
      </c>
      <c r="D7668">
        <v>4.3727451009887899</v>
      </c>
      <c r="E7668" t="s">
        <v>98</v>
      </c>
    </row>
    <row r="7669" spans="1:5" x14ac:dyDescent="0.25">
      <c r="A7669" t="s">
        <v>13</v>
      </c>
      <c r="B7669">
        <v>2017</v>
      </c>
      <c r="C7669" t="s">
        <v>58</v>
      </c>
      <c r="D7669">
        <v>4.7175389466915698</v>
      </c>
      <c r="E7669" t="s">
        <v>98</v>
      </c>
    </row>
    <row r="7670" spans="1:5" x14ac:dyDescent="0.25">
      <c r="A7670" t="s">
        <v>13</v>
      </c>
      <c r="B7670">
        <v>2018</v>
      </c>
      <c r="C7670" t="s">
        <v>58</v>
      </c>
      <c r="D7670">
        <v>4.9044959848500698</v>
      </c>
      <c r="E7670" t="s">
        <v>98</v>
      </c>
    </row>
    <row r="7671" spans="1:5" x14ac:dyDescent="0.25">
      <c r="A7671" t="s">
        <v>13</v>
      </c>
      <c r="B7671">
        <v>2019</v>
      </c>
      <c r="C7671" t="s">
        <v>58</v>
      </c>
      <c r="D7671">
        <v>4.6661600851783298</v>
      </c>
      <c r="E7671" t="s">
        <v>98</v>
      </c>
    </row>
    <row r="7672" spans="1:5" x14ac:dyDescent="0.25">
      <c r="A7672" t="s">
        <v>13</v>
      </c>
      <c r="B7672">
        <v>2020</v>
      </c>
      <c r="C7672" t="s">
        <v>58</v>
      </c>
      <c r="D7672">
        <v>4.2526506102969899</v>
      </c>
      <c r="E7672" t="s">
        <v>98</v>
      </c>
    </row>
    <row r="7673" spans="1:5" x14ac:dyDescent="0.25">
      <c r="A7673" t="s">
        <v>13</v>
      </c>
      <c r="B7673">
        <v>2021</v>
      </c>
      <c r="C7673" t="s">
        <v>58</v>
      </c>
      <c r="D7673">
        <v>4.24385469459639</v>
      </c>
      <c r="E7673" t="s">
        <v>98</v>
      </c>
    </row>
    <row r="7674" spans="1:5" x14ac:dyDescent="0.25">
      <c r="A7674" t="s">
        <v>13</v>
      </c>
      <c r="B7674">
        <v>2022</v>
      </c>
      <c r="C7674" t="s">
        <v>58</v>
      </c>
      <c r="D7674">
        <v>4.8651809598459099</v>
      </c>
      <c r="E7674" t="s">
        <v>98</v>
      </c>
    </row>
    <row r="7675" spans="1:5" x14ac:dyDescent="0.25">
      <c r="A7675" t="s">
        <v>13</v>
      </c>
      <c r="B7675">
        <v>2023</v>
      </c>
      <c r="C7675" t="s">
        <v>58</v>
      </c>
      <c r="D7675">
        <v>5.0312203603096304</v>
      </c>
      <c r="E7675" t="s">
        <v>98</v>
      </c>
    </row>
    <row r="7676" spans="1:5" x14ac:dyDescent="0.25">
      <c r="A7676" t="s">
        <v>13</v>
      </c>
      <c r="B7676">
        <v>2024</v>
      </c>
      <c r="C7676" t="s">
        <v>58</v>
      </c>
      <c r="D7676">
        <v>5.3618444836564496</v>
      </c>
      <c r="E7676" t="s">
        <v>98</v>
      </c>
    </row>
    <row r="7677" spans="1:5" x14ac:dyDescent="0.25">
      <c r="A7677" t="s">
        <v>13</v>
      </c>
      <c r="B7677">
        <v>2025</v>
      </c>
      <c r="C7677" t="s">
        <v>58</v>
      </c>
      <c r="D7677">
        <v>4.7681378935591701</v>
      </c>
      <c r="E7677" t="s">
        <v>98</v>
      </c>
    </row>
    <row r="7678" spans="1:5" x14ac:dyDescent="0.25">
      <c r="A7678" t="s">
        <v>94</v>
      </c>
      <c r="B7678">
        <v>2018</v>
      </c>
      <c r="C7678" t="s">
        <v>58</v>
      </c>
      <c r="D7678">
        <v>4.9417062350825098</v>
      </c>
      <c r="E7678" t="s">
        <v>98</v>
      </c>
    </row>
    <row r="7679" spans="1:5" x14ac:dyDescent="0.25">
      <c r="A7679" t="s">
        <v>94</v>
      </c>
      <c r="B7679">
        <v>2020</v>
      </c>
      <c r="C7679" t="s">
        <v>58</v>
      </c>
      <c r="D7679">
        <v>4.4731620506380096</v>
      </c>
      <c r="E7679" t="s">
        <v>98</v>
      </c>
    </row>
    <row r="7680" spans="1:5" x14ac:dyDescent="0.25">
      <c r="A7680" t="s">
        <v>14</v>
      </c>
      <c r="B7680">
        <v>2010</v>
      </c>
      <c r="C7680" t="s">
        <v>58</v>
      </c>
      <c r="D7680">
        <v>3.7378083832867799</v>
      </c>
      <c r="E7680" t="s">
        <v>98</v>
      </c>
    </row>
    <row r="7681" spans="1:5" x14ac:dyDescent="0.25">
      <c r="A7681" t="s">
        <v>14</v>
      </c>
      <c r="B7681">
        <v>2011</v>
      </c>
      <c r="C7681" t="s">
        <v>58</v>
      </c>
      <c r="D7681">
        <v>4.5516040665075197</v>
      </c>
      <c r="E7681" t="s">
        <v>98</v>
      </c>
    </row>
    <row r="7682" spans="1:5" x14ac:dyDescent="0.25">
      <c r="A7682" t="s">
        <v>14</v>
      </c>
      <c r="B7682">
        <v>2012</v>
      </c>
      <c r="C7682" t="s">
        <v>58</v>
      </c>
      <c r="D7682">
        <v>7.6916529034001799</v>
      </c>
      <c r="E7682" t="s">
        <v>98</v>
      </c>
    </row>
    <row r="7683" spans="1:5" x14ac:dyDescent="0.25">
      <c r="A7683" t="s">
        <v>14</v>
      </c>
      <c r="B7683">
        <v>2013</v>
      </c>
      <c r="C7683" t="s">
        <v>58</v>
      </c>
      <c r="D7683">
        <v>6.0261673855418998</v>
      </c>
      <c r="E7683" t="s">
        <v>98</v>
      </c>
    </row>
    <row r="7684" spans="1:5" x14ac:dyDescent="0.25">
      <c r="A7684" t="s">
        <v>14</v>
      </c>
      <c r="B7684">
        <v>2014</v>
      </c>
      <c r="C7684" t="s">
        <v>58</v>
      </c>
      <c r="D7684">
        <v>5.3900690263281996</v>
      </c>
      <c r="E7684" t="s">
        <v>98</v>
      </c>
    </row>
    <row r="7685" spans="1:5" x14ac:dyDescent="0.25">
      <c r="A7685" t="s">
        <v>14</v>
      </c>
      <c r="B7685">
        <v>2015</v>
      </c>
      <c r="C7685" t="s">
        <v>58</v>
      </c>
      <c r="D7685">
        <v>0.13864718157036399</v>
      </c>
      <c r="E7685" t="s">
        <v>98</v>
      </c>
    </row>
    <row r="7686" spans="1:5" x14ac:dyDescent="0.25">
      <c r="A7686" t="s">
        <v>14</v>
      </c>
      <c r="B7686">
        <v>2016</v>
      </c>
      <c r="C7686" t="s">
        <v>58</v>
      </c>
      <c r="D7686">
        <v>4.6254307669375496</v>
      </c>
      <c r="E7686" t="s">
        <v>98</v>
      </c>
    </row>
    <row r="7687" spans="1:5" x14ac:dyDescent="0.25">
      <c r="A7687" t="s">
        <v>14</v>
      </c>
      <c r="B7687">
        <v>2017</v>
      </c>
      <c r="C7687" t="s">
        <v>58</v>
      </c>
      <c r="D7687">
        <v>5.30223084829636</v>
      </c>
      <c r="E7687" t="s">
        <v>98</v>
      </c>
    </row>
    <row r="7688" spans="1:5" x14ac:dyDescent="0.25">
      <c r="A7688" t="s">
        <v>14</v>
      </c>
      <c r="B7688">
        <v>2018</v>
      </c>
      <c r="C7688" t="s">
        <v>58</v>
      </c>
      <c r="D7688">
        <v>5.9844020508096998</v>
      </c>
      <c r="E7688" t="s">
        <v>98</v>
      </c>
    </row>
    <row r="7689" spans="1:5" x14ac:dyDescent="0.25">
      <c r="A7689" t="s">
        <v>14</v>
      </c>
      <c r="B7689">
        <v>2019</v>
      </c>
      <c r="C7689" t="s">
        <v>58</v>
      </c>
      <c r="D7689">
        <v>5.7799214565429304</v>
      </c>
      <c r="E7689" t="s">
        <v>98</v>
      </c>
    </row>
    <row r="7690" spans="1:5" x14ac:dyDescent="0.25">
      <c r="A7690" t="s">
        <v>14</v>
      </c>
      <c r="B7690">
        <v>2020</v>
      </c>
      <c r="C7690" t="s">
        <v>58</v>
      </c>
      <c r="D7690">
        <v>5.8717248729326696</v>
      </c>
      <c r="E7690" t="s">
        <v>98</v>
      </c>
    </row>
    <row r="7691" spans="1:5" x14ac:dyDescent="0.25">
      <c r="A7691" t="s">
        <v>14</v>
      </c>
      <c r="B7691">
        <v>2021</v>
      </c>
      <c r="C7691" t="s">
        <v>58</v>
      </c>
      <c r="D7691">
        <v>6.1819185109167298</v>
      </c>
      <c r="E7691" t="s">
        <v>98</v>
      </c>
    </row>
    <row r="7692" spans="1:5" x14ac:dyDescent="0.25">
      <c r="A7692" t="s">
        <v>14</v>
      </c>
      <c r="B7692">
        <v>2022</v>
      </c>
      <c r="C7692" t="s">
        <v>58</v>
      </c>
      <c r="D7692">
        <v>5.8937764599039202</v>
      </c>
      <c r="E7692" t="s">
        <v>98</v>
      </c>
    </row>
    <row r="7693" spans="1:5" x14ac:dyDescent="0.25">
      <c r="A7693" t="s">
        <v>14</v>
      </c>
      <c r="B7693">
        <v>2023</v>
      </c>
      <c r="C7693" t="s">
        <v>58</v>
      </c>
      <c r="D7693">
        <v>7.0053842655512097</v>
      </c>
      <c r="E7693" t="s">
        <v>98</v>
      </c>
    </row>
    <row r="7694" spans="1:5" x14ac:dyDescent="0.25">
      <c r="A7694" t="s">
        <v>14</v>
      </c>
      <c r="B7694">
        <v>2024</v>
      </c>
      <c r="C7694" t="s">
        <v>58</v>
      </c>
      <c r="D7694">
        <v>6.9854305807609496</v>
      </c>
      <c r="E7694" t="s">
        <v>98</v>
      </c>
    </row>
    <row r="7695" spans="1:5" x14ac:dyDescent="0.25">
      <c r="A7695" t="s">
        <v>14</v>
      </c>
      <c r="B7695">
        <v>2025</v>
      </c>
      <c r="C7695" t="s">
        <v>58</v>
      </c>
      <c r="D7695">
        <v>6.8665082766429002</v>
      </c>
      <c r="E7695" t="s">
        <v>98</v>
      </c>
    </row>
    <row r="7696" spans="1:5" x14ac:dyDescent="0.25">
      <c r="A7696" t="s">
        <v>119</v>
      </c>
      <c r="B7696">
        <v>2010</v>
      </c>
      <c r="C7696" t="s">
        <v>58</v>
      </c>
      <c r="D7696">
        <v>4.8118770571577203</v>
      </c>
      <c r="E7696" t="s">
        <v>98</v>
      </c>
    </row>
    <row r="7697" spans="1:5" x14ac:dyDescent="0.25">
      <c r="A7697" t="s">
        <v>119</v>
      </c>
      <c r="B7697">
        <v>2011</v>
      </c>
      <c r="C7697" t="s">
        <v>58</v>
      </c>
      <c r="D7697">
        <v>5.3429535580286203</v>
      </c>
      <c r="E7697" t="s">
        <v>98</v>
      </c>
    </row>
    <row r="7698" spans="1:5" x14ac:dyDescent="0.25">
      <c r="A7698" t="s">
        <v>119</v>
      </c>
      <c r="B7698">
        <v>2012</v>
      </c>
      <c r="C7698" t="s">
        <v>58</v>
      </c>
      <c r="D7698">
        <v>5.7400555996639397</v>
      </c>
      <c r="E7698" t="s">
        <v>98</v>
      </c>
    </row>
    <row r="7699" spans="1:5" x14ac:dyDescent="0.25">
      <c r="A7699" t="s">
        <v>119</v>
      </c>
      <c r="B7699">
        <v>2013</v>
      </c>
      <c r="C7699" t="s">
        <v>58</v>
      </c>
      <c r="D7699">
        <v>5.7320808332907003</v>
      </c>
      <c r="E7699" t="s">
        <v>98</v>
      </c>
    </row>
    <row r="7700" spans="1:5" x14ac:dyDescent="0.25">
      <c r="A7700" t="s">
        <v>119</v>
      </c>
      <c r="B7700">
        <v>2014</v>
      </c>
      <c r="C7700" t="s">
        <v>58</v>
      </c>
      <c r="D7700">
        <v>5.3658645057042502</v>
      </c>
      <c r="E7700" t="s">
        <v>98</v>
      </c>
    </row>
    <row r="7701" spans="1:5" x14ac:dyDescent="0.25">
      <c r="A7701" t="s">
        <v>119</v>
      </c>
      <c r="B7701">
        <v>2015</v>
      </c>
      <c r="C7701" t="s">
        <v>58</v>
      </c>
      <c r="D7701">
        <v>4.3001882853766498</v>
      </c>
      <c r="E7701" t="s">
        <v>98</v>
      </c>
    </row>
    <row r="7702" spans="1:5" x14ac:dyDescent="0.25">
      <c r="A7702" t="s">
        <v>119</v>
      </c>
      <c r="B7702">
        <v>2016</v>
      </c>
      <c r="C7702" t="s">
        <v>58</v>
      </c>
      <c r="D7702">
        <v>4.6491958868818104</v>
      </c>
      <c r="E7702" t="s">
        <v>98</v>
      </c>
    </row>
    <row r="7703" spans="1:5" x14ac:dyDescent="0.25">
      <c r="A7703" t="s">
        <v>119</v>
      </c>
      <c r="B7703">
        <v>2017</v>
      </c>
      <c r="C7703" t="s">
        <v>58</v>
      </c>
      <c r="D7703">
        <v>5.12183367569894</v>
      </c>
      <c r="E7703" t="s">
        <v>98</v>
      </c>
    </row>
    <row r="7704" spans="1:5" x14ac:dyDescent="0.25">
      <c r="A7704" t="s">
        <v>119</v>
      </c>
      <c r="B7704">
        <v>2018</v>
      </c>
      <c r="C7704" t="s">
        <v>58</v>
      </c>
      <c r="D7704">
        <v>5.59124030474704</v>
      </c>
      <c r="E7704" t="s">
        <v>98</v>
      </c>
    </row>
    <row r="7705" spans="1:5" x14ac:dyDescent="0.25">
      <c r="A7705" t="s">
        <v>119</v>
      </c>
      <c r="B7705">
        <v>2019</v>
      </c>
      <c r="C7705" t="s">
        <v>58</v>
      </c>
      <c r="D7705">
        <v>5.1732720120645102</v>
      </c>
      <c r="E7705" t="s">
        <v>98</v>
      </c>
    </row>
    <row r="7706" spans="1:5" x14ac:dyDescent="0.25">
      <c r="A7706" t="s">
        <v>119</v>
      </c>
      <c r="B7706">
        <v>2020</v>
      </c>
      <c r="C7706" t="s">
        <v>58</v>
      </c>
      <c r="D7706">
        <v>4.9134311854156296</v>
      </c>
      <c r="E7706" t="s">
        <v>98</v>
      </c>
    </row>
    <row r="7707" spans="1:5" x14ac:dyDescent="0.25">
      <c r="A7707" t="s">
        <v>119</v>
      </c>
      <c r="B7707">
        <v>2021</v>
      </c>
      <c r="C7707" t="s">
        <v>58</v>
      </c>
      <c r="D7707">
        <v>5.5028269834087498</v>
      </c>
      <c r="E7707" t="s">
        <v>98</v>
      </c>
    </row>
    <row r="7708" spans="1:5" x14ac:dyDescent="0.25">
      <c r="A7708" t="s">
        <v>119</v>
      </c>
      <c r="B7708">
        <v>2022</v>
      </c>
      <c r="C7708" t="s">
        <v>58</v>
      </c>
      <c r="D7708">
        <v>5.2886792404845098</v>
      </c>
      <c r="E7708" t="s">
        <v>98</v>
      </c>
    </row>
    <row r="7709" spans="1:5" x14ac:dyDescent="0.25">
      <c r="A7709" t="s">
        <v>119</v>
      </c>
      <c r="B7709">
        <v>2023</v>
      </c>
      <c r="C7709" t="s">
        <v>58</v>
      </c>
      <c r="D7709">
        <v>6.1305802555929096</v>
      </c>
      <c r="E7709" t="s">
        <v>98</v>
      </c>
    </row>
    <row r="7710" spans="1:5" x14ac:dyDescent="0.25">
      <c r="A7710" t="s">
        <v>119</v>
      </c>
      <c r="B7710">
        <v>2024</v>
      </c>
      <c r="C7710" t="s">
        <v>58</v>
      </c>
      <c r="D7710">
        <v>6.3294556294533901</v>
      </c>
      <c r="E7710" t="s">
        <v>98</v>
      </c>
    </row>
    <row r="7711" spans="1:5" x14ac:dyDescent="0.25">
      <c r="A7711" t="s">
        <v>15</v>
      </c>
      <c r="B7711">
        <v>2010</v>
      </c>
      <c r="C7711" t="s">
        <v>58</v>
      </c>
      <c r="D7711">
        <v>7.4475884449283196</v>
      </c>
      <c r="E7711" t="s">
        <v>98</v>
      </c>
    </row>
    <row r="7712" spans="1:5" x14ac:dyDescent="0.25">
      <c r="A7712" t="s">
        <v>15</v>
      </c>
      <c r="B7712">
        <v>2011</v>
      </c>
      <c r="C7712" t="s">
        <v>58</v>
      </c>
      <c r="D7712">
        <v>6.8508459186189903</v>
      </c>
      <c r="E7712" t="s">
        <v>98</v>
      </c>
    </row>
    <row r="7713" spans="1:5" x14ac:dyDescent="0.25">
      <c r="A7713" t="s">
        <v>15</v>
      </c>
      <c r="B7713">
        <v>2012</v>
      </c>
      <c r="C7713" t="s">
        <v>58</v>
      </c>
      <c r="D7713">
        <v>8.5219607220900695</v>
      </c>
      <c r="E7713" t="s">
        <v>98</v>
      </c>
    </row>
    <row r="7714" spans="1:5" x14ac:dyDescent="0.25">
      <c r="A7714" t="s">
        <v>15</v>
      </c>
      <c r="B7714">
        <v>2013</v>
      </c>
      <c r="C7714" t="s">
        <v>58</v>
      </c>
      <c r="D7714">
        <v>6.7814711827357597</v>
      </c>
      <c r="E7714" t="s">
        <v>98</v>
      </c>
    </row>
    <row r="7715" spans="1:5" x14ac:dyDescent="0.25">
      <c r="A7715" t="s">
        <v>15</v>
      </c>
      <c r="B7715">
        <v>2014</v>
      </c>
      <c r="C7715" t="s">
        <v>58</v>
      </c>
      <c r="D7715">
        <v>5.4255771923116702</v>
      </c>
      <c r="E7715" t="s">
        <v>98</v>
      </c>
    </row>
    <row r="7716" spans="1:5" x14ac:dyDescent="0.25">
      <c r="A7716" t="s">
        <v>15</v>
      </c>
      <c r="B7716">
        <v>2015</v>
      </c>
      <c r="C7716" t="s">
        <v>58</v>
      </c>
      <c r="D7716">
        <v>4.8930351695366996</v>
      </c>
      <c r="E7716" t="s">
        <v>98</v>
      </c>
    </row>
    <row r="7717" spans="1:5" x14ac:dyDescent="0.25">
      <c r="A7717" t="s">
        <v>15</v>
      </c>
      <c r="B7717">
        <v>2016</v>
      </c>
      <c r="C7717" t="s">
        <v>58</v>
      </c>
      <c r="D7717">
        <v>5.1199196341482596</v>
      </c>
      <c r="E7717" t="s">
        <v>98</v>
      </c>
    </row>
    <row r="7718" spans="1:5" x14ac:dyDescent="0.25">
      <c r="A7718" t="s">
        <v>15</v>
      </c>
      <c r="B7718">
        <v>2017</v>
      </c>
      <c r="C7718" t="s">
        <v>58</v>
      </c>
      <c r="D7718">
        <v>5.6235674564549196</v>
      </c>
      <c r="E7718" t="s">
        <v>98</v>
      </c>
    </row>
    <row r="7719" spans="1:5" x14ac:dyDescent="0.25">
      <c r="A7719" t="s">
        <v>15</v>
      </c>
      <c r="B7719">
        <v>2018</v>
      </c>
      <c r="C7719" t="s">
        <v>58</v>
      </c>
      <c r="D7719">
        <v>5.9351230322582396</v>
      </c>
      <c r="E7719" t="s">
        <v>98</v>
      </c>
    </row>
    <row r="7720" spans="1:5" x14ac:dyDescent="0.25">
      <c r="A7720" t="s">
        <v>15</v>
      </c>
      <c r="B7720">
        <v>2019</v>
      </c>
      <c r="C7720" t="s">
        <v>58</v>
      </c>
      <c r="D7720">
        <v>5.5759938791423496</v>
      </c>
      <c r="E7720" t="s">
        <v>98</v>
      </c>
    </row>
    <row r="7721" spans="1:5" x14ac:dyDescent="0.25">
      <c r="A7721" t="s">
        <v>15</v>
      </c>
      <c r="B7721">
        <v>2020</v>
      </c>
      <c r="C7721" t="s">
        <v>58</v>
      </c>
      <c r="D7721">
        <v>5.4280224260178498</v>
      </c>
      <c r="E7721" t="s">
        <v>98</v>
      </c>
    </row>
    <row r="7722" spans="1:5" x14ac:dyDescent="0.25">
      <c r="A7722" t="s">
        <v>15</v>
      </c>
      <c r="B7722">
        <v>2021</v>
      </c>
      <c r="C7722" t="s">
        <v>58</v>
      </c>
      <c r="D7722">
        <v>5.8902505805954899</v>
      </c>
      <c r="E7722" t="s">
        <v>98</v>
      </c>
    </row>
    <row r="7723" spans="1:5" x14ac:dyDescent="0.25">
      <c r="A7723" t="s">
        <v>15</v>
      </c>
      <c r="B7723">
        <v>2022</v>
      </c>
      <c r="C7723" t="s">
        <v>58</v>
      </c>
      <c r="D7723">
        <v>5.8375192079200797</v>
      </c>
      <c r="E7723" t="s">
        <v>98</v>
      </c>
    </row>
    <row r="7724" spans="1:5" x14ac:dyDescent="0.25">
      <c r="A7724" t="s">
        <v>15</v>
      </c>
      <c r="B7724">
        <v>2023</v>
      </c>
      <c r="C7724" t="s">
        <v>58</v>
      </c>
      <c r="D7724">
        <v>6.4984647932541204</v>
      </c>
      <c r="E7724" t="s">
        <v>98</v>
      </c>
    </row>
    <row r="7725" spans="1:5" x14ac:dyDescent="0.25">
      <c r="A7725" t="s">
        <v>15</v>
      </c>
      <c r="B7725">
        <v>2024</v>
      </c>
      <c r="C7725" t="s">
        <v>58</v>
      </c>
      <c r="D7725">
        <v>6.3027085729137804</v>
      </c>
      <c r="E7725" t="s">
        <v>98</v>
      </c>
    </row>
    <row r="7726" spans="1:5" x14ac:dyDescent="0.25">
      <c r="A7726" t="s">
        <v>15</v>
      </c>
      <c r="B7726">
        <v>2025</v>
      </c>
      <c r="C7726" t="s">
        <v>58</v>
      </c>
      <c r="D7726">
        <v>6.3893427018228799</v>
      </c>
      <c r="E7726" t="s">
        <v>98</v>
      </c>
    </row>
    <row r="7727" spans="1:5" x14ac:dyDescent="0.25">
      <c r="A7727" t="s">
        <v>77</v>
      </c>
      <c r="B7727">
        <v>2010</v>
      </c>
      <c r="C7727" t="s">
        <v>58</v>
      </c>
      <c r="D7727">
        <v>4.1300298436156497</v>
      </c>
      <c r="E7727" t="s">
        <v>98</v>
      </c>
    </row>
    <row r="7728" spans="1:5" x14ac:dyDescent="0.25">
      <c r="A7728" t="s">
        <v>77</v>
      </c>
      <c r="B7728">
        <v>2011</v>
      </c>
      <c r="C7728" t="s">
        <v>58</v>
      </c>
      <c r="D7728">
        <v>4.6881925653729697</v>
      </c>
      <c r="E7728" t="s">
        <v>98</v>
      </c>
    </row>
    <row r="7729" spans="1:5" x14ac:dyDescent="0.25">
      <c r="A7729" t="s">
        <v>77</v>
      </c>
      <c r="B7729">
        <v>2012</v>
      </c>
      <c r="C7729" t="s">
        <v>58</v>
      </c>
      <c r="D7729">
        <v>5.5198069894069803</v>
      </c>
      <c r="E7729" t="s">
        <v>98</v>
      </c>
    </row>
    <row r="7730" spans="1:5" x14ac:dyDescent="0.25">
      <c r="A7730" t="s">
        <v>77</v>
      </c>
      <c r="B7730">
        <v>2013</v>
      </c>
      <c r="C7730" t="s">
        <v>58</v>
      </c>
      <c r="D7730">
        <v>6.1772148953545098</v>
      </c>
      <c r="E7730" t="s">
        <v>98</v>
      </c>
    </row>
    <row r="7731" spans="1:5" x14ac:dyDescent="0.25">
      <c r="A7731" t="s">
        <v>77</v>
      </c>
      <c r="B7731">
        <v>2014</v>
      </c>
      <c r="C7731" t="s">
        <v>58</v>
      </c>
      <c r="D7731">
        <v>5.3385145851423497</v>
      </c>
      <c r="E7731" t="s">
        <v>98</v>
      </c>
    </row>
    <row r="7732" spans="1:5" x14ac:dyDescent="0.25">
      <c r="A7732" t="s">
        <v>77</v>
      </c>
      <c r="B7732">
        <v>2015</v>
      </c>
      <c r="C7732" t="s">
        <v>58</v>
      </c>
      <c r="D7732">
        <v>4.5726278124923301</v>
      </c>
      <c r="E7732" t="s">
        <v>98</v>
      </c>
    </row>
    <row r="7733" spans="1:5" x14ac:dyDescent="0.25">
      <c r="A7733" t="s">
        <v>77</v>
      </c>
      <c r="B7733">
        <v>2016</v>
      </c>
      <c r="C7733" t="s">
        <v>58</v>
      </c>
      <c r="D7733">
        <v>4.4835010545586096</v>
      </c>
      <c r="E7733" t="s">
        <v>98</v>
      </c>
    </row>
    <row r="7734" spans="1:5" x14ac:dyDescent="0.25">
      <c r="A7734" t="s">
        <v>77</v>
      </c>
      <c r="B7734">
        <v>2017</v>
      </c>
      <c r="C7734" t="s">
        <v>58</v>
      </c>
      <c r="D7734">
        <v>4.8618880882419901</v>
      </c>
      <c r="E7734" t="s">
        <v>98</v>
      </c>
    </row>
    <row r="7735" spans="1:5" x14ac:dyDescent="0.25">
      <c r="A7735" t="s">
        <v>77</v>
      </c>
      <c r="B7735">
        <v>2018</v>
      </c>
      <c r="C7735" t="s">
        <v>58</v>
      </c>
      <c r="D7735">
        <v>5.3988830869213098</v>
      </c>
      <c r="E7735" t="s">
        <v>98</v>
      </c>
    </row>
    <row r="7736" spans="1:5" x14ac:dyDescent="0.25">
      <c r="A7736" t="s">
        <v>77</v>
      </c>
      <c r="B7736">
        <v>2019</v>
      </c>
      <c r="C7736" t="s">
        <v>58</v>
      </c>
      <c r="D7736">
        <v>4.8170307437270301</v>
      </c>
      <c r="E7736" t="s">
        <v>98</v>
      </c>
    </row>
    <row r="7737" spans="1:5" x14ac:dyDescent="0.25">
      <c r="A7737" t="s">
        <v>77</v>
      </c>
      <c r="B7737">
        <v>2020</v>
      </c>
      <c r="C7737" t="s">
        <v>58</v>
      </c>
      <c r="D7737">
        <v>4.7233631385713801</v>
      </c>
      <c r="E7737" t="s">
        <v>98</v>
      </c>
    </row>
    <row r="7738" spans="1:5" x14ac:dyDescent="0.25">
      <c r="A7738" t="s">
        <v>77</v>
      </c>
      <c r="B7738">
        <v>2021</v>
      </c>
      <c r="C7738" t="s">
        <v>58</v>
      </c>
      <c r="D7738">
        <v>4.9893258736420698</v>
      </c>
      <c r="E7738" t="s">
        <v>98</v>
      </c>
    </row>
    <row r="7739" spans="1:5" x14ac:dyDescent="0.25">
      <c r="A7739" t="s">
        <v>77</v>
      </c>
      <c r="B7739">
        <v>2022</v>
      </c>
      <c r="C7739" t="s">
        <v>58</v>
      </c>
      <c r="D7739">
        <v>4.7819839393939896</v>
      </c>
      <c r="E7739" t="s">
        <v>98</v>
      </c>
    </row>
    <row r="7740" spans="1:5" x14ac:dyDescent="0.25">
      <c r="A7740" t="s">
        <v>77</v>
      </c>
      <c r="B7740">
        <v>2023</v>
      </c>
      <c r="C7740" t="s">
        <v>58</v>
      </c>
      <c r="D7740">
        <v>5.4700321927379596</v>
      </c>
      <c r="E7740" t="s">
        <v>98</v>
      </c>
    </row>
    <row r="7741" spans="1:5" x14ac:dyDescent="0.25">
      <c r="A7741" t="s">
        <v>77</v>
      </c>
      <c r="B7741">
        <v>2024</v>
      </c>
      <c r="C7741" t="s">
        <v>58</v>
      </c>
      <c r="D7741">
        <v>5.5117468581492401</v>
      </c>
      <c r="E7741" t="s">
        <v>98</v>
      </c>
    </row>
    <row r="7742" spans="1:5" x14ac:dyDescent="0.25">
      <c r="A7742" t="s">
        <v>77</v>
      </c>
      <c r="B7742">
        <v>2025</v>
      </c>
      <c r="C7742" t="s">
        <v>58</v>
      </c>
      <c r="D7742">
        <v>5.4892063140540497</v>
      </c>
      <c r="E7742" t="s">
        <v>98</v>
      </c>
    </row>
    <row r="7743" spans="1:5" x14ac:dyDescent="0.25">
      <c r="A7743" t="s">
        <v>118</v>
      </c>
      <c r="B7743">
        <v>2002</v>
      </c>
      <c r="C7743" t="s">
        <v>58</v>
      </c>
      <c r="D7743">
        <v>0.44051389993439699</v>
      </c>
      <c r="E7743" t="s">
        <v>98</v>
      </c>
    </row>
    <row r="7744" spans="1:5" x14ac:dyDescent="0.25">
      <c r="A7744" t="s">
        <v>118</v>
      </c>
      <c r="B7744">
        <v>2003</v>
      </c>
      <c r="C7744" t="s">
        <v>58</v>
      </c>
      <c r="D7744">
        <v>0.43744093426473102</v>
      </c>
      <c r="E7744" t="s">
        <v>98</v>
      </c>
    </row>
    <row r="7745" spans="1:5" x14ac:dyDescent="0.25">
      <c r="A7745" t="s">
        <v>118</v>
      </c>
      <c r="B7745">
        <v>2004</v>
      </c>
      <c r="C7745" t="s">
        <v>58</v>
      </c>
      <c r="D7745">
        <v>0.45342417699908899</v>
      </c>
      <c r="E7745" t="s">
        <v>98</v>
      </c>
    </row>
    <row r="7746" spans="1:5" x14ac:dyDescent="0.25">
      <c r="A7746" t="s">
        <v>118</v>
      </c>
      <c r="B7746">
        <v>2005</v>
      </c>
      <c r="C7746" t="s">
        <v>58</v>
      </c>
      <c r="D7746">
        <v>0.46338003902370201</v>
      </c>
      <c r="E7746" t="s">
        <v>98</v>
      </c>
    </row>
    <row r="7747" spans="1:5" x14ac:dyDescent="0.25">
      <c r="A7747" t="s">
        <v>118</v>
      </c>
      <c r="B7747">
        <v>2006</v>
      </c>
      <c r="C7747" t="s">
        <v>58</v>
      </c>
      <c r="D7747">
        <v>0.47314753077916799</v>
      </c>
      <c r="E7747" t="s">
        <v>98</v>
      </c>
    </row>
    <row r="7748" spans="1:5" x14ac:dyDescent="0.25">
      <c r="A7748" t="s">
        <v>118</v>
      </c>
      <c r="B7748">
        <v>2007</v>
      </c>
      <c r="C7748" t="s">
        <v>58</v>
      </c>
      <c r="D7748">
        <v>0.53187874626234499</v>
      </c>
      <c r="E7748" t="s">
        <v>98</v>
      </c>
    </row>
    <row r="7749" spans="1:5" x14ac:dyDescent="0.25">
      <c r="A7749" t="s">
        <v>118</v>
      </c>
      <c r="B7749">
        <v>2008</v>
      </c>
      <c r="C7749" t="s">
        <v>58</v>
      </c>
      <c r="D7749">
        <v>0.72617470066238798</v>
      </c>
      <c r="E7749" t="s">
        <v>98</v>
      </c>
    </row>
    <row r="7750" spans="1:5" x14ac:dyDescent="0.25">
      <c r="A7750" t="s">
        <v>118</v>
      </c>
      <c r="B7750">
        <v>2009</v>
      </c>
      <c r="C7750" t="s">
        <v>58</v>
      </c>
      <c r="D7750">
        <v>1.0088184293779301</v>
      </c>
      <c r="E7750" t="s">
        <v>98</v>
      </c>
    </row>
    <row r="7751" spans="1:5" x14ac:dyDescent="0.25">
      <c r="A7751" t="s">
        <v>118</v>
      </c>
      <c r="B7751">
        <v>2014</v>
      </c>
      <c r="C7751" t="s">
        <v>58</v>
      </c>
      <c r="D7751">
        <v>4.4250608941246297</v>
      </c>
      <c r="E7751" t="s">
        <v>98</v>
      </c>
    </row>
    <row r="7752" spans="1:5" x14ac:dyDescent="0.25">
      <c r="A7752" t="s">
        <v>118</v>
      </c>
      <c r="B7752">
        <v>2015</v>
      </c>
      <c r="C7752" t="s">
        <v>58</v>
      </c>
      <c r="D7752">
        <v>3.8189056502529302</v>
      </c>
      <c r="E7752" t="s">
        <v>98</v>
      </c>
    </row>
    <row r="7753" spans="1:5" x14ac:dyDescent="0.25">
      <c r="A7753" t="s">
        <v>118</v>
      </c>
      <c r="B7753">
        <v>2016</v>
      </c>
      <c r="C7753" t="s">
        <v>58</v>
      </c>
      <c r="D7753">
        <v>3.7097520897220999</v>
      </c>
      <c r="E7753" t="s">
        <v>98</v>
      </c>
    </row>
    <row r="7754" spans="1:5" x14ac:dyDescent="0.25">
      <c r="A7754" t="s">
        <v>118</v>
      </c>
      <c r="B7754">
        <v>2017</v>
      </c>
      <c r="C7754" t="s">
        <v>58</v>
      </c>
      <c r="D7754">
        <v>3.8040196305784</v>
      </c>
      <c r="E7754" t="s">
        <v>98</v>
      </c>
    </row>
    <row r="7755" spans="1:5" x14ac:dyDescent="0.25">
      <c r="A7755" t="s">
        <v>118</v>
      </c>
      <c r="B7755">
        <v>2018</v>
      </c>
      <c r="C7755" t="s">
        <v>58</v>
      </c>
      <c r="D7755">
        <v>4.1160690241114199</v>
      </c>
      <c r="E7755" t="s">
        <v>98</v>
      </c>
    </row>
    <row r="7756" spans="1:5" x14ac:dyDescent="0.25">
      <c r="A7756" t="s">
        <v>118</v>
      </c>
      <c r="B7756">
        <v>2019</v>
      </c>
      <c r="C7756" t="s">
        <v>58</v>
      </c>
      <c r="D7756">
        <v>3.86351659252378</v>
      </c>
      <c r="E7756" t="s">
        <v>98</v>
      </c>
    </row>
    <row r="7757" spans="1:5" x14ac:dyDescent="0.25">
      <c r="A7757" t="s">
        <v>118</v>
      </c>
      <c r="B7757">
        <v>2020</v>
      </c>
      <c r="C7757" t="s">
        <v>58</v>
      </c>
      <c r="D7757">
        <v>3.9882538850707001</v>
      </c>
      <c r="E7757" t="s">
        <v>98</v>
      </c>
    </row>
    <row r="7758" spans="1:5" x14ac:dyDescent="0.25">
      <c r="A7758" t="s">
        <v>118</v>
      </c>
      <c r="B7758">
        <v>2021</v>
      </c>
      <c r="C7758" t="s">
        <v>58</v>
      </c>
      <c r="D7758">
        <v>3.7985417707406701</v>
      </c>
      <c r="E7758" t="s">
        <v>98</v>
      </c>
    </row>
    <row r="7759" spans="1:5" x14ac:dyDescent="0.25">
      <c r="A7759" t="s">
        <v>118</v>
      </c>
      <c r="B7759">
        <v>2022</v>
      </c>
      <c r="C7759" t="s">
        <v>58</v>
      </c>
      <c r="D7759">
        <v>4.7832814817715104</v>
      </c>
      <c r="E7759" t="s">
        <v>98</v>
      </c>
    </row>
    <row r="7760" spans="1:5" x14ac:dyDescent="0.25">
      <c r="A7760" t="s">
        <v>118</v>
      </c>
      <c r="B7760">
        <v>2023</v>
      </c>
      <c r="C7760" t="s">
        <v>58</v>
      </c>
      <c r="D7760">
        <v>4.6676148629846201</v>
      </c>
      <c r="E7760" t="s">
        <v>98</v>
      </c>
    </row>
    <row r="7761" spans="1:5" x14ac:dyDescent="0.25">
      <c r="A7761" t="s">
        <v>118</v>
      </c>
      <c r="B7761">
        <v>2024</v>
      </c>
      <c r="C7761" t="s">
        <v>58</v>
      </c>
      <c r="D7761">
        <v>4.6291904198823701</v>
      </c>
      <c r="E7761" t="s">
        <v>98</v>
      </c>
    </row>
    <row r="7762" spans="1:5" x14ac:dyDescent="0.25">
      <c r="A7762" t="s">
        <v>117</v>
      </c>
      <c r="B7762">
        <v>2010</v>
      </c>
      <c r="C7762" t="s">
        <v>58</v>
      </c>
      <c r="D7762">
        <v>1.6452946442901899</v>
      </c>
      <c r="E7762" t="s">
        <v>98</v>
      </c>
    </row>
    <row r="7763" spans="1:5" x14ac:dyDescent="0.25">
      <c r="A7763" t="s">
        <v>117</v>
      </c>
      <c r="B7763">
        <v>2015</v>
      </c>
      <c r="C7763" t="s">
        <v>58</v>
      </c>
      <c r="D7763">
        <v>1.99050103873857</v>
      </c>
      <c r="E7763" t="s">
        <v>98</v>
      </c>
    </row>
    <row r="7764" spans="1:5" x14ac:dyDescent="0.25">
      <c r="A7764" t="s">
        <v>117</v>
      </c>
      <c r="B7764">
        <v>2016</v>
      </c>
      <c r="C7764" t="s">
        <v>58</v>
      </c>
      <c r="D7764">
        <v>1.5921763011137799</v>
      </c>
      <c r="E7764" t="s">
        <v>98</v>
      </c>
    </row>
    <row r="7765" spans="1:5" x14ac:dyDescent="0.25">
      <c r="A7765" t="s">
        <v>117</v>
      </c>
      <c r="B7765">
        <v>2017</v>
      </c>
      <c r="C7765" t="s">
        <v>58</v>
      </c>
      <c r="D7765">
        <v>2.75121187948919</v>
      </c>
      <c r="E7765" t="s">
        <v>98</v>
      </c>
    </row>
    <row r="7766" spans="1:5" x14ac:dyDescent="0.25">
      <c r="A7766" t="s">
        <v>117</v>
      </c>
      <c r="B7766">
        <v>2018</v>
      </c>
      <c r="C7766" t="s">
        <v>58</v>
      </c>
      <c r="D7766">
        <v>5.4312729351779403</v>
      </c>
      <c r="E7766" t="s">
        <v>98</v>
      </c>
    </row>
    <row r="7767" spans="1:5" x14ac:dyDescent="0.25">
      <c r="A7767" t="s">
        <v>117</v>
      </c>
      <c r="B7767">
        <v>2019</v>
      </c>
      <c r="C7767" t="s">
        <v>58</v>
      </c>
      <c r="D7767">
        <v>4.8508897681786403</v>
      </c>
      <c r="E7767" t="s">
        <v>98</v>
      </c>
    </row>
    <row r="7768" spans="1:5" x14ac:dyDescent="0.25">
      <c r="A7768" t="s">
        <v>117</v>
      </c>
      <c r="B7768">
        <v>2020</v>
      </c>
      <c r="C7768" t="s">
        <v>58</v>
      </c>
      <c r="D7768">
        <v>4.8035153693936499</v>
      </c>
      <c r="E7768" t="s">
        <v>98</v>
      </c>
    </row>
    <row r="7769" spans="1:5" x14ac:dyDescent="0.25">
      <c r="A7769" t="s">
        <v>117</v>
      </c>
      <c r="B7769">
        <v>2021</v>
      </c>
      <c r="C7769" t="s">
        <v>58</v>
      </c>
      <c r="D7769">
        <v>4.9218064497652199</v>
      </c>
      <c r="E7769" t="s">
        <v>98</v>
      </c>
    </row>
    <row r="7770" spans="1:5" x14ac:dyDescent="0.25">
      <c r="A7770" t="s">
        <v>117</v>
      </c>
      <c r="B7770">
        <v>2022</v>
      </c>
      <c r="C7770" t="s">
        <v>58</v>
      </c>
      <c r="D7770">
        <v>5.1938983916028798</v>
      </c>
      <c r="E7770" t="s">
        <v>98</v>
      </c>
    </row>
    <row r="7771" spans="1:5" x14ac:dyDescent="0.25">
      <c r="A7771" t="s">
        <v>117</v>
      </c>
      <c r="B7771">
        <v>2023</v>
      </c>
      <c r="C7771" t="s">
        <v>58</v>
      </c>
      <c r="D7771">
        <v>5.6363529751508699</v>
      </c>
      <c r="E7771" t="s">
        <v>98</v>
      </c>
    </row>
    <row r="7772" spans="1:5" x14ac:dyDescent="0.25">
      <c r="A7772" t="s">
        <v>117</v>
      </c>
      <c r="B7772">
        <v>2024</v>
      </c>
      <c r="C7772" t="s">
        <v>58</v>
      </c>
      <c r="D7772">
        <v>5.5718715532404097</v>
      </c>
      <c r="E7772" t="s">
        <v>98</v>
      </c>
    </row>
    <row r="7773" spans="1:5" x14ac:dyDescent="0.25">
      <c r="A7773" t="s">
        <v>117</v>
      </c>
      <c r="B7773">
        <v>2025</v>
      </c>
      <c r="C7773" t="s">
        <v>58</v>
      </c>
      <c r="D7773">
        <v>5.3824680269657001</v>
      </c>
      <c r="E7773" t="s">
        <v>98</v>
      </c>
    </row>
    <row r="7774" spans="1:5" x14ac:dyDescent="0.25">
      <c r="A7774" t="s">
        <v>18</v>
      </c>
      <c r="B7774">
        <v>2012</v>
      </c>
      <c r="C7774" t="s">
        <v>58</v>
      </c>
      <c r="D7774">
        <v>4.9872179303791198</v>
      </c>
      <c r="E7774" t="s">
        <v>98</v>
      </c>
    </row>
    <row r="7775" spans="1:5" x14ac:dyDescent="0.25">
      <c r="A7775" t="s">
        <v>18</v>
      </c>
      <c r="B7775">
        <v>2013</v>
      </c>
      <c r="C7775" t="s">
        <v>58</v>
      </c>
      <c r="D7775">
        <v>5.1139288305315302</v>
      </c>
      <c r="E7775" t="s">
        <v>98</v>
      </c>
    </row>
    <row r="7776" spans="1:5" x14ac:dyDescent="0.25">
      <c r="A7776" t="s">
        <v>18</v>
      </c>
      <c r="B7776">
        <v>2017</v>
      </c>
      <c r="C7776" t="s">
        <v>58</v>
      </c>
      <c r="D7776">
        <v>5.1749097176117802</v>
      </c>
      <c r="E7776" t="s">
        <v>98</v>
      </c>
    </row>
    <row r="7777" spans="1:5" x14ac:dyDescent="0.25">
      <c r="A7777" t="s">
        <v>19</v>
      </c>
      <c r="B7777">
        <v>2014</v>
      </c>
      <c r="C7777" t="s">
        <v>58</v>
      </c>
      <c r="D7777">
        <v>1.41882621647802E-2</v>
      </c>
      <c r="E7777" t="s">
        <v>98</v>
      </c>
    </row>
    <row r="7778" spans="1:5" x14ac:dyDescent="0.25">
      <c r="A7778" t="s">
        <v>116</v>
      </c>
      <c r="B7778">
        <v>2016</v>
      </c>
      <c r="C7778" t="s">
        <v>58</v>
      </c>
      <c r="D7778">
        <v>2.2789100653440602</v>
      </c>
      <c r="E7778" t="s">
        <v>98</v>
      </c>
    </row>
    <row r="7779" spans="1:5" x14ac:dyDescent="0.25">
      <c r="A7779" t="s">
        <v>116</v>
      </c>
      <c r="B7779">
        <v>2017</v>
      </c>
      <c r="C7779" t="s">
        <v>58</v>
      </c>
      <c r="D7779">
        <v>1.79960540134506</v>
      </c>
      <c r="E7779" t="s">
        <v>98</v>
      </c>
    </row>
    <row r="7780" spans="1:5" x14ac:dyDescent="0.25">
      <c r="A7780" t="s">
        <v>20</v>
      </c>
      <c r="B7780">
        <v>2014</v>
      </c>
      <c r="C7780" t="s">
        <v>58</v>
      </c>
      <c r="D7780">
        <v>3.3526480576145699</v>
      </c>
      <c r="E7780" t="s">
        <v>98</v>
      </c>
    </row>
    <row r="7781" spans="1:5" x14ac:dyDescent="0.25">
      <c r="A7781" t="s">
        <v>20</v>
      </c>
      <c r="B7781">
        <v>2015</v>
      </c>
      <c r="C7781" t="s">
        <v>58</v>
      </c>
      <c r="D7781">
        <v>3.3169226112664099</v>
      </c>
      <c r="E7781" t="s">
        <v>98</v>
      </c>
    </row>
    <row r="7782" spans="1:5" x14ac:dyDescent="0.25">
      <c r="A7782" t="s">
        <v>20</v>
      </c>
      <c r="B7782">
        <v>2016</v>
      </c>
      <c r="C7782" t="s">
        <v>58</v>
      </c>
      <c r="D7782">
        <v>2.6565897612726599</v>
      </c>
      <c r="E7782" t="s">
        <v>98</v>
      </c>
    </row>
    <row r="7783" spans="1:5" x14ac:dyDescent="0.25">
      <c r="A7783" t="s">
        <v>20</v>
      </c>
      <c r="B7783">
        <v>2017</v>
      </c>
      <c r="C7783" t="s">
        <v>58</v>
      </c>
      <c r="D7783">
        <v>2.46352772721783</v>
      </c>
      <c r="E7783" t="s">
        <v>98</v>
      </c>
    </row>
    <row r="7784" spans="1:5" x14ac:dyDescent="0.25">
      <c r="A7784" t="s">
        <v>20</v>
      </c>
      <c r="B7784">
        <v>2018</v>
      </c>
      <c r="C7784" t="s">
        <v>58</v>
      </c>
      <c r="D7784">
        <v>2.46996945689652</v>
      </c>
      <c r="E7784" t="s">
        <v>98</v>
      </c>
    </row>
    <row r="7785" spans="1:5" x14ac:dyDescent="0.25">
      <c r="A7785" t="s">
        <v>20</v>
      </c>
      <c r="B7785">
        <v>2019</v>
      </c>
      <c r="C7785" t="s">
        <v>58</v>
      </c>
      <c r="D7785">
        <v>2.6541864587638302</v>
      </c>
      <c r="E7785" t="s">
        <v>98</v>
      </c>
    </row>
    <row r="7786" spans="1:5" x14ac:dyDescent="0.25">
      <c r="A7786" t="s">
        <v>20</v>
      </c>
      <c r="B7786">
        <v>2020</v>
      </c>
      <c r="C7786" t="s">
        <v>58</v>
      </c>
      <c r="D7786">
        <v>2.6972803042879101</v>
      </c>
      <c r="E7786" t="s">
        <v>98</v>
      </c>
    </row>
    <row r="7787" spans="1:5" x14ac:dyDescent="0.25">
      <c r="A7787" t="s">
        <v>20</v>
      </c>
      <c r="B7787">
        <v>2021</v>
      </c>
      <c r="C7787" t="s">
        <v>58</v>
      </c>
      <c r="D7787">
        <v>2.46327499923868</v>
      </c>
      <c r="E7787" t="s">
        <v>98</v>
      </c>
    </row>
    <row r="7788" spans="1:5" x14ac:dyDescent="0.25">
      <c r="A7788" t="s">
        <v>20</v>
      </c>
      <c r="B7788">
        <v>2022</v>
      </c>
      <c r="C7788" t="s">
        <v>58</v>
      </c>
      <c r="D7788">
        <v>2.8494052773576102</v>
      </c>
      <c r="E7788" t="s">
        <v>98</v>
      </c>
    </row>
    <row r="7789" spans="1:5" x14ac:dyDescent="0.25">
      <c r="A7789" t="s">
        <v>20</v>
      </c>
      <c r="B7789">
        <v>2023</v>
      </c>
      <c r="C7789" t="s">
        <v>58</v>
      </c>
      <c r="D7789">
        <v>3.0862872448029002</v>
      </c>
      <c r="E7789" t="s">
        <v>98</v>
      </c>
    </row>
    <row r="7790" spans="1:5" x14ac:dyDescent="0.25">
      <c r="A7790" t="s">
        <v>20</v>
      </c>
      <c r="B7790">
        <v>2024</v>
      </c>
      <c r="C7790" t="s">
        <v>58</v>
      </c>
      <c r="D7790">
        <v>2.7705902335264199</v>
      </c>
      <c r="E7790" t="s">
        <v>98</v>
      </c>
    </row>
    <row r="7791" spans="1:5" x14ac:dyDescent="0.25">
      <c r="A7791" t="s">
        <v>20</v>
      </c>
      <c r="B7791">
        <v>2025</v>
      </c>
      <c r="C7791" t="s">
        <v>58</v>
      </c>
      <c r="D7791">
        <v>2.9066850066567</v>
      </c>
      <c r="E7791" t="s">
        <v>98</v>
      </c>
    </row>
    <row r="7792" spans="1:5" x14ac:dyDescent="0.25">
      <c r="A7792" t="s">
        <v>115</v>
      </c>
      <c r="B7792">
        <v>2010</v>
      </c>
      <c r="C7792" t="s">
        <v>58</v>
      </c>
      <c r="D7792">
        <v>3.7534043810420799</v>
      </c>
      <c r="E7792" t="s">
        <v>98</v>
      </c>
    </row>
    <row r="7793" spans="1:5" x14ac:dyDescent="0.25">
      <c r="A7793" t="s">
        <v>115</v>
      </c>
      <c r="B7793">
        <v>2011</v>
      </c>
      <c r="C7793" t="s">
        <v>58</v>
      </c>
      <c r="D7793">
        <v>4.5765045261572599</v>
      </c>
      <c r="E7793" t="s">
        <v>98</v>
      </c>
    </row>
    <row r="7794" spans="1:5" x14ac:dyDescent="0.25">
      <c r="A7794" t="s">
        <v>115</v>
      </c>
      <c r="B7794">
        <v>2012</v>
      </c>
      <c r="C7794" t="s">
        <v>58</v>
      </c>
      <c r="D7794">
        <v>5.7207365985212997</v>
      </c>
      <c r="E7794" t="s">
        <v>98</v>
      </c>
    </row>
    <row r="7795" spans="1:5" x14ac:dyDescent="0.25">
      <c r="A7795" t="s">
        <v>115</v>
      </c>
      <c r="B7795">
        <v>2013</v>
      </c>
      <c r="C7795" t="s">
        <v>58</v>
      </c>
      <c r="D7795">
        <v>6.2768266301675899</v>
      </c>
      <c r="E7795" t="s">
        <v>98</v>
      </c>
    </row>
    <row r="7796" spans="1:5" x14ac:dyDescent="0.25">
      <c r="A7796" t="s">
        <v>115</v>
      </c>
      <c r="B7796">
        <v>2014</v>
      </c>
      <c r="C7796" t="s">
        <v>58</v>
      </c>
      <c r="D7796">
        <v>5.5897761974860396</v>
      </c>
      <c r="E7796" t="s">
        <v>98</v>
      </c>
    </row>
    <row r="7797" spans="1:5" x14ac:dyDescent="0.25">
      <c r="A7797" t="s">
        <v>115</v>
      </c>
      <c r="B7797">
        <v>2015</v>
      </c>
      <c r="C7797" t="s">
        <v>58</v>
      </c>
      <c r="D7797">
        <v>4.8739873217475802</v>
      </c>
      <c r="E7797" t="s">
        <v>98</v>
      </c>
    </row>
    <row r="7798" spans="1:5" x14ac:dyDescent="0.25">
      <c r="A7798" t="s">
        <v>115</v>
      </c>
      <c r="B7798">
        <v>2016</v>
      </c>
      <c r="C7798" t="s">
        <v>58</v>
      </c>
      <c r="D7798">
        <v>4.6627167498043702</v>
      </c>
      <c r="E7798" t="s">
        <v>98</v>
      </c>
    </row>
    <row r="7799" spans="1:5" x14ac:dyDescent="0.25">
      <c r="A7799" t="s">
        <v>115</v>
      </c>
      <c r="B7799">
        <v>2017</v>
      </c>
      <c r="C7799" t="s">
        <v>58</v>
      </c>
      <c r="D7799">
        <v>4.8348018810631901</v>
      </c>
      <c r="E7799" t="s">
        <v>98</v>
      </c>
    </row>
    <row r="7800" spans="1:5" x14ac:dyDescent="0.25">
      <c r="A7800" t="s">
        <v>115</v>
      </c>
      <c r="B7800">
        <v>2018</v>
      </c>
      <c r="C7800" t="s">
        <v>58</v>
      </c>
      <c r="D7800">
        <v>5.4883549381054397</v>
      </c>
      <c r="E7800" t="s">
        <v>98</v>
      </c>
    </row>
    <row r="7801" spans="1:5" x14ac:dyDescent="0.25">
      <c r="A7801" t="s">
        <v>115</v>
      </c>
      <c r="B7801">
        <v>2019</v>
      </c>
      <c r="C7801" t="s">
        <v>58</v>
      </c>
      <c r="D7801">
        <v>5.0375007190805796</v>
      </c>
      <c r="E7801" t="s">
        <v>98</v>
      </c>
    </row>
    <row r="7802" spans="1:5" x14ac:dyDescent="0.25">
      <c r="A7802" t="s">
        <v>115</v>
      </c>
      <c r="B7802">
        <v>2020</v>
      </c>
      <c r="C7802" t="s">
        <v>58</v>
      </c>
      <c r="D7802">
        <v>4.7999589087222203</v>
      </c>
      <c r="E7802" t="s">
        <v>98</v>
      </c>
    </row>
    <row r="7803" spans="1:5" x14ac:dyDescent="0.25">
      <c r="A7803" t="s">
        <v>115</v>
      </c>
      <c r="B7803">
        <v>2021</v>
      </c>
      <c r="C7803" t="s">
        <v>58</v>
      </c>
      <c r="D7803">
        <v>4.8969360304012497</v>
      </c>
      <c r="E7803" t="s">
        <v>98</v>
      </c>
    </row>
    <row r="7804" spans="1:5" x14ac:dyDescent="0.25">
      <c r="A7804" t="s">
        <v>115</v>
      </c>
      <c r="B7804">
        <v>2022</v>
      </c>
      <c r="C7804" t="s">
        <v>58</v>
      </c>
      <c r="D7804">
        <v>5.2421826836180596</v>
      </c>
      <c r="E7804" t="s">
        <v>98</v>
      </c>
    </row>
    <row r="7805" spans="1:5" x14ac:dyDescent="0.25">
      <c r="A7805" t="s">
        <v>115</v>
      </c>
      <c r="B7805">
        <v>2023</v>
      </c>
      <c r="C7805" t="s">
        <v>58</v>
      </c>
      <c r="D7805">
        <v>5.9882594632162904</v>
      </c>
      <c r="E7805" t="s">
        <v>98</v>
      </c>
    </row>
    <row r="7806" spans="1:5" x14ac:dyDescent="0.25">
      <c r="A7806" t="s">
        <v>115</v>
      </c>
      <c r="B7806">
        <v>2024</v>
      </c>
      <c r="C7806" t="s">
        <v>58</v>
      </c>
      <c r="D7806">
        <v>5.8152954993368597</v>
      </c>
      <c r="E7806" t="s">
        <v>98</v>
      </c>
    </row>
    <row r="7807" spans="1:5" x14ac:dyDescent="0.25">
      <c r="A7807" t="s">
        <v>115</v>
      </c>
      <c r="B7807">
        <v>2025</v>
      </c>
      <c r="C7807" t="s">
        <v>58</v>
      </c>
      <c r="D7807">
        <v>5.7837178333199297</v>
      </c>
      <c r="E7807" t="s">
        <v>98</v>
      </c>
    </row>
    <row r="7808" spans="1:5" x14ac:dyDescent="0.25">
      <c r="A7808" t="s">
        <v>21</v>
      </c>
      <c r="B7808">
        <v>2000</v>
      </c>
      <c r="C7808" t="s">
        <v>58</v>
      </c>
      <c r="D7808">
        <v>2.27014205558062</v>
      </c>
      <c r="E7808" t="s">
        <v>98</v>
      </c>
    </row>
    <row r="7809" spans="1:5" x14ac:dyDescent="0.25">
      <c r="A7809" t="s">
        <v>21</v>
      </c>
      <c r="B7809">
        <v>2001</v>
      </c>
      <c r="C7809" t="s">
        <v>58</v>
      </c>
      <c r="D7809">
        <v>2.4786181398298002</v>
      </c>
      <c r="E7809" t="s">
        <v>98</v>
      </c>
    </row>
    <row r="7810" spans="1:5" x14ac:dyDescent="0.25">
      <c r="A7810" t="s">
        <v>21</v>
      </c>
      <c r="B7810">
        <v>2002</v>
      </c>
      <c r="C7810" t="s">
        <v>58</v>
      </c>
      <c r="D7810">
        <v>2.5084486894581</v>
      </c>
      <c r="E7810" t="s">
        <v>98</v>
      </c>
    </row>
    <row r="7811" spans="1:5" x14ac:dyDescent="0.25">
      <c r="A7811" t="s">
        <v>21</v>
      </c>
      <c r="B7811">
        <v>2003</v>
      </c>
      <c r="C7811" t="s">
        <v>58</v>
      </c>
      <c r="D7811">
        <v>2.86205586814097</v>
      </c>
      <c r="E7811" t="s">
        <v>98</v>
      </c>
    </row>
    <row r="7812" spans="1:5" x14ac:dyDescent="0.25">
      <c r="A7812" t="s">
        <v>21</v>
      </c>
      <c r="B7812">
        <v>2004</v>
      </c>
      <c r="C7812" t="s">
        <v>58</v>
      </c>
      <c r="D7812">
        <v>2.8632949892481299</v>
      </c>
      <c r="E7812" t="s">
        <v>98</v>
      </c>
    </row>
    <row r="7813" spans="1:5" x14ac:dyDescent="0.25">
      <c r="A7813" t="s">
        <v>21</v>
      </c>
      <c r="B7813">
        <v>2005</v>
      </c>
      <c r="C7813" t="s">
        <v>58</v>
      </c>
      <c r="D7813">
        <v>3.0076273565561999</v>
      </c>
      <c r="E7813" t="s">
        <v>98</v>
      </c>
    </row>
    <row r="7814" spans="1:5" x14ac:dyDescent="0.25">
      <c r="A7814" t="s">
        <v>21</v>
      </c>
      <c r="B7814">
        <v>2006</v>
      </c>
      <c r="C7814" t="s">
        <v>58</v>
      </c>
      <c r="D7814">
        <v>3.2224137909749699</v>
      </c>
      <c r="E7814" t="s">
        <v>98</v>
      </c>
    </row>
    <row r="7815" spans="1:5" x14ac:dyDescent="0.25">
      <c r="A7815" t="s">
        <v>21</v>
      </c>
      <c r="B7815">
        <v>2007</v>
      </c>
      <c r="C7815" t="s">
        <v>58</v>
      </c>
      <c r="D7815">
        <v>3.9949895146214098</v>
      </c>
      <c r="E7815" t="s">
        <v>98</v>
      </c>
    </row>
    <row r="7816" spans="1:5" x14ac:dyDescent="0.25">
      <c r="A7816" t="s">
        <v>21</v>
      </c>
      <c r="B7816">
        <v>2008</v>
      </c>
      <c r="C7816" t="s">
        <v>58</v>
      </c>
      <c r="D7816">
        <v>5.07331298826933</v>
      </c>
      <c r="E7816" t="s">
        <v>98</v>
      </c>
    </row>
    <row r="7817" spans="1:5" x14ac:dyDescent="0.25">
      <c r="A7817" t="s">
        <v>21</v>
      </c>
      <c r="B7817">
        <v>2009</v>
      </c>
      <c r="C7817" t="s">
        <v>58</v>
      </c>
      <c r="D7817">
        <v>4.75370854955501</v>
      </c>
      <c r="E7817" t="s">
        <v>98</v>
      </c>
    </row>
    <row r="7818" spans="1:5" x14ac:dyDescent="0.25">
      <c r="A7818" t="s">
        <v>21</v>
      </c>
      <c r="B7818">
        <v>2010</v>
      </c>
      <c r="C7818" t="s">
        <v>58</v>
      </c>
      <c r="D7818">
        <v>4.3863465811965803</v>
      </c>
      <c r="E7818" t="s">
        <v>98</v>
      </c>
    </row>
    <row r="7819" spans="1:5" x14ac:dyDescent="0.25">
      <c r="A7819" t="s">
        <v>21</v>
      </c>
      <c r="B7819">
        <v>2011</v>
      </c>
      <c r="C7819" t="s">
        <v>58</v>
      </c>
      <c r="D7819">
        <v>5.16937546974372</v>
      </c>
      <c r="E7819" t="s">
        <v>98</v>
      </c>
    </row>
    <row r="7820" spans="1:5" x14ac:dyDescent="0.25">
      <c r="A7820" t="s">
        <v>21</v>
      </c>
      <c r="B7820">
        <v>2012</v>
      </c>
      <c r="C7820" t="s">
        <v>58</v>
      </c>
      <c r="D7820">
        <v>5.4779080961724302</v>
      </c>
      <c r="E7820" t="s">
        <v>98</v>
      </c>
    </row>
    <row r="7821" spans="1:5" x14ac:dyDescent="0.25">
      <c r="A7821" t="s">
        <v>21</v>
      </c>
      <c r="B7821">
        <v>2013</v>
      </c>
      <c r="C7821" t="s">
        <v>58</v>
      </c>
      <c r="D7821">
        <v>6.2359960747675496</v>
      </c>
      <c r="E7821" t="s">
        <v>98</v>
      </c>
    </row>
    <row r="7822" spans="1:5" x14ac:dyDescent="0.25">
      <c r="A7822" t="s">
        <v>21</v>
      </c>
      <c r="B7822">
        <v>2014</v>
      </c>
      <c r="C7822" t="s">
        <v>58</v>
      </c>
      <c r="D7822">
        <v>5.5817982432331998</v>
      </c>
      <c r="E7822" t="s">
        <v>98</v>
      </c>
    </row>
    <row r="7823" spans="1:5" x14ac:dyDescent="0.25">
      <c r="A7823" t="s">
        <v>21</v>
      </c>
      <c r="B7823">
        <v>2015</v>
      </c>
      <c r="C7823" t="s">
        <v>58</v>
      </c>
      <c r="D7823">
        <v>4.6193295057098602</v>
      </c>
      <c r="E7823" t="s">
        <v>98</v>
      </c>
    </row>
    <row r="7824" spans="1:5" x14ac:dyDescent="0.25">
      <c r="A7824" t="s">
        <v>21</v>
      </c>
      <c r="B7824">
        <v>2016</v>
      </c>
      <c r="C7824" t="s">
        <v>58</v>
      </c>
      <c r="D7824">
        <v>4.6850495347413803</v>
      </c>
      <c r="E7824" t="s">
        <v>98</v>
      </c>
    </row>
    <row r="7825" spans="1:5" x14ac:dyDescent="0.25">
      <c r="A7825" t="s">
        <v>21</v>
      </c>
      <c r="B7825">
        <v>2017</v>
      </c>
      <c r="C7825" t="s">
        <v>58</v>
      </c>
      <c r="D7825">
        <v>5.1978702340718801</v>
      </c>
      <c r="E7825" t="s">
        <v>98</v>
      </c>
    </row>
    <row r="7826" spans="1:5" x14ac:dyDescent="0.25">
      <c r="A7826" t="s">
        <v>21</v>
      </c>
      <c r="B7826">
        <v>2018</v>
      </c>
      <c r="C7826" t="s">
        <v>58</v>
      </c>
      <c r="D7826">
        <v>5.4312729354980398</v>
      </c>
      <c r="E7826" t="s">
        <v>98</v>
      </c>
    </row>
    <row r="7827" spans="1:5" x14ac:dyDescent="0.25">
      <c r="A7827" t="s">
        <v>21</v>
      </c>
      <c r="B7827">
        <v>2019</v>
      </c>
      <c r="C7827" t="s">
        <v>58</v>
      </c>
      <c r="D7827">
        <v>5.3981123046244699</v>
      </c>
      <c r="E7827" t="s">
        <v>98</v>
      </c>
    </row>
    <row r="7828" spans="1:5" x14ac:dyDescent="0.25">
      <c r="A7828" t="s">
        <v>21</v>
      </c>
      <c r="B7828">
        <v>2020</v>
      </c>
      <c r="C7828" t="s">
        <v>58</v>
      </c>
      <c r="D7828">
        <v>5.5195736866101903</v>
      </c>
      <c r="E7828" t="s">
        <v>98</v>
      </c>
    </row>
    <row r="7829" spans="1:5" x14ac:dyDescent="0.25">
      <c r="A7829" t="s">
        <v>21</v>
      </c>
      <c r="B7829">
        <v>2021</v>
      </c>
      <c r="C7829" t="s">
        <v>58</v>
      </c>
      <c r="D7829">
        <v>5.6460573174974398</v>
      </c>
      <c r="E7829" t="s">
        <v>98</v>
      </c>
    </row>
    <row r="7830" spans="1:5" x14ac:dyDescent="0.25">
      <c r="A7830" t="s">
        <v>21</v>
      </c>
      <c r="B7830">
        <v>2022</v>
      </c>
      <c r="C7830" t="s">
        <v>58</v>
      </c>
      <c r="D7830">
        <v>5.5917988536862797</v>
      </c>
      <c r="E7830" t="s">
        <v>98</v>
      </c>
    </row>
    <row r="7831" spans="1:5" x14ac:dyDescent="0.25">
      <c r="A7831" t="s">
        <v>21</v>
      </c>
      <c r="B7831">
        <v>2023</v>
      </c>
      <c r="C7831" t="s">
        <v>58</v>
      </c>
      <c r="D7831">
        <v>6.3090344544228696</v>
      </c>
      <c r="E7831" t="s">
        <v>98</v>
      </c>
    </row>
    <row r="7832" spans="1:5" x14ac:dyDescent="0.25">
      <c r="A7832" t="s">
        <v>21</v>
      </c>
      <c r="B7832">
        <v>2024</v>
      </c>
      <c r="C7832" t="s">
        <v>58</v>
      </c>
      <c r="D7832">
        <v>6.1650372293088296</v>
      </c>
      <c r="E7832" t="s">
        <v>98</v>
      </c>
    </row>
    <row r="7833" spans="1:5" x14ac:dyDescent="0.25">
      <c r="A7833" t="s">
        <v>22</v>
      </c>
      <c r="B7833">
        <v>2008</v>
      </c>
      <c r="C7833" t="s">
        <v>58</v>
      </c>
      <c r="D7833">
        <v>4.2512225902239296</v>
      </c>
      <c r="E7833" t="s">
        <v>98</v>
      </c>
    </row>
    <row r="7834" spans="1:5" x14ac:dyDescent="0.25">
      <c r="A7834" t="s">
        <v>22</v>
      </c>
      <c r="B7834">
        <v>2009</v>
      </c>
      <c r="C7834" t="s">
        <v>58</v>
      </c>
      <c r="D7834">
        <v>3.73484094744693</v>
      </c>
      <c r="E7834" t="s">
        <v>98</v>
      </c>
    </row>
    <row r="7835" spans="1:5" x14ac:dyDescent="0.25">
      <c r="A7835" t="s">
        <v>22</v>
      </c>
      <c r="B7835">
        <v>2010</v>
      </c>
      <c r="C7835" t="s">
        <v>58</v>
      </c>
      <c r="D7835">
        <v>3.4304626255178299</v>
      </c>
      <c r="E7835" t="s">
        <v>98</v>
      </c>
    </row>
    <row r="7836" spans="1:5" x14ac:dyDescent="0.25">
      <c r="A7836" t="s">
        <v>22</v>
      </c>
      <c r="B7836">
        <v>2011</v>
      </c>
      <c r="C7836" t="s">
        <v>58</v>
      </c>
      <c r="D7836">
        <v>4.1039599161428297</v>
      </c>
      <c r="E7836" t="s">
        <v>98</v>
      </c>
    </row>
    <row r="7837" spans="1:5" x14ac:dyDescent="0.25">
      <c r="A7837" t="s">
        <v>22</v>
      </c>
      <c r="B7837">
        <v>2012</v>
      </c>
      <c r="C7837" t="s">
        <v>58</v>
      </c>
      <c r="D7837">
        <v>4.9156011935341901</v>
      </c>
      <c r="E7837" t="s">
        <v>98</v>
      </c>
    </row>
    <row r="7838" spans="1:5" x14ac:dyDescent="0.25">
      <c r="A7838" t="s">
        <v>22</v>
      </c>
      <c r="B7838">
        <v>2013</v>
      </c>
      <c r="C7838" t="s">
        <v>58</v>
      </c>
      <c r="D7838">
        <v>5.5260469398198797</v>
      </c>
      <c r="E7838" t="s">
        <v>98</v>
      </c>
    </row>
    <row r="7839" spans="1:5" x14ac:dyDescent="0.25">
      <c r="A7839" t="s">
        <v>22</v>
      </c>
      <c r="B7839">
        <v>2014</v>
      </c>
      <c r="C7839" t="s">
        <v>58</v>
      </c>
      <c r="D7839">
        <v>4.8684958618224199</v>
      </c>
      <c r="E7839" t="s">
        <v>98</v>
      </c>
    </row>
    <row r="7840" spans="1:5" x14ac:dyDescent="0.25">
      <c r="A7840" t="s">
        <v>22</v>
      </c>
      <c r="B7840">
        <v>2015</v>
      </c>
      <c r="C7840" t="s">
        <v>58</v>
      </c>
      <c r="D7840">
        <v>4.1683904895608697</v>
      </c>
      <c r="E7840" t="s">
        <v>98</v>
      </c>
    </row>
    <row r="7841" spans="1:5" x14ac:dyDescent="0.25">
      <c r="A7841" t="s">
        <v>22</v>
      </c>
      <c r="B7841">
        <v>2016</v>
      </c>
      <c r="C7841" t="s">
        <v>58</v>
      </c>
      <c r="D7841">
        <v>3.9628976743272699</v>
      </c>
      <c r="E7841" t="s">
        <v>98</v>
      </c>
    </row>
    <row r="7842" spans="1:5" x14ac:dyDescent="0.25">
      <c r="A7842" t="s">
        <v>22</v>
      </c>
      <c r="B7842">
        <v>2017</v>
      </c>
      <c r="C7842" t="s">
        <v>58</v>
      </c>
      <c r="D7842">
        <v>4.5398579101113699</v>
      </c>
      <c r="E7842" t="s">
        <v>98</v>
      </c>
    </row>
    <row r="7843" spans="1:5" x14ac:dyDescent="0.25">
      <c r="A7843" t="s">
        <v>22</v>
      </c>
      <c r="B7843">
        <v>2018</v>
      </c>
      <c r="C7843" t="s">
        <v>58</v>
      </c>
      <c r="D7843">
        <v>5.0062142922955903</v>
      </c>
      <c r="E7843" t="s">
        <v>98</v>
      </c>
    </row>
    <row r="7844" spans="1:5" x14ac:dyDescent="0.25">
      <c r="A7844" t="s">
        <v>22</v>
      </c>
      <c r="B7844">
        <v>2019</v>
      </c>
      <c r="C7844" t="s">
        <v>58</v>
      </c>
      <c r="D7844">
        <v>4.5080222599465003</v>
      </c>
      <c r="E7844" t="s">
        <v>98</v>
      </c>
    </row>
    <row r="7845" spans="1:5" x14ac:dyDescent="0.25">
      <c r="A7845" t="s">
        <v>22</v>
      </c>
      <c r="B7845">
        <v>2020</v>
      </c>
      <c r="C7845" t="s">
        <v>58</v>
      </c>
      <c r="D7845">
        <v>4.491199780174</v>
      </c>
      <c r="E7845" t="s">
        <v>98</v>
      </c>
    </row>
    <row r="7846" spans="1:5" x14ac:dyDescent="0.25">
      <c r="A7846" t="s">
        <v>22</v>
      </c>
      <c r="B7846">
        <v>2021</v>
      </c>
      <c r="C7846" t="s">
        <v>58</v>
      </c>
      <c r="D7846">
        <v>4.7059055618286498</v>
      </c>
      <c r="E7846" t="s">
        <v>98</v>
      </c>
    </row>
    <row r="7847" spans="1:5" x14ac:dyDescent="0.25">
      <c r="A7847" t="s">
        <v>22</v>
      </c>
      <c r="B7847">
        <v>2022</v>
      </c>
      <c r="C7847" t="s">
        <v>58</v>
      </c>
      <c r="D7847">
        <v>4.8902513873817997</v>
      </c>
      <c r="E7847" t="s">
        <v>98</v>
      </c>
    </row>
    <row r="7848" spans="1:5" x14ac:dyDescent="0.25">
      <c r="A7848" t="s">
        <v>22</v>
      </c>
      <c r="B7848">
        <v>2023</v>
      </c>
      <c r="C7848" t="s">
        <v>58</v>
      </c>
      <c r="D7848">
        <v>5.4576924921843304</v>
      </c>
      <c r="E7848" t="s">
        <v>98</v>
      </c>
    </row>
    <row r="7849" spans="1:5" x14ac:dyDescent="0.25">
      <c r="A7849" t="s">
        <v>22</v>
      </c>
      <c r="B7849">
        <v>2024</v>
      </c>
      <c r="C7849" t="s">
        <v>58</v>
      </c>
      <c r="D7849">
        <v>5.2697490382339396</v>
      </c>
      <c r="E7849" t="s">
        <v>98</v>
      </c>
    </row>
    <row r="7850" spans="1:5" x14ac:dyDescent="0.25">
      <c r="A7850" t="s">
        <v>22</v>
      </c>
      <c r="B7850">
        <v>2025</v>
      </c>
      <c r="C7850" t="s">
        <v>58</v>
      </c>
      <c r="D7850">
        <v>5.2511618913242204</v>
      </c>
      <c r="E7850" t="s">
        <v>98</v>
      </c>
    </row>
    <row r="7851" spans="1:5" x14ac:dyDescent="0.25">
      <c r="A7851" t="s">
        <v>23</v>
      </c>
      <c r="B7851">
        <v>2012</v>
      </c>
      <c r="C7851" t="s">
        <v>58</v>
      </c>
      <c r="D7851">
        <v>1.9178605978438501</v>
      </c>
      <c r="E7851" t="s">
        <v>98</v>
      </c>
    </row>
    <row r="7852" spans="1:5" x14ac:dyDescent="0.25">
      <c r="A7852" t="s">
        <v>23</v>
      </c>
      <c r="B7852">
        <v>2013</v>
      </c>
      <c r="C7852" t="s">
        <v>58</v>
      </c>
      <c r="D7852">
        <v>3.76640570647394</v>
      </c>
      <c r="E7852" t="s">
        <v>98</v>
      </c>
    </row>
    <row r="7853" spans="1:5" x14ac:dyDescent="0.25">
      <c r="A7853" t="s">
        <v>23</v>
      </c>
      <c r="B7853">
        <v>2014</v>
      </c>
      <c r="C7853" t="s">
        <v>58</v>
      </c>
      <c r="D7853">
        <v>1.7177626959519601</v>
      </c>
      <c r="E7853" t="s">
        <v>98</v>
      </c>
    </row>
    <row r="7854" spans="1:5" x14ac:dyDescent="0.25">
      <c r="A7854" t="s">
        <v>23</v>
      </c>
      <c r="B7854">
        <v>2015</v>
      </c>
      <c r="C7854" t="s">
        <v>58</v>
      </c>
      <c r="D7854">
        <v>2.0295124510779199</v>
      </c>
      <c r="E7854" t="s">
        <v>98</v>
      </c>
    </row>
    <row r="7855" spans="1:5" x14ac:dyDescent="0.25">
      <c r="A7855" t="s">
        <v>23</v>
      </c>
      <c r="B7855">
        <v>2020</v>
      </c>
      <c r="C7855" t="s">
        <v>58</v>
      </c>
      <c r="D7855">
        <v>0.83246486217257798</v>
      </c>
      <c r="E7855" t="s">
        <v>98</v>
      </c>
    </row>
    <row r="7856" spans="1:5" x14ac:dyDescent="0.25">
      <c r="A7856" t="s">
        <v>23</v>
      </c>
      <c r="B7856">
        <v>2021</v>
      </c>
      <c r="C7856" t="s">
        <v>58</v>
      </c>
      <c r="D7856">
        <v>1.0238034501150499</v>
      </c>
      <c r="E7856" t="s">
        <v>98</v>
      </c>
    </row>
    <row r="7857" spans="1:5" x14ac:dyDescent="0.25">
      <c r="A7857" t="s">
        <v>24</v>
      </c>
      <c r="B7857">
        <v>2010</v>
      </c>
      <c r="C7857" t="s">
        <v>58</v>
      </c>
      <c r="D7857">
        <v>5.82323201609909</v>
      </c>
      <c r="E7857" t="s">
        <v>98</v>
      </c>
    </row>
    <row r="7858" spans="1:5" x14ac:dyDescent="0.25">
      <c r="A7858" t="s">
        <v>24</v>
      </c>
      <c r="B7858">
        <v>2011</v>
      </c>
      <c r="C7858" t="s">
        <v>58</v>
      </c>
      <c r="D7858">
        <v>6.5653967602139804</v>
      </c>
      <c r="E7858" t="s">
        <v>98</v>
      </c>
    </row>
    <row r="7859" spans="1:5" x14ac:dyDescent="0.25">
      <c r="A7859" t="s">
        <v>24</v>
      </c>
      <c r="B7859">
        <v>2012</v>
      </c>
      <c r="C7859" t="s">
        <v>58</v>
      </c>
      <c r="D7859">
        <v>6.5629624288307404</v>
      </c>
      <c r="E7859" t="s">
        <v>98</v>
      </c>
    </row>
    <row r="7860" spans="1:5" x14ac:dyDescent="0.25">
      <c r="A7860" t="s">
        <v>24</v>
      </c>
      <c r="B7860">
        <v>2013</v>
      </c>
      <c r="C7860" t="s">
        <v>58</v>
      </c>
      <c r="D7860">
        <v>7.1281870991219201</v>
      </c>
      <c r="E7860" t="s">
        <v>98</v>
      </c>
    </row>
    <row r="7861" spans="1:5" x14ac:dyDescent="0.25">
      <c r="A7861" t="s">
        <v>24</v>
      </c>
      <c r="B7861">
        <v>2014</v>
      </c>
      <c r="C7861" t="s">
        <v>58</v>
      </c>
      <c r="D7861">
        <v>6.7190206353677304</v>
      </c>
      <c r="E7861" t="s">
        <v>98</v>
      </c>
    </row>
    <row r="7862" spans="1:5" x14ac:dyDescent="0.25">
      <c r="A7862" t="s">
        <v>24</v>
      </c>
      <c r="B7862">
        <v>2015</v>
      </c>
      <c r="C7862" t="s">
        <v>58</v>
      </c>
      <c r="D7862">
        <v>5.6166224109400398</v>
      </c>
      <c r="E7862" t="s">
        <v>98</v>
      </c>
    </row>
    <row r="7863" spans="1:5" x14ac:dyDescent="0.25">
      <c r="A7863" t="s">
        <v>24</v>
      </c>
      <c r="B7863">
        <v>2016</v>
      </c>
      <c r="C7863" t="s">
        <v>58</v>
      </c>
      <c r="D7863">
        <v>5.2993202639965604</v>
      </c>
      <c r="E7863" t="s">
        <v>98</v>
      </c>
    </row>
    <row r="7864" spans="1:5" x14ac:dyDescent="0.25">
      <c r="A7864" t="s">
        <v>24</v>
      </c>
      <c r="B7864">
        <v>2017</v>
      </c>
      <c r="C7864" t="s">
        <v>58</v>
      </c>
      <c r="D7864">
        <v>6.2046219748979103</v>
      </c>
      <c r="E7864" t="s">
        <v>98</v>
      </c>
    </row>
    <row r="7865" spans="1:5" x14ac:dyDescent="0.25">
      <c r="A7865" t="s">
        <v>24</v>
      </c>
      <c r="B7865">
        <v>2018</v>
      </c>
      <c r="C7865" t="s">
        <v>58</v>
      </c>
      <c r="D7865">
        <v>6.5672258097990701</v>
      </c>
      <c r="E7865" t="s">
        <v>98</v>
      </c>
    </row>
    <row r="7866" spans="1:5" x14ac:dyDescent="0.25">
      <c r="A7866" t="s">
        <v>24</v>
      </c>
      <c r="B7866">
        <v>2019</v>
      </c>
      <c r="C7866" t="s">
        <v>58</v>
      </c>
      <c r="D7866">
        <v>6.0951270623409304</v>
      </c>
      <c r="E7866" t="s">
        <v>98</v>
      </c>
    </row>
    <row r="7867" spans="1:5" x14ac:dyDescent="0.25">
      <c r="A7867" t="s">
        <v>24</v>
      </c>
      <c r="B7867">
        <v>2020</v>
      </c>
      <c r="C7867" t="s">
        <v>58</v>
      </c>
      <c r="D7867">
        <v>6.1653308138238101</v>
      </c>
      <c r="E7867" t="s">
        <v>98</v>
      </c>
    </row>
    <row r="7868" spans="1:5" x14ac:dyDescent="0.25">
      <c r="A7868" t="s">
        <v>24</v>
      </c>
      <c r="B7868">
        <v>2021</v>
      </c>
      <c r="C7868" t="s">
        <v>58</v>
      </c>
      <c r="D7868">
        <v>6.5563879836327201</v>
      </c>
      <c r="E7868" t="s">
        <v>98</v>
      </c>
    </row>
    <row r="7869" spans="1:5" x14ac:dyDescent="0.25">
      <c r="A7869" t="s">
        <v>24</v>
      </c>
      <c r="B7869">
        <v>2022</v>
      </c>
      <c r="C7869" t="s">
        <v>58</v>
      </c>
      <c r="D7869">
        <v>6.4914206979552498</v>
      </c>
      <c r="E7869" t="s">
        <v>98</v>
      </c>
    </row>
    <row r="7870" spans="1:5" x14ac:dyDescent="0.25">
      <c r="A7870" t="s">
        <v>24</v>
      </c>
      <c r="B7870">
        <v>2023</v>
      </c>
      <c r="C7870" t="s">
        <v>58</v>
      </c>
      <c r="D7870">
        <v>7.1705524451162299</v>
      </c>
      <c r="E7870" t="s">
        <v>98</v>
      </c>
    </row>
    <row r="7871" spans="1:5" x14ac:dyDescent="0.25">
      <c r="A7871" t="s">
        <v>24</v>
      </c>
      <c r="B7871">
        <v>2024</v>
      </c>
      <c r="C7871" t="s">
        <v>58</v>
      </c>
      <c r="D7871">
        <v>7.4682314852804197</v>
      </c>
      <c r="E7871" t="s">
        <v>98</v>
      </c>
    </row>
    <row r="7872" spans="1:5" x14ac:dyDescent="0.25">
      <c r="A7872" t="s">
        <v>24</v>
      </c>
      <c r="B7872">
        <v>2025</v>
      </c>
      <c r="C7872" t="s">
        <v>58</v>
      </c>
      <c r="D7872">
        <v>6.92917614451002</v>
      </c>
      <c r="E7872" t="s">
        <v>98</v>
      </c>
    </row>
    <row r="7873" spans="1:5" x14ac:dyDescent="0.25">
      <c r="A7873" t="s">
        <v>25</v>
      </c>
      <c r="B7873">
        <v>2011</v>
      </c>
      <c r="C7873" t="s">
        <v>58</v>
      </c>
      <c r="D7873">
        <v>3.09571275963369</v>
      </c>
      <c r="E7873" t="s">
        <v>98</v>
      </c>
    </row>
    <row r="7874" spans="1:5" x14ac:dyDescent="0.25">
      <c r="A7874" t="s">
        <v>25</v>
      </c>
      <c r="B7874">
        <v>2021</v>
      </c>
      <c r="C7874" t="s">
        <v>58</v>
      </c>
      <c r="D7874">
        <v>3.8410987421517402</v>
      </c>
      <c r="E7874" t="s">
        <v>98</v>
      </c>
    </row>
    <row r="7875" spans="1:5" x14ac:dyDescent="0.25">
      <c r="A7875" t="s">
        <v>25</v>
      </c>
      <c r="B7875">
        <v>2022</v>
      </c>
      <c r="C7875" t="s">
        <v>58</v>
      </c>
      <c r="D7875">
        <v>4.4897300364001902</v>
      </c>
      <c r="E7875" t="s">
        <v>98</v>
      </c>
    </row>
    <row r="7876" spans="1:5" x14ac:dyDescent="0.25">
      <c r="A7876" t="s">
        <v>25</v>
      </c>
      <c r="B7876">
        <v>2023</v>
      </c>
      <c r="C7876" t="s">
        <v>58</v>
      </c>
      <c r="D7876">
        <v>4.54621347569734</v>
      </c>
      <c r="E7876" t="s">
        <v>98</v>
      </c>
    </row>
    <row r="7877" spans="1:5" x14ac:dyDescent="0.25">
      <c r="A7877" t="s">
        <v>25</v>
      </c>
      <c r="B7877">
        <v>2024</v>
      </c>
      <c r="C7877" t="s">
        <v>58</v>
      </c>
      <c r="D7877">
        <v>4.3542644809003397</v>
      </c>
      <c r="E7877" t="s">
        <v>98</v>
      </c>
    </row>
    <row r="7878" spans="1:5" x14ac:dyDescent="0.25">
      <c r="A7878" t="s">
        <v>25</v>
      </c>
      <c r="B7878">
        <v>2025</v>
      </c>
      <c r="C7878" t="s">
        <v>58</v>
      </c>
      <c r="D7878">
        <v>4.7723681896554098</v>
      </c>
      <c r="E7878" t="s">
        <v>98</v>
      </c>
    </row>
    <row r="7879" spans="1:5" x14ac:dyDescent="0.25">
      <c r="A7879" t="s">
        <v>26</v>
      </c>
      <c r="B7879">
        <v>2011</v>
      </c>
      <c r="C7879" t="s">
        <v>58</v>
      </c>
      <c r="D7879">
        <v>7.1200847232901197</v>
      </c>
      <c r="E7879" t="s">
        <v>98</v>
      </c>
    </row>
    <row r="7880" spans="1:5" x14ac:dyDescent="0.25">
      <c r="A7880" t="s">
        <v>26</v>
      </c>
      <c r="B7880">
        <v>2012</v>
      </c>
      <c r="C7880" t="s">
        <v>58</v>
      </c>
      <c r="D7880">
        <v>6.5822155893479701</v>
      </c>
      <c r="E7880" t="s">
        <v>98</v>
      </c>
    </row>
    <row r="7881" spans="1:5" x14ac:dyDescent="0.25">
      <c r="A7881" t="s">
        <v>26</v>
      </c>
      <c r="B7881">
        <v>2017</v>
      </c>
      <c r="C7881" t="s">
        <v>58</v>
      </c>
      <c r="D7881">
        <v>5.5313117046276901</v>
      </c>
      <c r="E7881" t="s">
        <v>98</v>
      </c>
    </row>
    <row r="7882" spans="1:5" x14ac:dyDescent="0.25">
      <c r="A7882" t="s">
        <v>26</v>
      </c>
      <c r="B7882">
        <v>2018</v>
      </c>
      <c r="C7882" t="s">
        <v>58</v>
      </c>
      <c r="D7882">
        <v>6.1014486110003201</v>
      </c>
      <c r="E7882" t="s">
        <v>98</v>
      </c>
    </row>
    <row r="7883" spans="1:5" x14ac:dyDescent="0.25">
      <c r="A7883" t="s">
        <v>26</v>
      </c>
      <c r="B7883">
        <v>2019</v>
      </c>
      <c r="C7883" t="s">
        <v>58</v>
      </c>
      <c r="D7883">
        <v>6.1820533363695498</v>
      </c>
      <c r="E7883" t="s">
        <v>98</v>
      </c>
    </row>
    <row r="7884" spans="1:5" x14ac:dyDescent="0.25">
      <c r="A7884" t="s">
        <v>26</v>
      </c>
      <c r="B7884">
        <v>2020</v>
      </c>
      <c r="C7884" t="s">
        <v>58</v>
      </c>
      <c r="D7884">
        <v>6.1532635189292497</v>
      </c>
      <c r="E7884" t="s">
        <v>98</v>
      </c>
    </row>
    <row r="7885" spans="1:5" x14ac:dyDescent="0.25">
      <c r="A7885" t="s">
        <v>26</v>
      </c>
      <c r="B7885">
        <v>2021</v>
      </c>
      <c r="C7885" t="s">
        <v>58</v>
      </c>
      <c r="D7885">
        <v>6.1759040134123504</v>
      </c>
      <c r="E7885" t="s">
        <v>98</v>
      </c>
    </row>
    <row r="7886" spans="1:5" x14ac:dyDescent="0.25">
      <c r="A7886" t="s">
        <v>26</v>
      </c>
      <c r="B7886">
        <v>2022</v>
      </c>
      <c r="C7886" t="s">
        <v>58</v>
      </c>
      <c r="D7886">
        <v>5.6638226642118603</v>
      </c>
      <c r="E7886" t="s">
        <v>98</v>
      </c>
    </row>
    <row r="7887" spans="1:5" x14ac:dyDescent="0.25">
      <c r="A7887" t="s">
        <v>26</v>
      </c>
      <c r="B7887">
        <v>2023</v>
      </c>
      <c r="C7887" t="s">
        <v>58</v>
      </c>
      <c r="D7887">
        <v>5.2911086237497997</v>
      </c>
      <c r="E7887" t="s">
        <v>98</v>
      </c>
    </row>
    <row r="7888" spans="1:5" x14ac:dyDescent="0.25">
      <c r="A7888" t="s">
        <v>26</v>
      </c>
      <c r="B7888">
        <v>2024</v>
      </c>
      <c r="C7888" t="s">
        <v>58</v>
      </c>
      <c r="D7888">
        <v>6.3583389959328702</v>
      </c>
      <c r="E7888" t="s">
        <v>98</v>
      </c>
    </row>
    <row r="7889" spans="1:5" x14ac:dyDescent="0.25">
      <c r="A7889" t="s">
        <v>26</v>
      </c>
      <c r="B7889">
        <v>2025</v>
      </c>
      <c r="C7889" t="s">
        <v>58</v>
      </c>
      <c r="D7889">
        <v>2.5409687353342001</v>
      </c>
      <c r="E7889" t="s">
        <v>98</v>
      </c>
    </row>
    <row r="7890" spans="1:5" x14ac:dyDescent="0.25">
      <c r="A7890" t="s">
        <v>28</v>
      </c>
      <c r="B7890">
        <v>2014</v>
      </c>
      <c r="C7890" t="s">
        <v>58</v>
      </c>
      <c r="D7890">
        <v>4.71639191574197</v>
      </c>
      <c r="E7890" t="s">
        <v>98</v>
      </c>
    </row>
    <row r="7891" spans="1:5" x14ac:dyDescent="0.25">
      <c r="A7891" t="s">
        <v>28</v>
      </c>
      <c r="B7891">
        <v>2015</v>
      </c>
      <c r="C7891" t="s">
        <v>58</v>
      </c>
      <c r="D7891">
        <v>4.3668996687572603</v>
      </c>
      <c r="E7891" t="s">
        <v>98</v>
      </c>
    </row>
    <row r="7892" spans="1:5" x14ac:dyDescent="0.25">
      <c r="A7892" t="s">
        <v>28</v>
      </c>
      <c r="B7892">
        <v>2016</v>
      </c>
      <c r="C7892" t="s">
        <v>58</v>
      </c>
      <c r="D7892">
        <v>4.3236981921995303</v>
      </c>
      <c r="E7892" t="s">
        <v>98</v>
      </c>
    </row>
    <row r="7893" spans="1:5" x14ac:dyDescent="0.25">
      <c r="A7893" t="s">
        <v>28</v>
      </c>
      <c r="B7893">
        <v>2019</v>
      </c>
      <c r="C7893" t="s">
        <v>58</v>
      </c>
      <c r="D7893">
        <v>3.9984978639664801</v>
      </c>
      <c r="E7893" t="s">
        <v>98</v>
      </c>
    </row>
    <row r="7894" spans="1:5" x14ac:dyDescent="0.25">
      <c r="A7894" t="s">
        <v>75</v>
      </c>
      <c r="B7894">
        <v>2000</v>
      </c>
      <c r="C7894" t="s">
        <v>58</v>
      </c>
      <c r="D7894">
        <v>2.9623493715266198</v>
      </c>
      <c r="E7894" t="s">
        <v>98</v>
      </c>
    </row>
    <row r="7895" spans="1:5" x14ac:dyDescent="0.25">
      <c r="A7895" t="s">
        <v>75</v>
      </c>
      <c r="B7895">
        <v>2001</v>
      </c>
      <c r="C7895" t="s">
        <v>58</v>
      </c>
      <c r="D7895">
        <v>2.66317988589803</v>
      </c>
      <c r="E7895" t="s">
        <v>98</v>
      </c>
    </row>
    <row r="7896" spans="1:5" x14ac:dyDescent="0.25">
      <c r="A7896" t="s">
        <v>75</v>
      </c>
      <c r="B7896">
        <v>2002</v>
      </c>
      <c r="C7896" t="s">
        <v>58</v>
      </c>
      <c r="D7896">
        <v>2.92378962555023</v>
      </c>
      <c r="E7896" t="s">
        <v>98</v>
      </c>
    </row>
    <row r="7897" spans="1:5" x14ac:dyDescent="0.25">
      <c r="A7897" t="s">
        <v>75</v>
      </c>
      <c r="B7897">
        <v>2003</v>
      </c>
      <c r="C7897" t="s">
        <v>58</v>
      </c>
      <c r="D7897">
        <v>3.3160274214787702</v>
      </c>
      <c r="E7897" t="s">
        <v>98</v>
      </c>
    </row>
    <row r="7898" spans="1:5" x14ac:dyDescent="0.25">
      <c r="A7898" t="s">
        <v>75</v>
      </c>
      <c r="B7898">
        <v>2004</v>
      </c>
      <c r="C7898" t="s">
        <v>58</v>
      </c>
      <c r="D7898">
        <v>3.70930209362013</v>
      </c>
      <c r="E7898" t="s">
        <v>98</v>
      </c>
    </row>
    <row r="7899" spans="1:5" x14ac:dyDescent="0.25">
      <c r="A7899" t="s">
        <v>75</v>
      </c>
      <c r="B7899">
        <v>2005</v>
      </c>
      <c r="C7899" t="s">
        <v>58</v>
      </c>
      <c r="D7899">
        <v>3.35841799199798</v>
      </c>
      <c r="E7899" t="s">
        <v>98</v>
      </c>
    </row>
    <row r="7900" spans="1:5" x14ac:dyDescent="0.25">
      <c r="A7900" t="s">
        <v>75</v>
      </c>
      <c r="B7900">
        <v>2006</v>
      </c>
      <c r="C7900" t="s">
        <v>58</v>
      </c>
      <c r="D7900">
        <v>3.1278792264669502</v>
      </c>
      <c r="E7900" t="s">
        <v>98</v>
      </c>
    </row>
    <row r="7901" spans="1:5" x14ac:dyDescent="0.25">
      <c r="A7901" t="s">
        <v>75</v>
      </c>
      <c r="B7901">
        <v>2007</v>
      </c>
      <c r="C7901" t="s">
        <v>58</v>
      </c>
      <c r="D7901">
        <v>3.5783404256917</v>
      </c>
      <c r="E7901" t="s">
        <v>98</v>
      </c>
    </row>
    <row r="7902" spans="1:5" x14ac:dyDescent="0.25">
      <c r="A7902" t="s">
        <v>75</v>
      </c>
      <c r="B7902">
        <v>2008</v>
      </c>
      <c r="C7902" t="s">
        <v>58</v>
      </c>
      <c r="D7902">
        <v>4.8555680051198999</v>
      </c>
      <c r="E7902" t="s">
        <v>98</v>
      </c>
    </row>
    <row r="7903" spans="1:5" x14ac:dyDescent="0.25">
      <c r="A7903" t="s">
        <v>75</v>
      </c>
      <c r="B7903">
        <v>2009</v>
      </c>
      <c r="C7903" t="s">
        <v>58</v>
      </c>
      <c r="D7903">
        <v>4.6645812320097404</v>
      </c>
      <c r="E7903" t="s">
        <v>98</v>
      </c>
    </row>
    <row r="7904" spans="1:5" x14ac:dyDescent="0.25">
      <c r="A7904" t="s">
        <v>75</v>
      </c>
      <c r="B7904">
        <v>2010</v>
      </c>
      <c r="C7904" t="s">
        <v>58</v>
      </c>
      <c r="D7904">
        <v>4.36420570578845</v>
      </c>
      <c r="E7904" t="s">
        <v>98</v>
      </c>
    </row>
    <row r="7905" spans="1:5" x14ac:dyDescent="0.25">
      <c r="A7905" t="s">
        <v>75</v>
      </c>
      <c r="B7905">
        <v>2011</v>
      </c>
      <c r="C7905" t="s">
        <v>58</v>
      </c>
      <c r="D7905">
        <v>5.1999941331051698</v>
      </c>
      <c r="E7905" t="s">
        <v>98</v>
      </c>
    </row>
    <row r="7906" spans="1:5" x14ac:dyDescent="0.25">
      <c r="A7906" t="s">
        <v>75</v>
      </c>
      <c r="B7906">
        <v>2012</v>
      </c>
      <c r="C7906" t="s">
        <v>58</v>
      </c>
      <c r="D7906">
        <v>5.82332797498918</v>
      </c>
      <c r="E7906" t="s">
        <v>98</v>
      </c>
    </row>
    <row r="7907" spans="1:5" x14ac:dyDescent="0.25">
      <c r="A7907" t="s">
        <v>75</v>
      </c>
      <c r="B7907">
        <v>2013</v>
      </c>
      <c r="C7907" t="s">
        <v>58</v>
      </c>
      <c r="D7907">
        <v>6.4067010263283697</v>
      </c>
      <c r="E7907" t="s">
        <v>98</v>
      </c>
    </row>
    <row r="7908" spans="1:5" x14ac:dyDescent="0.25">
      <c r="A7908" t="s">
        <v>75</v>
      </c>
      <c r="B7908">
        <v>2014</v>
      </c>
      <c r="C7908" t="s">
        <v>58</v>
      </c>
      <c r="D7908">
        <v>6.45259524153016</v>
      </c>
      <c r="E7908" t="s">
        <v>98</v>
      </c>
    </row>
    <row r="7909" spans="1:5" x14ac:dyDescent="0.25">
      <c r="A7909" t="s">
        <v>75</v>
      </c>
      <c r="B7909">
        <v>2015</v>
      </c>
      <c r="C7909" t="s">
        <v>58</v>
      </c>
      <c r="D7909">
        <v>5.3209644288795204</v>
      </c>
      <c r="E7909" t="s">
        <v>98</v>
      </c>
    </row>
    <row r="7910" spans="1:5" x14ac:dyDescent="0.25">
      <c r="A7910" t="s">
        <v>75</v>
      </c>
      <c r="B7910">
        <v>2016</v>
      </c>
      <c r="C7910" t="s">
        <v>58</v>
      </c>
      <c r="D7910">
        <v>3.7148995036205101</v>
      </c>
      <c r="E7910" t="s">
        <v>98</v>
      </c>
    </row>
    <row r="7911" spans="1:5" x14ac:dyDescent="0.25">
      <c r="A7911" t="s">
        <v>75</v>
      </c>
      <c r="B7911">
        <v>2017</v>
      </c>
      <c r="C7911" t="s">
        <v>58</v>
      </c>
      <c r="D7911">
        <v>3.05457515580474</v>
      </c>
      <c r="E7911" t="s">
        <v>98</v>
      </c>
    </row>
    <row r="7912" spans="1:5" x14ac:dyDescent="0.25">
      <c r="A7912" t="s">
        <v>75</v>
      </c>
      <c r="B7912">
        <v>2018</v>
      </c>
      <c r="C7912" t="s">
        <v>58</v>
      </c>
      <c r="D7912">
        <v>6.2180714424505004</v>
      </c>
      <c r="E7912" t="s">
        <v>98</v>
      </c>
    </row>
    <row r="7913" spans="1:5" x14ac:dyDescent="0.25">
      <c r="A7913" t="s">
        <v>75</v>
      </c>
      <c r="B7913">
        <v>2019</v>
      </c>
      <c r="C7913" t="s">
        <v>58</v>
      </c>
      <c r="D7913">
        <v>5.9546305893945499</v>
      </c>
      <c r="E7913" t="s">
        <v>98</v>
      </c>
    </row>
    <row r="7914" spans="1:5" x14ac:dyDescent="0.25">
      <c r="A7914" t="s">
        <v>75</v>
      </c>
      <c r="B7914">
        <v>2020</v>
      </c>
      <c r="C7914" t="s">
        <v>58</v>
      </c>
      <c r="D7914">
        <v>5.2004277473834799</v>
      </c>
      <c r="E7914" t="s">
        <v>98</v>
      </c>
    </row>
    <row r="7915" spans="1:5" x14ac:dyDescent="0.25">
      <c r="A7915" t="s">
        <v>75</v>
      </c>
      <c r="B7915">
        <v>2021</v>
      </c>
      <c r="C7915" t="s">
        <v>58</v>
      </c>
      <c r="D7915">
        <v>5.2119606549727902</v>
      </c>
      <c r="E7915" t="s">
        <v>98</v>
      </c>
    </row>
    <row r="7916" spans="1:5" x14ac:dyDescent="0.25">
      <c r="A7916" t="s">
        <v>75</v>
      </c>
      <c r="B7916">
        <v>2022</v>
      </c>
      <c r="C7916" t="s">
        <v>58</v>
      </c>
      <c r="D7916">
        <v>5.3442699963816196</v>
      </c>
      <c r="E7916" t="s">
        <v>98</v>
      </c>
    </row>
    <row r="7917" spans="1:5" x14ac:dyDescent="0.25">
      <c r="A7917" t="s">
        <v>75</v>
      </c>
      <c r="B7917">
        <v>2023</v>
      </c>
      <c r="C7917" t="s">
        <v>58</v>
      </c>
      <c r="D7917">
        <v>6.0137891804204502</v>
      </c>
      <c r="E7917" t="s">
        <v>98</v>
      </c>
    </row>
    <row r="7918" spans="1:5" x14ac:dyDescent="0.25">
      <c r="A7918" t="s">
        <v>75</v>
      </c>
      <c r="B7918">
        <v>2024</v>
      </c>
      <c r="C7918" t="s">
        <v>58</v>
      </c>
      <c r="D7918">
        <v>4.2420738871457502</v>
      </c>
      <c r="E7918" t="s">
        <v>98</v>
      </c>
    </row>
    <row r="7919" spans="1:5" x14ac:dyDescent="0.25">
      <c r="A7919" t="s">
        <v>75</v>
      </c>
      <c r="B7919">
        <v>2025</v>
      </c>
      <c r="C7919" t="s">
        <v>58</v>
      </c>
      <c r="D7919">
        <v>3.6999489500787499</v>
      </c>
      <c r="E7919" t="s">
        <v>98</v>
      </c>
    </row>
    <row r="7920" spans="1:5" x14ac:dyDescent="0.25">
      <c r="A7920" t="s">
        <v>91</v>
      </c>
      <c r="B7920">
        <v>2017</v>
      </c>
      <c r="C7920" t="s">
        <v>58</v>
      </c>
      <c r="D7920">
        <v>4.75331330355045</v>
      </c>
      <c r="E7920" t="s">
        <v>98</v>
      </c>
    </row>
    <row r="7921" spans="1:5" x14ac:dyDescent="0.25">
      <c r="A7921" t="s">
        <v>91</v>
      </c>
      <c r="B7921">
        <v>2018</v>
      </c>
      <c r="C7921" t="s">
        <v>58</v>
      </c>
      <c r="D7921">
        <v>5.4312729341691801</v>
      </c>
      <c r="E7921" t="s">
        <v>98</v>
      </c>
    </row>
    <row r="7922" spans="1:5" x14ac:dyDescent="0.25">
      <c r="A7922" t="s">
        <v>91</v>
      </c>
      <c r="B7922">
        <v>2019</v>
      </c>
      <c r="C7922" t="s">
        <v>58</v>
      </c>
      <c r="D7922">
        <v>4.7200314663521103</v>
      </c>
      <c r="E7922" t="s">
        <v>98</v>
      </c>
    </row>
    <row r="7923" spans="1:5" x14ac:dyDescent="0.25">
      <c r="A7923" t="s">
        <v>91</v>
      </c>
      <c r="B7923">
        <v>2020</v>
      </c>
      <c r="C7923" t="s">
        <v>58</v>
      </c>
      <c r="D7923">
        <v>4.8347482970682103</v>
      </c>
      <c r="E7923" t="s">
        <v>98</v>
      </c>
    </row>
    <row r="7924" spans="1:5" x14ac:dyDescent="0.25">
      <c r="A7924" t="s">
        <v>91</v>
      </c>
      <c r="B7924">
        <v>2021</v>
      </c>
      <c r="C7924" t="s">
        <v>58</v>
      </c>
      <c r="D7924">
        <v>4.7943463707660898</v>
      </c>
      <c r="E7924" t="s">
        <v>98</v>
      </c>
    </row>
    <row r="7925" spans="1:5" x14ac:dyDescent="0.25">
      <c r="A7925" t="s">
        <v>91</v>
      </c>
      <c r="B7925">
        <v>2022</v>
      </c>
      <c r="C7925" t="s">
        <v>58</v>
      </c>
      <c r="D7925">
        <v>5.0601552147322799</v>
      </c>
      <c r="E7925" t="s">
        <v>98</v>
      </c>
    </row>
    <row r="7926" spans="1:5" x14ac:dyDescent="0.25">
      <c r="A7926" t="s">
        <v>91</v>
      </c>
      <c r="B7926">
        <v>2023</v>
      </c>
      <c r="C7926" t="s">
        <v>58</v>
      </c>
      <c r="D7926">
        <v>5.6843582605476497</v>
      </c>
      <c r="E7926" t="s">
        <v>98</v>
      </c>
    </row>
    <row r="7927" spans="1:5" x14ac:dyDescent="0.25">
      <c r="A7927" t="s">
        <v>91</v>
      </c>
      <c r="B7927">
        <v>2024</v>
      </c>
      <c r="C7927" t="s">
        <v>58</v>
      </c>
      <c r="D7927">
        <v>5.6145467113691998</v>
      </c>
      <c r="E7927" t="s">
        <v>98</v>
      </c>
    </row>
    <row r="7928" spans="1:5" x14ac:dyDescent="0.25">
      <c r="A7928" t="s">
        <v>91</v>
      </c>
      <c r="B7928">
        <v>2025</v>
      </c>
      <c r="C7928" t="s">
        <v>58</v>
      </c>
      <c r="D7928">
        <v>5.4691185684463202</v>
      </c>
      <c r="E7928" t="s">
        <v>98</v>
      </c>
    </row>
    <row r="7929" spans="1:5" x14ac:dyDescent="0.25">
      <c r="A7929" t="s">
        <v>29</v>
      </c>
      <c r="B7929">
        <v>2000</v>
      </c>
      <c r="C7929" t="s">
        <v>58</v>
      </c>
      <c r="D7929">
        <v>3.1289131082895398</v>
      </c>
      <c r="E7929" t="s">
        <v>98</v>
      </c>
    </row>
    <row r="7930" spans="1:5" x14ac:dyDescent="0.25">
      <c r="A7930" t="s">
        <v>29</v>
      </c>
      <c r="B7930">
        <v>2001</v>
      </c>
      <c r="C7930" t="s">
        <v>58</v>
      </c>
      <c r="D7930">
        <v>3.2105507930813899</v>
      </c>
      <c r="E7930" t="s">
        <v>98</v>
      </c>
    </row>
    <row r="7931" spans="1:5" x14ac:dyDescent="0.25">
      <c r="A7931" t="s">
        <v>29</v>
      </c>
      <c r="B7931">
        <v>2002</v>
      </c>
      <c r="C7931" t="s">
        <v>58</v>
      </c>
      <c r="D7931">
        <v>3.5922509766441602</v>
      </c>
      <c r="E7931" t="s">
        <v>98</v>
      </c>
    </row>
    <row r="7932" spans="1:5" x14ac:dyDescent="0.25">
      <c r="A7932" t="s">
        <v>29</v>
      </c>
      <c r="B7932">
        <v>2003</v>
      </c>
      <c r="C7932" t="s">
        <v>58</v>
      </c>
      <c r="D7932">
        <v>4.1013107757078497</v>
      </c>
      <c r="E7932" t="s">
        <v>98</v>
      </c>
    </row>
    <row r="7933" spans="1:5" x14ac:dyDescent="0.25">
      <c r="A7933" t="s">
        <v>29</v>
      </c>
      <c r="B7933">
        <v>2004</v>
      </c>
      <c r="C7933" t="s">
        <v>58</v>
      </c>
      <c r="D7933">
        <v>4.2672929662662904</v>
      </c>
      <c r="E7933" t="s">
        <v>98</v>
      </c>
    </row>
    <row r="7934" spans="1:5" x14ac:dyDescent="0.25">
      <c r="A7934" t="s">
        <v>29</v>
      </c>
      <c r="B7934">
        <v>2005</v>
      </c>
      <c r="C7934" t="s">
        <v>58</v>
      </c>
      <c r="D7934">
        <v>4.5792384074187202</v>
      </c>
      <c r="E7934" t="s">
        <v>98</v>
      </c>
    </row>
    <row r="7935" spans="1:5" x14ac:dyDescent="0.25">
      <c r="A7935" t="s">
        <v>29</v>
      </c>
      <c r="B7935">
        <v>2006</v>
      </c>
      <c r="C7935" t="s">
        <v>58</v>
      </c>
      <c r="D7935">
        <v>5.0379443291322001</v>
      </c>
      <c r="E7935" t="s">
        <v>98</v>
      </c>
    </row>
    <row r="7936" spans="1:5" x14ac:dyDescent="0.25">
      <c r="A7936" t="s">
        <v>29</v>
      </c>
      <c r="B7936">
        <v>2007</v>
      </c>
      <c r="C7936" t="s">
        <v>58</v>
      </c>
      <c r="D7936">
        <v>5.7783608026928803</v>
      </c>
      <c r="E7936" t="s">
        <v>98</v>
      </c>
    </row>
    <row r="7937" spans="1:5" x14ac:dyDescent="0.25">
      <c r="A7937" t="s">
        <v>29</v>
      </c>
      <c r="B7937">
        <v>2008</v>
      </c>
      <c r="C7937" t="s">
        <v>58</v>
      </c>
      <c r="D7937">
        <v>6.80208029772567</v>
      </c>
      <c r="E7937" t="s">
        <v>98</v>
      </c>
    </row>
    <row r="7938" spans="1:5" x14ac:dyDescent="0.25">
      <c r="A7938" t="s">
        <v>29</v>
      </c>
      <c r="B7938">
        <v>2009</v>
      </c>
      <c r="C7938" t="s">
        <v>58</v>
      </c>
      <c r="D7938">
        <v>6.0778053459552002</v>
      </c>
      <c r="E7938" t="s">
        <v>98</v>
      </c>
    </row>
    <row r="7939" spans="1:5" x14ac:dyDescent="0.25">
      <c r="A7939" t="s">
        <v>29</v>
      </c>
      <c r="B7939">
        <v>2010</v>
      </c>
      <c r="C7939" t="s">
        <v>58</v>
      </c>
      <c r="D7939">
        <v>6.3066761679001404</v>
      </c>
      <c r="E7939" t="s">
        <v>98</v>
      </c>
    </row>
    <row r="7940" spans="1:5" x14ac:dyDescent="0.25">
      <c r="A7940" t="s">
        <v>29</v>
      </c>
      <c r="B7940">
        <v>2011</v>
      </c>
      <c r="C7940" t="s">
        <v>58</v>
      </c>
      <c r="D7940">
        <v>7.0885290077104299</v>
      </c>
      <c r="E7940" t="s">
        <v>98</v>
      </c>
    </row>
    <row r="7941" spans="1:5" x14ac:dyDescent="0.25">
      <c r="A7941" t="s">
        <v>29</v>
      </c>
      <c r="B7941">
        <v>2012</v>
      </c>
      <c r="C7941" t="s">
        <v>58</v>
      </c>
      <c r="D7941">
        <v>7.0503668452060602</v>
      </c>
      <c r="E7941" t="s">
        <v>98</v>
      </c>
    </row>
    <row r="7942" spans="1:5" x14ac:dyDescent="0.25">
      <c r="A7942" t="s">
        <v>29</v>
      </c>
      <c r="B7942">
        <v>2013</v>
      </c>
      <c r="C7942" t="s">
        <v>58</v>
      </c>
      <c r="D7942">
        <v>7.5970117110505502</v>
      </c>
      <c r="E7942" t="s">
        <v>98</v>
      </c>
    </row>
    <row r="7943" spans="1:5" x14ac:dyDescent="0.25">
      <c r="A7943" t="s">
        <v>29</v>
      </c>
      <c r="B7943">
        <v>2014</v>
      </c>
      <c r="C7943" t="s">
        <v>58</v>
      </c>
      <c r="D7943">
        <v>6.59647791062888</v>
      </c>
      <c r="E7943" t="s">
        <v>98</v>
      </c>
    </row>
    <row r="7944" spans="1:5" x14ac:dyDescent="0.25">
      <c r="A7944" t="s">
        <v>29</v>
      </c>
      <c r="B7944">
        <v>2015</v>
      </c>
      <c r="C7944" t="s">
        <v>58</v>
      </c>
      <c r="D7944">
        <v>5.8886719368462703</v>
      </c>
      <c r="E7944" t="s">
        <v>98</v>
      </c>
    </row>
    <row r="7945" spans="1:5" x14ac:dyDescent="0.25">
      <c r="A7945" t="s">
        <v>29</v>
      </c>
      <c r="B7945">
        <v>2016</v>
      </c>
      <c r="C7945" t="s">
        <v>58</v>
      </c>
      <c r="D7945">
        <v>5.56601925792281</v>
      </c>
      <c r="E7945" t="s">
        <v>98</v>
      </c>
    </row>
    <row r="7946" spans="1:5" x14ac:dyDescent="0.25">
      <c r="A7946" t="s">
        <v>29</v>
      </c>
      <c r="B7946">
        <v>2017</v>
      </c>
      <c r="C7946" t="s">
        <v>58</v>
      </c>
      <c r="D7946">
        <v>6.0645284181653301</v>
      </c>
      <c r="E7946" t="s">
        <v>98</v>
      </c>
    </row>
    <row r="7947" spans="1:5" x14ac:dyDescent="0.25">
      <c r="A7947" t="s">
        <v>29</v>
      </c>
      <c r="B7947">
        <v>2018</v>
      </c>
      <c r="C7947" t="s">
        <v>58</v>
      </c>
      <c r="D7947">
        <v>6.75065443322839</v>
      </c>
      <c r="E7947" t="s">
        <v>98</v>
      </c>
    </row>
    <row r="7948" spans="1:5" x14ac:dyDescent="0.25">
      <c r="A7948" t="s">
        <v>29</v>
      </c>
      <c r="B7948">
        <v>2019</v>
      </c>
      <c r="C7948" t="s">
        <v>58</v>
      </c>
      <c r="D7948">
        <v>6.2554184365130601</v>
      </c>
      <c r="E7948" t="s">
        <v>98</v>
      </c>
    </row>
    <row r="7949" spans="1:5" x14ac:dyDescent="0.25">
      <c r="A7949" t="s">
        <v>29</v>
      </c>
      <c r="B7949">
        <v>2020</v>
      </c>
      <c r="C7949" t="s">
        <v>58</v>
      </c>
      <c r="D7949">
        <v>6.3151205593190296</v>
      </c>
      <c r="E7949" t="s">
        <v>98</v>
      </c>
    </row>
    <row r="7950" spans="1:5" x14ac:dyDescent="0.25">
      <c r="A7950" t="s">
        <v>29</v>
      </c>
      <c r="B7950">
        <v>2021</v>
      </c>
      <c r="C7950" t="s">
        <v>58</v>
      </c>
      <c r="D7950">
        <v>6.4829833390002998</v>
      </c>
      <c r="E7950" t="s">
        <v>98</v>
      </c>
    </row>
    <row r="7951" spans="1:5" x14ac:dyDescent="0.25">
      <c r="A7951" t="s">
        <v>29</v>
      </c>
      <c r="B7951">
        <v>2022</v>
      </c>
      <c r="C7951" t="s">
        <v>58</v>
      </c>
      <c r="D7951">
        <v>6.7332773002716202</v>
      </c>
      <c r="E7951" t="s">
        <v>98</v>
      </c>
    </row>
    <row r="7952" spans="1:5" x14ac:dyDescent="0.25">
      <c r="A7952" t="s">
        <v>29</v>
      </c>
      <c r="B7952">
        <v>2023</v>
      </c>
      <c r="C7952" t="s">
        <v>58</v>
      </c>
      <c r="D7952">
        <v>7.2511512471393997</v>
      </c>
      <c r="E7952" t="s">
        <v>98</v>
      </c>
    </row>
    <row r="7953" spans="1:5" x14ac:dyDescent="0.25">
      <c r="A7953" t="s">
        <v>29</v>
      </c>
      <c r="B7953">
        <v>2024</v>
      </c>
      <c r="C7953" t="s">
        <v>58</v>
      </c>
      <c r="D7953">
        <v>7.4650517491050596</v>
      </c>
      <c r="E7953" t="s">
        <v>98</v>
      </c>
    </row>
    <row r="7954" spans="1:5" x14ac:dyDescent="0.25">
      <c r="A7954" t="s">
        <v>29</v>
      </c>
      <c r="B7954">
        <v>2025</v>
      </c>
      <c r="C7954" t="s">
        <v>58</v>
      </c>
      <c r="D7954">
        <v>7.18000099605353</v>
      </c>
      <c r="E7954" t="s">
        <v>98</v>
      </c>
    </row>
    <row r="7955" spans="1:5" x14ac:dyDescent="0.25">
      <c r="A7955" t="s">
        <v>74</v>
      </c>
      <c r="B7955">
        <v>2010</v>
      </c>
      <c r="C7955" t="s">
        <v>58</v>
      </c>
      <c r="D7955">
        <v>4.8051810895743099</v>
      </c>
      <c r="E7955" t="s">
        <v>98</v>
      </c>
    </row>
    <row r="7956" spans="1:5" x14ac:dyDescent="0.25">
      <c r="A7956" t="s">
        <v>74</v>
      </c>
      <c r="B7956">
        <v>2011</v>
      </c>
      <c r="C7956" t="s">
        <v>58</v>
      </c>
      <c r="D7956">
        <v>5.7765449762489496</v>
      </c>
      <c r="E7956" t="s">
        <v>98</v>
      </c>
    </row>
    <row r="7957" spans="1:5" x14ac:dyDescent="0.25">
      <c r="A7957" t="s">
        <v>74</v>
      </c>
      <c r="B7957">
        <v>2012</v>
      </c>
      <c r="C7957" t="s">
        <v>58</v>
      </c>
      <c r="D7957">
        <v>6.5615248616834698</v>
      </c>
      <c r="E7957" t="s">
        <v>98</v>
      </c>
    </row>
    <row r="7958" spans="1:5" x14ac:dyDescent="0.25">
      <c r="A7958" t="s">
        <v>74</v>
      </c>
      <c r="B7958">
        <v>2013</v>
      </c>
      <c r="C7958" t="s">
        <v>58</v>
      </c>
      <c r="D7958">
        <v>6.31511852037334</v>
      </c>
      <c r="E7958" t="s">
        <v>98</v>
      </c>
    </row>
    <row r="7959" spans="1:5" x14ac:dyDescent="0.25">
      <c r="A7959" t="s">
        <v>74</v>
      </c>
      <c r="B7959">
        <v>2014</v>
      </c>
      <c r="C7959" t="s">
        <v>58</v>
      </c>
      <c r="D7959">
        <v>5.5115019858400496</v>
      </c>
      <c r="E7959" t="s">
        <v>98</v>
      </c>
    </row>
    <row r="7960" spans="1:5" x14ac:dyDescent="0.25">
      <c r="A7960" t="s">
        <v>74</v>
      </c>
      <c r="B7960">
        <v>2015</v>
      </c>
      <c r="C7960" t="s">
        <v>58</v>
      </c>
      <c r="D7960">
        <v>4.9521199116015504</v>
      </c>
      <c r="E7960" t="s">
        <v>98</v>
      </c>
    </row>
    <row r="7961" spans="1:5" x14ac:dyDescent="0.25">
      <c r="A7961" t="s">
        <v>74</v>
      </c>
      <c r="B7961">
        <v>2016</v>
      </c>
      <c r="C7961" t="s">
        <v>58</v>
      </c>
      <c r="D7961">
        <v>4.9688515122482899</v>
      </c>
      <c r="E7961" t="s">
        <v>98</v>
      </c>
    </row>
    <row r="7962" spans="1:5" x14ac:dyDescent="0.25">
      <c r="A7962" t="s">
        <v>74</v>
      </c>
      <c r="B7962">
        <v>2017</v>
      </c>
      <c r="C7962" t="s">
        <v>58</v>
      </c>
      <c r="D7962">
        <v>5.5046692578715</v>
      </c>
      <c r="E7962" t="s">
        <v>98</v>
      </c>
    </row>
    <row r="7963" spans="1:5" x14ac:dyDescent="0.25">
      <c r="A7963" t="s">
        <v>74</v>
      </c>
      <c r="B7963">
        <v>2018</v>
      </c>
      <c r="C7963" t="s">
        <v>58</v>
      </c>
      <c r="D7963">
        <v>5.7879524053567897</v>
      </c>
      <c r="E7963" t="s">
        <v>98</v>
      </c>
    </row>
    <row r="7964" spans="1:5" x14ac:dyDescent="0.25">
      <c r="A7964" t="s">
        <v>74</v>
      </c>
      <c r="B7964">
        <v>2019</v>
      </c>
      <c r="C7964" t="s">
        <v>58</v>
      </c>
      <c r="D7964">
        <v>5.6293828014423504</v>
      </c>
      <c r="E7964" t="s">
        <v>98</v>
      </c>
    </row>
    <row r="7965" spans="1:5" x14ac:dyDescent="0.25">
      <c r="A7965" t="s">
        <v>74</v>
      </c>
      <c r="B7965">
        <v>2020</v>
      </c>
      <c r="C7965" t="s">
        <v>58</v>
      </c>
      <c r="D7965">
        <v>5.5645713841182198</v>
      </c>
      <c r="E7965" t="s">
        <v>98</v>
      </c>
    </row>
    <row r="7966" spans="1:5" x14ac:dyDescent="0.25">
      <c r="A7966" t="s">
        <v>74</v>
      </c>
      <c r="B7966">
        <v>2021</v>
      </c>
      <c r="C7966" t="s">
        <v>58</v>
      </c>
      <c r="D7966">
        <v>5.3613908626660196</v>
      </c>
      <c r="E7966" t="s">
        <v>98</v>
      </c>
    </row>
    <row r="7967" spans="1:5" x14ac:dyDescent="0.25">
      <c r="A7967" t="s">
        <v>74</v>
      </c>
      <c r="B7967">
        <v>2022</v>
      </c>
      <c r="C7967" t="s">
        <v>58</v>
      </c>
      <c r="D7967">
        <v>5.65767909548559</v>
      </c>
      <c r="E7967" t="s">
        <v>98</v>
      </c>
    </row>
    <row r="7968" spans="1:5" x14ac:dyDescent="0.25">
      <c r="A7968" t="s">
        <v>74</v>
      </c>
      <c r="B7968">
        <v>2023</v>
      </c>
      <c r="C7968" t="s">
        <v>58</v>
      </c>
      <c r="D7968">
        <v>5.9730271309420804</v>
      </c>
      <c r="E7968" t="s">
        <v>98</v>
      </c>
    </row>
    <row r="7969" spans="1:5" x14ac:dyDescent="0.25">
      <c r="A7969" t="s">
        <v>74</v>
      </c>
      <c r="B7969">
        <v>2024</v>
      </c>
      <c r="C7969" t="s">
        <v>58</v>
      </c>
      <c r="D7969">
        <v>5.60492250813782</v>
      </c>
      <c r="E7969" t="s">
        <v>98</v>
      </c>
    </row>
    <row r="7970" spans="1:5" x14ac:dyDescent="0.25">
      <c r="A7970" t="s">
        <v>74</v>
      </c>
      <c r="B7970">
        <v>2025</v>
      </c>
      <c r="C7970" t="s">
        <v>58</v>
      </c>
      <c r="D7970">
        <v>5.4579966129188904</v>
      </c>
      <c r="E7970" t="s">
        <v>98</v>
      </c>
    </row>
    <row r="7971" spans="1:5" x14ac:dyDescent="0.25">
      <c r="A7971" t="s">
        <v>114</v>
      </c>
      <c r="B7971">
        <v>2010</v>
      </c>
      <c r="C7971" t="s">
        <v>58</v>
      </c>
      <c r="D7971">
        <v>3.5179581796293</v>
      </c>
      <c r="E7971" t="s">
        <v>98</v>
      </c>
    </row>
    <row r="7972" spans="1:5" x14ac:dyDescent="0.25">
      <c r="A7972" t="s">
        <v>114</v>
      </c>
      <c r="B7972">
        <v>2011</v>
      </c>
      <c r="C7972" t="s">
        <v>58</v>
      </c>
      <c r="D7972">
        <v>4.2845622687004203</v>
      </c>
      <c r="E7972" t="s">
        <v>98</v>
      </c>
    </row>
    <row r="7973" spans="1:5" x14ac:dyDescent="0.25">
      <c r="A7973" t="s">
        <v>114</v>
      </c>
      <c r="B7973">
        <v>2012</v>
      </c>
      <c r="C7973" t="s">
        <v>58</v>
      </c>
      <c r="D7973">
        <v>4.8126369311989201</v>
      </c>
      <c r="E7973" t="s">
        <v>98</v>
      </c>
    </row>
    <row r="7974" spans="1:5" x14ac:dyDescent="0.25">
      <c r="A7974" t="s">
        <v>114</v>
      </c>
      <c r="B7974">
        <v>2013</v>
      </c>
      <c r="C7974" t="s">
        <v>58</v>
      </c>
      <c r="D7974">
        <v>5.2091445659937596</v>
      </c>
      <c r="E7974" t="s">
        <v>98</v>
      </c>
    </row>
    <row r="7975" spans="1:5" x14ac:dyDescent="0.25">
      <c r="A7975" t="s">
        <v>114</v>
      </c>
      <c r="B7975">
        <v>2017</v>
      </c>
      <c r="C7975" t="s">
        <v>58</v>
      </c>
      <c r="D7975">
        <v>4.20466128500333</v>
      </c>
      <c r="E7975" t="s">
        <v>98</v>
      </c>
    </row>
    <row r="7976" spans="1:5" x14ac:dyDescent="0.25">
      <c r="A7976" t="s">
        <v>114</v>
      </c>
      <c r="B7976">
        <v>2022</v>
      </c>
      <c r="C7976" t="s">
        <v>58</v>
      </c>
      <c r="D7976">
        <v>5.1938983910997196</v>
      </c>
      <c r="E7976" t="s">
        <v>98</v>
      </c>
    </row>
    <row r="7977" spans="1:5" x14ac:dyDescent="0.25">
      <c r="A7977" t="s">
        <v>113</v>
      </c>
      <c r="B7977">
        <v>2023</v>
      </c>
      <c r="C7977" t="s">
        <v>58</v>
      </c>
      <c r="D7977">
        <v>1.16058447962442</v>
      </c>
      <c r="E7977" t="s">
        <v>98</v>
      </c>
    </row>
    <row r="7978" spans="1:5" x14ac:dyDescent="0.25">
      <c r="A7978" t="s">
        <v>30</v>
      </c>
      <c r="B7978">
        <v>2015</v>
      </c>
      <c r="C7978" t="s">
        <v>58</v>
      </c>
      <c r="D7978">
        <v>5.0683119820846603</v>
      </c>
      <c r="E7978" t="s">
        <v>98</v>
      </c>
    </row>
    <row r="7979" spans="1:5" x14ac:dyDescent="0.25">
      <c r="A7979" t="s">
        <v>30</v>
      </c>
      <c r="B7979">
        <v>2016</v>
      </c>
      <c r="C7979" t="s">
        <v>58</v>
      </c>
      <c r="D7979">
        <v>5.1339076235437098</v>
      </c>
      <c r="E7979" t="s">
        <v>98</v>
      </c>
    </row>
    <row r="7980" spans="1:5" x14ac:dyDescent="0.25">
      <c r="A7980" t="s">
        <v>30</v>
      </c>
      <c r="B7980">
        <v>2017</v>
      </c>
      <c r="C7980" t="s">
        <v>58</v>
      </c>
      <c r="D7980">
        <v>5.3609857727819898</v>
      </c>
      <c r="E7980" t="s">
        <v>98</v>
      </c>
    </row>
    <row r="7981" spans="1:5" x14ac:dyDescent="0.25">
      <c r="A7981" t="s">
        <v>30</v>
      </c>
      <c r="B7981">
        <v>2021</v>
      </c>
      <c r="C7981" t="s">
        <v>58</v>
      </c>
      <c r="D7981">
        <v>5.0275600473640401</v>
      </c>
      <c r="E7981" t="s">
        <v>98</v>
      </c>
    </row>
    <row r="7982" spans="1:5" x14ac:dyDescent="0.25">
      <c r="A7982" t="s">
        <v>30</v>
      </c>
      <c r="B7982">
        <v>2022</v>
      </c>
      <c r="C7982" t="s">
        <v>58</v>
      </c>
      <c r="D7982">
        <v>5.1938983864948298</v>
      </c>
      <c r="E7982" t="s">
        <v>98</v>
      </c>
    </row>
    <row r="7983" spans="1:5" x14ac:dyDescent="0.25">
      <c r="A7983" t="s">
        <v>30</v>
      </c>
      <c r="B7983">
        <v>2023</v>
      </c>
      <c r="C7983" t="s">
        <v>58</v>
      </c>
      <c r="D7983">
        <v>5.3273001888825702</v>
      </c>
      <c r="E7983" t="s">
        <v>98</v>
      </c>
    </row>
    <row r="7984" spans="1:5" x14ac:dyDescent="0.25">
      <c r="A7984" t="s">
        <v>30</v>
      </c>
      <c r="B7984">
        <v>2024</v>
      </c>
      <c r="C7984" t="s">
        <v>58</v>
      </c>
      <c r="D7984">
        <v>5.0252201723761898</v>
      </c>
      <c r="E7984" t="s">
        <v>98</v>
      </c>
    </row>
    <row r="7985" spans="1:5" x14ac:dyDescent="0.25">
      <c r="A7985" t="s">
        <v>112</v>
      </c>
      <c r="B7985">
        <v>2011</v>
      </c>
      <c r="C7985" t="s">
        <v>58</v>
      </c>
      <c r="D7985">
        <v>3.8213557061136298</v>
      </c>
      <c r="E7985" t="s">
        <v>98</v>
      </c>
    </row>
    <row r="7986" spans="1:5" x14ac:dyDescent="0.25">
      <c r="A7986" t="s">
        <v>112</v>
      </c>
      <c r="B7986">
        <v>2012</v>
      </c>
      <c r="C7986" t="s">
        <v>58</v>
      </c>
      <c r="D7986">
        <v>4.2085219412191899</v>
      </c>
      <c r="E7986" t="s">
        <v>98</v>
      </c>
    </row>
    <row r="7987" spans="1:5" x14ac:dyDescent="0.25">
      <c r="A7987" t="s">
        <v>112</v>
      </c>
      <c r="B7987">
        <v>2013</v>
      </c>
      <c r="C7987" t="s">
        <v>58</v>
      </c>
      <c r="D7987">
        <v>4.9811370993704003</v>
      </c>
      <c r="E7987" t="s">
        <v>98</v>
      </c>
    </row>
    <row r="7988" spans="1:5" x14ac:dyDescent="0.25">
      <c r="A7988" t="s">
        <v>112</v>
      </c>
      <c r="B7988">
        <v>2014</v>
      </c>
      <c r="C7988" t="s">
        <v>58</v>
      </c>
      <c r="D7988">
        <v>4.6666008210450496</v>
      </c>
      <c r="E7988" t="s">
        <v>98</v>
      </c>
    </row>
    <row r="7989" spans="1:5" x14ac:dyDescent="0.25">
      <c r="A7989" t="s">
        <v>112</v>
      </c>
      <c r="B7989">
        <v>2015</v>
      </c>
      <c r="C7989" t="s">
        <v>58</v>
      </c>
      <c r="D7989">
        <v>3.8326828425239099</v>
      </c>
      <c r="E7989" t="s">
        <v>98</v>
      </c>
    </row>
    <row r="7990" spans="1:5" x14ac:dyDescent="0.25">
      <c r="A7990" t="s">
        <v>112</v>
      </c>
      <c r="B7990">
        <v>2016</v>
      </c>
      <c r="C7990" t="s">
        <v>58</v>
      </c>
      <c r="D7990">
        <v>4.2283718633033303</v>
      </c>
      <c r="E7990" t="s">
        <v>98</v>
      </c>
    </row>
    <row r="7991" spans="1:5" x14ac:dyDescent="0.25">
      <c r="A7991" t="s">
        <v>112</v>
      </c>
      <c r="B7991">
        <v>2017</v>
      </c>
      <c r="C7991" t="s">
        <v>58</v>
      </c>
      <c r="D7991">
        <v>4.7098763601280398</v>
      </c>
      <c r="E7991" t="s">
        <v>98</v>
      </c>
    </row>
    <row r="7992" spans="1:5" x14ac:dyDescent="0.25">
      <c r="A7992" t="s">
        <v>112</v>
      </c>
      <c r="B7992">
        <v>2018</v>
      </c>
      <c r="C7992" t="s">
        <v>58</v>
      </c>
      <c r="D7992">
        <v>5.4661009510895502</v>
      </c>
      <c r="E7992" t="s">
        <v>98</v>
      </c>
    </row>
    <row r="7993" spans="1:5" x14ac:dyDescent="0.25">
      <c r="A7993" t="s">
        <v>112</v>
      </c>
      <c r="B7993">
        <v>2019</v>
      </c>
      <c r="C7993" t="s">
        <v>58</v>
      </c>
      <c r="D7993">
        <v>5.2372835987106603</v>
      </c>
      <c r="E7993" t="s">
        <v>98</v>
      </c>
    </row>
    <row r="7994" spans="1:5" x14ac:dyDescent="0.25">
      <c r="A7994" t="s">
        <v>32</v>
      </c>
      <c r="B7994">
        <v>2013</v>
      </c>
      <c r="C7994" t="s">
        <v>58</v>
      </c>
      <c r="D7994">
        <v>5.0546289926214599E-2</v>
      </c>
      <c r="E7994" t="s">
        <v>98</v>
      </c>
    </row>
    <row r="7995" spans="1:5" x14ac:dyDescent="0.25">
      <c r="A7995" t="s">
        <v>72</v>
      </c>
      <c r="B7995">
        <v>2011</v>
      </c>
      <c r="C7995" t="s">
        <v>58</v>
      </c>
      <c r="D7995">
        <v>4.2607848714321603</v>
      </c>
      <c r="E7995" t="s">
        <v>98</v>
      </c>
    </row>
    <row r="7996" spans="1:5" x14ac:dyDescent="0.25">
      <c r="A7996" t="s">
        <v>72</v>
      </c>
      <c r="B7996">
        <v>2012</v>
      </c>
      <c r="C7996" t="s">
        <v>58</v>
      </c>
      <c r="D7996">
        <v>4.7247793513189</v>
      </c>
      <c r="E7996" t="s">
        <v>98</v>
      </c>
    </row>
    <row r="7997" spans="1:5" x14ac:dyDescent="0.25">
      <c r="A7997" t="s">
        <v>72</v>
      </c>
      <c r="B7997">
        <v>2013</v>
      </c>
      <c r="C7997" t="s">
        <v>58</v>
      </c>
      <c r="D7997">
        <v>3.5092687781324701</v>
      </c>
      <c r="E7997" t="s">
        <v>98</v>
      </c>
    </row>
    <row r="7998" spans="1:5" x14ac:dyDescent="0.25">
      <c r="A7998" t="s">
        <v>72</v>
      </c>
      <c r="B7998">
        <v>2014</v>
      </c>
      <c r="C7998" t="s">
        <v>58</v>
      </c>
      <c r="D7998">
        <v>4.0666456522430297</v>
      </c>
      <c r="E7998" t="s">
        <v>98</v>
      </c>
    </row>
    <row r="7999" spans="1:5" x14ac:dyDescent="0.25">
      <c r="A7999" t="s">
        <v>72</v>
      </c>
      <c r="B7999">
        <v>2015</v>
      </c>
      <c r="C7999" t="s">
        <v>58</v>
      </c>
      <c r="D7999">
        <v>4.9380735984798996</v>
      </c>
      <c r="E7999" t="s">
        <v>98</v>
      </c>
    </row>
    <row r="8000" spans="1:5" x14ac:dyDescent="0.25">
      <c r="A8000" t="s">
        <v>72</v>
      </c>
      <c r="B8000">
        <v>2016</v>
      </c>
      <c r="C8000" t="s">
        <v>58</v>
      </c>
      <c r="D8000">
        <v>4.8447888569644402</v>
      </c>
      <c r="E8000" t="s">
        <v>98</v>
      </c>
    </row>
    <row r="8001" spans="1:5" x14ac:dyDescent="0.25">
      <c r="A8001" t="s">
        <v>72</v>
      </c>
      <c r="B8001">
        <v>2017</v>
      </c>
      <c r="C8001" t="s">
        <v>58</v>
      </c>
      <c r="D8001">
        <v>5.29766065918745</v>
      </c>
      <c r="E8001" t="s">
        <v>98</v>
      </c>
    </row>
    <row r="8002" spans="1:5" x14ac:dyDescent="0.25">
      <c r="A8002" t="s">
        <v>72</v>
      </c>
      <c r="B8002">
        <v>2018</v>
      </c>
      <c r="C8002" t="s">
        <v>58</v>
      </c>
      <c r="D8002">
        <v>5.6094857138938901</v>
      </c>
      <c r="E8002" t="s">
        <v>98</v>
      </c>
    </row>
    <row r="8003" spans="1:5" x14ac:dyDescent="0.25">
      <c r="A8003" t="s">
        <v>72</v>
      </c>
      <c r="B8003">
        <v>2019</v>
      </c>
      <c r="C8003" t="s">
        <v>58</v>
      </c>
      <c r="D8003">
        <v>5.3627244309697799</v>
      </c>
      <c r="E8003" t="s">
        <v>98</v>
      </c>
    </row>
    <row r="8004" spans="1:5" x14ac:dyDescent="0.25">
      <c r="A8004" t="s">
        <v>72</v>
      </c>
      <c r="B8004">
        <v>2020</v>
      </c>
      <c r="C8004" t="s">
        <v>58</v>
      </c>
      <c r="D8004">
        <v>5.5541223216392401</v>
      </c>
      <c r="E8004" t="s">
        <v>98</v>
      </c>
    </row>
    <row r="8005" spans="1:5" x14ac:dyDescent="0.25">
      <c r="A8005" t="s">
        <v>72</v>
      </c>
      <c r="B8005">
        <v>2021</v>
      </c>
      <c r="C8005" t="s">
        <v>58</v>
      </c>
      <c r="D8005">
        <v>6.15515032372031</v>
      </c>
      <c r="E8005" t="s">
        <v>98</v>
      </c>
    </row>
    <row r="8006" spans="1:5" x14ac:dyDescent="0.25">
      <c r="A8006" t="s">
        <v>72</v>
      </c>
      <c r="B8006">
        <v>2022</v>
      </c>
      <c r="C8006" t="s">
        <v>58</v>
      </c>
      <c r="D8006">
        <v>4.4146776523217497</v>
      </c>
      <c r="E8006" t="s">
        <v>98</v>
      </c>
    </row>
    <row r="8007" spans="1:5" x14ac:dyDescent="0.25">
      <c r="A8007" t="s">
        <v>72</v>
      </c>
      <c r="B8007">
        <v>2023</v>
      </c>
      <c r="C8007" t="s">
        <v>58</v>
      </c>
      <c r="D8007">
        <v>2.9004045557287901</v>
      </c>
      <c r="E8007" t="s">
        <v>98</v>
      </c>
    </row>
    <row r="8008" spans="1:5" x14ac:dyDescent="0.25">
      <c r="A8008" t="s">
        <v>72</v>
      </c>
      <c r="B8008">
        <v>2024</v>
      </c>
      <c r="C8008" t="s">
        <v>58</v>
      </c>
      <c r="D8008">
        <v>2.6684707604206999</v>
      </c>
      <c r="E8008" t="s">
        <v>98</v>
      </c>
    </row>
    <row r="8009" spans="1:5" x14ac:dyDescent="0.25">
      <c r="A8009" t="s">
        <v>72</v>
      </c>
      <c r="B8009">
        <v>2025</v>
      </c>
      <c r="C8009" t="s">
        <v>58</v>
      </c>
      <c r="D8009">
        <v>3.6094239804558099</v>
      </c>
      <c r="E8009" t="s">
        <v>98</v>
      </c>
    </row>
    <row r="8010" spans="1:5" x14ac:dyDescent="0.25">
      <c r="A8010" t="s">
        <v>71</v>
      </c>
      <c r="B8010">
        <v>2010</v>
      </c>
      <c r="C8010" t="s">
        <v>58</v>
      </c>
      <c r="D8010">
        <v>5.97221958528469</v>
      </c>
      <c r="E8010" t="s">
        <v>98</v>
      </c>
    </row>
    <row r="8011" spans="1:5" x14ac:dyDescent="0.25">
      <c r="A8011" t="s">
        <v>71</v>
      </c>
      <c r="B8011">
        <v>2011</v>
      </c>
      <c r="C8011" t="s">
        <v>58</v>
      </c>
      <c r="D8011">
        <v>7.7073814707350099</v>
      </c>
      <c r="E8011" t="s">
        <v>98</v>
      </c>
    </row>
    <row r="8012" spans="1:5" x14ac:dyDescent="0.25">
      <c r="A8012" t="s">
        <v>71</v>
      </c>
      <c r="B8012">
        <v>2012</v>
      </c>
      <c r="C8012" t="s">
        <v>58</v>
      </c>
      <c r="D8012">
        <v>8.15279522912925</v>
      </c>
      <c r="E8012" t="s">
        <v>98</v>
      </c>
    </row>
    <row r="8013" spans="1:5" x14ac:dyDescent="0.25">
      <c r="A8013" t="s">
        <v>71</v>
      </c>
      <c r="B8013">
        <v>2013</v>
      </c>
      <c r="C8013" t="s">
        <v>58</v>
      </c>
      <c r="D8013">
        <v>9.4220783675970097</v>
      </c>
      <c r="E8013" t="s">
        <v>98</v>
      </c>
    </row>
    <row r="8014" spans="1:5" x14ac:dyDescent="0.25">
      <c r="A8014" t="s">
        <v>71</v>
      </c>
      <c r="B8014">
        <v>2014</v>
      </c>
      <c r="C8014" t="s">
        <v>58</v>
      </c>
      <c r="D8014">
        <v>6.2443139711287197</v>
      </c>
      <c r="E8014" t="s">
        <v>98</v>
      </c>
    </row>
    <row r="8015" spans="1:5" x14ac:dyDescent="0.25">
      <c r="A8015" t="s">
        <v>71</v>
      </c>
      <c r="B8015">
        <v>2015</v>
      </c>
      <c r="C8015" t="s">
        <v>58</v>
      </c>
      <c r="D8015">
        <v>5.3894339129486797</v>
      </c>
      <c r="E8015" t="s">
        <v>98</v>
      </c>
    </row>
    <row r="8016" spans="1:5" x14ac:dyDescent="0.25">
      <c r="A8016" t="s">
        <v>71</v>
      </c>
      <c r="B8016">
        <v>2016</v>
      </c>
      <c r="C8016" t="s">
        <v>58</v>
      </c>
      <c r="D8016">
        <v>5.4017496345143901</v>
      </c>
      <c r="E8016" t="s">
        <v>98</v>
      </c>
    </row>
    <row r="8017" spans="1:5" x14ac:dyDescent="0.25">
      <c r="A8017" t="s">
        <v>71</v>
      </c>
      <c r="B8017">
        <v>2017</v>
      </c>
      <c r="C8017" t="s">
        <v>58</v>
      </c>
      <c r="D8017">
        <v>5.2641021534255001</v>
      </c>
      <c r="E8017" t="s">
        <v>98</v>
      </c>
    </row>
    <row r="8018" spans="1:5" x14ac:dyDescent="0.25">
      <c r="A8018" t="s">
        <v>71</v>
      </c>
      <c r="B8018">
        <v>2019</v>
      </c>
      <c r="C8018" t="s">
        <v>58</v>
      </c>
      <c r="D8018">
        <v>5.4980962511684304</v>
      </c>
      <c r="E8018" t="s">
        <v>98</v>
      </c>
    </row>
    <row r="8019" spans="1:5" x14ac:dyDescent="0.25">
      <c r="A8019" t="s">
        <v>71</v>
      </c>
      <c r="B8019">
        <v>2020</v>
      </c>
      <c r="C8019" t="s">
        <v>58</v>
      </c>
      <c r="D8019">
        <v>5.8914317369376104</v>
      </c>
      <c r="E8019" t="s">
        <v>98</v>
      </c>
    </row>
    <row r="8020" spans="1:5" x14ac:dyDescent="0.25">
      <c r="A8020" t="s">
        <v>71</v>
      </c>
      <c r="B8020">
        <v>2021</v>
      </c>
      <c r="C8020" t="s">
        <v>58</v>
      </c>
      <c r="D8020">
        <v>6.1672804246656403</v>
      </c>
      <c r="E8020" t="s">
        <v>98</v>
      </c>
    </row>
    <row r="8021" spans="1:5" x14ac:dyDescent="0.25">
      <c r="A8021" t="s">
        <v>71</v>
      </c>
      <c r="B8021">
        <v>2022</v>
      </c>
      <c r="C8021" t="s">
        <v>58</v>
      </c>
      <c r="D8021">
        <v>6.3863369464115003</v>
      </c>
      <c r="E8021" t="s">
        <v>98</v>
      </c>
    </row>
    <row r="8022" spans="1:5" x14ac:dyDescent="0.25">
      <c r="A8022" t="s">
        <v>71</v>
      </c>
      <c r="B8022">
        <v>2023</v>
      </c>
      <c r="C8022" t="s">
        <v>58</v>
      </c>
      <c r="D8022">
        <v>6.6520569845580999</v>
      </c>
      <c r="E8022" t="s">
        <v>98</v>
      </c>
    </row>
    <row r="8023" spans="1:5" x14ac:dyDescent="0.25">
      <c r="A8023" t="s">
        <v>71</v>
      </c>
      <c r="B8023">
        <v>2024</v>
      </c>
      <c r="C8023" t="s">
        <v>58</v>
      </c>
      <c r="D8023">
        <v>6.54925955537907</v>
      </c>
      <c r="E8023" t="s">
        <v>98</v>
      </c>
    </row>
    <row r="8024" spans="1:5" x14ac:dyDescent="0.25">
      <c r="A8024" t="s">
        <v>36</v>
      </c>
      <c r="B8024">
        <v>2010</v>
      </c>
      <c r="C8024" t="s">
        <v>58</v>
      </c>
      <c r="D8024">
        <v>3.3637891943849598</v>
      </c>
      <c r="E8024" t="s">
        <v>98</v>
      </c>
    </row>
    <row r="8025" spans="1:5" x14ac:dyDescent="0.25">
      <c r="A8025" t="s">
        <v>36</v>
      </c>
      <c r="B8025">
        <v>2011</v>
      </c>
      <c r="C8025" t="s">
        <v>58</v>
      </c>
      <c r="D8025">
        <v>3.9427321278772598</v>
      </c>
      <c r="E8025" t="s">
        <v>98</v>
      </c>
    </row>
    <row r="8026" spans="1:5" x14ac:dyDescent="0.25">
      <c r="A8026" t="s">
        <v>36</v>
      </c>
      <c r="B8026">
        <v>2012</v>
      </c>
      <c r="C8026" t="s">
        <v>58</v>
      </c>
      <c r="D8026">
        <v>6.34738952883776</v>
      </c>
      <c r="E8026" t="s">
        <v>98</v>
      </c>
    </row>
    <row r="8027" spans="1:5" x14ac:dyDescent="0.25">
      <c r="A8027" t="s">
        <v>36</v>
      </c>
      <c r="B8027">
        <v>2013</v>
      </c>
      <c r="C8027" t="s">
        <v>58</v>
      </c>
      <c r="D8027">
        <v>6.3750430692726097</v>
      </c>
      <c r="E8027" t="s">
        <v>98</v>
      </c>
    </row>
    <row r="8028" spans="1:5" x14ac:dyDescent="0.25">
      <c r="A8028" t="s">
        <v>36</v>
      </c>
      <c r="B8028">
        <v>2015</v>
      </c>
      <c r="C8028" t="s">
        <v>58</v>
      </c>
      <c r="D8028">
        <v>3.9983587371252001</v>
      </c>
      <c r="E8028" t="s">
        <v>98</v>
      </c>
    </row>
    <row r="8029" spans="1:5" x14ac:dyDescent="0.25">
      <c r="A8029" t="s">
        <v>36</v>
      </c>
      <c r="B8029">
        <v>2016</v>
      </c>
      <c r="C8029" t="s">
        <v>58</v>
      </c>
      <c r="D8029">
        <v>4.4845780419575201</v>
      </c>
      <c r="E8029" t="s">
        <v>98</v>
      </c>
    </row>
    <row r="8030" spans="1:5" x14ac:dyDescent="0.25">
      <c r="A8030" t="s">
        <v>36</v>
      </c>
      <c r="B8030">
        <v>2017</v>
      </c>
      <c r="C8030" t="s">
        <v>58</v>
      </c>
      <c r="D8030">
        <v>4.8461803858366101</v>
      </c>
      <c r="E8030" t="s">
        <v>98</v>
      </c>
    </row>
    <row r="8031" spans="1:5" x14ac:dyDescent="0.25">
      <c r="A8031" t="s">
        <v>36</v>
      </c>
      <c r="B8031">
        <v>2018</v>
      </c>
      <c r="C8031" t="s">
        <v>58</v>
      </c>
      <c r="D8031">
        <v>5.4600529727047897</v>
      </c>
      <c r="E8031" t="s">
        <v>98</v>
      </c>
    </row>
    <row r="8032" spans="1:5" x14ac:dyDescent="0.25">
      <c r="A8032" t="s">
        <v>36</v>
      </c>
      <c r="B8032">
        <v>2021</v>
      </c>
      <c r="C8032" t="s">
        <v>58</v>
      </c>
      <c r="D8032">
        <v>4.0876258902107399</v>
      </c>
      <c r="E8032" t="s">
        <v>98</v>
      </c>
    </row>
    <row r="8033" spans="1:5" x14ac:dyDescent="0.25">
      <c r="A8033" t="s">
        <v>36</v>
      </c>
      <c r="B8033">
        <v>2022</v>
      </c>
      <c r="C8033" t="s">
        <v>58</v>
      </c>
      <c r="D8033">
        <v>4.92423649630177</v>
      </c>
      <c r="E8033" t="s">
        <v>98</v>
      </c>
    </row>
    <row r="8034" spans="1:5" x14ac:dyDescent="0.25">
      <c r="A8034" t="s">
        <v>36</v>
      </c>
      <c r="B8034">
        <v>2023</v>
      </c>
      <c r="C8034" t="s">
        <v>58</v>
      </c>
      <c r="D8034">
        <v>4.6793302100153902</v>
      </c>
      <c r="E8034" t="s">
        <v>98</v>
      </c>
    </row>
    <row r="8035" spans="1:5" x14ac:dyDescent="0.25">
      <c r="A8035" t="s">
        <v>36</v>
      </c>
      <c r="B8035">
        <v>2025</v>
      </c>
      <c r="C8035" t="s">
        <v>58</v>
      </c>
      <c r="D8035">
        <v>4.5325165041752298</v>
      </c>
      <c r="E8035" t="s">
        <v>98</v>
      </c>
    </row>
    <row r="8036" spans="1:5" x14ac:dyDescent="0.25">
      <c r="A8036" t="s">
        <v>37</v>
      </c>
      <c r="B8036">
        <v>2000</v>
      </c>
      <c r="C8036" t="s">
        <v>58</v>
      </c>
      <c r="D8036">
        <v>2.0001099022462498</v>
      </c>
      <c r="E8036" t="s">
        <v>98</v>
      </c>
    </row>
    <row r="8037" spans="1:5" x14ac:dyDescent="0.25">
      <c r="A8037" t="s">
        <v>37</v>
      </c>
      <c r="B8037">
        <v>2001</v>
      </c>
      <c r="C8037" t="s">
        <v>58</v>
      </c>
      <c r="D8037">
        <v>2.0493102598761901</v>
      </c>
      <c r="E8037" t="s">
        <v>98</v>
      </c>
    </row>
    <row r="8038" spans="1:5" x14ac:dyDescent="0.25">
      <c r="A8038" t="s">
        <v>37</v>
      </c>
      <c r="B8038">
        <v>2002</v>
      </c>
      <c r="C8038" t="s">
        <v>58</v>
      </c>
      <c r="D8038">
        <v>2.7652163796973399</v>
      </c>
      <c r="E8038" t="s">
        <v>98</v>
      </c>
    </row>
    <row r="8039" spans="1:5" x14ac:dyDescent="0.25">
      <c r="A8039" t="s">
        <v>37</v>
      </c>
      <c r="B8039">
        <v>2003</v>
      </c>
      <c r="C8039" t="s">
        <v>58</v>
      </c>
      <c r="D8039">
        <v>2.1240280987021598</v>
      </c>
      <c r="E8039" t="s">
        <v>98</v>
      </c>
    </row>
    <row r="8040" spans="1:5" x14ac:dyDescent="0.25">
      <c r="A8040" t="s">
        <v>37</v>
      </c>
      <c r="B8040">
        <v>2004</v>
      </c>
      <c r="C8040" t="s">
        <v>58</v>
      </c>
      <c r="D8040">
        <v>2.2805766500208802</v>
      </c>
      <c r="E8040" t="s">
        <v>98</v>
      </c>
    </row>
    <row r="8041" spans="1:5" x14ac:dyDescent="0.25">
      <c r="A8041" t="s">
        <v>37</v>
      </c>
      <c r="B8041">
        <v>2005</v>
      </c>
      <c r="C8041" t="s">
        <v>58</v>
      </c>
      <c r="D8041">
        <v>2.1923055542036001</v>
      </c>
      <c r="E8041" t="s">
        <v>98</v>
      </c>
    </row>
    <row r="8042" spans="1:5" x14ac:dyDescent="0.25">
      <c r="A8042" t="s">
        <v>37</v>
      </c>
      <c r="B8042">
        <v>2006</v>
      </c>
      <c r="C8042" t="s">
        <v>58</v>
      </c>
      <c r="D8042">
        <v>49.7776939417056</v>
      </c>
      <c r="E8042" t="s">
        <v>98</v>
      </c>
    </row>
    <row r="8043" spans="1:5" x14ac:dyDescent="0.25">
      <c r="A8043" t="s">
        <v>37</v>
      </c>
      <c r="B8043">
        <v>2007</v>
      </c>
      <c r="C8043" t="s">
        <v>58</v>
      </c>
      <c r="D8043">
        <v>6.7102918922342303</v>
      </c>
      <c r="E8043" t="s">
        <v>98</v>
      </c>
    </row>
    <row r="8044" spans="1:5" x14ac:dyDescent="0.25">
      <c r="A8044" t="s">
        <v>37</v>
      </c>
      <c r="B8044">
        <v>2008</v>
      </c>
      <c r="C8044" t="s">
        <v>58</v>
      </c>
      <c r="D8044">
        <v>4.1301844132984202</v>
      </c>
      <c r="E8044" t="s">
        <v>98</v>
      </c>
    </row>
    <row r="8045" spans="1:5" x14ac:dyDescent="0.25">
      <c r="A8045" t="s">
        <v>37</v>
      </c>
      <c r="B8045">
        <v>2009</v>
      </c>
      <c r="C8045" t="s">
        <v>58</v>
      </c>
      <c r="D8045">
        <v>3.5307091446948702</v>
      </c>
      <c r="E8045" t="s">
        <v>98</v>
      </c>
    </row>
    <row r="8046" spans="1:5" x14ac:dyDescent="0.25">
      <c r="A8046" t="s">
        <v>37</v>
      </c>
      <c r="B8046">
        <v>2010</v>
      </c>
      <c r="C8046" t="s">
        <v>58</v>
      </c>
      <c r="D8046">
        <v>10.489155261403001</v>
      </c>
      <c r="E8046" t="s">
        <v>98</v>
      </c>
    </row>
    <row r="8047" spans="1:5" x14ac:dyDescent="0.25">
      <c r="A8047" t="s">
        <v>37</v>
      </c>
      <c r="B8047">
        <v>2011</v>
      </c>
      <c r="C8047" t="s">
        <v>58</v>
      </c>
      <c r="D8047">
        <v>95.053825518372307</v>
      </c>
      <c r="E8047" t="s">
        <v>98</v>
      </c>
    </row>
    <row r="8048" spans="1:5" x14ac:dyDescent="0.25">
      <c r="A8048" t="s">
        <v>37</v>
      </c>
      <c r="B8048">
        <v>2012</v>
      </c>
      <c r="C8048" t="s">
        <v>58</v>
      </c>
      <c r="D8048">
        <v>165.716522121064</v>
      </c>
      <c r="E8048" t="s">
        <v>98</v>
      </c>
    </row>
    <row r="8049" spans="1:5" x14ac:dyDescent="0.25">
      <c r="A8049" t="s">
        <v>37</v>
      </c>
      <c r="B8049">
        <v>2013</v>
      </c>
      <c r="C8049" t="s">
        <v>58</v>
      </c>
      <c r="D8049">
        <v>137.67642414447599</v>
      </c>
      <c r="E8049" t="s">
        <v>98</v>
      </c>
    </row>
    <row r="8050" spans="1:5" x14ac:dyDescent="0.25">
      <c r="A8050" t="s">
        <v>37</v>
      </c>
      <c r="B8050">
        <v>2014</v>
      </c>
      <c r="C8050" t="s">
        <v>58</v>
      </c>
      <c r="D8050">
        <v>123.065438032716</v>
      </c>
      <c r="E8050" t="s">
        <v>98</v>
      </c>
    </row>
    <row r="8051" spans="1:5" x14ac:dyDescent="0.25">
      <c r="A8051" t="s">
        <v>37</v>
      </c>
      <c r="B8051">
        <v>2015</v>
      </c>
      <c r="C8051" t="s">
        <v>58</v>
      </c>
      <c r="D8051">
        <v>81.936377671967094</v>
      </c>
      <c r="E8051" t="s">
        <v>98</v>
      </c>
    </row>
    <row r="8052" spans="1:5" x14ac:dyDescent="0.25">
      <c r="A8052" t="s">
        <v>37</v>
      </c>
      <c r="B8052">
        <v>2016</v>
      </c>
      <c r="C8052" t="s">
        <v>58</v>
      </c>
      <c r="D8052">
        <v>8.9982175637937907</v>
      </c>
      <c r="E8052" t="s">
        <v>98</v>
      </c>
    </row>
    <row r="8053" spans="1:5" x14ac:dyDescent="0.25">
      <c r="A8053" t="s">
        <v>37</v>
      </c>
      <c r="B8053">
        <v>2017</v>
      </c>
      <c r="C8053" t="s">
        <v>58</v>
      </c>
      <c r="D8053">
        <v>3.6419903785273098</v>
      </c>
      <c r="E8053" t="s">
        <v>98</v>
      </c>
    </row>
    <row r="8054" spans="1:5" x14ac:dyDescent="0.25">
      <c r="A8054" t="s">
        <v>37</v>
      </c>
      <c r="B8054">
        <v>2018</v>
      </c>
      <c r="C8054" t="s">
        <v>58</v>
      </c>
      <c r="D8054">
        <v>4.2067469503534296</v>
      </c>
      <c r="E8054" t="s">
        <v>98</v>
      </c>
    </row>
    <row r="8055" spans="1:5" x14ac:dyDescent="0.25">
      <c r="A8055" t="s">
        <v>37</v>
      </c>
      <c r="B8055">
        <v>2019</v>
      </c>
      <c r="C8055" t="s">
        <v>58</v>
      </c>
      <c r="D8055">
        <v>4.0175951890540604</v>
      </c>
      <c r="E8055" t="s">
        <v>98</v>
      </c>
    </row>
    <row r="8056" spans="1:5" x14ac:dyDescent="0.25">
      <c r="A8056" t="s">
        <v>37</v>
      </c>
      <c r="B8056">
        <v>2020</v>
      </c>
      <c r="C8056" t="s">
        <v>58</v>
      </c>
      <c r="D8056">
        <v>4.0184777168972401</v>
      </c>
      <c r="E8056" t="s">
        <v>98</v>
      </c>
    </row>
    <row r="8057" spans="1:5" x14ac:dyDescent="0.25">
      <c r="A8057" t="s">
        <v>37</v>
      </c>
      <c r="B8057">
        <v>2021</v>
      </c>
      <c r="C8057" t="s">
        <v>58</v>
      </c>
      <c r="D8057">
        <v>4.2944520651798301</v>
      </c>
      <c r="E8057" t="s">
        <v>98</v>
      </c>
    </row>
    <row r="8058" spans="1:5" x14ac:dyDescent="0.25">
      <c r="A8058" t="s">
        <v>37</v>
      </c>
      <c r="B8058">
        <v>2022</v>
      </c>
      <c r="C8058" t="s">
        <v>58</v>
      </c>
      <c r="D8058">
        <v>4.3666517707686401</v>
      </c>
      <c r="E8058" t="s">
        <v>98</v>
      </c>
    </row>
    <row r="8059" spans="1:5" x14ac:dyDescent="0.25">
      <c r="A8059" t="s">
        <v>37</v>
      </c>
      <c r="B8059">
        <v>2023</v>
      </c>
      <c r="C8059" t="s">
        <v>58</v>
      </c>
      <c r="D8059">
        <v>4.8735791518610503</v>
      </c>
      <c r="E8059" t="s">
        <v>98</v>
      </c>
    </row>
    <row r="8060" spans="1:5" x14ac:dyDescent="0.25">
      <c r="A8060" t="s">
        <v>37</v>
      </c>
      <c r="B8060">
        <v>2024</v>
      </c>
      <c r="C8060" t="s">
        <v>58</v>
      </c>
      <c r="D8060">
        <v>5.0598469844498402</v>
      </c>
      <c r="E8060" t="s">
        <v>98</v>
      </c>
    </row>
    <row r="8061" spans="1:5" x14ac:dyDescent="0.25">
      <c r="A8061" t="s">
        <v>37</v>
      </c>
      <c r="B8061">
        <v>2025</v>
      </c>
      <c r="C8061" t="s">
        <v>58</v>
      </c>
      <c r="D8061">
        <v>5.0024599232757501</v>
      </c>
      <c r="E8061" t="s">
        <v>98</v>
      </c>
    </row>
    <row r="8062" spans="1:5" x14ac:dyDescent="0.25">
      <c r="A8062" t="s">
        <v>89</v>
      </c>
      <c r="B8062">
        <v>2004</v>
      </c>
      <c r="C8062" t="s">
        <v>58</v>
      </c>
      <c r="D8062" t="s">
        <v>39</v>
      </c>
      <c r="E8062" t="s">
        <v>98</v>
      </c>
    </row>
    <row r="8063" spans="1:5" x14ac:dyDescent="0.25">
      <c r="A8063" t="s">
        <v>89</v>
      </c>
      <c r="B8063">
        <v>2012</v>
      </c>
      <c r="C8063" t="s">
        <v>58</v>
      </c>
      <c r="D8063">
        <v>1.53174426783377</v>
      </c>
      <c r="E8063" t="s">
        <v>98</v>
      </c>
    </row>
    <row r="8064" spans="1:5" x14ac:dyDescent="0.25">
      <c r="A8064" t="s">
        <v>89</v>
      </c>
      <c r="B8064">
        <v>2013</v>
      </c>
      <c r="C8064" t="s">
        <v>58</v>
      </c>
      <c r="D8064">
        <v>1.2250037907562601</v>
      </c>
      <c r="E8064" t="s">
        <v>98</v>
      </c>
    </row>
    <row r="8065" spans="1:5" x14ac:dyDescent="0.25">
      <c r="A8065" t="s">
        <v>89</v>
      </c>
      <c r="B8065">
        <v>2014</v>
      </c>
      <c r="C8065" t="s">
        <v>58</v>
      </c>
      <c r="D8065">
        <v>1.16394942930409</v>
      </c>
      <c r="E8065" t="s">
        <v>98</v>
      </c>
    </row>
    <row r="8066" spans="1:5" x14ac:dyDescent="0.25">
      <c r="A8066" t="s">
        <v>89</v>
      </c>
      <c r="B8066">
        <v>2015</v>
      </c>
      <c r="C8066" t="s">
        <v>58</v>
      </c>
      <c r="D8066" t="s">
        <v>39</v>
      </c>
      <c r="E8066" t="s">
        <v>98</v>
      </c>
    </row>
    <row r="8067" spans="1:5" x14ac:dyDescent="0.25">
      <c r="A8067" t="s">
        <v>89</v>
      </c>
      <c r="B8067">
        <v>2016</v>
      </c>
      <c r="C8067" t="s">
        <v>58</v>
      </c>
      <c r="D8067" t="s">
        <v>39</v>
      </c>
      <c r="E8067" t="s">
        <v>98</v>
      </c>
    </row>
    <row r="8068" spans="1:5" x14ac:dyDescent="0.25">
      <c r="A8068" t="s">
        <v>89</v>
      </c>
      <c r="B8068">
        <v>2017</v>
      </c>
      <c r="C8068" t="s">
        <v>58</v>
      </c>
      <c r="D8068">
        <v>0.259232282600735</v>
      </c>
      <c r="E8068" t="s">
        <v>98</v>
      </c>
    </row>
    <row r="8069" spans="1:5" x14ac:dyDescent="0.25">
      <c r="A8069" t="s">
        <v>89</v>
      </c>
      <c r="B8069">
        <v>2018</v>
      </c>
      <c r="C8069" t="s">
        <v>58</v>
      </c>
      <c r="D8069">
        <v>0.49963416656396997</v>
      </c>
      <c r="E8069" t="s">
        <v>98</v>
      </c>
    </row>
    <row r="8070" spans="1:5" x14ac:dyDescent="0.25">
      <c r="A8070" t="s">
        <v>89</v>
      </c>
      <c r="B8070">
        <v>2019</v>
      </c>
      <c r="C8070" t="s">
        <v>58</v>
      </c>
      <c r="D8070" t="s">
        <v>39</v>
      </c>
      <c r="E8070" t="s">
        <v>98</v>
      </c>
    </row>
    <row r="8071" spans="1:5" x14ac:dyDescent="0.25">
      <c r="A8071" t="s">
        <v>89</v>
      </c>
      <c r="B8071">
        <v>2020</v>
      </c>
      <c r="C8071" t="s">
        <v>58</v>
      </c>
      <c r="D8071" t="s">
        <v>39</v>
      </c>
      <c r="E8071" t="s">
        <v>98</v>
      </c>
    </row>
    <row r="8072" spans="1:5" x14ac:dyDescent="0.25">
      <c r="A8072" t="s">
        <v>89</v>
      </c>
      <c r="B8072">
        <v>2021</v>
      </c>
      <c r="C8072" t="s">
        <v>58</v>
      </c>
      <c r="D8072" t="s">
        <v>39</v>
      </c>
      <c r="E8072" t="s">
        <v>98</v>
      </c>
    </row>
    <row r="8073" spans="1:5" x14ac:dyDescent="0.25">
      <c r="A8073" t="s">
        <v>89</v>
      </c>
      <c r="B8073">
        <v>2024</v>
      </c>
      <c r="C8073" t="s">
        <v>58</v>
      </c>
      <c r="D8073">
        <v>0.60972925818430401</v>
      </c>
      <c r="E8073" t="s">
        <v>98</v>
      </c>
    </row>
    <row r="8074" spans="1:5" x14ac:dyDescent="0.25">
      <c r="A8074" t="s">
        <v>70</v>
      </c>
      <c r="B8074">
        <v>2001</v>
      </c>
      <c r="C8074" t="s">
        <v>58</v>
      </c>
      <c r="D8074">
        <v>1.1772968280365099</v>
      </c>
      <c r="E8074" t="s">
        <v>98</v>
      </c>
    </row>
    <row r="8075" spans="1:5" x14ac:dyDescent="0.25">
      <c r="A8075" t="s">
        <v>70</v>
      </c>
      <c r="B8075">
        <v>2002</v>
      </c>
      <c r="C8075" t="s">
        <v>58</v>
      </c>
      <c r="D8075">
        <v>0.93661885415719803</v>
      </c>
      <c r="E8075" t="s">
        <v>98</v>
      </c>
    </row>
    <row r="8076" spans="1:5" x14ac:dyDescent="0.25">
      <c r="A8076" t="s">
        <v>70</v>
      </c>
      <c r="B8076">
        <v>2003</v>
      </c>
      <c r="C8076" t="s">
        <v>58</v>
      </c>
      <c r="D8076">
        <v>1.4558021337640601</v>
      </c>
      <c r="E8076" t="s">
        <v>98</v>
      </c>
    </row>
    <row r="8077" spans="1:5" x14ac:dyDescent="0.25">
      <c r="A8077" t="s">
        <v>70</v>
      </c>
      <c r="B8077">
        <v>2004</v>
      </c>
      <c r="C8077" t="s">
        <v>58</v>
      </c>
      <c r="D8077">
        <v>1.5372766131912901</v>
      </c>
      <c r="E8077" t="s">
        <v>98</v>
      </c>
    </row>
    <row r="8078" spans="1:5" x14ac:dyDescent="0.25">
      <c r="A8078" t="s">
        <v>70</v>
      </c>
      <c r="B8078">
        <v>2005</v>
      </c>
      <c r="C8078" t="s">
        <v>58</v>
      </c>
      <c r="D8078">
        <v>1.75233587289669</v>
      </c>
      <c r="E8078" t="s">
        <v>98</v>
      </c>
    </row>
    <row r="8079" spans="1:5" x14ac:dyDescent="0.25">
      <c r="A8079" t="s">
        <v>70</v>
      </c>
      <c r="B8079">
        <v>2006</v>
      </c>
      <c r="C8079" t="s">
        <v>58</v>
      </c>
      <c r="D8079">
        <v>2.1171540570879799</v>
      </c>
      <c r="E8079" t="s">
        <v>98</v>
      </c>
    </row>
    <row r="8080" spans="1:5" x14ac:dyDescent="0.25">
      <c r="A8080" t="s">
        <v>70</v>
      </c>
      <c r="B8080">
        <v>2007</v>
      </c>
      <c r="C8080" t="s">
        <v>58</v>
      </c>
      <c r="D8080">
        <v>2.2024859939863402</v>
      </c>
      <c r="E8080" t="s">
        <v>98</v>
      </c>
    </row>
    <row r="8081" spans="1:5" x14ac:dyDescent="0.25">
      <c r="A8081" t="s">
        <v>70</v>
      </c>
      <c r="B8081">
        <v>2008</v>
      </c>
      <c r="C8081" t="s">
        <v>58</v>
      </c>
      <c r="D8081">
        <v>2.6646069285951</v>
      </c>
      <c r="E8081" t="s">
        <v>98</v>
      </c>
    </row>
    <row r="8082" spans="1:5" x14ac:dyDescent="0.25">
      <c r="A8082" t="s">
        <v>70</v>
      </c>
      <c r="B8082">
        <v>2009</v>
      </c>
      <c r="C8082" t="s">
        <v>58</v>
      </c>
      <c r="D8082">
        <v>3.3227414803493698</v>
      </c>
      <c r="E8082" t="s">
        <v>98</v>
      </c>
    </row>
    <row r="8083" spans="1:5" x14ac:dyDescent="0.25">
      <c r="A8083" t="s">
        <v>70</v>
      </c>
      <c r="B8083">
        <v>2013</v>
      </c>
      <c r="C8083" t="s">
        <v>58</v>
      </c>
      <c r="D8083">
        <v>4.8300110203918196</v>
      </c>
      <c r="E8083" t="s">
        <v>98</v>
      </c>
    </row>
    <row r="8084" spans="1:5" x14ac:dyDescent="0.25">
      <c r="A8084" t="s">
        <v>70</v>
      </c>
      <c r="B8084">
        <v>2015</v>
      </c>
      <c r="C8084" t="s">
        <v>58</v>
      </c>
      <c r="D8084">
        <v>4.3397701331628502</v>
      </c>
      <c r="E8084" t="s">
        <v>98</v>
      </c>
    </row>
    <row r="8085" spans="1:5" x14ac:dyDescent="0.25">
      <c r="A8085" t="s">
        <v>70</v>
      </c>
      <c r="B8085">
        <v>2018</v>
      </c>
      <c r="C8085" t="s">
        <v>58</v>
      </c>
      <c r="D8085">
        <v>4.7521882765407097</v>
      </c>
      <c r="E8085" t="s">
        <v>98</v>
      </c>
    </row>
    <row r="8086" spans="1:5" x14ac:dyDescent="0.25">
      <c r="A8086" t="s">
        <v>70</v>
      </c>
      <c r="B8086">
        <v>2019</v>
      </c>
      <c r="C8086" t="s">
        <v>58</v>
      </c>
      <c r="D8086">
        <v>4.6537754649837204</v>
      </c>
      <c r="E8086" t="s">
        <v>98</v>
      </c>
    </row>
    <row r="8087" spans="1:5" x14ac:dyDescent="0.25">
      <c r="A8087" t="s">
        <v>70</v>
      </c>
      <c r="B8087">
        <v>2020</v>
      </c>
      <c r="C8087" t="s">
        <v>58</v>
      </c>
      <c r="D8087">
        <v>4.3249540285976202</v>
      </c>
      <c r="E8087" t="s">
        <v>98</v>
      </c>
    </row>
    <row r="8088" spans="1:5" x14ac:dyDescent="0.25">
      <c r="A8088" t="s">
        <v>70</v>
      </c>
      <c r="B8088">
        <v>2021</v>
      </c>
      <c r="C8088" t="s">
        <v>58</v>
      </c>
      <c r="D8088">
        <v>4.8556429146763103</v>
      </c>
      <c r="E8088" t="s">
        <v>98</v>
      </c>
    </row>
    <row r="8089" spans="1:5" x14ac:dyDescent="0.25">
      <c r="A8089" t="s">
        <v>70</v>
      </c>
      <c r="B8089">
        <v>2022</v>
      </c>
      <c r="C8089" t="s">
        <v>58</v>
      </c>
      <c r="D8089">
        <v>4.6169593817083499</v>
      </c>
      <c r="E8089" t="s">
        <v>98</v>
      </c>
    </row>
    <row r="8090" spans="1:5" x14ac:dyDescent="0.25">
      <c r="A8090" t="s">
        <v>70</v>
      </c>
      <c r="B8090">
        <v>2023</v>
      </c>
      <c r="C8090" t="s">
        <v>58</v>
      </c>
      <c r="D8090">
        <v>4.9567998161156197</v>
      </c>
      <c r="E8090" t="s">
        <v>98</v>
      </c>
    </row>
    <row r="8091" spans="1:5" x14ac:dyDescent="0.25">
      <c r="A8091" t="s">
        <v>70</v>
      </c>
      <c r="B8091">
        <v>2024</v>
      </c>
      <c r="C8091" t="s">
        <v>58</v>
      </c>
      <c r="D8091">
        <v>4.9805629509956004</v>
      </c>
      <c r="E8091" t="s">
        <v>98</v>
      </c>
    </row>
    <row r="8092" spans="1:5" x14ac:dyDescent="0.25">
      <c r="A8092" t="s">
        <v>70</v>
      </c>
      <c r="B8092">
        <v>2025</v>
      </c>
      <c r="C8092" t="s">
        <v>58</v>
      </c>
      <c r="D8092">
        <v>4.9661110444274703</v>
      </c>
      <c r="E8092" t="s">
        <v>98</v>
      </c>
    </row>
    <row r="8093" spans="1:5" x14ac:dyDescent="0.25">
      <c r="A8093" t="s">
        <v>111</v>
      </c>
      <c r="B8093">
        <v>2014</v>
      </c>
      <c r="C8093" t="s">
        <v>58</v>
      </c>
      <c r="D8093">
        <v>1.4089804411917899</v>
      </c>
      <c r="E8093" t="s">
        <v>98</v>
      </c>
    </row>
    <row r="8094" spans="1:5" x14ac:dyDescent="0.25">
      <c r="A8094" t="s">
        <v>111</v>
      </c>
      <c r="B8094">
        <v>2015</v>
      </c>
      <c r="C8094" t="s">
        <v>58</v>
      </c>
      <c r="D8094">
        <v>1.3226589083525</v>
      </c>
      <c r="E8094" t="s">
        <v>98</v>
      </c>
    </row>
    <row r="8095" spans="1:5" x14ac:dyDescent="0.25">
      <c r="A8095" t="s">
        <v>111</v>
      </c>
      <c r="B8095">
        <v>2018</v>
      </c>
      <c r="C8095" t="s">
        <v>58</v>
      </c>
      <c r="D8095">
        <v>1.5291286926868199</v>
      </c>
      <c r="E8095" t="s">
        <v>98</v>
      </c>
    </row>
    <row r="8096" spans="1:5" x14ac:dyDescent="0.25">
      <c r="A8096" t="s">
        <v>69</v>
      </c>
      <c r="B8096">
        <v>2018</v>
      </c>
      <c r="C8096" t="s">
        <v>58</v>
      </c>
      <c r="D8096">
        <v>0.50181410238920199</v>
      </c>
      <c r="E8096" t="s">
        <v>98</v>
      </c>
    </row>
    <row r="8097" spans="1:5" x14ac:dyDescent="0.25">
      <c r="A8097" t="s">
        <v>40</v>
      </c>
      <c r="B8097">
        <v>2010</v>
      </c>
      <c r="C8097" t="s">
        <v>58</v>
      </c>
      <c r="D8097">
        <v>2.4485364766022402</v>
      </c>
      <c r="E8097" t="s">
        <v>98</v>
      </c>
    </row>
    <row r="8098" spans="1:5" x14ac:dyDescent="0.25">
      <c r="A8098" t="s">
        <v>40</v>
      </c>
      <c r="B8098">
        <v>2011</v>
      </c>
      <c r="C8098" t="s">
        <v>58</v>
      </c>
      <c r="D8098">
        <v>4.1847918787214997</v>
      </c>
      <c r="E8098" t="s">
        <v>98</v>
      </c>
    </row>
    <row r="8099" spans="1:5" x14ac:dyDescent="0.25">
      <c r="A8099" t="s">
        <v>40</v>
      </c>
      <c r="B8099">
        <v>2012</v>
      </c>
      <c r="C8099" t="s">
        <v>58</v>
      </c>
      <c r="D8099">
        <v>5.2454285819657196</v>
      </c>
      <c r="E8099" t="s">
        <v>98</v>
      </c>
    </row>
    <row r="8100" spans="1:5" x14ac:dyDescent="0.25">
      <c r="A8100" t="s">
        <v>40</v>
      </c>
      <c r="B8100">
        <v>2013</v>
      </c>
      <c r="C8100" t="s">
        <v>58</v>
      </c>
      <c r="D8100">
        <v>5.9551076874234603</v>
      </c>
      <c r="E8100" t="s">
        <v>98</v>
      </c>
    </row>
    <row r="8101" spans="1:5" x14ac:dyDescent="0.25">
      <c r="A8101" t="s">
        <v>40</v>
      </c>
      <c r="B8101">
        <v>2014</v>
      </c>
      <c r="C8101" t="s">
        <v>58</v>
      </c>
      <c r="D8101">
        <v>5.0888978795227899</v>
      </c>
      <c r="E8101" t="s">
        <v>98</v>
      </c>
    </row>
    <row r="8102" spans="1:5" x14ac:dyDescent="0.25">
      <c r="A8102" t="s">
        <v>40</v>
      </c>
      <c r="B8102">
        <v>2015</v>
      </c>
      <c r="C8102" t="s">
        <v>58</v>
      </c>
      <c r="D8102">
        <v>4.2969138214384897</v>
      </c>
      <c r="E8102" t="s">
        <v>98</v>
      </c>
    </row>
    <row r="8103" spans="1:5" x14ac:dyDescent="0.25">
      <c r="A8103" t="s">
        <v>40</v>
      </c>
      <c r="B8103">
        <v>2016</v>
      </c>
      <c r="C8103" t="s">
        <v>58</v>
      </c>
      <c r="D8103">
        <v>4.1281204030480501</v>
      </c>
      <c r="E8103" t="s">
        <v>98</v>
      </c>
    </row>
    <row r="8104" spans="1:5" x14ac:dyDescent="0.25">
      <c r="A8104" t="s">
        <v>40</v>
      </c>
      <c r="B8104">
        <v>2017</v>
      </c>
      <c r="C8104" t="s">
        <v>58</v>
      </c>
      <c r="D8104">
        <v>4.7176188044337497</v>
      </c>
      <c r="E8104" t="s">
        <v>98</v>
      </c>
    </row>
    <row r="8105" spans="1:5" x14ac:dyDescent="0.25">
      <c r="A8105" t="s">
        <v>40</v>
      </c>
      <c r="B8105">
        <v>2018</v>
      </c>
      <c r="C8105" t="s">
        <v>58</v>
      </c>
      <c r="D8105">
        <v>4.9530666840045896</v>
      </c>
      <c r="E8105" t="s">
        <v>98</v>
      </c>
    </row>
    <row r="8106" spans="1:5" x14ac:dyDescent="0.25">
      <c r="A8106" t="s">
        <v>40</v>
      </c>
      <c r="B8106">
        <v>2019</v>
      </c>
      <c r="C8106" t="s">
        <v>58</v>
      </c>
      <c r="D8106">
        <v>4.6868186952675499</v>
      </c>
      <c r="E8106" t="s">
        <v>98</v>
      </c>
    </row>
    <row r="8107" spans="1:5" x14ac:dyDescent="0.25">
      <c r="A8107" t="s">
        <v>40</v>
      </c>
      <c r="B8107">
        <v>2020</v>
      </c>
      <c r="C8107" t="s">
        <v>58</v>
      </c>
      <c r="D8107">
        <v>4.6217287547190997</v>
      </c>
      <c r="E8107" t="s">
        <v>98</v>
      </c>
    </row>
    <row r="8108" spans="1:5" x14ac:dyDescent="0.25">
      <c r="A8108" t="s">
        <v>40</v>
      </c>
      <c r="B8108">
        <v>2021</v>
      </c>
      <c r="C8108" t="s">
        <v>58</v>
      </c>
      <c r="D8108">
        <v>5.0130499199135299</v>
      </c>
      <c r="E8108" t="s">
        <v>98</v>
      </c>
    </row>
    <row r="8109" spans="1:5" x14ac:dyDescent="0.25">
      <c r="A8109" t="s">
        <v>40</v>
      </c>
      <c r="B8109">
        <v>2022</v>
      </c>
      <c r="C8109" t="s">
        <v>58</v>
      </c>
      <c r="D8109">
        <v>5.2410645272224796</v>
      </c>
      <c r="E8109" t="s">
        <v>98</v>
      </c>
    </row>
    <row r="8110" spans="1:5" x14ac:dyDescent="0.25">
      <c r="A8110" t="s">
        <v>40</v>
      </c>
      <c r="B8110">
        <v>2023</v>
      </c>
      <c r="C8110" t="s">
        <v>58</v>
      </c>
      <c r="D8110">
        <v>5.44653832622022</v>
      </c>
      <c r="E8110" t="s">
        <v>98</v>
      </c>
    </row>
    <row r="8111" spans="1:5" x14ac:dyDescent="0.25">
      <c r="A8111" t="s">
        <v>40</v>
      </c>
      <c r="B8111">
        <v>2024</v>
      </c>
      <c r="C8111" t="s">
        <v>58</v>
      </c>
      <c r="D8111">
        <v>5.2991422094342804</v>
      </c>
      <c r="E8111" t="s">
        <v>98</v>
      </c>
    </row>
    <row r="8112" spans="1:5" x14ac:dyDescent="0.25">
      <c r="A8112" t="s">
        <v>40</v>
      </c>
      <c r="B8112">
        <v>2025</v>
      </c>
      <c r="C8112" t="s">
        <v>58</v>
      </c>
      <c r="D8112">
        <v>5.3131366118288703</v>
      </c>
      <c r="E8112" t="s">
        <v>98</v>
      </c>
    </row>
    <row r="8113" spans="1:5" x14ac:dyDescent="0.25">
      <c r="A8113" t="s">
        <v>67</v>
      </c>
      <c r="B8113">
        <v>2010</v>
      </c>
      <c r="C8113" t="s">
        <v>58</v>
      </c>
      <c r="D8113">
        <v>4.0599168093638101</v>
      </c>
      <c r="E8113" t="s">
        <v>98</v>
      </c>
    </row>
    <row r="8114" spans="1:5" x14ac:dyDescent="0.25">
      <c r="A8114" t="s">
        <v>67</v>
      </c>
      <c r="B8114">
        <v>2011</v>
      </c>
      <c r="C8114" t="s">
        <v>58</v>
      </c>
      <c r="D8114">
        <v>3.8031453527652599</v>
      </c>
      <c r="E8114" t="s">
        <v>98</v>
      </c>
    </row>
    <row r="8115" spans="1:5" x14ac:dyDescent="0.25">
      <c r="A8115" t="s">
        <v>67</v>
      </c>
      <c r="B8115">
        <v>2012</v>
      </c>
      <c r="C8115" t="s">
        <v>58</v>
      </c>
      <c r="D8115">
        <v>4.2359541623397199</v>
      </c>
      <c r="E8115" t="s">
        <v>98</v>
      </c>
    </row>
    <row r="8116" spans="1:5" x14ac:dyDescent="0.25">
      <c r="A8116" t="s">
        <v>67</v>
      </c>
      <c r="B8116">
        <v>2013</v>
      </c>
      <c r="C8116" t="s">
        <v>58</v>
      </c>
      <c r="D8116">
        <v>4.1976947305812304</v>
      </c>
      <c r="E8116" t="s">
        <v>98</v>
      </c>
    </row>
    <row r="8117" spans="1:5" x14ac:dyDescent="0.25">
      <c r="A8117" t="s">
        <v>67</v>
      </c>
      <c r="B8117">
        <v>2014</v>
      </c>
      <c r="C8117" t="s">
        <v>58</v>
      </c>
      <c r="D8117">
        <v>3.76700164147928</v>
      </c>
      <c r="E8117" t="s">
        <v>98</v>
      </c>
    </row>
    <row r="8118" spans="1:5" x14ac:dyDescent="0.25">
      <c r="A8118" t="s">
        <v>67</v>
      </c>
      <c r="B8118">
        <v>2015</v>
      </c>
      <c r="C8118" t="s">
        <v>58</v>
      </c>
      <c r="D8118">
        <v>3.2704305827718998</v>
      </c>
      <c r="E8118" t="s">
        <v>98</v>
      </c>
    </row>
    <row r="8119" spans="1:5" x14ac:dyDescent="0.25">
      <c r="A8119" t="s">
        <v>67</v>
      </c>
      <c r="B8119">
        <v>2016</v>
      </c>
      <c r="C8119" t="s">
        <v>58</v>
      </c>
      <c r="D8119">
        <v>3.2470716243114701</v>
      </c>
      <c r="E8119" t="s">
        <v>98</v>
      </c>
    </row>
    <row r="8120" spans="1:5" x14ac:dyDescent="0.25">
      <c r="A8120" t="s">
        <v>67</v>
      </c>
      <c r="B8120">
        <v>2017</v>
      </c>
      <c r="C8120" t="s">
        <v>58</v>
      </c>
      <c r="D8120">
        <v>3.9630703551813</v>
      </c>
      <c r="E8120" t="s">
        <v>98</v>
      </c>
    </row>
    <row r="8121" spans="1:5" x14ac:dyDescent="0.25">
      <c r="A8121" t="s">
        <v>67</v>
      </c>
      <c r="B8121">
        <v>2018</v>
      </c>
      <c r="C8121" t="s">
        <v>58</v>
      </c>
      <c r="D8121">
        <v>5.58210273080027</v>
      </c>
      <c r="E8121" t="s">
        <v>98</v>
      </c>
    </row>
    <row r="8122" spans="1:5" x14ac:dyDescent="0.25">
      <c r="A8122" t="s">
        <v>67</v>
      </c>
      <c r="B8122">
        <v>2019</v>
      </c>
      <c r="C8122" t="s">
        <v>58</v>
      </c>
      <c r="D8122">
        <v>5.1754891749276597</v>
      </c>
      <c r="E8122" t="s">
        <v>98</v>
      </c>
    </row>
    <row r="8123" spans="1:5" x14ac:dyDescent="0.25">
      <c r="A8123" t="s">
        <v>67</v>
      </c>
      <c r="B8123">
        <v>2020</v>
      </c>
      <c r="C8123" t="s">
        <v>58</v>
      </c>
      <c r="D8123">
        <v>4.95597270756224</v>
      </c>
      <c r="E8123" t="s">
        <v>98</v>
      </c>
    </row>
    <row r="8124" spans="1:5" x14ac:dyDescent="0.25">
      <c r="A8124" t="s">
        <v>67</v>
      </c>
      <c r="B8124">
        <v>2021</v>
      </c>
      <c r="C8124" t="s">
        <v>58</v>
      </c>
      <c r="D8124">
        <v>4.9674879004378498</v>
      </c>
      <c r="E8124" t="s">
        <v>98</v>
      </c>
    </row>
    <row r="8125" spans="1:5" x14ac:dyDescent="0.25">
      <c r="A8125" t="s">
        <v>67</v>
      </c>
      <c r="B8125">
        <v>2022</v>
      </c>
      <c r="C8125" t="s">
        <v>58</v>
      </c>
      <c r="D8125">
        <v>4.8892538668779002</v>
      </c>
      <c r="E8125" t="s">
        <v>98</v>
      </c>
    </row>
    <row r="8126" spans="1:5" x14ac:dyDescent="0.25">
      <c r="A8126" t="s">
        <v>67</v>
      </c>
      <c r="B8126">
        <v>2023</v>
      </c>
      <c r="C8126" t="s">
        <v>58</v>
      </c>
      <c r="D8126">
        <v>5.3810879190389498</v>
      </c>
      <c r="E8126" t="s">
        <v>98</v>
      </c>
    </row>
    <row r="8127" spans="1:5" x14ac:dyDescent="0.25">
      <c r="A8127" t="s">
        <v>67</v>
      </c>
      <c r="B8127">
        <v>2024</v>
      </c>
      <c r="C8127" t="s">
        <v>58</v>
      </c>
      <c r="D8127">
        <v>5.3443204302695504</v>
      </c>
      <c r="E8127" t="s">
        <v>98</v>
      </c>
    </row>
    <row r="8128" spans="1:5" x14ac:dyDescent="0.25">
      <c r="A8128" t="s">
        <v>67</v>
      </c>
      <c r="B8128">
        <v>2025</v>
      </c>
      <c r="C8128" t="s">
        <v>58</v>
      </c>
      <c r="D8128">
        <v>5.3142597491809704</v>
      </c>
      <c r="E8128" t="s">
        <v>98</v>
      </c>
    </row>
    <row r="8129" spans="1:5" x14ac:dyDescent="0.25">
      <c r="A8129" t="s">
        <v>66</v>
      </c>
      <c r="B8129">
        <v>2022</v>
      </c>
      <c r="C8129" t="s">
        <v>58</v>
      </c>
      <c r="D8129">
        <v>5.3064748280796001</v>
      </c>
      <c r="E8129" t="s">
        <v>98</v>
      </c>
    </row>
    <row r="8130" spans="1:5" x14ac:dyDescent="0.25">
      <c r="A8130" t="s">
        <v>66</v>
      </c>
      <c r="B8130">
        <v>2023</v>
      </c>
      <c r="C8130" t="s">
        <v>58</v>
      </c>
      <c r="D8130">
        <v>5.6224094324348499</v>
      </c>
      <c r="E8130" t="s">
        <v>98</v>
      </c>
    </row>
    <row r="8131" spans="1:5" x14ac:dyDescent="0.25">
      <c r="A8131" t="s">
        <v>110</v>
      </c>
      <c r="B8131">
        <v>2006</v>
      </c>
      <c r="C8131" t="s">
        <v>58</v>
      </c>
      <c r="D8131">
        <v>2.3900609725871198</v>
      </c>
      <c r="E8131" t="s">
        <v>98</v>
      </c>
    </row>
    <row r="8132" spans="1:5" x14ac:dyDescent="0.25">
      <c r="A8132" t="s">
        <v>110</v>
      </c>
      <c r="B8132">
        <v>2007</v>
      </c>
      <c r="C8132" t="s">
        <v>58</v>
      </c>
      <c r="D8132">
        <v>2.68654907289267</v>
      </c>
      <c r="E8132" t="s">
        <v>98</v>
      </c>
    </row>
    <row r="8133" spans="1:5" x14ac:dyDescent="0.25">
      <c r="A8133" t="s">
        <v>110</v>
      </c>
      <c r="B8133">
        <v>2008</v>
      </c>
      <c r="C8133" t="s">
        <v>58</v>
      </c>
      <c r="D8133">
        <v>3.4081470053824301</v>
      </c>
      <c r="E8133" t="s">
        <v>98</v>
      </c>
    </row>
    <row r="8134" spans="1:5" x14ac:dyDescent="0.25">
      <c r="A8134" t="s">
        <v>110</v>
      </c>
      <c r="B8134">
        <v>2010</v>
      </c>
      <c r="C8134" t="s">
        <v>58</v>
      </c>
      <c r="D8134">
        <v>3.3251105032828501</v>
      </c>
      <c r="E8134" t="s">
        <v>98</v>
      </c>
    </row>
    <row r="8135" spans="1:5" x14ac:dyDescent="0.25">
      <c r="A8135" t="s">
        <v>110</v>
      </c>
      <c r="B8135">
        <v>2011</v>
      </c>
      <c r="C8135" t="s">
        <v>58</v>
      </c>
      <c r="D8135">
        <v>3.6752394031592499</v>
      </c>
      <c r="E8135" t="s">
        <v>98</v>
      </c>
    </row>
    <row r="8136" spans="1:5" x14ac:dyDescent="0.25">
      <c r="A8136" t="s">
        <v>110</v>
      </c>
      <c r="B8136">
        <v>2012</v>
      </c>
      <c r="C8136" t="s">
        <v>58</v>
      </c>
      <c r="D8136">
        <v>4.55917468227371</v>
      </c>
      <c r="E8136" t="s">
        <v>98</v>
      </c>
    </row>
    <row r="8137" spans="1:5" x14ac:dyDescent="0.25">
      <c r="A8137" t="s">
        <v>110</v>
      </c>
      <c r="B8137">
        <v>2013</v>
      </c>
      <c r="C8137" t="s">
        <v>58</v>
      </c>
      <c r="D8137">
        <v>4.62277034154791</v>
      </c>
      <c r="E8137" t="s">
        <v>98</v>
      </c>
    </row>
    <row r="8138" spans="1:5" x14ac:dyDescent="0.25">
      <c r="A8138" t="s">
        <v>110</v>
      </c>
      <c r="B8138">
        <v>2014</v>
      </c>
      <c r="C8138" t="s">
        <v>58</v>
      </c>
      <c r="D8138">
        <v>3.9616169818982998</v>
      </c>
      <c r="E8138" t="s">
        <v>98</v>
      </c>
    </row>
    <row r="8139" spans="1:5" x14ac:dyDescent="0.25">
      <c r="A8139" t="s">
        <v>110</v>
      </c>
      <c r="B8139">
        <v>2015</v>
      </c>
      <c r="C8139" t="s">
        <v>58</v>
      </c>
      <c r="D8139">
        <v>3.3929678882877599</v>
      </c>
      <c r="E8139" t="s">
        <v>98</v>
      </c>
    </row>
    <row r="8140" spans="1:5" x14ac:dyDescent="0.25">
      <c r="A8140" t="s">
        <v>110</v>
      </c>
      <c r="B8140">
        <v>2016</v>
      </c>
      <c r="C8140" t="s">
        <v>58</v>
      </c>
      <c r="D8140">
        <v>3.3621495727604298</v>
      </c>
      <c r="E8140" t="s">
        <v>98</v>
      </c>
    </row>
    <row r="8141" spans="1:5" x14ac:dyDescent="0.25">
      <c r="A8141" t="s">
        <v>110</v>
      </c>
      <c r="B8141">
        <v>2017</v>
      </c>
      <c r="C8141" t="s">
        <v>58</v>
      </c>
      <c r="D8141">
        <v>3.8883303184232099</v>
      </c>
      <c r="E8141" t="s">
        <v>98</v>
      </c>
    </row>
    <row r="8142" spans="1:5" x14ac:dyDescent="0.25">
      <c r="A8142" t="s">
        <v>110</v>
      </c>
      <c r="B8142">
        <v>2018</v>
      </c>
      <c r="C8142" t="s">
        <v>58</v>
      </c>
      <c r="D8142">
        <v>4.1719459633753901</v>
      </c>
      <c r="E8142" t="s">
        <v>98</v>
      </c>
    </row>
    <row r="8143" spans="1:5" x14ac:dyDescent="0.25">
      <c r="A8143" t="s">
        <v>110</v>
      </c>
      <c r="B8143">
        <v>2019</v>
      </c>
      <c r="C8143" t="s">
        <v>58</v>
      </c>
      <c r="D8143">
        <v>4.0999059316039697</v>
      </c>
      <c r="E8143" t="s">
        <v>98</v>
      </c>
    </row>
    <row r="8144" spans="1:5" x14ac:dyDescent="0.25">
      <c r="A8144" t="s">
        <v>110</v>
      </c>
      <c r="B8144">
        <v>2020</v>
      </c>
      <c r="C8144" t="s">
        <v>58</v>
      </c>
      <c r="D8144">
        <v>3.7662704537301299</v>
      </c>
      <c r="E8144" t="s">
        <v>98</v>
      </c>
    </row>
    <row r="8145" spans="1:5" x14ac:dyDescent="0.25">
      <c r="A8145" t="s">
        <v>110</v>
      </c>
      <c r="B8145">
        <v>2021</v>
      </c>
      <c r="C8145" t="s">
        <v>58</v>
      </c>
      <c r="D8145">
        <v>4.1306995946967904</v>
      </c>
      <c r="E8145" t="s">
        <v>98</v>
      </c>
    </row>
    <row r="8146" spans="1:5" x14ac:dyDescent="0.25">
      <c r="A8146" t="s">
        <v>110</v>
      </c>
      <c r="B8146">
        <v>2022</v>
      </c>
      <c r="C8146" t="s">
        <v>58</v>
      </c>
      <c r="D8146">
        <v>4.5983366007319804</v>
      </c>
      <c r="E8146" t="s">
        <v>98</v>
      </c>
    </row>
    <row r="8147" spans="1:5" x14ac:dyDescent="0.25">
      <c r="A8147" t="s">
        <v>110</v>
      </c>
      <c r="B8147">
        <v>2023</v>
      </c>
      <c r="C8147" t="s">
        <v>58</v>
      </c>
      <c r="D8147">
        <v>4.3705980738266401</v>
      </c>
      <c r="E8147" t="s">
        <v>98</v>
      </c>
    </row>
    <row r="8148" spans="1:5" x14ac:dyDescent="0.25">
      <c r="A8148" t="s">
        <v>110</v>
      </c>
      <c r="B8148">
        <v>2024</v>
      </c>
      <c r="C8148" t="s">
        <v>58</v>
      </c>
      <c r="D8148">
        <v>4.4040117108359</v>
      </c>
      <c r="E8148" t="s">
        <v>98</v>
      </c>
    </row>
    <row r="8149" spans="1:5" x14ac:dyDescent="0.25">
      <c r="A8149" t="s">
        <v>109</v>
      </c>
      <c r="B8149">
        <v>2000</v>
      </c>
      <c r="C8149" t="s">
        <v>58</v>
      </c>
      <c r="D8149">
        <v>1.7359582555355699</v>
      </c>
      <c r="E8149" t="s">
        <v>98</v>
      </c>
    </row>
    <row r="8150" spans="1:5" x14ac:dyDescent="0.25">
      <c r="A8150" t="s">
        <v>109</v>
      </c>
      <c r="B8150">
        <v>2001</v>
      </c>
      <c r="C8150" t="s">
        <v>58</v>
      </c>
      <c r="D8150">
        <v>1.8907144674506899</v>
      </c>
      <c r="E8150" t="s">
        <v>98</v>
      </c>
    </row>
    <row r="8151" spans="1:5" x14ac:dyDescent="0.25">
      <c r="A8151" t="s">
        <v>109</v>
      </c>
      <c r="B8151">
        <v>2002</v>
      </c>
      <c r="C8151" t="s">
        <v>58</v>
      </c>
      <c r="D8151">
        <v>2.1052337111978998</v>
      </c>
      <c r="E8151" t="s">
        <v>98</v>
      </c>
    </row>
    <row r="8152" spans="1:5" x14ac:dyDescent="0.25">
      <c r="A8152" t="s">
        <v>109</v>
      </c>
      <c r="B8152">
        <v>2003</v>
      </c>
      <c r="C8152" t="s">
        <v>58</v>
      </c>
      <c r="D8152">
        <v>2.03952431023058</v>
      </c>
      <c r="E8152" t="s">
        <v>98</v>
      </c>
    </row>
    <row r="8153" spans="1:5" x14ac:dyDescent="0.25">
      <c r="A8153" t="s">
        <v>109</v>
      </c>
      <c r="B8153">
        <v>2004</v>
      </c>
      <c r="C8153" t="s">
        <v>58</v>
      </c>
      <c r="D8153">
        <v>2.4134827642797299</v>
      </c>
      <c r="E8153" t="s">
        <v>98</v>
      </c>
    </row>
    <row r="8154" spans="1:5" x14ac:dyDescent="0.25">
      <c r="A8154" t="s">
        <v>109</v>
      </c>
      <c r="B8154">
        <v>2005</v>
      </c>
      <c r="C8154" t="s">
        <v>58</v>
      </c>
      <c r="D8154">
        <v>2.6245070369511998</v>
      </c>
      <c r="E8154" t="s">
        <v>98</v>
      </c>
    </row>
    <row r="8155" spans="1:5" x14ac:dyDescent="0.25">
      <c r="A8155" t="s">
        <v>109</v>
      </c>
      <c r="B8155">
        <v>2006</v>
      </c>
      <c r="C8155" t="s">
        <v>58</v>
      </c>
      <c r="D8155">
        <v>2.70771218234235</v>
      </c>
      <c r="E8155" t="s">
        <v>98</v>
      </c>
    </row>
    <row r="8156" spans="1:5" x14ac:dyDescent="0.25">
      <c r="A8156" t="s">
        <v>109</v>
      </c>
      <c r="B8156">
        <v>2007</v>
      </c>
      <c r="C8156" t="s">
        <v>58</v>
      </c>
      <c r="D8156">
        <v>3.2030882939062999</v>
      </c>
      <c r="E8156" t="s">
        <v>98</v>
      </c>
    </row>
    <row r="8157" spans="1:5" x14ac:dyDescent="0.25">
      <c r="A8157" t="s">
        <v>109</v>
      </c>
      <c r="B8157">
        <v>2008</v>
      </c>
      <c r="C8157" t="s">
        <v>58</v>
      </c>
      <c r="D8157">
        <v>4.0993379835320196</v>
      </c>
      <c r="E8157" t="s">
        <v>98</v>
      </c>
    </row>
    <row r="8158" spans="1:5" x14ac:dyDescent="0.25">
      <c r="A8158" t="s">
        <v>109</v>
      </c>
      <c r="B8158">
        <v>2009</v>
      </c>
      <c r="C8158" t="s">
        <v>58</v>
      </c>
      <c r="D8158">
        <v>3.5902157700781898</v>
      </c>
      <c r="E8158" t="s">
        <v>98</v>
      </c>
    </row>
    <row r="8159" spans="1:5" x14ac:dyDescent="0.25">
      <c r="A8159" t="s">
        <v>109</v>
      </c>
      <c r="B8159">
        <v>2010</v>
      </c>
      <c r="C8159" t="s">
        <v>58</v>
      </c>
      <c r="D8159">
        <v>3.1929170925866699</v>
      </c>
      <c r="E8159" t="s">
        <v>98</v>
      </c>
    </row>
    <row r="8160" spans="1:5" x14ac:dyDescent="0.25">
      <c r="A8160" t="s">
        <v>109</v>
      </c>
      <c r="B8160">
        <v>2011</v>
      </c>
      <c r="C8160" t="s">
        <v>58</v>
      </c>
      <c r="D8160">
        <v>4.1791790830512001</v>
      </c>
      <c r="E8160" t="s">
        <v>98</v>
      </c>
    </row>
    <row r="8161" spans="1:5" x14ac:dyDescent="0.25">
      <c r="A8161" t="s">
        <v>109</v>
      </c>
      <c r="B8161">
        <v>2012</v>
      </c>
      <c r="C8161" t="s">
        <v>58</v>
      </c>
      <c r="D8161">
        <v>5.0026610351647296</v>
      </c>
      <c r="E8161" t="s">
        <v>98</v>
      </c>
    </row>
    <row r="8162" spans="1:5" x14ac:dyDescent="0.25">
      <c r="A8162" t="s">
        <v>109</v>
      </c>
      <c r="B8162">
        <v>2013</v>
      </c>
      <c r="C8162" t="s">
        <v>58</v>
      </c>
      <c r="D8162">
        <v>5.5111668110643697</v>
      </c>
      <c r="E8162" t="s">
        <v>98</v>
      </c>
    </row>
    <row r="8163" spans="1:5" x14ac:dyDescent="0.25">
      <c r="A8163" t="s">
        <v>109</v>
      </c>
      <c r="B8163">
        <v>2014</v>
      </c>
      <c r="C8163" t="s">
        <v>58</v>
      </c>
      <c r="D8163">
        <v>4.38045464028969</v>
      </c>
      <c r="E8163" t="s">
        <v>98</v>
      </c>
    </row>
    <row r="8164" spans="1:5" x14ac:dyDescent="0.25">
      <c r="A8164" t="s">
        <v>109</v>
      </c>
      <c r="B8164">
        <v>2015</v>
      </c>
      <c r="C8164" t="s">
        <v>58</v>
      </c>
      <c r="D8164">
        <v>4.1203655456541197</v>
      </c>
      <c r="E8164" t="s">
        <v>98</v>
      </c>
    </row>
    <row r="8165" spans="1:5" x14ac:dyDescent="0.25">
      <c r="A8165" t="s">
        <v>109</v>
      </c>
      <c r="B8165">
        <v>2016</v>
      </c>
      <c r="C8165" t="s">
        <v>58</v>
      </c>
      <c r="D8165">
        <v>4.2697226162994903</v>
      </c>
      <c r="E8165" t="s">
        <v>98</v>
      </c>
    </row>
    <row r="8166" spans="1:5" x14ac:dyDescent="0.25">
      <c r="A8166" t="s">
        <v>109</v>
      </c>
      <c r="B8166">
        <v>2017</v>
      </c>
      <c r="C8166" t="s">
        <v>58</v>
      </c>
      <c r="D8166">
        <v>4.8588684083470302</v>
      </c>
      <c r="E8166" t="s">
        <v>98</v>
      </c>
    </row>
    <row r="8167" spans="1:5" x14ac:dyDescent="0.25">
      <c r="A8167" t="s">
        <v>109</v>
      </c>
      <c r="B8167">
        <v>2018</v>
      </c>
      <c r="C8167" t="s">
        <v>58</v>
      </c>
      <c r="D8167">
        <v>5.6462267232260901</v>
      </c>
      <c r="E8167" t="s">
        <v>98</v>
      </c>
    </row>
    <row r="8168" spans="1:5" x14ac:dyDescent="0.25">
      <c r="A8168" t="s">
        <v>109</v>
      </c>
      <c r="B8168">
        <v>2019</v>
      </c>
      <c r="C8168" t="s">
        <v>58</v>
      </c>
      <c r="D8168">
        <v>5.43757487893886</v>
      </c>
      <c r="E8168" t="s">
        <v>98</v>
      </c>
    </row>
    <row r="8169" spans="1:5" x14ac:dyDescent="0.25">
      <c r="A8169" t="s">
        <v>109</v>
      </c>
      <c r="B8169">
        <v>2020</v>
      </c>
      <c r="C8169" t="s">
        <v>58</v>
      </c>
      <c r="D8169">
        <v>5.2896490175389603</v>
      </c>
      <c r="E8169" t="s">
        <v>98</v>
      </c>
    </row>
    <row r="8170" spans="1:5" x14ac:dyDescent="0.25">
      <c r="A8170" t="s">
        <v>109</v>
      </c>
      <c r="B8170">
        <v>2021</v>
      </c>
      <c r="C8170" t="s">
        <v>58</v>
      </c>
      <c r="D8170">
        <v>5.3581467959265998</v>
      </c>
      <c r="E8170" t="s">
        <v>98</v>
      </c>
    </row>
    <row r="8171" spans="1:5" x14ac:dyDescent="0.25">
      <c r="A8171" t="s">
        <v>109</v>
      </c>
      <c r="B8171">
        <v>2022</v>
      </c>
      <c r="C8171" t="s">
        <v>58</v>
      </c>
      <c r="D8171">
        <v>5.4119369191137503</v>
      </c>
      <c r="E8171" t="s">
        <v>98</v>
      </c>
    </row>
    <row r="8172" spans="1:5" x14ac:dyDescent="0.25">
      <c r="A8172" t="s">
        <v>109</v>
      </c>
      <c r="B8172">
        <v>2023</v>
      </c>
      <c r="C8172" t="s">
        <v>58</v>
      </c>
      <c r="D8172">
        <v>5.7705534423182803</v>
      </c>
      <c r="E8172" t="s">
        <v>98</v>
      </c>
    </row>
    <row r="8173" spans="1:5" x14ac:dyDescent="0.25">
      <c r="A8173" t="s">
        <v>109</v>
      </c>
      <c r="B8173">
        <v>2024</v>
      </c>
      <c r="C8173" t="s">
        <v>58</v>
      </c>
      <c r="D8173">
        <v>5.6617261547918698</v>
      </c>
      <c r="E8173" t="s">
        <v>98</v>
      </c>
    </row>
    <row r="8174" spans="1:5" x14ac:dyDescent="0.25">
      <c r="A8174" t="s">
        <v>109</v>
      </c>
      <c r="B8174">
        <v>2025</v>
      </c>
      <c r="C8174" t="s">
        <v>58</v>
      </c>
      <c r="D8174">
        <v>5.4785755448760902</v>
      </c>
      <c r="E8174" t="s">
        <v>98</v>
      </c>
    </row>
    <row r="8175" spans="1:5" x14ac:dyDescent="0.25">
      <c r="A8175" t="s">
        <v>41</v>
      </c>
      <c r="B8175">
        <v>2015</v>
      </c>
      <c r="C8175" t="s">
        <v>58</v>
      </c>
      <c r="D8175">
        <v>3.58411143609931</v>
      </c>
      <c r="E8175" t="s">
        <v>98</v>
      </c>
    </row>
    <row r="8176" spans="1:5" x14ac:dyDescent="0.25">
      <c r="A8176" t="s">
        <v>41</v>
      </c>
      <c r="B8176">
        <v>2016</v>
      </c>
      <c r="C8176" t="s">
        <v>58</v>
      </c>
      <c r="D8176">
        <v>3.5567472364731301</v>
      </c>
      <c r="E8176" t="s">
        <v>98</v>
      </c>
    </row>
    <row r="8177" spans="1:5" x14ac:dyDescent="0.25">
      <c r="A8177" t="s">
        <v>41</v>
      </c>
      <c r="B8177">
        <v>2018</v>
      </c>
      <c r="C8177" t="s">
        <v>58</v>
      </c>
      <c r="D8177">
        <v>4.5183679968811603</v>
      </c>
      <c r="E8177" t="s">
        <v>98</v>
      </c>
    </row>
    <row r="8178" spans="1:5" x14ac:dyDescent="0.25">
      <c r="A8178" t="s">
        <v>41</v>
      </c>
      <c r="B8178">
        <v>2022</v>
      </c>
      <c r="C8178" t="s">
        <v>58</v>
      </c>
      <c r="D8178">
        <v>5.1938984004883304</v>
      </c>
      <c r="E8178" t="s">
        <v>98</v>
      </c>
    </row>
    <row r="8179" spans="1:5" x14ac:dyDescent="0.25">
      <c r="A8179" t="s">
        <v>41</v>
      </c>
      <c r="B8179">
        <v>2023</v>
      </c>
      <c r="C8179" t="s">
        <v>58</v>
      </c>
      <c r="D8179">
        <v>5.6471438369149798</v>
      </c>
      <c r="E8179" t="s">
        <v>98</v>
      </c>
    </row>
    <row r="8180" spans="1:5" x14ac:dyDescent="0.25">
      <c r="A8180" t="s">
        <v>64</v>
      </c>
      <c r="B8180">
        <v>2010</v>
      </c>
      <c r="C8180" t="s">
        <v>58</v>
      </c>
      <c r="D8180">
        <v>3.6538479873582701</v>
      </c>
      <c r="E8180" t="s">
        <v>98</v>
      </c>
    </row>
    <row r="8181" spans="1:5" x14ac:dyDescent="0.25">
      <c r="A8181" t="s">
        <v>64</v>
      </c>
      <c r="B8181">
        <v>2011</v>
      </c>
      <c r="C8181" t="s">
        <v>58</v>
      </c>
      <c r="D8181">
        <v>3.6925472532989598</v>
      </c>
      <c r="E8181" t="s">
        <v>98</v>
      </c>
    </row>
    <row r="8182" spans="1:5" x14ac:dyDescent="0.25">
      <c r="A8182" t="s">
        <v>64</v>
      </c>
      <c r="B8182">
        <v>2012</v>
      </c>
      <c r="C8182" t="s">
        <v>58</v>
      </c>
      <c r="D8182">
        <v>4.4581926479039202</v>
      </c>
      <c r="E8182" t="s">
        <v>98</v>
      </c>
    </row>
    <row r="8183" spans="1:5" x14ac:dyDescent="0.25">
      <c r="A8183" t="s">
        <v>64</v>
      </c>
      <c r="B8183">
        <v>2013</v>
      </c>
      <c r="C8183" t="s">
        <v>58</v>
      </c>
      <c r="D8183">
        <v>4.5956363198775101</v>
      </c>
      <c r="E8183" t="s">
        <v>98</v>
      </c>
    </row>
    <row r="8184" spans="1:5" x14ac:dyDescent="0.25">
      <c r="A8184" t="s">
        <v>64</v>
      </c>
      <c r="B8184">
        <v>2014</v>
      </c>
      <c r="C8184" t="s">
        <v>58</v>
      </c>
      <c r="D8184">
        <v>4.9608373207871503</v>
      </c>
      <c r="E8184" t="s">
        <v>98</v>
      </c>
    </row>
    <row r="8185" spans="1:5" x14ac:dyDescent="0.25">
      <c r="A8185" t="s">
        <v>64</v>
      </c>
      <c r="B8185">
        <v>2015</v>
      </c>
      <c r="C8185" t="s">
        <v>58</v>
      </c>
      <c r="D8185">
        <v>4.9008683350121398</v>
      </c>
      <c r="E8185" t="s">
        <v>98</v>
      </c>
    </row>
    <row r="8186" spans="1:5" x14ac:dyDescent="0.25">
      <c r="A8186" t="s">
        <v>64</v>
      </c>
      <c r="B8186">
        <v>2016</v>
      </c>
      <c r="C8186" t="s">
        <v>58</v>
      </c>
      <c r="D8186">
        <v>4.3354800266715801</v>
      </c>
      <c r="E8186" t="s">
        <v>98</v>
      </c>
    </row>
    <row r="8187" spans="1:5" x14ac:dyDescent="0.25">
      <c r="A8187" t="s">
        <v>64</v>
      </c>
      <c r="B8187">
        <v>2017</v>
      </c>
      <c r="C8187" t="s">
        <v>58</v>
      </c>
      <c r="D8187">
        <v>4.5509334038052902</v>
      </c>
      <c r="E8187" t="s">
        <v>98</v>
      </c>
    </row>
    <row r="8188" spans="1:5" x14ac:dyDescent="0.25">
      <c r="A8188" t="s">
        <v>64</v>
      </c>
      <c r="B8188">
        <v>2018</v>
      </c>
      <c r="C8188" t="s">
        <v>58</v>
      </c>
      <c r="D8188">
        <v>5.1223617776002897</v>
      </c>
      <c r="E8188" t="s">
        <v>98</v>
      </c>
    </row>
    <row r="8189" spans="1:5" x14ac:dyDescent="0.25">
      <c r="A8189" t="s">
        <v>64</v>
      </c>
      <c r="B8189">
        <v>2019</v>
      </c>
      <c r="C8189" t="s">
        <v>58</v>
      </c>
      <c r="D8189">
        <v>4.9611971359662697</v>
      </c>
      <c r="E8189" t="s">
        <v>98</v>
      </c>
    </row>
    <row r="8190" spans="1:5" x14ac:dyDescent="0.25">
      <c r="A8190" t="s">
        <v>64</v>
      </c>
      <c r="B8190">
        <v>2020</v>
      </c>
      <c r="C8190" t="s">
        <v>58</v>
      </c>
      <c r="D8190">
        <v>4.4934786656426597</v>
      </c>
      <c r="E8190" t="s">
        <v>98</v>
      </c>
    </row>
    <row r="8191" spans="1:5" x14ac:dyDescent="0.25">
      <c r="A8191" t="s">
        <v>64</v>
      </c>
      <c r="B8191">
        <v>2021</v>
      </c>
      <c r="C8191" t="s">
        <v>58</v>
      </c>
      <c r="D8191">
        <v>4.6448375059903197</v>
      </c>
      <c r="E8191" t="s">
        <v>98</v>
      </c>
    </row>
    <row r="8192" spans="1:5" x14ac:dyDescent="0.25">
      <c r="A8192" t="s">
        <v>64</v>
      </c>
      <c r="B8192">
        <v>2022</v>
      </c>
      <c r="C8192" t="s">
        <v>58</v>
      </c>
      <c r="D8192">
        <v>5.0201657614158197</v>
      </c>
      <c r="E8192" t="s">
        <v>98</v>
      </c>
    </row>
    <row r="8193" spans="1:5" x14ac:dyDescent="0.25">
      <c r="A8193" t="s">
        <v>64</v>
      </c>
      <c r="B8193">
        <v>2023</v>
      </c>
      <c r="C8193" t="s">
        <v>58</v>
      </c>
      <c r="D8193">
        <v>5.2188346713228704</v>
      </c>
      <c r="E8193" t="s">
        <v>98</v>
      </c>
    </row>
    <row r="8194" spans="1:5" x14ac:dyDescent="0.25">
      <c r="A8194" t="s">
        <v>64</v>
      </c>
      <c r="B8194">
        <v>2024</v>
      </c>
      <c r="C8194" t="s">
        <v>58</v>
      </c>
      <c r="D8194">
        <v>5.4370161192364002</v>
      </c>
      <c r="E8194" t="s">
        <v>98</v>
      </c>
    </row>
    <row r="8195" spans="1:5" x14ac:dyDescent="0.25">
      <c r="A8195" t="s">
        <v>64</v>
      </c>
      <c r="B8195">
        <v>2025</v>
      </c>
      <c r="C8195" t="s">
        <v>58</v>
      </c>
      <c r="D8195">
        <v>5.4195601491019998</v>
      </c>
      <c r="E8195" t="s">
        <v>98</v>
      </c>
    </row>
    <row r="8196" spans="1:5" x14ac:dyDescent="0.25">
      <c r="A8196" t="s">
        <v>108</v>
      </c>
      <c r="B8196">
        <v>2013</v>
      </c>
      <c r="C8196" t="s">
        <v>58</v>
      </c>
      <c r="D8196">
        <v>3.0634642468642901</v>
      </c>
      <c r="E8196" t="s">
        <v>98</v>
      </c>
    </row>
    <row r="8197" spans="1:5" x14ac:dyDescent="0.25">
      <c r="A8197" t="s">
        <v>108</v>
      </c>
      <c r="B8197">
        <v>2014</v>
      </c>
      <c r="C8197" t="s">
        <v>58</v>
      </c>
      <c r="D8197">
        <v>2.7781399348283302</v>
      </c>
      <c r="E8197" t="s">
        <v>98</v>
      </c>
    </row>
    <row r="8198" spans="1:5" x14ac:dyDescent="0.25">
      <c r="A8198" t="s">
        <v>108</v>
      </c>
      <c r="B8198">
        <v>2018</v>
      </c>
      <c r="C8198" t="s">
        <v>58</v>
      </c>
      <c r="D8198">
        <v>3.80664812278697</v>
      </c>
      <c r="E8198" t="s">
        <v>98</v>
      </c>
    </row>
    <row r="8199" spans="1:5" x14ac:dyDescent="0.25">
      <c r="A8199" t="s">
        <v>108</v>
      </c>
      <c r="B8199">
        <v>2019</v>
      </c>
      <c r="C8199" t="s">
        <v>58</v>
      </c>
      <c r="D8199">
        <v>3.5591118289244901</v>
      </c>
      <c r="E8199" t="s">
        <v>98</v>
      </c>
    </row>
    <row r="8200" spans="1:5" x14ac:dyDescent="0.25">
      <c r="A8200" t="s">
        <v>42</v>
      </c>
      <c r="B8200">
        <v>2010</v>
      </c>
      <c r="C8200" t="s">
        <v>58</v>
      </c>
      <c r="D8200">
        <v>3.9970793354488601</v>
      </c>
      <c r="E8200" t="s">
        <v>98</v>
      </c>
    </row>
    <row r="8201" spans="1:5" x14ac:dyDescent="0.25">
      <c r="A8201" t="s">
        <v>42</v>
      </c>
      <c r="B8201">
        <v>2011</v>
      </c>
      <c r="C8201" t="s">
        <v>58</v>
      </c>
      <c r="D8201">
        <v>4.0578162608390098</v>
      </c>
      <c r="E8201" t="s">
        <v>98</v>
      </c>
    </row>
    <row r="8202" spans="1:5" x14ac:dyDescent="0.25">
      <c r="A8202" t="s">
        <v>42</v>
      </c>
      <c r="B8202">
        <v>2012</v>
      </c>
      <c r="C8202" t="s">
        <v>58</v>
      </c>
      <c r="D8202">
        <v>5.3520801247078902</v>
      </c>
      <c r="E8202" t="s">
        <v>98</v>
      </c>
    </row>
    <row r="8203" spans="1:5" x14ac:dyDescent="0.25">
      <c r="A8203" t="s">
        <v>42</v>
      </c>
      <c r="B8203">
        <v>2013</v>
      </c>
      <c r="C8203" t="s">
        <v>58</v>
      </c>
      <c r="D8203">
        <v>5.49757533082553</v>
      </c>
      <c r="E8203" t="s">
        <v>98</v>
      </c>
    </row>
    <row r="8204" spans="1:5" x14ac:dyDescent="0.25">
      <c r="A8204" t="s">
        <v>42</v>
      </c>
      <c r="B8204">
        <v>2014</v>
      </c>
      <c r="C8204" t="s">
        <v>58</v>
      </c>
      <c r="D8204">
        <v>4.6076870914269596</v>
      </c>
      <c r="E8204" t="s">
        <v>98</v>
      </c>
    </row>
    <row r="8205" spans="1:5" x14ac:dyDescent="0.25">
      <c r="A8205" t="s">
        <v>42</v>
      </c>
      <c r="B8205">
        <v>2015</v>
      </c>
      <c r="C8205" t="s">
        <v>58</v>
      </c>
      <c r="D8205">
        <v>4.2230717931901802</v>
      </c>
      <c r="E8205" t="s">
        <v>98</v>
      </c>
    </row>
    <row r="8206" spans="1:5" x14ac:dyDescent="0.25">
      <c r="A8206" t="s">
        <v>42</v>
      </c>
      <c r="B8206">
        <v>2016</v>
      </c>
      <c r="C8206" t="s">
        <v>58</v>
      </c>
      <c r="D8206">
        <v>4.1636072865706097</v>
      </c>
      <c r="E8206" t="s">
        <v>98</v>
      </c>
    </row>
    <row r="8207" spans="1:5" x14ac:dyDescent="0.25">
      <c r="A8207" t="s">
        <v>42</v>
      </c>
      <c r="B8207">
        <v>2017</v>
      </c>
      <c r="C8207" t="s">
        <v>58</v>
      </c>
      <c r="D8207">
        <v>4.4727999431300303</v>
      </c>
      <c r="E8207" t="s">
        <v>98</v>
      </c>
    </row>
    <row r="8208" spans="1:5" x14ac:dyDescent="0.25">
      <c r="A8208" t="s">
        <v>42</v>
      </c>
      <c r="B8208">
        <v>2018</v>
      </c>
      <c r="C8208" t="s">
        <v>58</v>
      </c>
      <c r="D8208">
        <v>4.6557518986015598</v>
      </c>
      <c r="E8208" t="s">
        <v>98</v>
      </c>
    </row>
    <row r="8209" spans="1:5" x14ac:dyDescent="0.25">
      <c r="A8209" t="s">
        <v>42</v>
      </c>
      <c r="B8209">
        <v>2019</v>
      </c>
      <c r="C8209" t="s">
        <v>58</v>
      </c>
      <c r="D8209">
        <v>4.30686232102624</v>
      </c>
      <c r="E8209" t="s">
        <v>98</v>
      </c>
    </row>
    <row r="8210" spans="1:5" x14ac:dyDescent="0.25">
      <c r="A8210" t="s">
        <v>42</v>
      </c>
      <c r="B8210">
        <v>2020</v>
      </c>
      <c r="C8210" t="s">
        <v>58</v>
      </c>
      <c r="D8210">
        <v>3.9152217430838601</v>
      </c>
      <c r="E8210" t="s">
        <v>98</v>
      </c>
    </row>
    <row r="8211" spans="1:5" x14ac:dyDescent="0.25">
      <c r="A8211" t="s">
        <v>42</v>
      </c>
      <c r="B8211">
        <v>2024</v>
      </c>
      <c r="C8211" t="s">
        <v>58</v>
      </c>
      <c r="D8211">
        <v>4.8029159058058903</v>
      </c>
      <c r="E8211" t="s">
        <v>98</v>
      </c>
    </row>
    <row r="8212" spans="1:5" x14ac:dyDescent="0.25">
      <c r="A8212" t="s">
        <v>42</v>
      </c>
      <c r="B8212">
        <v>2025</v>
      </c>
      <c r="C8212" t="s">
        <v>58</v>
      </c>
      <c r="D8212">
        <v>4.68839931833209</v>
      </c>
      <c r="E8212" t="s">
        <v>98</v>
      </c>
    </row>
    <row r="8213" spans="1:5" x14ac:dyDescent="0.25">
      <c r="A8213" t="s">
        <v>43</v>
      </c>
      <c r="B8213">
        <v>2015</v>
      </c>
      <c r="C8213" t="s">
        <v>58</v>
      </c>
      <c r="D8213">
        <v>2.2802239324329401</v>
      </c>
      <c r="E8213" t="s">
        <v>98</v>
      </c>
    </row>
    <row r="8214" spans="1:5" x14ac:dyDescent="0.25">
      <c r="A8214" t="s">
        <v>43</v>
      </c>
      <c r="B8214">
        <v>2016</v>
      </c>
      <c r="C8214" t="s">
        <v>58</v>
      </c>
      <c r="D8214">
        <v>1.8094924653089199</v>
      </c>
      <c r="E8214" t="s">
        <v>98</v>
      </c>
    </row>
    <row r="8215" spans="1:5" x14ac:dyDescent="0.25">
      <c r="A8215" t="s">
        <v>43</v>
      </c>
      <c r="B8215">
        <v>2017</v>
      </c>
      <c r="C8215" t="s">
        <v>58</v>
      </c>
      <c r="D8215">
        <v>2.0065718877629299</v>
      </c>
      <c r="E8215" t="s">
        <v>98</v>
      </c>
    </row>
    <row r="8216" spans="1:5" x14ac:dyDescent="0.25">
      <c r="A8216" t="s">
        <v>43</v>
      </c>
      <c r="B8216">
        <v>2018</v>
      </c>
      <c r="C8216" t="s">
        <v>58</v>
      </c>
      <c r="D8216">
        <v>3.0616507308915399</v>
      </c>
      <c r="E8216" t="s">
        <v>98</v>
      </c>
    </row>
    <row r="8217" spans="1:5" x14ac:dyDescent="0.25">
      <c r="A8217" t="s">
        <v>43</v>
      </c>
      <c r="B8217">
        <v>2019</v>
      </c>
      <c r="C8217" t="s">
        <v>58</v>
      </c>
      <c r="D8217">
        <v>3.2166074494453598</v>
      </c>
      <c r="E8217" t="s">
        <v>98</v>
      </c>
    </row>
    <row r="8218" spans="1:5" x14ac:dyDescent="0.25">
      <c r="A8218" t="s">
        <v>43</v>
      </c>
      <c r="B8218">
        <v>2020</v>
      </c>
      <c r="C8218" t="s">
        <v>58</v>
      </c>
      <c r="D8218">
        <v>3.27498577587478</v>
      </c>
      <c r="E8218" t="s">
        <v>98</v>
      </c>
    </row>
    <row r="8219" spans="1:5" x14ac:dyDescent="0.25">
      <c r="A8219" t="s">
        <v>43</v>
      </c>
      <c r="B8219">
        <v>2021</v>
      </c>
      <c r="C8219" t="s">
        <v>58</v>
      </c>
      <c r="D8219">
        <v>3.6694411846227899</v>
      </c>
      <c r="E8219" t="s">
        <v>98</v>
      </c>
    </row>
    <row r="8220" spans="1:5" x14ac:dyDescent="0.25">
      <c r="A8220" t="s">
        <v>43</v>
      </c>
      <c r="B8220">
        <v>2022</v>
      </c>
      <c r="C8220" t="s">
        <v>58</v>
      </c>
      <c r="D8220">
        <v>3.7855873093342098</v>
      </c>
      <c r="E8220" t="s">
        <v>98</v>
      </c>
    </row>
    <row r="8221" spans="1:5" x14ac:dyDescent="0.25">
      <c r="A8221" t="s">
        <v>43</v>
      </c>
      <c r="B8221">
        <v>2023</v>
      </c>
      <c r="C8221" t="s">
        <v>58</v>
      </c>
      <c r="D8221">
        <v>3.7677923075248398</v>
      </c>
      <c r="E8221" t="s">
        <v>98</v>
      </c>
    </row>
    <row r="8222" spans="1:5" x14ac:dyDescent="0.25">
      <c r="A8222" t="s">
        <v>43</v>
      </c>
      <c r="B8222">
        <v>2024</v>
      </c>
      <c r="C8222" t="s">
        <v>58</v>
      </c>
      <c r="D8222">
        <v>2.6048890144438599</v>
      </c>
      <c r="E8222" t="s">
        <v>98</v>
      </c>
    </row>
    <row r="8223" spans="1:5" x14ac:dyDescent="0.25">
      <c r="A8223" t="s">
        <v>43</v>
      </c>
      <c r="B8223">
        <v>2025</v>
      </c>
      <c r="C8223" t="s">
        <v>58</v>
      </c>
      <c r="D8223">
        <v>3.6179365018942198</v>
      </c>
      <c r="E8223" t="s">
        <v>98</v>
      </c>
    </row>
    <row r="8224" spans="1:5" x14ac:dyDescent="0.25">
      <c r="A8224" t="s">
        <v>88</v>
      </c>
      <c r="B8224">
        <v>2004</v>
      </c>
      <c r="C8224" t="s">
        <v>58</v>
      </c>
      <c r="D8224">
        <v>1.8668531146521601</v>
      </c>
      <c r="E8224" t="s">
        <v>98</v>
      </c>
    </row>
    <row r="8225" spans="1:5" x14ac:dyDescent="0.25">
      <c r="A8225" t="s">
        <v>88</v>
      </c>
      <c r="B8225">
        <v>2005</v>
      </c>
      <c r="C8225" t="s">
        <v>58</v>
      </c>
      <c r="D8225">
        <v>2.3122754380421502</v>
      </c>
      <c r="E8225" t="s">
        <v>98</v>
      </c>
    </row>
    <row r="8226" spans="1:5" x14ac:dyDescent="0.25">
      <c r="A8226" t="s">
        <v>88</v>
      </c>
      <c r="B8226">
        <v>2006</v>
      </c>
      <c r="C8226" t="s">
        <v>58</v>
      </c>
      <c r="D8226">
        <v>2.5553125187639201</v>
      </c>
      <c r="E8226" t="s">
        <v>98</v>
      </c>
    </row>
    <row r="8227" spans="1:5" x14ac:dyDescent="0.25">
      <c r="A8227" t="s">
        <v>88</v>
      </c>
      <c r="B8227">
        <v>2007</v>
      </c>
      <c r="C8227" t="s">
        <v>58</v>
      </c>
      <c r="D8227">
        <v>3.31344447821537</v>
      </c>
      <c r="E8227" t="s">
        <v>98</v>
      </c>
    </row>
    <row r="8228" spans="1:5" x14ac:dyDescent="0.25">
      <c r="A8228" t="s">
        <v>88</v>
      </c>
      <c r="B8228">
        <v>2008</v>
      </c>
      <c r="C8228" t="s">
        <v>58</v>
      </c>
      <c r="D8228">
        <v>4.5189470012224104</v>
      </c>
      <c r="E8228" t="s">
        <v>98</v>
      </c>
    </row>
    <row r="8229" spans="1:5" x14ac:dyDescent="0.25">
      <c r="A8229" t="s">
        <v>88</v>
      </c>
      <c r="B8229">
        <v>2009</v>
      </c>
      <c r="C8229" t="s">
        <v>58</v>
      </c>
      <c r="D8229">
        <v>3.7583821689671901</v>
      </c>
      <c r="E8229" t="s">
        <v>98</v>
      </c>
    </row>
    <row r="8230" spans="1:5" x14ac:dyDescent="0.25">
      <c r="A8230" t="s">
        <v>88</v>
      </c>
      <c r="B8230">
        <v>2010</v>
      </c>
      <c r="C8230" t="s">
        <v>58</v>
      </c>
      <c r="D8230">
        <v>3.5179759592390201</v>
      </c>
      <c r="E8230" t="s">
        <v>98</v>
      </c>
    </row>
    <row r="8231" spans="1:5" x14ac:dyDescent="0.25">
      <c r="A8231" t="s">
        <v>88</v>
      </c>
      <c r="B8231">
        <v>2011</v>
      </c>
      <c r="C8231" t="s">
        <v>58</v>
      </c>
      <c r="D8231">
        <v>4.0032230310345502</v>
      </c>
      <c r="E8231" t="s">
        <v>98</v>
      </c>
    </row>
    <row r="8232" spans="1:5" x14ac:dyDescent="0.25">
      <c r="A8232" t="s">
        <v>88</v>
      </c>
      <c r="B8232">
        <v>2012</v>
      </c>
      <c r="C8232" t="s">
        <v>58</v>
      </c>
      <c r="D8232">
        <v>4.9618267619294603</v>
      </c>
      <c r="E8232" t="s">
        <v>98</v>
      </c>
    </row>
    <row r="8233" spans="1:5" x14ac:dyDescent="0.25">
      <c r="A8233" t="s">
        <v>88</v>
      </c>
      <c r="B8233">
        <v>2013</v>
      </c>
      <c r="C8233" t="s">
        <v>58</v>
      </c>
      <c r="D8233">
        <v>5.3344294618494601</v>
      </c>
      <c r="E8233" t="s">
        <v>98</v>
      </c>
    </row>
    <row r="8234" spans="1:5" x14ac:dyDescent="0.25">
      <c r="A8234" t="s">
        <v>88</v>
      </c>
      <c r="B8234">
        <v>2014</v>
      </c>
      <c r="C8234" t="s">
        <v>58</v>
      </c>
      <c r="D8234">
        <v>4.6613792329226396</v>
      </c>
      <c r="E8234" t="s">
        <v>98</v>
      </c>
    </row>
    <row r="8235" spans="1:5" x14ac:dyDescent="0.25">
      <c r="A8235" t="s">
        <v>88</v>
      </c>
      <c r="B8235">
        <v>2015</v>
      </c>
      <c r="C8235" t="s">
        <v>58</v>
      </c>
      <c r="D8235">
        <v>3.7469389882181199</v>
      </c>
      <c r="E8235" t="s">
        <v>98</v>
      </c>
    </row>
    <row r="8236" spans="1:5" x14ac:dyDescent="0.25">
      <c r="A8236" t="s">
        <v>88</v>
      </c>
      <c r="B8236">
        <v>2016</v>
      </c>
      <c r="C8236" t="s">
        <v>58</v>
      </c>
      <c r="D8236">
        <v>3.88344525398134</v>
      </c>
      <c r="E8236" t="s">
        <v>98</v>
      </c>
    </row>
    <row r="8237" spans="1:5" x14ac:dyDescent="0.25">
      <c r="A8237" t="s">
        <v>88</v>
      </c>
      <c r="B8237">
        <v>2017</v>
      </c>
      <c r="C8237" t="s">
        <v>58</v>
      </c>
      <c r="D8237">
        <v>4.3394619497481797</v>
      </c>
      <c r="E8237" t="s">
        <v>98</v>
      </c>
    </row>
    <row r="8238" spans="1:5" x14ac:dyDescent="0.25">
      <c r="A8238" t="s">
        <v>88</v>
      </c>
      <c r="B8238">
        <v>2018</v>
      </c>
      <c r="C8238" t="s">
        <v>58</v>
      </c>
      <c r="D8238">
        <v>5.0187914233577704</v>
      </c>
      <c r="E8238" t="s">
        <v>98</v>
      </c>
    </row>
    <row r="8239" spans="1:5" x14ac:dyDescent="0.25">
      <c r="A8239" t="s">
        <v>88</v>
      </c>
      <c r="B8239">
        <v>2019</v>
      </c>
      <c r="C8239" t="s">
        <v>58</v>
      </c>
      <c r="D8239">
        <v>4.7833875876824301</v>
      </c>
      <c r="E8239" t="s">
        <v>98</v>
      </c>
    </row>
    <row r="8240" spans="1:5" x14ac:dyDescent="0.25">
      <c r="A8240" t="s">
        <v>88</v>
      </c>
      <c r="B8240">
        <v>2020</v>
      </c>
      <c r="C8240" t="s">
        <v>58</v>
      </c>
      <c r="D8240">
        <v>3.9129810124522799</v>
      </c>
      <c r="E8240" t="s">
        <v>98</v>
      </c>
    </row>
    <row r="8241" spans="1:5" x14ac:dyDescent="0.25">
      <c r="A8241" t="s">
        <v>88</v>
      </c>
      <c r="B8241">
        <v>2021</v>
      </c>
      <c r="C8241" t="s">
        <v>58</v>
      </c>
      <c r="D8241">
        <v>4.8588108402208103</v>
      </c>
      <c r="E8241" t="s">
        <v>98</v>
      </c>
    </row>
    <row r="8242" spans="1:5" x14ac:dyDescent="0.25">
      <c r="A8242" t="s">
        <v>88</v>
      </c>
      <c r="B8242">
        <v>2022</v>
      </c>
      <c r="C8242" t="s">
        <v>58</v>
      </c>
      <c r="D8242">
        <v>4.9555501371308601</v>
      </c>
      <c r="E8242" t="s">
        <v>98</v>
      </c>
    </row>
    <row r="8243" spans="1:5" x14ac:dyDescent="0.25">
      <c r="A8243" t="s">
        <v>88</v>
      </c>
      <c r="B8243">
        <v>2023</v>
      </c>
      <c r="C8243" t="s">
        <v>58</v>
      </c>
      <c r="D8243">
        <v>5.4888124262163398</v>
      </c>
      <c r="E8243" t="s">
        <v>98</v>
      </c>
    </row>
    <row r="8244" spans="1:5" x14ac:dyDescent="0.25">
      <c r="A8244" t="s">
        <v>88</v>
      </c>
      <c r="B8244">
        <v>2024</v>
      </c>
      <c r="C8244" t="s">
        <v>58</v>
      </c>
      <c r="D8244">
        <v>5.7790430429104998</v>
      </c>
      <c r="E8244" t="s">
        <v>98</v>
      </c>
    </row>
    <row r="8245" spans="1:5" x14ac:dyDescent="0.25">
      <c r="A8245" t="s">
        <v>88</v>
      </c>
      <c r="B8245">
        <v>2025</v>
      </c>
      <c r="C8245" t="s">
        <v>58</v>
      </c>
      <c r="D8245">
        <v>5.7646450210305504</v>
      </c>
      <c r="E8245" t="s">
        <v>98</v>
      </c>
    </row>
    <row r="8246" spans="1:5" x14ac:dyDescent="0.25">
      <c r="A8246" t="s">
        <v>44</v>
      </c>
      <c r="B8246">
        <v>2010</v>
      </c>
      <c r="C8246" t="s">
        <v>58</v>
      </c>
      <c r="D8246">
        <v>4.7141737687832403</v>
      </c>
      <c r="E8246" t="s">
        <v>98</v>
      </c>
    </row>
    <row r="8247" spans="1:5" x14ac:dyDescent="0.25">
      <c r="A8247" t="s">
        <v>44</v>
      </c>
      <c r="B8247">
        <v>2011</v>
      </c>
      <c r="C8247" t="s">
        <v>58</v>
      </c>
      <c r="D8247">
        <v>5.2598225032996497</v>
      </c>
      <c r="E8247" t="s">
        <v>98</v>
      </c>
    </row>
    <row r="8248" spans="1:5" x14ac:dyDescent="0.25">
      <c r="A8248" t="s">
        <v>44</v>
      </c>
      <c r="B8248">
        <v>2012</v>
      </c>
      <c r="C8248" t="s">
        <v>58</v>
      </c>
      <c r="D8248">
        <v>6.1843907000747897</v>
      </c>
      <c r="E8248" t="s">
        <v>98</v>
      </c>
    </row>
    <row r="8249" spans="1:5" x14ac:dyDescent="0.25">
      <c r="A8249" t="s">
        <v>44</v>
      </c>
      <c r="B8249">
        <v>2013</v>
      </c>
      <c r="C8249" t="s">
        <v>58</v>
      </c>
      <c r="D8249">
        <v>6.8986536114406496</v>
      </c>
      <c r="E8249" t="s">
        <v>98</v>
      </c>
    </row>
    <row r="8250" spans="1:5" x14ac:dyDescent="0.25">
      <c r="A8250" t="s">
        <v>44</v>
      </c>
      <c r="B8250">
        <v>2014</v>
      </c>
      <c r="C8250" t="s">
        <v>58</v>
      </c>
      <c r="D8250">
        <v>5.9457101477596002</v>
      </c>
      <c r="E8250" t="s">
        <v>98</v>
      </c>
    </row>
    <row r="8251" spans="1:5" x14ac:dyDescent="0.25">
      <c r="A8251" t="s">
        <v>44</v>
      </c>
      <c r="B8251">
        <v>2015</v>
      </c>
      <c r="C8251" t="s">
        <v>58</v>
      </c>
      <c r="D8251">
        <v>4.6131566925642096</v>
      </c>
      <c r="E8251" t="s">
        <v>98</v>
      </c>
    </row>
    <row r="8252" spans="1:5" x14ac:dyDescent="0.25">
      <c r="A8252" t="s">
        <v>44</v>
      </c>
      <c r="B8252">
        <v>2016</v>
      </c>
      <c r="C8252" t="s">
        <v>58</v>
      </c>
      <c r="D8252">
        <v>4.5157353014775898</v>
      </c>
      <c r="E8252" t="s">
        <v>98</v>
      </c>
    </row>
    <row r="8253" spans="1:5" x14ac:dyDescent="0.25">
      <c r="A8253" t="s">
        <v>44</v>
      </c>
      <c r="B8253">
        <v>2017</v>
      </c>
      <c r="C8253" t="s">
        <v>58</v>
      </c>
      <c r="D8253">
        <v>5.4050629550963603</v>
      </c>
      <c r="E8253" t="s">
        <v>98</v>
      </c>
    </row>
    <row r="8254" spans="1:5" x14ac:dyDescent="0.25">
      <c r="A8254" t="s">
        <v>44</v>
      </c>
      <c r="B8254">
        <v>2018</v>
      </c>
      <c r="C8254" t="s">
        <v>58</v>
      </c>
      <c r="D8254">
        <v>5.8478980121725304</v>
      </c>
      <c r="E8254" t="s">
        <v>98</v>
      </c>
    </row>
    <row r="8255" spans="1:5" x14ac:dyDescent="0.25">
      <c r="A8255" t="s">
        <v>44</v>
      </c>
      <c r="B8255">
        <v>2019</v>
      </c>
      <c r="C8255" t="s">
        <v>58</v>
      </c>
      <c r="D8255">
        <v>5.37256465821305</v>
      </c>
      <c r="E8255" t="s">
        <v>98</v>
      </c>
    </row>
    <row r="8256" spans="1:5" x14ac:dyDescent="0.25">
      <c r="A8256" t="s">
        <v>44</v>
      </c>
      <c r="B8256">
        <v>2020</v>
      </c>
      <c r="C8256" t="s">
        <v>58</v>
      </c>
      <c r="D8256">
        <v>4.9059175292247703</v>
      </c>
      <c r="E8256" t="s">
        <v>98</v>
      </c>
    </row>
    <row r="8257" spans="1:5" x14ac:dyDescent="0.25">
      <c r="A8257" t="s">
        <v>44</v>
      </c>
      <c r="B8257">
        <v>2021</v>
      </c>
      <c r="C8257" t="s">
        <v>58</v>
      </c>
      <c r="D8257">
        <v>4.77110140256951</v>
      </c>
      <c r="E8257" t="s">
        <v>98</v>
      </c>
    </row>
    <row r="8258" spans="1:5" x14ac:dyDescent="0.25">
      <c r="A8258" t="s">
        <v>44</v>
      </c>
      <c r="B8258">
        <v>2022</v>
      </c>
      <c r="C8258" t="s">
        <v>58</v>
      </c>
      <c r="D8258">
        <v>5.1069902615385203</v>
      </c>
      <c r="E8258" t="s">
        <v>98</v>
      </c>
    </row>
    <row r="8259" spans="1:5" x14ac:dyDescent="0.25">
      <c r="A8259" t="s">
        <v>44</v>
      </c>
      <c r="B8259">
        <v>2023</v>
      </c>
      <c r="C8259" t="s">
        <v>58</v>
      </c>
      <c r="D8259">
        <v>5.5829581538190096</v>
      </c>
      <c r="E8259" t="s">
        <v>98</v>
      </c>
    </row>
    <row r="8260" spans="1:5" x14ac:dyDescent="0.25">
      <c r="A8260" t="s">
        <v>44</v>
      </c>
      <c r="B8260">
        <v>2024</v>
      </c>
      <c r="C8260" t="s">
        <v>58</v>
      </c>
      <c r="D8260">
        <v>4.9436877005386801</v>
      </c>
      <c r="E8260" t="s">
        <v>98</v>
      </c>
    </row>
    <row r="8261" spans="1:5" x14ac:dyDescent="0.25">
      <c r="A8261" t="s">
        <v>44</v>
      </c>
      <c r="B8261">
        <v>2025</v>
      </c>
      <c r="C8261" t="s">
        <v>58</v>
      </c>
      <c r="D8261">
        <v>5.4437946701316298</v>
      </c>
      <c r="E8261" t="s">
        <v>98</v>
      </c>
    </row>
    <row r="8262" spans="1:5" x14ac:dyDescent="0.25">
      <c r="A8262" t="s">
        <v>87</v>
      </c>
      <c r="B8262">
        <v>2012</v>
      </c>
      <c r="C8262" t="s">
        <v>58</v>
      </c>
      <c r="D8262">
        <v>5.02842406620299</v>
      </c>
      <c r="E8262" t="s">
        <v>98</v>
      </c>
    </row>
    <row r="8263" spans="1:5" x14ac:dyDescent="0.25">
      <c r="A8263" t="s">
        <v>87</v>
      </c>
      <c r="B8263">
        <v>2013</v>
      </c>
      <c r="C8263" t="s">
        <v>58</v>
      </c>
      <c r="D8263">
        <v>5.8375131620474097</v>
      </c>
      <c r="E8263" t="s">
        <v>98</v>
      </c>
    </row>
    <row r="8264" spans="1:5" x14ac:dyDescent="0.25">
      <c r="A8264" t="s">
        <v>87</v>
      </c>
      <c r="B8264">
        <v>2014</v>
      </c>
      <c r="C8264" t="s">
        <v>58</v>
      </c>
      <c r="D8264">
        <v>5.2388811913540803</v>
      </c>
      <c r="E8264" t="s">
        <v>98</v>
      </c>
    </row>
    <row r="8265" spans="1:5" x14ac:dyDescent="0.25">
      <c r="A8265" t="s">
        <v>87</v>
      </c>
      <c r="B8265">
        <v>2015</v>
      </c>
      <c r="C8265" t="s">
        <v>58</v>
      </c>
      <c r="D8265">
        <v>5.40393504552629</v>
      </c>
      <c r="E8265" t="s">
        <v>98</v>
      </c>
    </row>
    <row r="8266" spans="1:5" x14ac:dyDescent="0.25">
      <c r="A8266" t="s">
        <v>87</v>
      </c>
      <c r="B8266">
        <v>2016</v>
      </c>
      <c r="C8266" t="s">
        <v>58</v>
      </c>
      <c r="D8266">
        <v>5.2932609718692802</v>
      </c>
      <c r="E8266" t="s">
        <v>98</v>
      </c>
    </row>
    <row r="8267" spans="1:5" x14ac:dyDescent="0.25">
      <c r="A8267" t="s">
        <v>87</v>
      </c>
      <c r="B8267">
        <v>2017</v>
      </c>
      <c r="C8267" t="s">
        <v>58</v>
      </c>
      <c r="D8267">
        <v>5.0259319122603197</v>
      </c>
      <c r="E8267" t="s">
        <v>98</v>
      </c>
    </row>
    <row r="8268" spans="1:5" x14ac:dyDescent="0.25">
      <c r="A8268" t="s">
        <v>87</v>
      </c>
      <c r="B8268">
        <v>2018</v>
      </c>
      <c r="C8268" t="s">
        <v>58</v>
      </c>
      <c r="D8268">
        <v>4.6480553782116303</v>
      </c>
      <c r="E8268" t="s">
        <v>98</v>
      </c>
    </row>
    <row r="8269" spans="1:5" x14ac:dyDescent="0.25">
      <c r="A8269" t="s">
        <v>87</v>
      </c>
      <c r="B8269">
        <v>2019</v>
      </c>
      <c r="C8269" t="s">
        <v>58</v>
      </c>
      <c r="D8269">
        <v>4.12792200175776</v>
      </c>
      <c r="E8269" t="s">
        <v>98</v>
      </c>
    </row>
    <row r="8270" spans="1:5" x14ac:dyDescent="0.25">
      <c r="A8270" t="s">
        <v>87</v>
      </c>
      <c r="B8270">
        <v>2020</v>
      </c>
      <c r="C8270" t="s">
        <v>58</v>
      </c>
      <c r="D8270">
        <v>4.31418008345935</v>
      </c>
      <c r="E8270" t="s">
        <v>98</v>
      </c>
    </row>
    <row r="8271" spans="1:5" x14ac:dyDescent="0.25">
      <c r="A8271" t="s">
        <v>87</v>
      </c>
      <c r="B8271">
        <v>2021</v>
      </c>
      <c r="C8271" t="s">
        <v>58</v>
      </c>
      <c r="D8271">
        <v>4.6411349226323297</v>
      </c>
      <c r="E8271" t="s">
        <v>98</v>
      </c>
    </row>
    <row r="8272" spans="1:5" x14ac:dyDescent="0.25">
      <c r="A8272" t="s">
        <v>87</v>
      </c>
      <c r="B8272">
        <v>2022</v>
      </c>
      <c r="C8272" t="s">
        <v>58</v>
      </c>
      <c r="D8272">
        <v>5.0155972808331004</v>
      </c>
      <c r="E8272" t="s">
        <v>98</v>
      </c>
    </row>
    <row r="8273" spans="1:5" x14ac:dyDescent="0.25">
      <c r="A8273" t="s">
        <v>87</v>
      </c>
      <c r="B8273">
        <v>2023</v>
      </c>
      <c r="C8273" t="s">
        <v>58</v>
      </c>
      <c r="D8273">
        <v>5.6363529782358297</v>
      </c>
      <c r="E8273" t="s">
        <v>98</v>
      </c>
    </row>
    <row r="8274" spans="1:5" x14ac:dyDescent="0.25">
      <c r="A8274" t="s">
        <v>45</v>
      </c>
      <c r="B8274">
        <v>2015</v>
      </c>
      <c r="C8274" t="s">
        <v>58</v>
      </c>
      <c r="D8274">
        <v>5.1416750766703903</v>
      </c>
      <c r="E8274" t="s">
        <v>98</v>
      </c>
    </row>
    <row r="8275" spans="1:5" x14ac:dyDescent="0.25">
      <c r="A8275" t="s">
        <v>45</v>
      </c>
      <c r="B8275">
        <v>2016</v>
      </c>
      <c r="C8275" t="s">
        <v>58</v>
      </c>
      <c r="D8275">
        <v>5.4743581205412504</v>
      </c>
      <c r="E8275" t="s">
        <v>98</v>
      </c>
    </row>
    <row r="8276" spans="1:5" x14ac:dyDescent="0.25">
      <c r="A8276" t="s">
        <v>45</v>
      </c>
      <c r="B8276">
        <v>2017</v>
      </c>
      <c r="C8276" t="s">
        <v>58</v>
      </c>
      <c r="D8276">
        <v>5.9449333517299801</v>
      </c>
      <c r="E8276" t="s">
        <v>98</v>
      </c>
    </row>
    <row r="8277" spans="1:5" x14ac:dyDescent="0.25">
      <c r="A8277" t="s">
        <v>45</v>
      </c>
      <c r="B8277">
        <v>2018</v>
      </c>
      <c r="C8277" t="s">
        <v>58</v>
      </c>
      <c r="D8277">
        <v>4.97982129775448</v>
      </c>
      <c r="E8277" t="s">
        <v>98</v>
      </c>
    </row>
    <row r="8278" spans="1:5" x14ac:dyDescent="0.25">
      <c r="A8278" t="s">
        <v>45</v>
      </c>
      <c r="B8278">
        <v>2019</v>
      </c>
      <c r="C8278" t="s">
        <v>58</v>
      </c>
      <c r="D8278">
        <v>4.2950361255963498</v>
      </c>
      <c r="E8278" t="s">
        <v>98</v>
      </c>
    </row>
    <row r="8279" spans="1:5" x14ac:dyDescent="0.25">
      <c r="A8279" t="s">
        <v>45</v>
      </c>
      <c r="B8279">
        <v>2020</v>
      </c>
      <c r="C8279" t="s">
        <v>58</v>
      </c>
      <c r="D8279">
        <v>4.9131759397356696</v>
      </c>
      <c r="E8279" t="s">
        <v>98</v>
      </c>
    </row>
    <row r="8280" spans="1:5" x14ac:dyDescent="0.25">
      <c r="A8280" t="s">
        <v>45</v>
      </c>
      <c r="B8280">
        <v>2021</v>
      </c>
      <c r="C8280" t="s">
        <v>58</v>
      </c>
      <c r="D8280">
        <v>5.1594831862392496</v>
      </c>
      <c r="E8280" t="s">
        <v>98</v>
      </c>
    </row>
    <row r="8281" spans="1:5" x14ac:dyDescent="0.25">
      <c r="A8281" t="s">
        <v>45</v>
      </c>
      <c r="B8281">
        <v>2022</v>
      </c>
      <c r="C8281" t="s">
        <v>58</v>
      </c>
      <c r="D8281">
        <v>4.9946221069586603</v>
      </c>
      <c r="E8281" t="s">
        <v>98</v>
      </c>
    </row>
    <row r="8282" spans="1:5" x14ac:dyDescent="0.25">
      <c r="A8282" t="s">
        <v>45</v>
      </c>
      <c r="B8282">
        <v>2023</v>
      </c>
      <c r="C8282" t="s">
        <v>58</v>
      </c>
      <c r="D8282">
        <v>4.9232767744446502</v>
      </c>
      <c r="E8282" t="s">
        <v>98</v>
      </c>
    </row>
    <row r="8283" spans="1:5" x14ac:dyDescent="0.25">
      <c r="A8283" t="s">
        <v>45</v>
      </c>
      <c r="B8283">
        <v>2024</v>
      </c>
      <c r="C8283" t="s">
        <v>58</v>
      </c>
      <c r="D8283">
        <v>4.7117074104862899</v>
      </c>
      <c r="E8283" t="s">
        <v>98</v>
      </c>
    </row>
    <row r="8284" spans="1:5" x14ac:dyDescent="0.25">
      <c r="A8284" t="s">
        <v>107</v>
      </c>
      <c r="B8284">
        <v>2000</v>
      </c>
      <c r="C8284" t="s">
        <v>58</v>
      </c>
      <c r="D8284">
        <v>1.27173699172926</v>
      </c>
      <c r="E8284" t="s">
        <v>98</v>
      </c>
    </row>
    <row r="8285" spans="1:5" x14ac:dyDescent="0.25">
      <c r="A8285" t="s">
        <v>107</v>
      </c>
      <c r="B8285">
        <v>2001</v>
      </c>
      <c r="C8285" t="s">
        <v>58</v>
      </c>
      <c r="D8285">
        <v>0.964990249360129</v>
      </c>
      <c r="E8285" t="s">
        <v>98</v>
      </c>
    </row>
    <row r="8286" spans="1:5" x14ac:dyDescent="0.25">
      <c r="A8286" t="s">
        <v>107</v>
      </c>
      <c r="B8286">
        <v>2003</v>
      </c>
      <c r="C8286" t="s">
        <v>58</v>
      </c>
      <c r="D8286">
        <v>1.56300978418262</v>
      </c>
      <c r="E8286" t="s">
        <v>98</v>
      </c>
    </row>
    <row r="8287" spans="1:5" x14ac:dyDescent="0.25">
      <c r="A8287" t="s">
        <v>107</v>
      </c>
      <c r="B8287">
        <v>2004</v>
      </c>
      <c r="C8287" t="s">
        <v>58</v>
      </c>
      <c r="D8287">
        <v>1.7792517987006</v>
      </c>
      <c r="E8287" t="s">
        <v>98</v>
      </c>
    </row>
    <row r="8288" spans="1:5" x14ac:dyDescent="0.25">
      <c r="A8288" t="s">
        <v>107</v>
      </c>
      <c r="B8288">
        <v>2005</v>
      </c>
      <c r="C8288" t="s">
        <v>58</v>
      </c>
      <c r="D8288">
        <v>1.9586029951206501</v>
      </c>
      <c r="E8288" t="s">
        <v>98</v>
      </c>
    </row>
    <row r="8289" spans="1:5" x14ac:dyDescent="0.25">
      <c r="A8289" t="s">
        <v>107</v>
      </c>
      <c r="B8289">
        <v>2006</v>
      </c>
      <c r="C8289" t="s">
        <v>58</v>
      </c>
      <c r="D8289">
        <v>2.2763979463347201</v>
      </c>
      <c r="E8289" t="s">
        <v>98</v>
      </c>
    </row>
    <row r="8290" spans="1:5" x14ac:dyDescent="0.25">
      <c r="A8290" t="s">
        <v>107</v>
      </c>
      <c r="B8290">
        <v>2007</v>
      </c>
      <c r="C8290" t="s">
        <v>58</v>
      </c>
      <c r="D8290">
        <v>2.7388509706778601</v>
      </c>
      <c r="E8290" t="s">
        <v>98</v>
      </c>
    </row>
    <row r="8291" spans="1:5" x14ac:dyDescent="0.25">
      <c r="A8291" t="s">
        <v>107</v>
      </c>
      <c r="B8291">
        <v>2008</v>
      </c>
      <c r="C8291" t="s">
        <v>58</v>
      </c>
      <c r="D8291">
        <v>4.0422240927292998</v>
      </c>
      <c r="E8291" t="s">
        <v>98</v>
      </c>
    </row>
    <row r="8292" spans="1:5" x14ac:dyDescent="0.25">
      <c r="A8292" t="s">
        <v>107</v>
      </c>
      <c r="B8292">
        <v>2009</v>
      </c>
      <c r="C8292" t="s">
        <v>58</v>
      </c>
      <c r="D8292">
        <v>4.5874853982490702</v>
      </c>
      <c r="E8292" t="s">
        <v>98</v>
      </c>
    </row>
    <row r="8293" spans="1:5" x14ac:dyDescent="0.25">
      <c r="A8293" t="s">
        <v>107</v>
      </c>
      <c r="B8293">
        <v>2010</v>
      </c>
      <c r="C8293" t="s">
        <v>58</v>
      </c>
      <c r="D8293">
        <v>3.73207784139856</v>
      </c>
      <c r="E8293" t="s">
        <v>98</v>
      </c>
    </row>
    <row r="8294" spans="1:5" x14ac:dyDescent="0.25">
      <c r="A8294" t="s">
        <v>107</v>
      </c>
      <c r="B8294">
        <v>2011</v>
      </c>
      <c r="C8294" t="s">
        <v>58</v>
      </c>
      <c r="D8294">
        <v>3.9432445350496601</v>
      </c>
      <c r="E8294" t="s">
        <v>98</v>
      </c>
    </row>
    <row r="8295" spans="1:5" x14ac:dyDescent="0.25">
      <c r="A8295" t="s">
        <v>107</v>
      </c>
      <c r="B8295">
        <v>2012</v>
      </c>
      <c r="C8295" t="s">
        <v>58</v>
      </c>
      <c r="D8295">
        <v>4.7687552203312604</v>
      </c>
      <c r="E8295" t="s">
        <v>98</v>
      </c>
    </row>
    <row r="8296" spans="1:5" x14ac:dyDescent="0.25">
      <c r="A8296" t="s">
        <v>107</v>
      </c>
      <c r="B8296">
        <v>2013</v>
      </c>
      <c r="C8296" t="s">
        <v>58</v>
      </c>
      <c r="D8296">
        <v>5.9021329723563296</v>
      </c>
      <c r="E8296" t="s">
        <v>98</v>
      </c>
    </row>
    <row r="8297" spans="1:5" x14ac:dyDescent="0.25">
      <c r="A8297" t="s">
        <v>107</v>
      </c>
      <c r="B8297">
        <v>2014</v>
      </c>
      <c r="C8297" t="s">
        <v>58</v>
      </c>
      <c r="D8297">
        <v>5.3602739603209004</v>
      </c>
      <c r="E8297" t="s">
        <v>98</v>
      </c>
    </row>
    <row r="8298" spans="1:5" x14ac:dyDescent="0.25">
      <c r="A8298" t="s">
        <v>107</v>
      </c>
      <c r="B8298">
        <v>2015</v>
      </c>
      <c r="C8298" t="s">
        <v>58</v>
      </c>
      <c r="D8298">
        <v>6.2435230081751696</v>
      </c>
      <c r="E8298" t="s">
        <v>98</v>
      </c>
    </row>
    <row r="8299" spans="1:5" x14ac:dyDescent="0.25">
      <c r="A8299" t="s">
        <v>107</v>
      </c>
      <c r="B8299">
        <v>2016</v>
      </c>
      <c r="C8299" t="s">
        <v>58</v>
      </c>
      <c r="D8299">
        <v>5.8529926841536399</v>
      </c>
      <c r="E8299" t="s">
        <v>98</v>
      </c>
    </row>
    <row r="8300" spans="1:5" x14ac:dyDescent="0.25">
      <c r="A8300" t="s">
        <v>107</v>
      </c>
      <c r="B8300">
        <v>2017</v>
      </c>
      <c r="C8300" t="s">
        <v>58</v>
      </c>
      <c r="D8300">
        <v>5.6214525686208203</v>
      </c>
      <c r="E8300" t="s">
        <v>98</v>
      </c>
    </row>
    <row r="8301" spans="1:5" x14ac:dyDescent="0.25">
      <c r="A8301" t="s">
        <v>107</v>
      </c>
      <c r="B8301">
        <v>2018</v>
      </c>
      <c r="C8301" t="s">
        <v>58</v>
      </c>
      <c r="D8301">
        <v>6.0269811470356798</v>
      </c>
      <c r="E8301" t="s">
        <v>98</v>
      </c>
    </row>
    <row r="8302" spans="1:5" x14ac:dyDescent="0.25">
      <c r="A8302" t="s">
        <v>107</v>
      </c>
      <c r="B8302">
        <v>2019</v>
      </c>
      <c r="C8302" t="s">
        <v>58</v>
      </c>
      <c r="D8302">
        <v>5.59914677646083</v>
      </c>
      <c r="E8302" t="s">
        <v>98</v>
      </c>
    </row>
    <row r="8303" spans="1:5" x14ac:dyDescent="0.25">
      <c r="A8303" t="s">
        <v>107</v>
      </c>
      <c r="B8303">
        <v>2020</v>
      </c>
      <c r="C8303" t="s">
        <v>58</v>
      </c>
      <c r="D8303">
        <v>5.4603017569613597</v>
      </c>
      <c r="E8303" t="s">
        <v>98</v>
      </c>
    </row>
    <row r="8304" spans="1:5" x14ac:dyDescent="0.25">
      <c r="A8304" t="s">
        <v>107</v>
      </c>
      <c r="B8304">
        <v>2021</v>
      </c>
      <c r="C8304" t="s">
        <v>58</v>
      </c>
      <c r="D8304">
        <v>5.6922616080400603</v>
      </c>
      <c r="E8304" t="s">
        <v>98</v>
      </c>
    </row>
    <row r="8305" spans="1:5" x14ac:dyDescent="0.25">
      <c r="A8305" t="s">
        <v>107</v>
      </c>
      <c r="B8305">
        <v>2022</v>
      </c>
      <c r="C8305" t="s">
        <v>58</v>
      </c>
      <c r="D8305">
        <v>5.3963886693960204</v>
      </c>
      <c r="E8305" t="s">
        <v>98</v>
      </c>
    </row>
    <row r="8306" spans="1:5" x14ac:dyDescent="0.25">
      <c r="A8306" t="s">
        <v>107</v>
      </c>
      <c r="B8306">
        <v>2023</v>
      </c>
      <c r="C8306" t="s">
        <v>58</v>
      </c>
      <c r="D8306">
        <v>6.40323122256435</v>
      </c>
      <c r="E8306" t="s">
        <v>98</v>
      </c>
    </row>
    <row r="8307" spans="1:5" x14ac:dyDescent="0.25">
      <c r="A8307" t="s">
        <v>107</v>
      </c>
      <c r="B8307">
        <v>2024</v>
      </c>
      <c r="C8307" t="s">
        <v>58</v>
      </c>
      <c r="D8307">
        <v>6.1729717204394996</v>
      </c>
      <c r="E8307" t="s">
        <v>98</v>
      </c>
    </row>
    <row r="8308" spans="1:5" x14ac:dyDescent="0.25">
      <c r="A8308" t="s">
        <v>107</v>
      </c>
      <c r="B8308">
        <v>2025</v>
      </c>
      <c r="C8308" t="s">
        <v>58</v>
      </c>
      <c r="D8308">
        <v>6.6060800976812599</v>
      </c>
      <c r="E8308" t="s">
        <v>98</v>
      </c>
    </row>
    <row r="8309" spans="1:5" x14ac:dyDescent="0.25">
      <c r="A8309" t="s">
        <v>86</v>
      </c>
      <c r="B8309">
        <v>2013</v>
      </c>
      <c r="C8309" t="s">
        <v>58</v>
      </c>
      <c r="D8309">
        <v>3.8408153474315601</v>
      </c>
      <c r="E8309" t="s">
        <v>98</v>
      </c>
    </row>
    <row r="8310" spans="1:5" x14ac:dyDescent="0.25">
      <c r="A8310" t="s">
        <v>86</v>
      </c>
      <c r="B8310">
        <v>2014</v>
      </c>
      <c r="C8310" t="s">
        <v>58</v>
      </c>
      <c r="D8310">
        <v>3.4439358138238498</v>
      </c>
      <c r="E8310" t="s">
        <v>98</v>
      </c>
    </row>
    <row r="8311" spans="1:5" x14ac:dyDescent="0.25">
      <c r="A8311" t="s">
        <v>86</v>
      </c>
      <c r="B8311">
        <v>2015</v>
      </c>
      <c r="C8311" t="s">
        <v>58</v>
      </c>
      <c r="D8311">
        <v>2.7654127764388199</v>
      </c>
      <c r="E8311" t="s">
        <v>98</v>
      </c>
    </row>
    <row r="8312" spans="1:5" x14ac:dyDescent="0.25">
      <c r="A8312" t="s">
        <v>86</v>
      </c>
      <c r="B8312">
        <v>2016</v>
      </c>
      <c r="C8312" t="s">
        <v>58</v>
      </c>
      <c r="D8312">
        <v>2.6821027201547101</v>
      </c>
      <c r="E8312" t="s">
        <v>98</v>
      </c>
    </row>
    <row r="8313" spans="1:5" x14ac:dyDescent="0.25">
      <c r="A8313" t="s">
        <v>86</v>
      </c>
      <c r="B8313">
        <v>2017</v>
      </c>
      <c r="C8313" t="s">
        <v>58</v>
      </c>
      <c r="D8313">
        <v>3.2662432947920998</v>
      </c>
      <c r="E8313" t="s">
        <v>98</v>
      </c>
    </row>
    <row r="8314" spans="1:5" x14ac:dyDescent="0.25">
      <c r="A8314" t="s">
        <v>86</v>
      </c>
      <c r="B8314">
        <v>2018</v>
      </c>
      <c r="C8314" t="s">
        <v>58</v>
      </c>
      <c r="D8314">
        <v>3.5370326385910902</v>
      </c>
      <c r="E8314" t="s">
        <v>98</v>
      </c>
    </row>
    <row r="8315" spans="1:5" x14ac:dyDescent="0.25">
      <c r="A8315" t="s">
        <v>86</v>
      </c>
      <c r="B8315">
        <v>2019</v>
      </c>
      <c r="C8315" t="s">
        <v>58</v>
      </c>
      <c r="D8315">
        <v>3.3239998921266301</v>
      </c>
      <c r="E8315" t="s">
        <v>98</v>
      </c>
    </row>
    <row r="8316" spans="1:5" x14ac:dyDescent="0.25">
      <c r="A8316" t="s">
        <v>86</v>
      </c>
      <c r="B8316">
        <v>2020</v>
      </c>
      <c r="C8316" t="s">
        <v>58</v>
      </c>
      <c r="D8316">
        <v>3.2769145615553001</v>
      </c>
      <c r="E8316" t="s">
        <v>98</v>
      </c>
    </row>
    <row r="8317" spans="1:5" x14ac:dyDescent="0.25">
      <c r="A8317" t="s">
        <v>86</v>
      </c>
      <c r="B8317">
        <v>2021</v>
      </c>
      <c r="C8317" t="s">
        <v>58</v>
      </c>
      <c r="D8317">
        <v>3.46629334549396</v>
      </c>
      <c r="E8317" t="s">
        <v>98</v>
      </c>
    </row>
    <row r="8318" spans="1:5" x14ac:dyDescent="0.25">
      <c r="A8318" t="s">
        <v>85</v>
      </c>
      <c r="B8318">
        <v>2015</v>
      </c>
      <c r="C8318" t="s">
        <v>58</v>
      </c>
      <c r="D8318">
        <v>4.08260807089344</v>
      </c>
      <c r="E8318" t="s">
        <v>98</v>
      </c>
    </row>
    <row r="8319" spans="1:5" x14ac:dyDescent="0.25">
      <c r="A8319" t="s">
        <v>85</v>
      </c>
      <c r="B8319">
        <v>2016</v>
      </c>
      <c r="C8319" t="s">
        <v>58</v>
      </c>
      <c r="D8319">
        <v>4.0607085143605097</v>
      </c>
      <c r="E8319" t="s">
        <v>98</v>
      </c>
    </row>
    <row r="8320" spans="1:5" x14ac:dyDescent="0.25">
      <c r="A8320" t="s">
        <v>85</v>
      </c>
      <c r="B8320">
        <v>2017</v>
      </c>
      <c r="C8320" t="s">
        <v>58</v>
      </c>
      <c r="D8320">
        <v>4.2973602824578396</v>
      </c>
      <c r="E8320" t="s">
        <v>98</v>
      </c>
    </row>
    <row r="8321" spans="1:5" x14ac:dyDescent="0.25">
      <c r="A8321" t="s">
        <v>85</v>
      </c>
      <c r="B8321">
        <v>2020</v>
      </c>
      <c r="C8321" t="s">
        <v>58</v>
      </c>
      <c r="D8321">
        <v>4.0000617778930598</v>
      </c>
      <c r="E8321" t="s">
        <v>98</v>
      </c>
    </row>
    <row r="8322" spans="1:5" x14ac:dyDescent="0.25">
      <c r="A8322" t="s">
        <v>85</v>
      </c>
      <c r="B8322">
        <v>2021</v>
      </c>
      <c r="C8322" t="s">
        <v>58</v>
      </c>
      <c r="D8322">
        <v>4.1550962491499304</v>
      </c>
      <c r="E8322" t="s">
        <v>98</v>
      </c>
    </row>
    <row r="8323" spans="1:5" x14ac:dyDescent="0.25">
      <c r="A8323" t="s">
        <v>85</v>
      </c>
      <c r="B8323">
        <v>2025</v>
      </c>
      <c r="C8323" t="s">
        <v>58</v>
      </c>
      <c r="D8323">
        <v>4.2746753240235797</v>
      </c>
      <c r="E8323" t="s">
        <v>98</v>
      </c>
    </row>
    <row r="8324" spans="1:5" x14ac:dyDescent="0.25">
      <c r="A8324" t="s">
        <v>106</v>
      </c>
      <c r="B8324">
        <v>2010</v>
      </c>
      <c r="C8324" t="s">
        <v>58</v>
      </c>
      <c r="D8324">
        <v>2.99612306306825</v>
      </c>
      <c r="E8324" t="s">
        <v>98</v>
      </c>
    </row>
    <row r="8325" spans="1:5" x14ac:dyDescent="0.25">
      <c r="A8325" t="s">
        <v>106</v>
      </c>
      <c r="B8325">
        <v>2011</v>
      </c>
      <c r="C8325" t="s">
        <v>58</v>
      </c>
      <c r="D8325">
        <v>3.7019303166878901</v>
      </c>
      <c r="E8325" t="s">
        <v>98</v>
      </c>
    </row>
    <row r="8326" spans="1:5" x14ac:dyDescent="0.25">
      <c r="A8326" t="s">
        <v>106</v>
      </c>
      <c r="B8326">
        <v>2012</v>
      </c>
      <c r="C8326" t="s">
        <v>58</v>
      </c>
      <c r="D8326">
        <v>4.0901612307299597</v>
      </c>
      <c r="E8326" t="s">
        <v>98</v>
      </c>
    </row>
    <row r="8327" spans="1:5" x14ac:dyDescent="0.25">
      <c r="A8327" t="s">
        <v>106</v>
      </c>
      <c r="B8327">
        <v>2013</v>
      </c>
      <c r="C8327" t="s">
        <v>58</v>
      </c>
      <c r="D8327">
        <v>4.5132799167705597</v>
      </c>
      <c r="E8327" t="s">
        <v>98</v>
      </c>
    </row>
    <row r="8328" spans="1:5" x14ac:dyDescent="0.25">
      <c r="A8328" t="s">
        <v>106</v>
      </c>
      <c r="B8328">
        <v>2014</v>
      </c>
      <c r="C8328" t="s">
        <v>58</v>
      </c>
      <c r="D8328">
        <v>4.0571988406029904</v>
      </c>
      <c r="E8328" t="s">
        <v>98</v>
      </c>
    </row>
    <row r="8329" spans="1:5" x14ac:dyDescent="0.25">
      <c r="A8329" t="s">
        <v>106</v>
      </c>
      <c r="B8329">
        <v>2015</v>
      </c>
      <c r="C8329" t="s">
        <v>58</v>
      </c>
      <c r="D8329">
        <v>0.492183232448829</v>
      </c>
      <c r="E8329" t="s">
        <v>98</v>
      </c>
    </row>
    <row r="8330" spans="1:5" x14ac:dyDescent="0.25">
      <c r="A8330" t="s">
        <v>106</v>
      </c>
      <c r="B8330">
        <v>2016</v>
      </c>
      <c r="C8330" t="s">
        <v>58</v>
      </c>
      <c r="D8330">
        <v>2.0683664136026301</v>
      </c>
      <c r="E8330" t="s">
        <v>98</v>
      </c>
    </row>
    <row r="8331" spans="1:5" x14ac:dyDescent="0.25">
      <c r="A8331" t="s">
        <v>106</v>
      </c>
      <c r="B8331">
        <v>2017</v>
      </c>
      <c r="C8331" t="s">
        <v>58</v>
      </c>
      <c r="D8331">
        <v>3.2337172734246602</v>
      </c>
      <c r="E8331" t="s">
        <v>98</v>
      </c>
    </row>
    <row r="8332" spans="1:5" x14ac:dyDescent="0.25">
      <c r="A8332" t="s">
        <v>106</v>
      </c>
      <c r="B8332">
        <v>2018</v>
      </c>
      <c r="C8332" t="s">
        <v>58</v>
      </c>
      <c r="D8332">
        <v>3.42455476277825</v>
      </c>
      <c r="E8332" t="s">
        <v>98</v>
      </c>
    </row>
    <row r="8333" spans="1:5" x14ac:dyDescent="0.25">
      <c r="A8333" t="s">
        <v>106</v>
      </c>
      <c r="B8333">
        <v>2019</v>
      </c>
      <c r="C8333" t="s">
        <v>58</v>
      </c>
      <c r="D8333">
        <v>3.4339191234906798</v>
      </c>
      <c r="E8333" t="s">
        <v>98</v>
      </c>
    </row>
    <row r="8334" spans="1:5" x14ac:dyDescent="0.25">
      <c r="A8334" t="s">
        <v>106</v>
      </c>
      <c r="B8334">
        <v>2020</v>
      </c>
      <c r="C8334" t="s">
        <v>58</v>
      </c>
      <c r="D8334">
        <v>3.1851774021463299</v>
      </c>
      <c r="E8334" t="s">
        <v>98</v>
      </c>
    </row>
    <row r="8335" spans="1:5" x14ac:dyDescent="0.25">
      <c r="A8335" t="s">
        <v>106</v>
      </c>
      <c r="B8335">
        <v>2021</v>
      </c>
      <c r="C8335" t="s">
        <v>58</v>
      </c>
      <c r="D8335">
        <v>3.5813604059002802</v>
      </c>
      <c r="E8335" t="s">
        <v>98</v>
      </c>
    </row>
    <row r="8336" spans="1:5" x14ac:dyDescent="0.25">
      <c r="A8336" t="s">
        <v>106</v>
      </c>
      <c r="B8336">
        <v>2022</v>
      </c>
      <c r="C8336" t="s">
        <v>58</v>
      </c>
      <c r="D8336">
        <v>3.6449722992535798</v>
      </c>
      <c r="E8336" t="s">
        <v>98</v>
      </c>
    </row>
    <row r="8337" spans="1:5" x14ac:dyDescent="0.25">
      <c r="A8337" t="s">
        <v>106</v>
      </c>
      <c r="B8337">
        <v>2023</v>
      </c>
      <c r="C8337" t="s">
        <v>58</v>
      </c>
      <c r="D8337">
        <v>4.2029877696659401</v>
      </c>
      <c r="E8337" t="s">
        <v>98</v>
      </c>
    </row>
    <row r="8338" spans="1:5" x14ac:dyDescent="0.25">
      <c r="A8338" t="s">
        <v>106</v>
      </c>
      <c r="B8338">
        <v>2024</v>
      </c>
      <c r="C8338" t="s">
        <v>58</v>
      </c>
      <c r="D8338">
        <v>4.63012586307695</v>
      </c>
      <c r="E8338" t="s">
        <v>98</v>
      </c>
    </row>
    <row r="8339" spans="1:5" x14ac:dyDescent="0.25">
      <c r="A8339" t="s">
        <v>106</v>
      </c>
      <c r="B8339">
        <v>2025</v>
      </c>
      <c r="C8339" t="s">
        <v>58</v>
      </c>
      <c r="D8339">
        <v>4.7438569642064898</v>
      </c>
      <c r="E8339" t="s">
        <v>98</v>
      </c>
    </row>
    <row r="8340" spans="1:5" x14ac:dyDescent="0.25">
      <c r="A8340" t="s">
        <v>62</v>
      </c>
      <c r="B8340">
        <v>2010</v>
      </c>
      <c r="C8340" t="s">
        <v>58</v>
      </c>
      <c r="D8340">
        <v>4.8857540854295998</v>
      </c>
      <c r="E8340" t="s">
        <v>98</v>
      </c>
    </row>
    <row r="8341" spans="1:5" x14ac:dyDescent="0.25">
      <c r="A8341" t="s">
        <v>62</v>
      </c>
      <c r="B8341">
        <v>2011</v>
      </c>
      <c r="C8341" t="s">
        <v>58</v>
      </c>
      <c r="D8341">
        <v>5.5233149293202404</v>
      </c>
      <c r="E8341" t="s">
        <v>98</v>
      </c>
    </row>
    <row r="8342" spans="1:5" x14ac:dyDescent="0.25">
      <c r="A8342" t="s">
        <v>62</v>
      </c>
      <c r="B8342">
        <v>2012</v>
      </c>
      <c r="C8342" t="s">
        <v>58</v>
      </c>
      <c r="D8342">
        <v>6.2468612073780596</v>
      </c>
      <c r="E8342" t="s">
        <v>98</v>
      </c>
    </row>
    <row r="8343" spans="1:5" x14ac:dyDescent="0.25">
      <c r="A8343" t="s">
        <v>62</v>
      </c>
      <c r="B8343">
        <v>2013</v>
      </c>
      <c r="C8343" t="s">
        <v>58</v>
      </c>
      <c r="D8343">
        <v>5.0198490523736403</v>
      </c>
      <c r="E8343" t="s">
        <v>98</v>
      </c>
    </row>
    <row r="8344" spans="1:5" x14ac:dyDescent="0.25">
      <c r="A8344" t="s">
        <v>62</v>
      </c>
      <c r="B8344">
        <v>2014</v>
      </c>
      <c r="C8344" t="s">
        <v>58</v>
      </c>
      <c r="D8344">
        <v>4.7308102096510902</v>
      </c>
      <c r="E8344" t="s">
        <v>98</v>
      </c>
    </row>
    <row r="8345" spans="1:5" x14ac:dyDescent="0.25">
      <c r="A8345" t="s">
        <v>62</v>
      </c>
      <c r="B8345">
        <v>2015</v>
      </c>
      <c r="C8345" t="s">
        <v>58</v>
      </c>
      <c r="D8345">
        <v>4.9368926151223098</v>
      </c>
      <c r="E8345" t="s">
        <v>98</v>
      </c>
    </row>
    <row r="8346" spans="1:5" x14ac:dyDescent="0.25">
      <c r="A8346" t="s">
        <v>62</v>
      </c>
      <c r="B8346">
        <v>2016</v>
      </c>
      <c r="C8346" t="s">
        <v>58</v>
      </c>
      <c r="D8346">
        <v>4.52395530144749</v>
      </c>
      <c r="E8346" t="s">
        <v>98</v>
      </c>
    </row>
    <row r="8347" spans="1:5" x14ac:dyDescent="0.25">
      <c r="A8347" t="s">
        <v>62</v>
      </c>
      <c r="B8347">
        <v>2017</v>
      </c>
      <c r="C8347" t="s">
        <v>58</v>
      </c>
      <c r="D8347">
        <v>4.9576660643387704</v>
      </c>
      <c r="E8347" t="s">
        <v>98</v>
      </c>
    </row>
    <row r="8348" spans="1:5" x14ac:dyDescent="0.25">
      <c r="A8348" t="s">
        <v>62</v>
      </c>
      <c r="B8348">
        <v>2018</v>
      </c>
      <c r="C8348" t="s">
        <v>58</v>
      </c>
      <c r="D8348">
        <v>5.09723076207686</v>
      </c>
      <c r="E8348" t="s">
        <v>98</v>
      </c>
    </row>
    <row r="8349" spans="1:5" x14ac:dyDescent="0.25">
      <c r="A8349" t="s">
        <v>62</v>
      </c>
      <c r="B8349">
        <v>2019</v>
      </c>
      <c r="C8349" t="s">
        <v>58</v>
      </c>
      <c r="D8349">
        <v>4.9510520608721702</v>
      </c>
      <c r="E8349" t="s">
        <v>98</v>
      </c>
    </row>
    <row r="8350" spans="1:5" x14ac:dyDescent="0.25">
      <c r="A8350" t="s">
        <v>62</v>
      </c>
      <c r="B8350">
        <v>2020</v>
      </c>
      <c r="C8350" t="s">
        <v>58</v>
      </c>
      <c r="D8350">
        <v>4.4356004339073003</v>
      </c>
      <c r="E8350" t="s">
        <v>98</v>
      </c>
    </row>
    <row r="8351" spans="1:5" x14ac:dyDescent="0.25">
      <c r="A8351" t="s">
        <v>62</v>
      </c>
      <c r="B8351">
        <v>2021</v>
      </c>
      <c r="C8351" t="s">
        <v>58</v>
      </c>
      <c r="D8351">
        <v>5.5045410983663201</v>
      </c>
      <c r="E8351" t="s">
        <v>98</v>
      </c>
    </row>
    <row r="8352" spans="1:5" x14ac:dyDescent="0.25">
      <c r="A8352" t="s">
        <v>62</v>
      </c>
      <c r="B8352">
        <v>2022</v>
      </c>
      <c r="C8352" t="s">
        <v>58</v>
      </c>
      <c r="D8352">
        <v>5.1592002168805902</v>
      </c>
      <c r="E8352" t="s">
        <v>98</v>
      </c>
    </row>
    <row r="8353" spans="1:5" x14ac:dyDescent="0.25">
      <c r="A8353" t="s">
        <v>62</v>
      </c>
      <c r="B8353">
        <v>2023</v>
      </c>
      <c r="C8353" t="s">
        <v>58</v>
      </c>
      <c r="D8353">
        <v>5.3013046708194</v>
      </c>
      <c r="E8353" t="s">
        <v>98</v>
      </c>
    </row>
    <row r="8354" spans="1:5" x14ac:dyDescent="0.25">
      <c r="A8354" t="s">
        <v>62</v>
      </c>
      <c r="B8354">
        <v>2024</v>
      </c>
      <c r="C8354" t="s">
        <v>58</v>
      </c>
      <c r="D8354">
        <v>5.2730485559101101</v>
      </c>
      <c r="E8354" t="s">
        <v>98</v>
      </c>
    </row>
    <row r="8355" spans="1:5" x14ac:dyDescent="0.25">
      <c r="A8355" t="s">
        <v>105</v>
      </c>
      <c r="B8355">
        <v>2010</v>
      </c>
      <c r="C8355" t="s">
        <v>58</v>
      </c>
      <c r="D8355">
        <v>4.7443368136811896</v>
      </c>
      <c r="E8355" t="s">
        <v>98</v>
      </c>
    </row>
    <row r="8356" spans="1:5" x14ac:dyDescent="0.25">
      <c r="A8356" t="s">
        <v>105</v>
      </c>
      <c r="B8356">
        <v>2011</v>
      </c>
      <c r="C8356" t="s">
        <v>58</v>
      </c>
      <c r="D8356">
        <v>5.3788657489606297</v>
      </c>
      <c r="E8356" t="s">
        <v>98</v>
      </c>
    </row>
    <row r="8357" spans="1:5" x14ac:dyDescent="0.25">
      <c r="A8357" t="s">
        <v>105</v>
      </c>
      <c r="B8357">
        <v>2012</v>
      </c>
      <c r="C8357" t="s">
        <v>58</v>
      </c>
      <c r="D8357">
        <v>5.67309608220953</v>
      </c>
      <c r="E8357" t="s">
        <v>98</v>
      </c>
    </row>
    <row r="8358" spans="1:5" x14ac:dyDescent="0.25">
      <c r="A8358" t="s">
        <v>105</v>
      </c>
      <c r="B8358">
        <v>2013</v>
      </c>
      <c r="C8358" t="s">
        <v>58</v>
      </c>
      <c r="D8358">
        <v>6.2497751432795701</v>
      </c>
      <c r="E8358" t="s">
        <v>98</v>
      </c>
    </row>
    <row r="8359" spans="1:5" x14ac:dyDescent="0.25">
      <c r="A8359" t="s">
        <v>105</v>
      </c>
      <c r="B8359">
        <v>2014</v>
      </c>
      <c r="C8359" t="s">
        <v>58</v>
      </c>
      <c r="D8359">
        <v>6.3637137809498503</v>
      </c>
      <c r="E8359" t="s">
        <v>98</v>
      </c>
    </row>
    <row r="8360" spans="1:5" x14ac:dyDescent="0.25">
      <c r="A8360" t="s">
        <v>105</v>
      </c>
      <c r="B8360">
        <v>2015</v>
      </c>
      <c r="C8360" t="s">
        <v>58</v>
      </c>
      <c r="D8360">
        <v>4.9725959056659201</v>
      </c>
      <c r="E8360" t="s">
        <v>98</v>
      </c>
    </row>
    <row r="8361" spans="1:5" x14ac:dyDescent="0.25">
      <c r="A8361" t="s">
        <v>105</v>
      </c>
      <c r="B8361">
        <v>2016</v>
      </c>
      <c r="C8361" t="s">
        <v>58</v>
      </c>
      <c r="D8361">
        <v>5.04435457732645</v>
      </c>
      <c r="E8361" t="s">
        <v>98</v>
      </c>
    </row>
    <row r="8362" spans="1:5" x14ac:dyDescent="0.25">
      <c r="A8362" t="s">
        <v>105</v>
      </c>
      <c r="B8362">
        <v>2017</v>
      </c>
      <c r="C8362" t="s">
        <v>58</v>
      </c>
      <c r="D8362">
        <v>6.00795857773997</v>
      </c>
      <c r="E8362" t="s">
        <v>98</v>
      </c>
    </row>
    <row r="8363" spans="1:5" x14ac:dyDescent="0.25">
      <c r="A8363" t="s">
        <v>105</v>
      </c>
      <c r="B8363">
        <v>2018</v>
      </c>
      <c r="C8363" t="s">
        <v>58</v>
      </c>
      <c r="D8363">
        <v>5.8841616579643103</v>
      </c>
      <c r="E8363" t="s">
        <v>98</v>
      </c>
    </row>
    <row r="8364" spans="1:5" x14ac:dyDescent="0.25">
      <c r="A8364" t="s">
        <v>105</v>
      </c>
      <c r="B8364">
        <v>2019</v>
      </c>
      <c r="C8364" t="s">
        <v>58</v>
      </c>
      <c r="D8364">
        <v>5.5396267420210998</v>
      </c>
      <c r="E8364" t="s">
        <v>98</v>
      </c>
    </row>
    <row r="8365" spans="1:5" x14ac:dyDescent="0.25">
      <c r="A8365" t="s">
        <v>105</v>
      </c>
      <c r="B8365">
        <v>2020</v>
      </c>
      <c r="C8365" t="s">
        <v>58</v>
      </c>
      <c r="D8365">
        <v>5.44413944001725</v>
      </c>
      <c r="E8365" t="s">
        <v>98</v>
      </c>
    </row>
    <row r="8366" spans="1:5" x14ac:dyDescent="0.25">
      <c r="A8366" t="s">
        <v>105</v>
      </c>
      <c r="B8366">
        <v>2021</v>
      </c>
      <c r="C8366" t="s">
        <v>58</v>
      </c>
      <c r="D8366">
        <v>6.0898137155707897</v>
      </c>
      <c r="E8366" t="s">
        <v>98</v>
      </c>
    </row>
    <row r="8367" spans="1:5" x14ac:dyDescent="0.25">
      <c r="A8367" t="s">
        <v>105</v>
      </c>
      <c r="B8367">
        <v>2022</v>
      </c>
      <c r="C8367" t="s">
        <v>58</v>
      </c>
      <c r="D8367">
        <v>5.9515293912139198</v>
      </c>
      <c r="E8367" t="s">
        <v>98</v>
      </c>
    </row>
    <row r="8368" spans="1:5" x14ac:dyDescent="0.25">
      <c r="A8368" t="s">
        <v>105</v>
      </c>
      <c r="B8368">
        <v>2023</v>
      </c>
      <c r="C8368" t="s">
        <v>58</v>
      </c>
      <c r="D8368">
        <v>5.8713023623171301</v>
      </c>
      <c r="E8368" t="s">
        <v>98</v>
      </c>
    </row>
    <row r="8369" spans="1:5" x14ac:dyDescent="0.25">
      <c r="A8369" t="s">
        <v>105</v>
      </c>
      <c r="B8369">
        <v>2024</v>
      </c>
      <c r="C8369" t="s">
        <v>58</v>
      </c>
      <c r="D8369">
        <v>6.9614736559514201</v>
      </c>
      <c r="E8369" t="s">
        <v>98</v>
      </c>
    </row>
    <row r="8370" spans="1:5" x14ac:dyDescent="0.25">
      <c r="A8370" t="s">
        <v>105</v>
      </c>
      <c r="B8370">
        <v>2025</v>
      </c>
      <c r="C8370" t="s">
        <v>58</v>
      </c>
      <c r="D8370">
        <v>6.9496656808521902</v>
      </c>
      <c r="E8370" t="s">
        <v>98</v>
      </c>
    </row>
    <row r="8371" spans="1:5" x14ac:dyDescent="0.25">
      <c r="A8371" t="s">
        <v>84</v>
      </c>
      <c r="B8371">
        <v>2010</v>
      </c>
      <c r="C8371" t="s">
        <v>58</v>
      </c>
      <c r="D8371">
        <v>6.1574331011772196</v>
      </c>
      <c r="E8371" t="s">
        <v>98</v>
      </c>
    </row>
    <row r="8372" spans="1:5" x14ac:dyDescent="0.25">
      <c r="A8372" t="s">
        <v>84</v>
      </c>
      <c r="B8372">
        <v>2011</v>
      </c>
      <c r="C8372" t="s">
        <v>58</v>
      </c>
      <c r="D8372">
        <v>7.2141939513327502</v>
      </c>
      <c r="E8372" t="s">
        <v>98</v>
      </c>
    </row>
    <row r="8373" spans="1:5" x14ac:dyDescent="0.25">
      <c r="A8373" t="s">
        <v>84</v>
      </c>
      <c r="B8373">
        <v>2012</v>
      </c>
      <c r="C8373" t="s">
        <v>58</v>
      </c>
      <c r="D8373">
        <v>7.3886699489340302</v>
      </c>
      <c r="E8373" t="s">
        <v>98</v>
      </c>
    </row>
    <row r="8374" spans="1:5" x14ac:dyDescent="0.25">
      <c r="A8374" t="s">
        <v>84</v>
      </c>
      <c r="B8374">
        <v>2013</v>
      </c>
      <c r="C8374" t="s">
        <v>58</v>
      </c>
      <c r="D8374">
        <v>8.7464093595253907</v>
      </c>
      <c r="E8374" t="s">
        <v>98</v>
      </c>
    </row>
    <row r="8375" spans="1:5" x14ac:dyDescent="0.25">
      <c r="A8375" t="s">
        <v>84</v>
      </c>
      <c r="B8375">
        <v>2014</v>
      </c>
      <c r="C8375" t="s">
        <v>58</v>
      </c>
      <c r="D8375">
        <v>7.9536147554318699</v>
      </c>
      <c r="E8375" t="s">
        <v>98</v>
      </c>
    </row>
    <row r="8376" spans="1:5" x14ac:dyDescent="0.25">
      <c r="A8376" t="s">
        <v>84</v>
      </c>
      <c r="B8376">
        <v>2015</v>
      </c>
      <c r="C8376" t="s">
        <v>58</v>
      </c>
      <c r="D8376">
        <v>6.2590939179545497</v>
      </c>
      <c r="E8376" t="s">
        <v>98</v>
      </c>
    </row>
    <row r="8377" spans="1:5" x14ac:dyDescent="0.25">
      <c r="A8377" t="s">
        <v>84</v>
      </c>
      <c r="B8377">
        <v>2016</v>
      </c>
      <c r="C8377" t="s">
        <v>58</v>
      </c>
      <c r="D8377">
        <v>10.8929761287927</v>
      </c>
      <c r="E8377" t="s">
        <v>98</v>
      </c>
    </row>
    <row r="8378" spans="1:5" x14ac:dyDescent="0.25">
      <c r="A8378" t="s">
        <v>84</v>
      </c>
      <c r="B8378">
        <v>2017</v>
      </c>
      <c r="C8378" t="s">
        <v>58</v>
      </c>
      <c r="D8378">
        <v>6.7946704051701001</v>
      </c>
      <c r="E8378" t="s">
        <v>98</v>
      </c>
    </row>
    <row r="8379" spans="1:5" x14ac:dyDescent="0.25">
      <c r="A8379" t="s">
        <v>84</v>
      </c>
      <c r="B8379">
        <v>2018</v>
      </c>
      <c r="C8379" t="s">
        <v>58</v>
      </c>
      <c r="D8379">
        <v>7.1650775144696501</v>
      </c>
      <c r="E8379" t="s">
        <v>98</v>
      </c>
    </row>
    <row r="8380" spans="1:5" x14ac:dyDescent="0.25">
      <c r="A8380" t="s">
        <v>84</v>
      </c>
      <c r="B8380">
        <v>2019</v>
      </c>
      <c r="C8380" t="s">
        <v>58</v>
      </c>
      <c r="D8380">
        <v>6.7382317186002396</v>
      </c>
      <c r="E8380" t="s">
        <v>98</v>
      </c>
    </row>
    <row r="8381" spans="1:5" x14ac:dyDescent="0.25">
      <c r="A8381" t="s">
        <v>84</v>
      </c>
      <c r="B8381">
        <v>2020</v>
      </c>
      <c r="C8381" t="s">
        <v>58</v>
      </c>
      <c r="D8381">
        <v>6.6828093245713101</v>
      </c>
      <c r="E8381" t="s">
        <v>98</v>
      </c>
    </row>
    <row r="8382" spans="1:5" x14ac:dyDescent="0.25">
      <c r="A8382" t="s">
        <v>84</v>
      </c>
      <c r="B8382">
        <v>2021</v>
      </c>
      <c r="C8382" t="s">
        <v>58</v>
      </c>
      <c r="D8382">
        <v>6.8666056633017103</v>
      </c>
      <c r="E8382" t="s">
        <v>98</v>
      </c>
    </row>
    <row r="8383" spans="1:5" x14ac:dyDescent="0.25">
      <c r="A8383" t="s">
        <v>84</v>
      </c>
      <c r="B8383">
        <v>2022</v>
      </c>
      <c r="C8383" t="s">
        <v>58</v>
      </c>
      <c r="D8383">
        <v>6.8433835476248799</v>
      </c>
      <c r="E8383" t="s">
        <v>98</v>
      </c>
    </row>
    <row r="8384" spans="1:5" x14ac:dyDescent="0.25">
      <c r="A8384" t="s">
        <v>84</v>
      </c>
      <c r="B8384">
        <v>2023</v>
      </c>
      <c r="C8384" t="s">
        <v>58</v>
      </c>
      <c r="D8384">
        <v>7.8525813817480197</v>
      </c>
      <c r="E8384" t="s">
        <v>98</v>
      </c>
    </row>
    <row r="8385" spans="1:5" x14ac:dyDescent="0.25">
      <c r="A8385" t="s">
        <v>84</v>
      </c>
      <c r="B8385">
        <v>2024</v>
      </c>
      <c r="C8385" t="s">
        <v>58</v>
      </c>
      <c r="D8385">
        <v>8.3720485131270994</v>
      </c>
      <c r="E8385" t="s">
        <v>98</v>
      </c>
    </row>
    <row r="8386" spans="1:5" x14ac:dyDescent="0.25">
      <c r="A8386" t="s">
        <v>84</v>
      </c>
      <c r="B8386">
        <v>2025</v>
      </c>
      <c r="C8386" t="s">
        <v>58</v>
      </c>
      <c r="D8386">
        <v>8.3298213814394302</v>
      </c>
      <c r="E8386" t="s">
        <v>98</v>
      </c>
    </row>
    <row r="8387" spans="1:5" x14ac:dyDescent="0.25">
      <c r="A8387" t="s">
        <v>48</v>
      </c>
      <c r="B8387">
        <v>2010</v>
      </c>
      <c r="C8387" t="s">
        <v>58</v>
      </c>
      <c r="D8387">
        <v>2.7239550868634002</v>
      </c>
      <c r="E8387" t="s">
        <v>98</v>
      </c>
    </row>
    <row r="8388" spans="1:5" x14ac:dyDescent="0.25">
      <c r="A8388" t="s">
        <v>48</v>
      </c>
      <c r="B8388">
        <v>2011</v>
      </c>
      <c r="C8388" t="s">
        <v>58</v>
      </c>
      <c r="D8388">
        <v>3.17780361830307</v>
      </c>
      <c r="E8388" t="s">
        <v>98</v>
      </c>
    </row>
    <row r="8389" spans="1:5" x14ac:dyDescent="0.25">
      <c r="A8389" t="s">
        <v>48</v>
      </c>
      <c r="B8389">
        <v>2012</v>
      </c>
      <c r="C8389" t="s">
        <v>58</v>
      </c>
      <c r="D8389">
        <v>4.2332316597017501</v>
      </c>
      <c r="E8389" t="s">
        <v>98</v>
      </c>
    </row>
    <row r="8390" spans="1:5" x14ac:dyDescent="0.25">
      <c r="A8390" t="s">
        <v>48</v>
      </c>
      <c r="B8390">
        <v>2013</v>
      </c>
      <c r="C8390" t="s">
        <v>58</v>
      </c>
      <c r="D8390">
        <v>4.2366198158880799</v>
      </c>
      <c r="E8390" t="s">
        <v>98</v>
      </c>
    </row>
    <row r="8391" spans="1:5" x14ac:dyDescent="0.25">
      <c r="A8391" t="s">
        <v>48</v>
      </c>
      <c r="B8391">
        <v>2014</v>
      </c>
      <c r="C8391" t="s">
        <v>58</v>
      </c>
      <c r="D8391">
        <v>3.4528778604050698</v>
      </c>
      <c r="E8391" t="s">
        <v>98</v>
      </c>
    </row>
    <row r="8392" spans="1:5" x14ac:dyDescent="0.25">
      <c r="A8392" t="s">
        <v>48</v>
      </c>
      <c r="B8392">
        <v>2015</v>
      </c>
      <c r="C8392" t="s">
        <v>58</v>
      </c>
      <c r="D8392">
        <v>3.0151513615106098</v>
      </c>
      <c r="E8392" t="s">
        <v>98</v>
      </c>
    </row>
    <row r="8393" spans="1:5" x14ac:dyDescent="0.25">
      <c r="A8393" t="s">
        <v>48</v>
      </c>
      <c r="B8393">
        <v>2016</v>
      </c>
      <c r="C8393" t="s">
        <v>58</v>
      </c>
      <c r="D8393">
        <v>3.2241609465938299</v>
      </c>
      <c r="E8393" t="s">
        <v>98</v>
      </c>
    </row>
    <row r="8394" spans="1:5" x14ac:dyDescent="0.25">
      <c r="A8394" t="s">
        <v>48</v>
      </c>
      <c r="B8394">
        <v>2017</v>
      </c>
      <c r="C8394" t="s">
        <v>58</v>
      </c>
      <c r="D8394">
        <v>3.4792333930856398</v>
      </c>
      <c r="E8394" t="s">
        <v>98</v>
      </c>
    </row>
    <row r="8395" spans="1:5" x14ac:dyDescent="0.25">
      <c r="A8395" t="s">
        <v>48</v>
      </c>
      <c r="B8395">
        <v>2018</v>
      </c>
      <c r="C8395" t="s">
        <v>58</v>
      </c>
      <c r="D8395">
        <v>3.8595787544583899</v>
      </c>
      <c r="E8395" t="s">
        <v>98</v>
      </c>
    </row>
    <row r="8396" spans="1:5" x14ac:dyDescent="0.25">
      <c r="A8396" t="s">
        <v>48</v>
      </c>
      <c r="B8396">
        <v>2019</v>
      </c>
      <c r="C8396" t="s">
        <v>58</v>
      </c>
      <c r="D8396">
        <v>3.5629424215715901</v>
      </c>
      <c r="E8396" t="s">
        <v>98</v>
      </c>
    </row>
    <row r="8397" spans="1:5" x14ac:dyDescent="0.25">
      <c r="A8397" t="s">
        <v>48</v>
      </c>
      <c r="B8397">
        <v>2020</v>
      </c>
      <c r="C8397" t="s">
        <v>58</v>
      </c>
      <c r="D8397">
        <v>3.4034423583331601</v>
      </c>
      <c r="E8397" t="s">
        <v>98</v>
      </c>
    </row>
    <row r="8398" spans="1:5" x14ac:dyDescent="0.25">
      <c r="A8398" t="s">
        <v>48</v>
      </c>
      <c r="B8398">
        <v>2021</v>
      </c>
      <c r="C8398" t="s">
        <v>58</v>
      </c>
      <c r="D8398">
        <v>3.4477655682493902</v>
      </c>
      <c r="E8398" t="s">
        <v>98</v>
      </c>
    </row>
    <row r="8399" spans="1:5" x14ac:dyDescent="0.25">
      <c r="A8399" t="s">
        <v>48</v>
      </c>
      <c r="B8399">
        <v>2022</v>
      </c>
      <c r="C8399" t="s">
        <v>58</v>
      </c>
      <c r="D8399">
        <v>3.7170918606544001</v>
      </c>
      <c r="E8399" t="s">
        <v>98</v>
      </c>
    </row>
    <row r="8400" spans="1:5" x14ac:dyDescent="0.25">
      <c r="A8400" t="s">
        <v>48</v>
      </c>
      <c r="B8400">
        <v>2023</v>
      </c>
      <c r="C8400" t="s">
        <v>58</v>
      </c>
      <c r="D8400">
        <v>4.13427056031618</v>
      </c>
      <c r="E8400" t="s">
        <v>98</v>
      </c>
    </row>
    <row r="8401" spans="1:5" x14ac:dyDescent="0.25">
      <c r="A8401" t="s">
        <v>48</v>
      </c>
      <c r="B8401">
        <v>2024</v>
      </c>
      <c r="C8401" t="s">
        <v>58</v>
      </c>
      <c r="D8401">
        <v>3.8020899095180698</v>
      </c>
      <c r="E8401" t="s">
        <v>98</v>
      </c>
    </row>
    <row r="8402" spans="1:5" x14ac:dyDescent="0.25">
      <c r="A8402" t="s">
        <v>48</v>
      </c>
      <c r="B8402">
        <v>2025</v>
      </c>
      <c r="C8402" t="s">
        <v>58</v>
      </c>
      <c r="D8402">
        <v>3.8545896623857101</v>
      </c>
      <c r="E8402" t="s">
        <v>98</v>
      </c>
    </row>
    <row r="8403" spans="1:5" x14ac:dyDescent="0.25">
      <c r="A8403" t="s">
        <v>49</v>
      </c>
      <c r="B8403">
        <v>2002</v>
      </c>
      <c r="C8403" t="s">
        <v>58</v>
      </c>
      <c r="D8403">
        <v>2.7290376204478801</v>
      </c>
      <c r="E8403" t="s">
        <v>98</v>
      </c>
    </row>
    <row r="8404" spans="1:5" x14ac:dyDescent="0.25">
      <c r="A8404" t="s">
        <v>49</v>
      </c>
      <c r="B8404">
        <v>2003</v>
      </c>
      <c r="C8404" t="s">
        <v>58</v>
      </c>
      <c r="D8404">
        <v>2.7377811267754502</v>
      </c>
      <c r="E8404" t="s">
        <v>98</v>
      </c>
    </row>
    <row r="8405" spans="1:5" x14ac:dyDescent="0.25">
      <c r="A8405" t="s">
        <v>49</v>
      </c>
      <c r="B8405">
        <v>2004</v>
      </c>
      <c r="C8405" t="s">
        <v>58</v>
      </c>
      <c r="D8405">
        <v>3.0670064748500501</v>
      </c>
      <c r="E8405" t="s">
        <v>98</v>
      </c>
    </row>
    <row r="8406" spans="1:5" x14ac:dyDescent="0.25">
      <c r="A8406" t="s">
        <v>49</v>
      </c>
      <c r="B8406">
        <v>2005</v>
      </c>
      <c r="C8406" t="s">
        <v>58</v>
      </c>
      <c r="D8406">
        <v>3.3026847595973998</v>
      </c>
      <c r="E8406" t="s">
        <v>98</v>
      </c>
    </row>
    <row r="8407" spans="1:5" x14ac:dyDescent="0.25">
      <c r="A8407" t="s">
        <v>49</v>
      </c>
      <c r="B8407">
        <v>2006</v>
      </c>
      <c r="C8407" t="s">
        <v>58</v>
      </c>
      <c r="D8407">
        <v>3.56561138619292</v>
      </c>
      <c r="E8407" t="s">
        <v>98</v>
      </c>
    </row>
    <row r="8408" spans="1:5" x14ac:dyDescent="0.25">
      <c r="A8408" t="s">
        <v>49</v>
      </c>
      <c r="B8408">
        <v>2007</v>
      </c>
      <c r="C8408" t="s">
        <v>58</v>
      </c>
      <c r="D8408">
        <v>4.1848734768523697</v>
      </c>
      <c r="E8408" t="s">
        <v>98</v>
      </c>
    </row>
    <row r="8409" spans="1:5" x14ac:dyDescent="0.25">
      <c r="A8409" t="s">
        <v>49</v>
      </c>
      <c r="B8409">
        <v>2008</v>
      </c>
      <c r="C8409" t="s">
        <v>58</v>
      </c>
      <c r="D8409">
        <v>5.0926945721736301</v>
      </c>
      <c r="E8409" t="s">
        <v>98</v>
      </c>
    </row>
    <row r="8410" spans="1:5" x14ac:dyDescent="0.25">
      <c r="A8410" t="s">
        <v>49</v>
      </c>
      <c r="B8410">
        <v>2009</v>
      </c>
      <c r="C8410" t="s">
        <v>58</v>
      </c>
      <c r="D8410">
        <v>4.1604109896596997</v>
      </c>
      <c r="E8410" t="s">
        <v>98</v>
      </c>
    </row>
    <row r="8411" spans="1:5" x14ac:dyDescent="0.25">
      <c r="A8411" t="s">
        <v>49</v>
      </c>
      <c r="B8411">
        <v>2010</v>
      </c>
      <c r="C8411" t="s">
        <v>58</v>
      </c>
      <c r="D8411">
        <v>4.2351611999391396</v>
      </c>
      <c r="E8411" t="s">
        <v>98</v>
      </c>
    </row>
    <row r="8412" spans="1:5" x14ac:dyDescent="0.25">
      <c r="A8412" t="s">
        <v>49</v>
      </c>
      <c r="B8412">
        <v>2011</v>
      </c>
      <c r="C8412" t="s">
        <v>58</v>
      </c>
      <c r="D8412">
        <v>4.88249134567205</v>
      </c>
      <c r="E8412" t="s">
        <v>98</v>
      </c>
    </row>
    <row r="8413" spans="1:5" x14ac:dyDescent="0.25">
      <c r="A8413" t="s">
        <v>49</v>
      </c>
      <c r="B8413">
        <v>2012</v>
      </c>
      <c r="C8413" t="s">
        <v>58</v>
      </c>
      <c r="D8413">
        <v>6.0971026270243103</v>
      </c>
      <c r="E8413" t="s">
        <v>98</v>
      </c>
    </row>
    <row r="8414" spans="1:5" x14ac:dyDescent="0.25">
      <c r="A8414" t="s">
        <v>49</v>
      </c>
      <c r="B8414">
        <v>2013</v>
      </c>
      <c r="C8414" t="s">
        <v>58</v>
      </c>
      <c r="D8414">
        <v>6.46213259895839</v>
      </c>
      <c r="E8414" t="s">
        <v>98</v>
      </c>
    </row>
    <row r="8415" spans="1:5" x14ac:dyDescent="0.25">
      <c r="A8415" t="s">
        <v>49</v>
      </c>
      <c r="B8415">
        <v>2014</v>
      </c>
      <c r="C8415" t="s">
        <v>58</v>
      </c>
      <c r="D8415">
        <v>5.2017385100047404</v>
      </c>
      <c r="E8415" t="s">
        <v>98</v>
      </c>
    </row>
    <row r="8416" spans="1:5" x14ac:dyDescent="0.25">
      <c r="A8416" t="s">
        <v>49</v>
      </c>
      <c r="B8416">
        <v>2015</v>
      </c>
      <c r="C8416" t="s">
        <v>58</v>
      </c>
      <c r="D8416">
        <v>4.0046434703256697</v>
      </c>
      <c r="E8416" t="s">
        <v>98</v>
      </c>
    </row>
    <row r="8417" spans="1:5" x14ac:dyDescent="0.25">
      <c r="A8417" t="s">
        <v>49</v>
      </c>
      <c r="B8417">
        <v>2016</v>
      </c>
      <c r="C8417" t="s">
        <v>58</v>
      </c>
      <c r="D8417">
        <v>4.2698213017209197</v>
      </c>
      <c r="E8417" t="s">
        <v>98</v>
      </c>
    </row>
    <row r="8418" spans="1:5" x14ac:dyDescent="0.25">
      <c r="A8418" t="s">
        <v>49</v>
      </c>
      <c r="B8418">
        <v>2017</v>
      </c>
      <c r="C8418" t="s">
        <v>58</v>
      </c>
      <c r="D8418">
        <v>5.0515097455623099</v>
      </c>
      <c r="E8418" t="s">
        <v>98</v>
      </c>
    </row>
    <row r="8419" spans="1:5" x14ac:dyDescent="0.25">
      <c r="A8419" t="s">
        <v>49</v>
      </c>
      <c r="B8419">
        <v>2018</v>
      </c>
      <c r="C8419" t="s">
        <v>58</v>
      </c>
      <c r="D8419">
        <v>5.5110303212932203</v>
      </c>
      <c r="E8419" t="s">
        <v>98</v>
      </c>
    </row>
    <row r="8420" spans="1:5" x14ac:dyDescent="0.25">
      <c r="A8420" t="s">
        <v>49</v>
      </c>
      <c r="B8420">
        <v>2019</v>
      </c>
      <c r="C8420" t="s">
        <v>58</v>
      </c>
      <c r="D8420">
        <v>4.6241461867744</v>
      </c>
      <c r="E8420" t="s">
        <v>98</v>
      </c>
    </row>
    <row r="8421" spans="1:5" x14ac:dyDescent="0.25">
      <c r="A8421" t="s">
        <v>49</v>
      </c>
      <c r="B8421">
        <v>2020</v>
      </c>
      <c r="C8421" t="s">
        <v>58</v>
      </c>
      <c r="D8421">
        <v>4.4143299024411897</v>
      </c>
      <c r="E8421" t="s">
        <v>98</v>
      </c>
    </row>
    <row r="8422" spans="1:5" x14ac:dyDescent="0.25">
      <c r="A8422" t="s">
        <v>49</v>
      </c>
      <c r="B8422">
        <v>2021</v>
      </c>
      <c r="C8422" t="s">
        <v>58</v>
      </c>
      <c r="D8422">
        <v>4.7187765666600399</v>
      </c>
      <c r="E8422" t="s">
        <v>98</v>
      </c>
    </row>
    <row r="8423" spans="1:5" x14ac:dyDescent="0.25">
      <c r="A8423" t="s">
        <v>49</v>
      </c>
      <c r="B8423">
        <v>2022</v>
      </c>
      <c r="C8423" t="s">
        <v>58</v>
      </c>
      <c r="D8423">
        <v>5.3493043527602904</v>
      </c>
      <c r="E8423" t="s">
        <v>98</v>
      </c>
    </row>
    <row r="8424" spans="1:5" x14ac:dyDescent="0.25">
      <c r="A8424" t="s">
        <v>49</v>
      </c>
      <c r="B8424">
        <v>2023</v>
      </c>
      <c r="C8424" t="s">
        <v>58</v>
      </c>
      <c r="D8424">
        <v>5.7977925452480097</v>
      </c>
      <c r="E8424" t="s">
        <v>98</v>
      </c>
    </row>
    <row r="8425" spans="1:5" x14ac:dyDescent="0.25">
      <c r="A8425" t="s">
        <v>49</v>
      </c>
      <c r="B8425">
        <v>2024</v>
      </c>
      <c r="C8425" t="s">
        <v>58</v>
      </c>
      <c r="D8425">
        <v>5.36168412527703</v>
      </c>
      <c r="E8425" t="s">
        <v>98</v>
      </c>
    </row>
    <row r="8426" spans="1:5" x14ac:dyDescent="0.25">
      <c r="A8426" t="s">
        <v>49</v>
      </c>
      <c r="B8426">
        <v>2025</v>
      </c>
      <c r="C8426" t="s">
        <v>58</v>
      </c>
      <c r="D8426">
        <v>5.4293198428354899</v>
      </c>
      <c r="E8426" t="s">
        <v>98</v>
      </c>
    </row>
    <row r="8427" spans="1:5" x14ac:dyDescent="0.25">
      <c r="A8427" t="s">
        <v>104</v>
      </c>
      <c r="B8427">
        <v>2007</v>
      </c>
      <c r="C8427" t="s">
        <v>58</v>
      </c>
      <c r="D8427">
        <v>3.3384884371658798</v>
      </c>
      <c r="E8427" t="s">
        <v>98</v>
      </c>
    </row>
    <row r="8428" spans="1:5" x14ac:dyDescent="0.25">
      <c r="A8428" t="s">
        <v>104</v>
      </c>
      <c r="B8428">
        <v>2008</v>
      </c>
      <c r="C8428" t="s">
        <v>58</v>
      </c>
      <c r="D8428">
        <v>4.3376356115800503</v>
      </c>
      <c r="E8428" t="s">
        <v>98</v>
      </c>
    </row>
    <row r="8429" spans="1:5" x14ac:dyDescent="0.25">
      <c r="A8429" t="s">
        <v>104</v>
      </c>
      <c r="B8429">
        <v>2009</v>
      </c>
      <c r="C8429" t="s">
        <v>58</v>
      </c>
      <c r="D8429">
        <v>3.94261679306747</v>
      </c>
      <c r="E8429" t="s">
        <v>98</v>
      </c>
    </row>
    <row r="8430" spans="1:5" x14ac:dyDescent="0.25">
      <c r="A8430" t="s">
        <v>104</v>
      </c>
      <c r="B8430">
        <v>2017</v>
      </c>
      <c r="C8430" t="s">
        <v>58</v>
      </c>
      <c r="D8430">
        <v>4.8917167182021997</v>
      </c>
      <c r="E8430" t="s">
        <v>98</v>
      </c>
    </row>
    <row r="8431" spans="1:5" x14ac:dyDescent="0.25">
      <c r="A8431" t="s">
        <v>104</v>
      </c>
      <c r="B8431">
        <v>2018</v>
      </c>
      <c r="C8431" t="s">
        <v>58</v>
      </c>
      <c r="D8431">
        <v>5.4312729384088598</v>
      </c>
      <c r="E8431" t="s">
        <v>98</v>
      </c>
    </row>
    <row r="8432" spans="1:5" x14ac:dyDescent="0.25">
      <c r="A8432" t="s">
        <v>104</v>
      </c>
      <c r="B8432">
        <v>2019</v>
      </c>
      <c r="C8432" t="s">
        <v>58</v>
      </c>
      <c r="D8432">
        <v>4.8508897580558896</v>
      </c>
      <c r="E8432" t="s">
        <v>98</v>
      </c>
    </row>
    <row r="8433" spans="1:5" x14ac:dyDescent="0.25">
      <c r="A8433" t="s">
        <v>104</v>
      </c>
      <c r="B8433">
        <v>2020</v>
      </c>
      <c r="C8433" t="s">
        <v>58</v>
      </c>
      <c r="D8433">
        <v>4.8035153671437296</v>
      </c>
      <c r="E8433" t="s">
        <v>98</v>
      </c>
    </row>
    <row r="8434" spans="1:5" x14ac:dyDescent="0.25">
      <c r="A8434" t="s">
        <v>104</v>
      </c>
      <c r="B8434">
        <v>2021</v>
      </c>
      <c r="C8434" t="s">
        <v>58</v>
      </c>
      <c r="D8434">
        <v>4.9218064466447</v>
      </c>
      <c r="E8434" t="s">
        <v>98</v>
      </c>
    </row>
    <row r="8435" spans="1:5" x14ac:dyDescent="0.25">
      <c r="A8435" t="s">
        <v>104</v>
      </c>
      <c r="B8435">
        <v>2022</v>
      </c>
      <c r="C8435" t="s">
        <v>58</v>
      </c>
      <c r="D8435">
        <v>5.19389839415628</v>
      </c>
      <c r="E8435" t="s">
        <v>98</v>
      </c>
    </row>
    <row r="8436" spans="1:5" x14ac:dyDescent="0.25">
      <c r="A8436" t="s">
        <v>104</v>
      </c>
      <c r="B8436">
        <v>2023</v>
      </c>
      <c r="C8436" t="s">
        <v>58</v>
      </c>
      <c r="D8436">
        <v>5.7106716140893496</v>
      </c>
      <c r="E8436" t="s">
        <v>98</v>
      </c>
    </row>
    <row r="8437" spans="1:5" x14ac:dyDescent="0.25">
      <c r="A8437" t="s">
        <v>103</v>
      </c>
      <c r="B8437">
        <v>2012</v>
      </c>
      <c r="C8437" t="s">
        <v>58</v>
      </c>
      <c r="D8437">
        <v>1.3157673031072901</v>
      </c>
      <c r="E8437" t="s">
        <v>98</v>
      </c>
    </row>
    <row r="8438" spans="1:5" x14ac:dyDescent="0.25">
      <c r="A8438" t="s">
        <v>103</v>
      </c>
      <c r="B8438">
        <v>2015</v>
      </c>
      <c r="C8438" t="s">
        <v>58</v>
      </c>
      <c r="D8438">
        <v>2.2895149193064501</v>
      </c>
      <c r="E8438" t="s">
        <v>98</v>
      </c>
    </row>
    <row r="8439" spans="1:5" x14ac:dyDescent="0.25">
      <c r="A8439" t="s">
        <v>103</v>
      </c>
      <c r="B8439">
        <v>2016</v>
      </c>
      <c r="C8439" t="s">
        <v>58</v>
      </c>
      <c r="D8439">
        <v>2.0457913135901098</v>
      </c>
      <c r="E8439" t="s">
        <v>98</v>
      </c>
    </row>
    <row r="8440" spans="1:5" x14ac:dyDescent="0.25">
      <c r="A8440" t="s">
        <v>103</v>
      </c>
      <c r="B8440">
        <v>2018</v>
      </c>
      <c r="C8440" t="s">
        <v>58</v>
      </c>
      <c r="D8440">
        <v>1.7996638957573099</v>
      </c>
      <c r="E8440" t="s">
        <v>98</v>
      </c>
    </row>
    <row r="8441" spans="1:5" x14ac:dyDescent="0.25">
      <c r="A8441" t="s">
        <v>102</v>
      </c>
      <c r="B8441">
        <v>2009</v>
      </c>
      <c r="C8441" t="s">
        <v>58</v>
      </c>
      <c r="D8441">
        <v>1.9708708150077301</v>
      </c>
      <c r="E8441" t="s">
        <v>98</v>
      </c>
    </row>
    <row r="8442" spans="1:5" x14ac:dyDescent="0.25">
      <c r="A8442" t="s">
        <v>101</v>
      </c>
      <c r="B8442">
        <v>2010</v>
      </c>
      <c r="C8442" t="s">
        <v>58</v>
      </c>
      <c r="D8442">
        <v>3.5730503098752302</v>
      </c>
      <c r="E8442" t="s">
        <v>98</v>
      </c>
    </row>
    <row r="8443" spans="1:5" x14ac:dyDescent="0.25">
      <c r="A8443" t="s">
        <v>101</v>
      </c>
      <c r="B8443">
        <v>2011</v>
      </c>
      <c r="C8443" t="s">
        <v>58</v>
      </c>
      <c r="D8443">
        <v>4.17136623288257</v>
      </c>
      <c r="E8443" t="s">
        <v>98</v>
      </c>
    </row>
    <row r="8444" spans="1:5" x14ac:dyDescent="0.25">
      <c r="A8444" t="s">
        <v>101</v>
      </c>
      <c r="B8444">
        <v>2012</v>
      </c>
      <c r="C8444" t="s">
        <v>58</v>
      </c>
      <c r="D8444">
        <v>5.2378395332812602</v>
      </c>
      <c r="E8444" t="s">
        <v>98</v>
      </c>
    </row>
    <row r="8445" spans="1:5" x14ac:dyDescent="0.25">
      <c r="A8445" t="s">
        <v>101</v>
      </c>
      <c r="B8445">
        <v>2013</v>
      </c>
      <c r="C8445" t="s">
        <v>58</v>
      </c>
      <c r="D8445">
        <v>5.5128093972653396</v>
      </c>
      <c r="E8445" t="s">
        <v>98</v>
      </c>
    </row>
    <row r="8446" spans="1:5" x14ac:dyDescent="0.25">
      <c r="A8446" t="s">
        <v>101</v>
      </c>
      <c r="B8446">
        <v>2014</v>
      </c>
      <c r="C8446" t="s">
        <v>58</v>
      </c>
      <c r="D8446">
        <v>4.9846922614659297</v>
      </c>
      <c r="E8446" t="s">
        <v>98</v>
      </c>
    </row>
    <row r="8447" spans="1:5" x14ac:dyDescent="0.25">
      <c r="A8447" t="s">
        <v>101</v>
      </c>
      <c r="B8447">
        <v>2015</v>
      </c>
      <c r="C8447" t="s">
        <v>58</v>
      </c>
      <c r="D8447">
        <v>4.1581585624657897</v>
      </c>
      <c r="E8447" t="s">
        <v>98</v>
      </c>
    </row>
    <row r="8448" spans="1:5" x14ac:dyDescent="0.25">
      <c r="A8448" t="s">
        <v>101</v>
      </c>
      <c r="B8448">
        <v>2016</v>
      </c>
      <c r="C8448" t="s">
        <v>58</v>
      </c>
      <c r="D8448">
        <v>4.1407748411754897</v>
      </c>
      <c r="E8448" t="s">
        <v>98</v>
      </c>
    </row>
    <row r="8449" spans="1:5" x14ac:dyDescent="0.25">
      <c r="A8449" t="s">
        <v>101</v>
      </c>
      <c r="B8449">
        <v>2017</v>
      </c>
      <c r="C8449" t="s">
        <v>58</v>
      </c>
      <c r="D8449">
        <v>4.7865817921589899</v>
      </c>
      <c r="E8449" t="s">
        <v>98</v>
      </c>
    </row>
    <row r="8450" spans="1:5" x14ac:dyDescent="0.25">
      <c r="A8450" t="s">
        <v>101</v>
      </c>
      <c r="B8450">
        <v>2018</v>
      </c>
      <c r="C8450" t="s">
        <v>58</v>
      </c>
      <c r="D8450">
        <v>5.0898029379092504</v>
      </c>
      <c r="E8450" t="s">
        <v>98</v>
      </c>
    </row>
    <row r="8451" spans="1:5" x14ac:dyDescent="0.25">
      <c r="A8451" t="s">
        <v>101</v>
      </c>
      <c r="B8451">
        <v>2019</v>
      </c>
      <c r="C8451" t="s">
        <v>58</v>
      </c>
      <c r="D8451">
        <v>4.94962914840543</v>
      </c>
      <c r="E8451" t="s">
        <v>98</v>
      </c>
    </row>
    <row r="8452" spans="1:5" x14ac:dyDescent="0.25">
      <c r="A8452" t="s">
        <v>101</v>
      </c>
      <c r="B8452">
        <v>2020</v>
      </c>
      <c r="C8452" t="s">
        <v>58</v>
      </c>
      <c r="D8452">
        <v>4.7497584481005202</v>
      </c>
      <c r="E8452" t="s">
        <v>98</v>
      </c>
    </row>
    <row r="8453" spans="1:5" x14ac:dyDescent="0.25">
      <c r="A8453" t="s">
        <v>101</v>
      </c>
      <c r="B8453">
        <v>2021</v>
      </c>
      <c r="C8453" t="s">
        <v>58</v>
      </c>
      <c r="D8453">
        <v>4.8349721592282497</v>
      </c>
      <c r="E8453" t="s">
        <v>98</v>
      </c>
    </row>
    <row r="8454" spans="1:5" x14ac:dyDescent="0.25">
      <c r="A8454" t="s">
        <v>101</v>
      </c>
      <c r="B8454">
        <v>2022</v>
      </c>
      <c r="C8454" t="s">
        <v>58</v>
      </c>
      <c r="D8454">
        <v>4.9883020817194197</v>
      </c>
      <c r="E8454" t="s">
        <v>98</v>
      </c>
    </row>
    <row r="8455" spans="1:5" x14ac:dyDescent="0.25">
      <c r="A8455" t="s">
        <v>101</v>
      </c>
      <c r="B8455">
        <v>2023</v>
      </c>
      <c r="C8455" t="s">
        <v>58</v>
      </c>
      <c r="D8455">
        <v>5.6905093216951403</v>
      </c>
      <c r="E8455" t="s">
        <v>98</v>
      </c>
    </row>
    <row r="8456" spans="1:5" x14ac:dyDescent="0.25">
      <c r="A8456" t="s">
        <v>101</v>
      </c>
      <c r="B8456">
        <v>2024</v>
      </c>
      <c r="C8456" t="s">
        <v>58</v>
      </c>
      <c r="D8456">
        <v>5.47655000794032</v>
      </c>
      <c r="E8456" t="s">
        <v>98</v>
      </c>
    </row>
    <row r="8457" spans="1:5" x14ac:dyDescent="0.25">
      <c r="A8457" t="s">
        <v>101</v>
      </c>
      <c r="B8457">
        <v>2025</v>
      </c>
      <c r="C8457" t="s">
        <v>58</v>
      </c>
      <c r="D8457">
        <v>5.5025396074800597</v>
      </c>
      <c r="E8457" t="s">
        <v>98</v>
      </c>
    </row>
    <row r="8458" spans="1:5" x14ac:dyDescent="0.25">
      <c r="A8458" t="s">
        <v>100</v>
      </c>
      <c r="B8458">
        <v>2000</v>
      </c>
      <c r="C8458" t="s">
        <v>58</v>
      </c>
      <c r="D8458">
        <v>3.36907841097725</v>
      </c>
      <c r="E8458" t="s">
        <v>98</v>
      </c>
    </row>
    <row r="8459" spans="1:5" x14ac:dyDescent="0.25">
      <c r="A8459" t="s">
        <v>100</v>
      </c>
      <c r="B8459">
        <v>2001</v>
      </c>
      <c r="C8459" t="s">
        <v>58</v>
      </c>
      <c r="D8459">
        <v>3.3710503560038498</v>
      </c>
      <c r="E8459" t="s">
        <v>98</v>
      </c>
    </row>
    <row r="8460" spans="1:5" x14ac:dyDescent="0.25">
      <c r="A8460" t="s">
        <v>100</v>
      </c>
      <c r="B8460">
        <v>2002</v>
      </c>
      <c r="C8460" t="s">
        <v>58</v>
      </c>
      <c r="D8460">
        <v>3.6321220290093001</v>
      </c>
      <c r="E8460" t="s">
        <v>98</v>
      </c>
    </row>
    <row r="8461" spans="1:5" x14ac:dyDescent="0.25">
      <c r="A8461" t="s">
        <v>100</v>
      </c>
      <c r="B8461">
        <v>2003</v>
      </c>
      <c r="C8461" t="s">
        <v>58</v>
      </c>
      <c r="D8461">
        <v>3.5659713907280599</v>
      </c>
      <c r="E8461" t="s">
        <v>98</v>
      </c>
    </row>
    <row r="8462" spans="1:5" x14ac:dyDescent="0.25">
      <c r="A8462" t="s">
        <v>100</v>
      </c>
      <c r="B8462">
        <v>2004</v>
      </c>
      <c r="C8462" t="s">
        <v>58</v>
      </c>
      <c r="D8462">
        <v>3.73354577187341</v>
      </c>
      <c r="E8462" t="s">
        <v>98</v>
      </c>
    </row>
    <row r="8463" spans="1:5" x14ac:dyDescent="0.25">
      <c r="A8463" t="s">
        <v>100</v>
      </c>
      <c r="B8463">
        <v>2005</v>
      </c>
      <c r="C8463" t="s">
        <v>58</v>
      </c>
      <c r="D8463">
        <v>4.3625622572678902</v>
      </c>
      <c r="E8463" t="s">
        <v>98</v>
      </c>
    </row>
    <row r="8464" spans="1:5" x14ac:dyDescent="0.25">
      <c r="A8464" t="s">
        <v>100</v>
      </c>
      <c r="B8464">
        <v>2006</v>
      </c>
      <c r="C8464" t="s">
        <v>58</v>
      </c>
      <c r="D8464">
        <v>4.5646209895647898</v>
      </c>
      <c r="E8464" t="s">
        <v>98</v>
      </c>
    </row>
    <row r="8465" spans="1:5" x14ac:dyDescent="0.25">
      <c r="A8465" t="s">
        <v>100</v>
      </c>
      <c r="B8465">
        <v>2007</v>
      </c>
      <c r="C8465" t="s">
        <v>58</v>
      </c>
      <c r="D8465">
        <v>4.8859311402944101</v>
      </c>
      <c r="E8465" t="s">
        <v>98</v>
      </c>
    </row>
    <row r="8466" spans="1:5" x14ac:dyDescent="0.25">
      <c r="A8466" t="s">
        <v>100</v>
      </c>
      <c r="B8466">
        <v>2008</v>
      </c>
      <c r="C8466" t="s">
        <v>58</v>
      </c>
      <c r="D8466">
        <v>5.8522576002314901</v>
      </c>
      <c r="E8466" t="s">
        <v>98</v>
      </c>
    </row>
    <row r="8467" spans="1:5" x14ac:dyDescent="0.25">
      <c r="A8467" t="s">
        <v>100</v>
      </c>
      <c r="B8467">
        <v>2009</v>
      </c>
      <c r="C8467" t="s">
        <v>58</v>
      </c>
      <c r="D8467">
        <v>5.2030837456315897</v>
      </c>
      <c r="E8467" t="s">
        <v>98</v>
      </c>
    </row>
    <row r="8468" spans="1:5" x14ac:dyDescent="0.25">
      <c r="A8468" t="s">
        <v>100</v>
      </c>
      <c r="B8468">
        <v>2012</v>
      </c>
      <c r="C8468" t="s">
        <v>58</v>
      </c>
      <c r="D8468">
        <v>6.6947871233960798</v>
      </c>
      <c r="E8468" t="s">
        <v>98</v>
      </c>
    </row>
    <row r="8469" spans="1:5" x14ac:dyDescent="0.25">
      <c r="A8469" t="s">
        <v>100</v>
      </c>
      <c r="B8469">
        <v>2013</v>
      </c>
      <c r="C8469" t="s">
        <v>58</v>
      </c>
      <c r="D8469">
        <v>7.1234996967146698</v>
      </c>
      <c r="E8469" t="s">
        <v>98</v>
      </c>
    </row>
    <row r="8470" spans="1:5" x14ac:dyDescent="0.25">
      <c r="A8470" t="s">
        <v>100</v>
      </c>
      <c r="B8470">
        <v>2014</v>
      </c>
      <c r="C8470" t="s">
        <v>58</v>
      </c>
      <c r="D8470">
        <v>6.7410917766050398</v>
      </c>
      <c r="E8470" t="s">
        <v>98</v>
      </c>
    </row>
    <row r="8471" spans="1:5" x14ac:dyDescent="0.25">
      <c r="A8471" t="s">
        <v>100</v>
      </c>
      <c r="B8471">
        <v>2015</v>
      </c>
      <c r="C8471" t="s">
        <v>58</v>
      </c>
      <c r="D8471">
        <v>5.7366603957834998</v>
      </c>
      <c r="E8471" t="s">
        <v>98</v>
      </c>
    </row>
    <row r="8472" spans="1:5" x14ac:dyDescent="0.25">
      <c r="A8472" t="s">
        <v>100</v>
      </c>
      <c r="B8472">
        <v>2016</v>
      </c>
      <c r="C8472" t="s">
        <v>58</v>
      </c>
      <c r="D8472">
        <v>5.7929589120367</v>
      </c>
      <c r="E8472" t="s">
        <v>98</v>
      </c>
    </row>
    <row r="8473" spans="1:5" x14ac:dyDescent="0.25">
      <c r="A8473" t="s">
        <v>100</v>
      </c>
      <c r="B8473">
        <v>2017</v>
      </c>
      <c r="C8473" t="s">
        <v>58</v>
      </c>
      <c r="D8473">
        <v>6.4097989770707899</v>
      </c>
      <c r="E8473" t="s">
        <v>98</v>
      </c>
    </row>
    <row r="8474" spans="1:5" x14ac:dyDescent="0.25">
      <c r="A8474" t="s">
        <v>100</v>
      </c>
      <c r="B8474">
        <v>2018</v>
      </c>
      <c r="C8474" t="s">
        <v>58</v>
      </c>
      <c r="D8474">
        <v>6.8133860990395396</v>
      </c>
      <c r="E8474" t="s">
        <v>98</v>
      </c>
    </row>
    <row r="8475" spans="1:5" x14ac:dyDescent="0.25">
      <c r="A8475" t="s">
        <v>100</v>
      </c>
      <c r="B8475">
        <v>2019</v>
      </c>
      <c r="C8475" t="s">
        <v>58</v>
      </c>
      <c r="D8475">
        <v>6.5182310739730802</v>
      </c>
      <c r="E8475" t="s">
        <v>98</v>
      </c>
    </row>
    <row r="8476" spans="1:5" x14ac:dyDescent="0.25">
      <c r="A8476" t="s">
        <v>100</v>
      </c>
      <c r="B8476">
        <v>2020</v>
      </c>
      <c r="C8476" t="s">
        <v>58</v>
      </c>
      <c r="D8476">
        <v>6.4101111921134102</v>
      </c>
      <c r="E8476" t="s">
        <v>98</v>
      </c>
    </row>
    <row r="8477" spans="1:5" x14ac:dyDescent="0.25">
      <c r="A8477" t="s">
        <v>100</v>
      </c>
      <c r="B8477">
        <v>2021</v>
      </c>
      <c r="C8477" t="s">
        <v>58</v>
      </c>
      <c r="D8477">
        <v>6.6931852325534704</v>
      </c>
      <c r="E8477" t="s">
        <v>98</v>
      </c>
    </row>
    <row r="8478" spans="1:5" x14ac:dyDescent="0.25">
      <c r="A8478" t="s">
        <v>100</v>
      </c>
      <c r="B8478">
        <v>2022</v>
      </c>
      <c r="C8478" t="s">
        <v>58</v>
      </c>
      <c r="D8478">
        <v>6.2167033892821104</v>
      </c>
      <c r="E8478" t="s">
        <v>98</v>
      </c>
    </row>
    <row r="8479" spans="1:5" x14ac:dyDescent="0.25">
      <c r="A8479" t="s">
        <v>100</v>
      </c>
      <c r="B8479">
        <v>2023</v>
      </c>
      <c r="C8479" t="s">
        <v>58</v>
      </c>
      <c r="D8479">
        <v>6.8135060814863699</v>
      </c>
      <c r="E8479" t="s">
        <v>98</v>
      </c>
    </row>
    <row r="8480" spans="1:5" x14ac:dyDescent="0.25">
      <c r="A8480" t="s">
        <v>100</v>
      </c>
      <c r="B8480">
        <v>2024</v>
      </c>
      <c r="C8480" t="s">
        <v>58</v>
      </c>
      <c r="D8480">
        <v>6.8590247155158597</v>
      </c>
      <c r="E8480" t="s">
        <v>98</v>
      </c>
    </row>
    <row r="8481" spans="1:5" x14ac:dyDescent="0.25">
      <c r="A8481" t="s">
        <v>100</v>
      </c>
      <c r="B8481">
        <v>2025</v>
      </c>
      <c r="C8481" t="s">
        <v>58</v>
      </c>
      <c r="D8481">
        <v>6.6337685349666797</v>
      </c>
      <c r="E8481" t="s">
        <v>98</v>
      </c>
    </row>
    <row r="8482" spans="1:5" x14ac:dyDescent="0.25">
      <c r="A8482" t="s">
        <v>50</v>
      </c>
      <c r="B8482">
        <v>2010</v>
      </c>
      <c r="C8482" t="s">
        <v>58</v>
      </c>
      <c r="D8482">
        <v>3.19216827820311</v>
      </c>
      <c r="E8482" t="s">
        <v>98</v>
      </c>
    </row>
    <row r="8483" spans="1:5" x14ac:dyDescent="0.25">
      <c r="A8483" t="s">
        <v>50</v>
      </c>
      <c r="B8483">
        <v>2011</v>
      </c>
      <c r="C8483" t="s">
        <v>58</v>
      </c>
      <c r="D8483">
        <v>3.8056616952638902</v>
      </c>
      <c r="E8483" t="s">
        <v>98</v>
      </c>
    </row>
    <row r="8484" spans="1:5" x14ac:dyDescent="0.25">
      <c r="A8484" t="s">
        <v>50</v>
      </c>
      <c r="B8484">
        <v>2012</v>
      </c>
      <c r="C8484" t="s">
        <v>58</v>
      </c>
      <c r="D8484">
        <v>5.1669132645689198</v>
      </c>
      <c r="E8484" t="s">
        <v>98</v>
      </c>
    </row>
    <row r="8485" spans="1:5" x14ac:dyDescent="0.25">
      <c r="A8485" t="s">
        <v>50</v>
      </c>
      <c r="B8485">
        <v>2013</v>
      </c>
      <c r="C8485" t="s">
        <v>58</v>
      </c>
      <c r="D8485">
        <v>5.2478987511976598</v>
      </c>
      <c r="E8485" t="s">
        <v>98</v>
      </c>
    </row>
    <row r="8486" spans="1:5" x14ac:dyDescent="0.25">
      <c r="A8486" t="s">
        <v>50</v>
      </c>
      <c r="B8486">
        <v>2014</v>
      </c>
      <c r="C8486" t="s">
        <v>58</v>
      </c>
      <c r="D8486">
        <v>3.9626534138074301</v>
      </c>
      <c r="E8486" t="s">
        <v>98</v>
      </c>
    </row>
    <row r="8487" spans="1:5" x14ac:dyDescent="0.25">
      <c r="A8487" t="s">
        <v>50</v>
      </c>
      <c r="B8487">
        <v>2015</v>
      </c>
      <c r="C8487" t="s">
        <v>58</v>
      </c>
      <c r="D8487">
        <v>3.5781398073506399</v>
      </c>
      <c r="E8487" t="s">
        <v>98</v>
      </c>
    </row>
    <row r="8488" spans="1:5" x14ac:dyDescent="0.25">
      <c r="A8488" t="s">
        <v>50</v>
      </c>
      <c r="B8488">
        <v>2016</v>
      </c>
      <c r="C8488" t="s">
        <v>58</v>
      </c>
      <c r="D8488">
        <v>3.7712756157676299</v>
      </c>
      <c r="E8488" t="s">
        <v>98</v>
      </c>
    </row>
    <row r="8489" spans="1:5" x14ac:dyDescent="0.25">
      <c r="A8489" t="s">
        <v>50</v>
      </c>
      <c r="B8489">
        <v>2017</v>
      </c>
      <c r="C8489" t="s">
        <v>58</v>
      </c>
      <c r="D8489">
        <v>4.3337564890328899</v>
      </c>
      <c r="E8489" t="s">
        <v>98</v>
      </c>
    </row>
    <row r="8490" spans="1:5" x14ac:dyDescent="0.25">
      <c r="A8490" t="s">
        <v>50</v>
      </c>
      <c r="B8490">
        <v>2018</v>
      </c>
      <c r="C8490" t="s">
        <v>58</v>
      </c>
      <c r="D8490">
        <v>4.6180626756444303</v>
      </c>
      <c r="E8490" t="s">
        <v>98</v>
      </c>
    </row>
    <row r="8491" spans="1:5" x14ac:dyDescent="0.25">
      <c r="A8491" t="s">
        <v>50</v>
      </c>
      <c r="B8491">
        <v>2019</v>
      </c>
      <c r="C8491" t="s">
        <v>58</v>
      </c>
      <c r="D8491">
        <v>4.3743096828791002</v>
      </c>
      <c r="E8491" t="s">
        <v>98</v>
      </c>
    </row>
    <row r="8492" spans="1:5" x14ac:dyDescent="0.25">
      <c r="A8492" t="s">
        <v>50</v>
      </c>
      <c r="B8492">
        <v>2020</v>
      </c>
      <c r="C8492" t="s">
        <v>58</v>
      </c>
      <c r="D8492">
        <v>3.6206179141842298</v>
      </c>
      <c r="E8492" t="s">
        <v>98</v>
      </c>
    </row>
    <row r="8493" spans="1:5" x14ac:dyDescent="0.25">
      <c r="A8493" t="s">
        <v>50</v>
      </c>
      <c r="B8493">
        <v>2021</v>
      </c>
      <c r="C8493" t="s">
        <v>58</v>
      </c>
      <c r="D8493">
        <v>3.21677906698589</v>
      </c>
      <c r="E8493" t="s">
        <v>98</v>
      </c>
    </row>
    <row r="8494" spans="1:5" x14ac:dyDescent="0.25">
      <c r="A8494" t="s">
        <v>50</v>
      </c>
      <c r="B8494">
        <v>2022</v>
      </c>
      <c r="C8494" t="s">
        <v>58</v>
      </c>
      <c r="D8494">
        <v>3.6170328156545302</v>
      </c>
      <c r="E8494" t="s">
        <v>98</v>
      </c>
    </row>
    <row r="8495" spans="1:5" x14ac:dyDescent="0.25">
      <c r="A8495" t="s">
        <v>50</v>
      </c>
      <c r="B8495">
        <v>2023</v>
      </c>
      <c r="C8495" t="s">
        <v>58</v>
      </c>
      <c r="D8495">
        <v>3.95347219495169</v>
      </c>
      <c r="E8495" t="s">
        <v>98</v>
      </c>
    </row>
    <row r="8496" spans="1:5" x14ac:dyDescent="0.25">
      <c r="A8496" t="s">
        <v>50</v>
      </c>
      <c r="B8496">
        <v>2024</v>
      </c>
      <c r="C8496" t="s">
        <v>58</v>
      </c>
      <c r="D8496">
        <v>3.8461687190770801</v>
      </c>
      <c r="E8496" t="s">
        <v>98</v>
      </c>
    </row>
    <row r="8497" spans="1:5" x14ac:dyDescent="0.25">
      <c r="A8497" t="s">
        <v>50</v>
      </c>
      <c r="B8497">
        <v>2025</v>
      </c>
      <c r="C8497" t="s">
        <v>58</v>
      </c>
      <c r="D8497">
        <v>3.9246691689467501</v>
      </c>
      <c r="E8497" t="s">
        <v>98</v>
      </c>
    </row>
    <row r="8498" spans="1:5" x14ac:dyDescent="0.25">
      <c r="A8498" t="s">
        <v>61</v>
      </c>
      <c r="B8498">
        <v>2011</v>
      </c>
      <c r="C8498" t="s">
        <v>58</v>
      </c>
      <c r="D8498">
        <v>3.1490816497660998</v>
      </c>
      <c r="E8498" t="s">
        <v>98</v>
      </c>
    </row>
    <row r="8499" spans="1:5" x14ac:dyDescent="0.25">
      <c r="A8499" t="s">
        <v>61</v>
      </c>
      <c r="B8499">
        <v>2012</v>
      </c>
      <c r="C8499" t="s">
        <v>58</v>
      </c>
      <c r="D8499">
        <v>4.0314317136166</v>
      </c>
      <c r="E8499" t="s">
        <v>98</v>
      </c>
    </row>
    <row r="8500" spans="1:5" x14ac:dyDescent="0.25">
      <c r="A8500" t="s">
        <v>61</v>
      </c>
      <c r="B8500">
        <v>2013</v>
      </c>
      <c r="C8500" t="s">
        <v>58</v>
      </c>
      <c r="D8500">
        <v>4.1378532844782203</v>
      </c>
      <c r="E8500" t="s">
        <v>98</v>
      </c>
    </row>
    <row r="8501" spans="1:5" x14ac:dyDescent="0.25">
      <c r="A8501" t="s">
        <v>61</v>
      </c>
      <c r="B8501">
        <v>2014</v>
      </c>
      <c r="C8501" t="s">
        <v>58</v>
      </c>
      <c r="D8501">
        <v>3.5697399222252901</v>
      </c>
      <c r="E8501" t="s">
        <v>98</v>
      </c>
    </row>
    <row r="8502" spans="1:5" x14ac:dyDescent="0.25">
      <c r="A8502" t="s">
        <v>61</v>
      </c>
      <c r="B8502">
        <v>2015</v>
      </c>
      <c r="C8502" t="s">
        <v>58</v>
      </c>
      <c r="D8502">
        <v>3.6479486455368302</v>
      </c>
      <c r="E8502" t="s">
        <v>98</v>
      </c>
    </row>
    <row r="8503" spans="1:5" x14ac:dyDescent="0.25">
      <c r="A8503" t="s">
        <v>61</v>
      </c>
      <c r="B8503">
        <v>2016</v>
      </c>
      <c r="C8503" t="s">
        <v>58</v>
      </c>
      <c r="D8503">
        <v>3.5161730003111802</v>
      </c>
      <c r="E8503" t="s">
        <v>98</v>
      </c>
    </row>
    <row r="8504" spans="1:5" x14ac:dyDescent="0.25">
      <c r="A8504" t="s">
        <v>61</v>
      </c>
      <c r="B8504">
        <v>2017</v>
      </c>
      <c r="C8504" t="s">
        <v>58</v>
      </c>
      <c r="D8504">
        <v>3.6708578927022</v>
      </c>
      <c r="E8504" t="s">
        <v>98</v>
      </c>
    </row>
    <row r="8505" spans="1:5" x14ac:dyDescent="0.25">
      <c r="A8505" t="s">
        <v>61</v>
      </c>
      <c r="B8505">
        <v>2018</v>
      </c>
      <c r="C8505" t="s">
        <v>58</v>
      </c>
      <c r="D8505">
        <v>4.0391434604193801</v>
      </c>
      <c r="E8505" t="s">
        <v>98</v>
      </c>
    </row>
    <row r="8506" spans="1:5" x14ac:dyDescent="0.25">
      <c r="A8506" t="s">
        <v>61</v>
      </c>
      <c r="B8506">
        <v>2019</v>
      </c>
      <c r="C8506" t="s">
        <v>58</v>
      </c>
      <c r="D8506">
        <v>5.5910764390686403</v>
      </c>
      <c r="E8506" t="s">
        <v>98</v>
      </c>
    </row>
    <row r="8507" spans="1:5" x14ac:dyDescent="0.25">
      <c r="A8507" t="s">
        <v>61</v>
      </c>
      <c r="B8507">
        <v>2020</v>
      </c>
      <c r="C8507" t="s">
        <v>58</v>
      </c>
      <c r="D8507">
        <v>3.6212331273433902</v>
      </c>
      <c r="E8507" t="s">
        <v>98</v>
      </c>
    </row>
    <row r="8508" spans="1:5" x14ac:dyDescent="0.25">
      <c r="A8508" t="s">
        <v>61</v>
      </c>
      <c r="B8508">
        <v>2021</v>
      </c>
      <c r="C8508" t="s">
        <v>58</v>
      </c>
      <c r="D8508">
        <v>3.9391002013215202</v>
      </c>
      <c r="E8508" t="s">
        <v>98</v>
      </c>
    </row>
    <row r="8509" spans="1:5" x14ac:dyDescent="0.25">
      <c r="A8509" t="s">
        <v>61</v>
      </c>
      <c r="B8509">
        <v>2023</v>
      </c>
      <c r="C8509" t="s">
        <v>58</v>
      </c>
      <c r="D8509">
        <v>4.1473273468897096</v>
      </c>
      <c r="E8509" t="s">
        <v>98</v>
      </c>
    </row>
    <row r="8510" spans="1:5" x14ac:dyDescent="0.25">
      <c r="A8510" t="s">
        <v>61</v>
      </c>
      <c r="B8510">
        <v>2024</v>
      </c>
      <c r="C8510" t="s">
        <v>58</v>
      </c>
      <c r="D8510">
        <v>3.9029168372548302</v>
      </c>
      <c r="E8510" t="s">
        <v>98</v>
      </c>
    </row>
    <row r="8511" spans="1:5" x14ac:dyDescent="0.25">
      <c r="A8511" t="s">
        <v>51</v>
      </c>
      <c r="B8511">
        <v>2014</v>
      </c>
      <c r="C8511" t="s">
        <v>58</v>
      </c>
      <c r="D8511">
        <v>1.0996816704974599</v>
      </c>
      <c r="E8511" t="s">
        <v>98</v>
      </c>
    </row>
    <row r="8512" spans="1:5" x14ac:dyDescent="0.25">
      <c r="A8512" t="s">
        <v>52</v>
      </c>
      <c r="B8512">
        <v>2014</v>
      </c>
      <c r="C8512" t="s">
        <v>58</v>
      </c>
      <c r="D8512">
        <v>4.3918777084754703</v>
      </c>
      <c r="E8512" t="s">
        <v>98</v>
      </c>
    </row>
    <row r="8513" spans="1:5" x14ac:dyDescent="0.25">
      <c r="A8513" t="s">
        <v>52</v>
      </c>
      <c r="B8513">
        <v>2015</v>
      </c>
      <c r="C8513" t="s">
        <v>58</v>
      </c>
      <c r="D8513">
        <v>4.0098285297195098</v>
      </c>
      <c r="E8513" t="s">
        <v>98</v>
      </c>
    </row>
    <row r="8514" spans="1:5" x14ac:dyDescent="0.25">
      <c r="A8514" t="s">
        <v>52</v>
      </c>
      <c r="B8514">
        <v>2016</v>
      </c>
      <c r="C8514" t="s">
        <v>58</v>
      </c>
      <c r="D8514">
        <v>3.3508810019878799</v>
      </c>
      <c r="E8514" t="s">
        <v>98</v>
      </c>
    </row>
    <row r="8515" spans="1:5" x14ac:dyDescent="0.25">
      <c r="A8515" t="s">
        <v>52</v>
      </c>
      <c r="B8515">
        <v>2017</v>
      </c>
      <c r="C8515" t="s">
        <v>58</v>
      </c>
      <c r="D8515">
        <v>3.1164497614641502</v>
      </c>
      <c r="E8515" t="s">
        <v>98</v>
      </c>
    </row>
    <row r="8516" spans="1:5" x14ac:dyDescent="0.25">
      <c r="A8516" t="s">
        <v>52</v>
      </c>
      <c r="B8516">
        <v>2019</v>
      </c>
      <c r="C8516" t="s">
        <v>58</v>
      </c>
      <c r="D8516">
        <v>3.6233416257530102</v>
      </c>
      <c r="E8516" t="s">
        <v>98</v>
      </c>
    </row>
    <row r="8517" spans="1:5" x14ac:dyDescent="0.25">
      <c r="A8517" t="s">
        <v>52</v>
      </c>
      <c r="B8517">
        <v>2020</v>
      </c>
      <c r="C8517" t="s">
        <v>58</v>
      </c>
      <c r="D8517">
        <v>3.8653691284862499</v>
      </c>
      <c r="E8517" t="s">
        <v>98</v>
      </c>
    </row>
    <row r="8518" spans="1:5" x14ac:dyDescent="0.25">
      <c r="A8518" t="s">
        <v>52</v>
      </c>
      <c r="B8518">
        <v>2021</v>
      </c>
      <c r="C8518" t="s">
        <v>58</v>
      </c>
      <c r="D8518">
        <v>4.12196511596657</v>
      </c>
      <c r="E8518" t="s">
        <v>98</v>
      </c>
    </row>
    <row r="8519" spans="1:5" x14ac:dyDescent="0.25">
      <c r="A8519" t="s">
        <v>52</v>
      </c>
      <c r="B8519">
        <v>2022</v>
      </c>
      <c r="C8519" t="s">
        <v>58</v>
      </c>
      <c r="D8519">
        <v>4.5984477786574303</v>
      </c>
      <c r="E8519" t="s">
        <v>98</v>
      </c>
    </row>
    <row r="8520" spans="1:5" x14ac:dyDescent="0.25">
      <c r="A8520" t="s">
        <v>52</v>
      </c>
      <c r="B8520">
        <v>2023</v>
      </c>
      <c r="C8520" t="s">
        <v>58</v>
      </c>
      <c r="D8520">
        <v>4.2218423010491604</v>
      </c>
      <c r="E8520" t="s">
        <v>98</v>
      </c>
    </row>
    <row r="8521" spans="1:5" x14ac:dyDescent="0.25">
      <c r="A8521" t="s">
        <v>52</v>
      </c>
      <c r="B8521">
        <v>2024</v>
      </c>
      <c r="C8521" t="s">
        <v>58</v>
      </c>
      <c r="D8521">
        <v>4.0382477265877101</v>
      </c>
      <c r="E8521" t="s">
        <v>98</v>
      </c>
    </row>
    <row r="8522" spans="1:5" x14ac:dyDescent="0.25">
      <c r="A8522" t="s">
        <v>52</v>
      </c>
      <c r="B8522">
        <v>2025</v>
      </c>
      <c r="C8522" t="s">
        <v>58</v>
      </c>
      <c r="D8522">
        <v>3.928413513213</v>
      </c>
      <c r="E8522" t="s">
        <v>98</v>
      </c>
    </row>
    <row r="8523" spans="1:5" x14ac:dyDescent="0.25">
      <c r="A8523" t="s">
        <v>53</v>
      </c>
      <c r="B8523">
        <v>2010</v>
      </c>
      <c r="C8523" t="s">
        <v>58</v>
      </c>
      <c r="D8523">
        <v>46.267930239126599</v>
      </c>
      <c r="E8523" t="s">
        <v>98</v>
      </c>
    </row>
    <row r="8524" spans="1:5" x14ac:dyDescent="0.25">
      <c r="A8524" t="s">
        <v>53</v>
      </c>
      <c r="B8524">
        <v>2016</v>
      </c>
      <c r="C8524" t="s">
        <v>58</v>
      </c>
      <c r="D8524">
        <v>4.4099743807174301</v>
      </c>
      <c r="E8524" t="s">
        <v>98</v>
      </c>
    </row>
    <row r="8525" spans="1:5" x14ac:dyDescent="0.25">
      <c r="A8525" t="s">
        <v>53</v>
      </c>
      <c r="B8525">
        <v>2017</v>
      </c>
      <c r="C8525" t="s">
        <v>58</v>
      </c>
      <c r="D8525">
        <v>4.9458262716980297</v>
      </c>
      <c r="E8525" t="s">
        <v>98</v>
      </c>
    </row>
    <row r="8526" spans="1:5" x14ac:dyDescent="0.25">
      <c r="A8526" t="s">
        <v>53</v>
      </c>
      <c r="B8526">
        <v>2018</v>
      </c>
      <c r="C8526" t="s">
        <v>58</v>
      </c>
      <c r="D8526">
        <v>5.2820513858501403</v>
      </c>
      <c r="E8526" t="s">
        <v>98</v>
      </c>
    </row>
    <row r="8527" spans="1:5" x14ac:dyDescent="0.25">
      <c r="A8527" t="s">
        <v>53</v>
      </c>
      <c r="B8527">
        <v>2019</v>
      </c>
      <c r="C8527" t="s">
        <v>58</v>
      </c>
      <c r="D8527">
        <v>5.3053351637252399</v>
      </c>
      <c r="E8527" t="s">
        <v>98</v>
      </c>
    </row>
    <row r="8528" spans="1:5" x14ac:dyDescent="0.25">
      <c r="A8528" t="s">
        <v>53</v>
      </c>
      <c r="B8528">
        <v>2020</v>
      </c>
      <c r="C8528" t="s">
        <v>58</v>
      </c>
      <c r="D8528">
        <v>4.9460778133581096</v>
      </c>
      <c r="E8528" t="s">
        <v>98</v>
      </c>
    </row>
    <row r="8529" spans="1:5" x14ac:dyDescent="0.25">
      <c r="A8529" t="s">
        <v>53</v>
      </c>
      <c r="B8529">
        <v>2021</v>
      </c>
      <c r="C8529" t="s">
        <v>58</v>
      </c>
      <c r="D8529">
        <v>5.2182462321268197</v>
      </c>
      <c r="E8529" t="s">
        <v>98</v>
      </c>
    </row>
    <row r="8530" spans="1:5" x14ac:dyDescent="0.25">
      <c r="A8530" t="s">
        <v>53</v>
      </c>
      <c r="B8530">
        <v>2022</v>
      </c>
      <c r="C8530" t="s">
        <v>58</v>
      </c>
      <c r="D8530">
        <v>5.1999204186655001</v>
      </c>
      <c r="E8530" t="s">
        <v>98</v>
      </c>
    </row>
    <row r="8531" spans="1:5" x14ac:dyDescent="0.25">
      <c r="A8531" t="s">
        <v>53</v>
      </c>
      <c r="B8531">
        <v>2023</v>
      </c>
      <c r="C8531" t="s">
        <v>58</v>
      </c>
      <c r="D8531">
        <v>5.42463621105904</v>
      </c>
      <c r="E8531" t="s">
        <v>98</v>
      </c>
    </row>
    <row r="8532" spans="1:5" x14ac:dyDescent="0.25">
      <c r="A8532" t="s">
        <v>53</v>
      </c>
      <c r="B8532">
        <v>2024</v>
      </c>
      <c r="C8532" t="s">
        <v>58</v>
      </c>
      <c r="D8532">
        <v>4.9969178821467404</v>
      </c>
      <c r="E8532" t="s">
        <v>98</v>
      </c>
    </row>
    <row r="8533" spans="1:5" x14ac:dyDescent="0.25">
      <c r="A8533" t="s">
        <v>53</v>
      </c>
      <c r="B8533">
        <v>2025</v>
      </c>
      <c r="C8533" t="s">
        <v>58</v>
      </c>
      <c r="D8533">
        <v>4.9547097859181202</v>
      </c>
      <c r="E8533" t="s">
        <v>98</v>
      </c>
    </row>
    <row r="8534" spans="1:5" x14ac:dyDescent="0.25">
      <c r="A8534" t="s">
        <v>82</v>
      </c>
      <c r="B8534">
        <v>2013</v>
      </c>
      <c r="C8534" t="s">
        <v>58</v>
      </c>
      <c r="D8534">
        <v>3.40905758083119</v>
      </c>
      <c r="E8534" t="s">
        <v>98</v>
      </c>
    </row>
    <row r="8535" spans="1:5" x14ac:dyDescent="0.25">
      <c r="A8535" t="s">
        <v>82</v>
      </c>
      <c r="B8535">
        <v>2017</v>
      </c>
      <c r="C8535" t="s">
        <v>58</v>
      </c>
      <c r="D8535">
        <v>2.9564138806537201</v>
      </c>
      <c r="E8535" t="s">
        <v>98</v>
      </c>
    </row>
    <row r="8536" spans="1:5" x14ac:dyDescent="0.25">
      <c r="A8536" t="s">
        <v>82</v>
      </c>
      <c r="B8536">
        <v>2018</v>
      </c>
      <c r="C8536" t="s">
        <v>58</v>
      </c>
      <c r="D8536">
        <v>3.3516064605064999</v>
      </c>
      <c r="E8536" t="s">
        <v>98</v>
      </c>
    </row>
    <row r="8537" spans="1:5" x14ac:dyDescent="0.25">
      <c r="A8537" t="s">
        <v>82</v>
      </c>
      <c r="B8537">
        <v>2019</v>
      </c>
      <c r="C8537" t="s">
        <v>58</v>
      </c>
      <c r="D8537">
        <v>3.6240388039023999</v>
      </c>
      <c r="E8537" t="s">
        <v>98</v>
      </c>
    </row>
    <row r="8538" spans="1:5" x14ac:dyDescent="0.25">
      <c r="A8538" t="s">
        <v>82</v>
      </c>
      <c r="B8538">
        <v>2020</v>
      </c>
      <c r="C8538" t="s">
        <v>58</v>
      </c>
      <c r="D8538">
        <v>4.0349223614978502</v>
      </c>
      <c r="E8538" t="s">
        <v>98</v>
      </c>
    </row>
    <row r="8539" spans="1:5" x14ac:dyDescent="0.25">
      <c r="A8539" t="s">
        <v>82</v>
      </c>
      <c r="B8539">
        <v>2021</v>
      </c>
      <c r="C8539" t="s">
        <v>58</v>
      </c>
      <c r="D8539">
        <v>4.0566866000703499</v>
      </c>
      <c r="E8539" t="s">
        <v>98</v>
      </c>
    </row>
    <row r="8540" spans="1:5" x14ac:dyDescent="0.25">
      <c r="A8540" t="s">
        <v>82</v>
      </c>
      <c r="B8540">
        <v>2022</v>
      </c>
      <c r="C8540" t="s">
        <v>58</v>
      </c>
      <c r="D8540">
        <v>4.6633019372888098</v>
      </c>
      <c r="E8540" t="s">
        <v>98</v>
      </c>
    </row>
    <row r="8541" spans="1:5" x14ac:dyDescent="0.25">
      <c r="A8541" t="s">
        <v>82</v>
      </c>
      <c r="B8541">
        <v>2023</v>
      </c>
      <c r="C8541" t="s">
        <v>58</v>
      </c>
      <c r="D8541">
        <v>4.4879459260250103</v>
      </c>
      <c r="E8541" t="s">
        <v>98</v>
      </c>
    </row>
    <row r="8542" spans="1:5" x14ac:dyDescent="0.25">
      <c r="A8542" t="s">
        <v>82</v>
      </c>
      <c r="B8542">
        <v>2024</v>
      </c>
      <c r="C8542" t="s">
        <v>58</v>
      </c>
      <c r="D8542">
        <v>4.4449360915606801</v>
      </c>
      <c r="E8542" t="s">
        <v>98</v>
      </c>
    </row>
    <row r="8543" spans="1:5" x14ac:dyDescent="0.25">
      <c r="A8543" t="s">
        <v>82</v>
      </c>
      <c r="B8543">
        <v>2025</v>
      </c>
      <c r="C8543" t="s">
        <v>58</v>
      </c>
      <c r="D8543">
        <v>4.45551796421943</v>
      </c>
      <c r="E8543" t="s">
        <v>98</v>
      </c>
    </row>
    <row r="8544" spans="1:5" x14ac:dyDescent="0.25">
      <c r="A8544" t="s">
        <v>54</v>
      </c>
      <c r="B8544">
        <v>2017</v>
      </c>
      <c r="C8544" t="s">
        <v>58</v>
      </c>
      <c r="D8544">
        <v>3.0628536253627301</v>
      </c>
      <c r="E8544" t="s">
        <v>98</v>
      </c>
    </row>
    <row r="8545" spans="1:5" x14ac:dyDescent="0.25">
      <c r="A8545" t="s">
        <v>54</v>
      </c>
      <c r="B8545">
        <v>2018</v>
      </c>
      <c r="C8545" t="s">
        <v>58</v>
      </c>
      <c r="D8545">
        <v>3.55594741314076</v>
      </c>
      <c r="E8545" t="s">
        <v>98</v>
      </c>
    </row>
    <row r="8546" spans="1:5" x14ac:dyDescent="0.25">
      <c r="A8546" t="s">
        <v>54</v>
      </c>
      <c r="B8546">
        <v>2019</v>
      </c>
      <c r="C8546" t="s">
        <v>58</v>
      </c>
      <c r="D8546">
        <v>3.4420971546446499</v>
      </c>
      <c r="E8546" t="s">
        <v>98</v>
      </c>
    </row>
    <row r="8547" spans="1:5" x14ac:dyDescent="0.25">
      <c r="A8547" t="s">
        <v>55</v>
      </c>
      <c r="B8547">
        <v>2010</v>
      </c>
      <c r="C8547" t="s">
        <v>58</v>
      </c>
      <c r="D8547">
        <v>3.8758163331206998</v>
      </c>
      <c r="E8547" t="s">
        <v>98</v>
      </c>
    </row>
    <row r="8548" spans="1:5" x14ac:dyDescent="0.25">
      <c r="A8548" t="s">
        <v>55</v>
      </c>
      <c r="B8548">
        <v>2011</v>
      </c>
      <c r="C8548" t="s">
        <v>58</v>
      </c>
      <c r="D8548">
        <v>4.4933494995846601</v>
      </c>
      <c r="E8548" t="s">
        <v>98</v>
      </c>
    </row>
    <row r="8549" spans="1:5" x14ac:dyDescent="0.25">
      <c r="A8549" t="s">
        <v>55</v>
      </c>
      <c r="B8549">
        <v>2012</v>
      </c>
      <c r="C8549" t="s">
        <v>58</v>
      </c>
      <c r="D8549">
        <v>5.1720425411460704</v>
      </c>
      <c r="E8549" t="s">
        <v>98</v>
      </c>
    </row>
    <row r="8550" spans="1:5" x14ac:dyDescent="0.25">
      <c r="A8550" t="s">
        <v>55</v>
      </c>
      <c r="B8550">
        <v>2013</v>
      </c>
      <c r="C8550" t="s">
        <v>58</v>
      </c>
      <c r="D8550">
        <v>5.70263122911821</v>
      </c>
      <c r="E8550" t="s">
        <v>98</v>
      </c>
    </row>
    <row r="8551" spans="1:5" x14ac:dyDescent="0.25">
      <c r="A8551" t="s">
        <v>55</v>
      </c>
      <c r="B8551">
        <v>2014</v>
      </c>
      <c r="C8551" t="s">
        <v>58</v>
      </c>
      <c r="D8551">
        <v>5.2243871282966499</v>
      </c>
      <c r="E8551" t="s">
        <v>98</v>
      </c>
    </row>
    <row r="8552" spans="1:5" x14ac:dyDescent="0.25">
      <c r="A8552" t="s">
        <v>55</v>
      </c>
      <c r="B8552">
        <v>2015</v>
      </c>
      <c r="C8552" t="s">
        <v>58</v>
      </c>
      <c r="D8552">
        <v>4.49392929165026</v>
      </c>
      <c r="E8552" t="s">
        <v>98</v>
      </c>
    </row>
    <row r="8553" spans="1:5" x14ac:dyDescent="0.25">
      <c r="A8553" t="s">
        <v>55</v>
      </c>
      <c r="B8553">
        <v>2016</v>
      </c>
      <c r="C8553" t="s">
        <v>58</v>
      </c>
      <c r="D8553">
        <v>4.0630151958668197</v>
      </c>
      <c r="E8553" t="s">
        <v>98</v>
      </c>
    </row>
    <row r="8554" spans="1:5" x14ac:dyDescent="0.25">
      <c r="A8554" t="s">
        <v>55</v>
      </c>
      <c r="B8554">
        <v>2017</v>
      </c>
      <c r="C8554" t="s">
        <v>58</v>
      </c>
      <c r="D8554">
        <v>4.7607645616708503</v>
      </c>
      <c r="E8554" t="s">
        <v>98</v>
      </c>
    </row>
    <row r="8555" spans="1:5" x14ac:dyDescent="0.25">
      <c r="A8555" t="s">
        <v>55</v>
      </c>
      <c r="B8555">
        <v>2018</v>
      </c>
      <c r="C8555" t="s">
        <v>58</v>
      </c>
      <c r="D8555">
        <v>5.2429327277158402</v>
      </c>
      <c r="E8555" t="s">
        <v>98</v>
      </c>
    </row>
    <row r="8556" spans="1:5" x14ac:dyDescent="0.25">
      <c r="A8556" t="s">
        <v>55</v>
      </c>
      <c r="B8556">
        <v>2019</v>
      </c>
      <c r="C8556" t="s">
        <v>58</v>
      </c>
      <c r="D8556">
        <v>4.9383455113690999</v>
      </c>
      <c r="E8556" t="s">
        <v>98</v>
      </c>
    </row>
    <row r="8557" spans="1:5" x14ac:dyDescent="0.25">
      <c r="A8557" t="s">
        <v>55</v>
      </c>
      <c r="B8557">
        <v>2020</v>
      </c>
      <c r="C8557" t="s">
        <v>58</v>
      </c>
      <c r="D8557">
        <v>4.8460487078878698</v>
      </c>
      <c r="E8557" t="s">
        <v>98</v>
      </c>
    </row>
    <row r="8558" spans="1:5" x14ac:dyDescent="0.25">
      <c r="A8558" t="s">
        <v>55</v>
      </c>
      <c r="B8558">
        <v>2021</v>
      </c>
      <c r="C8558" t="s">
        <v>58</v>
      </c>
      <c r="D8558">
        <v>4.7929503023159397</v>
      </c>
      <c r="E8558" t="s">
        <v>98</v>
      </c>
    </row>
    <row r="8559" spans="1:5" x14ac:dyDescent="0.25">
      <c r="A8559" t="s">
        <v>55</v>
      </c>
      <c r="B8559">
        <v>2022</v>
      </c>
      <c r="C8559" t="s">
        <v>58</v>
      </c>
      <c r="D8559">
        <v>4.5982582698858598</v>
      </c>
      <c r="E8559" t="s">
        <v>98</v>
      </c>
    </row>
    <row r="8560" spans="1:5" x14ac:dyDescent="0.25">
      <c r="A8560" t="s">
        <v>55</v>
      </c>
      <c r="B8560">
        <v>2023</v>
      </c>
      <c r="C8560" t="s">
        <v>58</v>
      </c>
      <c r="D8560">
        <v>5.2740369153674704</v>
      </c>
      <c r="E8560" t="s">
        <v>98</v>
      </c>
    </row>
    <row r="8561" spans="1:5" x14ac:dyDescent="0.25">
      <c r="A8561" t="s">
        <v>55</v>
      </c>
      <c r="B8561">
        <v>2024</v>
      </c>
      <c r="C8561" t="s">
        <v>58</v>
      </c>
      <c r="D8561">
        <v>5.3217050335990201</v>
      </c>
      <c r="E8561" t="s">
        <v>98</v>
      </c>
    </row>
    <row r="8562" spans="1:5" x14ac:dyDescent="0.25">
      <c r="A8562" t="s">
        <v>55</v>
      </c>
      <c r="B8562">
        <v>2025</v>
      </c>
      <c r="C8562" t="s">
        <v>58</v>
      </c>
      <c r="D8562">
        <v>5.4268260649109799</v>
      </c>
      <c r="E8562" t="s">
        <v>98</v>
      </c>
    </row>
    <row r="8563" spans="1:5" x14ac:dyDescent="0.25">
      <c r="A8563" t="s">
        <v>99</v>
      </c>
      <c r="B8563">
        <v>2012</v>
      </c>
      <c r="C8563" t="s">
        <v>58</v>
      </c>
      <c r="D8563">
        <v>5.57150324923587</v>
      </c>
      <c r="E8563" t="s">
        <v>98</v>
      </c>
    </row>
    <row r="8564" spans="1:5" x14ac:dyDescent="0.25">
      <c r="A8564" t="s">
        <v>99</v>
      </c>
      <c r="B8564">
        <v>2014</v>
      </c>
      <c r="C8564" t="s">
        <v>58</v>
      </c>
      <c r="D8564">
        <v>5.2311400222252198</v>
      </c>
      <c r="E8564" t="s">
        <v>98</v>
      </c>
    </row>
    <row r="8565" spans="1:5" x14ac:dyDescent="0.25">
      <c r="A8565" t="s">
        <v>99</v>
      </c>
      <c r="B8565">
        <v>2019</v>
      </c>
      <c r="C8565" t="s">
        <v>58</v>
      </c>
      <c r="D8565">
        <v>4.7805339005403003</v>
      </c>
      <c r="E8565" t="s">
        <v>98</v>
      </c>
    </row>
    <row r="8566" spans="1:5" x14ac:dyDescent="0.25">
      <c r="A8566" t="s">
        <v>99</v>
      </c>
      <c r="B8566">
        <v>2020</v>
      </c>
      <c r="C8566" t="s">
        <v>58</v>
      </c>
      <c r="D8566">
        <v>4.40817967787632</v>
      </c>
      <c r="E8566" t="s">
        <v>98</v>
      </c>
    </row>
    <row r="8567" spans="1:5" x14ac:dyDescent="0.25">
      <c r="A8567" t="s">
        <v>99</v>
      </c>
      <c r="B8567">
        <v>2021</v>
      </c>
      <c r="C8567" t="s">
        <v>58</v>
      </c>
      <c r="D8567">
        <v>4.4680928027612197</v>
      </c>
      <c r="E8567" t="s">
        <v>98</v>
      </c>
    </row>
    <row r="8568" spans="1:5" x14ac:dyDescent="0.25">
      <c r="A8568" t="s">
        <v>99</v>
      </c>
      <c r="B8568">
        <v>2022</v>
      </c>
      <c r="C8568" t="s">
        <v>58</v>
      </c>
      <c r="D8568">
        <v>4.94490198089873</v>
      </c>
      <c r="E8568" t="s">
        <v>98</v>
      </c>
    </row>
    <row r="8569" spans="1:5" x14ac:dyDescent="0.25">
      <c r="A8569" t="s">
        <v>99</v>
      </c>
      <c r="B8569">
        <v>2023</v>
      </c>
      <c r="C8569" t="s">
        <v>58</v>
      </c>
      <c r="D8569">
        <v>5.2493327228133797</v>
      </c>
      <c r="E8569" t="s">
        <v>98</v>
      </c>
    </row>
    <row r="8570" spans="1:5" x14ac:dyDescent="0.25">
      <c r="A8570" t="s">
        <v>56</v>
      </c>
      <c r="B8570">
        <v>2017</v>
      </c>
      <c r="C8570" t="s">
        <v>58</v>
      </c>
      <c r="D8570">
        <v>4.8917167287913301</v>
      </c>
      <c r="E8570" t="s">
        <v>98</v>
      </c>
    </row>
    <row r="8571" spans="1:5" x14ac:dyDescent="0.25">
      <c r="A8571" t="s">
        <v>56</v>
      </c>
      <c r="B8571">
        <v>2018</v>
      </c>
      <c r="C8571" t="s">
        <v>58</v>
      </c>
      <c r="D8571">
        <v>5.4312729370087602</v>
      </c>
      <c r="E8571" t="s">
        <v>98</v>
      </c>
    </row>
    <row r="8572" spans="1:5" x14ac:dyDescent="0.25">
      <c r="A8572" t="s">
        <v>56</v>
      </c>
      <c r="B8572">
        <v>2019</v>
      </c>
      <c r="C8572" t="s">
        <v>58</v>
      </c>
      <c r="D8572">
        <v>4.8508897625672098</v>
      </c>
      <c r="E8572" t="s">
        <v>98</v>
      </c>
    </row>
    <row r="8573" spans="1:5" x14ac:dyDescent="0.25">
      <c r="A8573" t="s">
        <v>56</v>
      </c>
      <c r="B8573">
        <v>2020</v>
      </c>
      <c r="C8573" t="s">
        <v>58</v>
      </c>
      <c r="D8573">
        <v>4.8035153605354397</v>
      </c>
      <c r="E8573" t="s">
        <v>98</v>
      </c>
    </row>
    <row r="8574" spans="1:5" x14ac:dyDescent="0.25">
      <c r="A8574" t="s">
        <v>56</v>
      </c>
      <c r="B8574">
        <v>2021</v>
      </c>
      <c r="C8574" t="s">
        <v>58</v>
      </c>
      <c r="D8574">
        <v>4.9218064529056598</v>
      </c>
      <c r="E8574" t="s">
        <v>98</v>
      </c>
    </row>
    <row r="8575" spans="1:5" x14ac:dyDescent="0.25">
      <c r="A8575" t="s">
        <v>56</v>
      </c>
      <c r="B8575">
        <v>2022</v>
      </c>
      <c r="C8575" t="s">
        <v>58</v>
      </c>
      <c r="D8575">
        <v>5.1938983960376204</v>
      </c>
      <c r="E8575" t="s">
        <v>98</v>
      </c>
    </row>
    <row r="8576" spans="1:5" x14ac:dyDescent="0.25">
      <c r="A8576" t="s">
        <v>56</v>
      </c>
      <c r="B8576">
        <v>2023</v>
      </c>
      <c r="C8576" t="s">
        <v>58</v>
      </c>
      <c r="D8576">
        <v>5.6843582604773903</v>
      </c>
      <c r="E8576" t="s">
        <v>98</v>
      </c>
    </row>
    <row r="8577" spans="1:5" x14ac:dyDescent="0.25">
      <c r="A8577" t="s">
        <v>60</v>
      </c>
      <c r="B8577">
        <v>2012</v>
      </c>
      <c r="C8577" t="s">
        <v>58</v>
      </c>
      <c r="D8577">
        <v>1.21083498084043</v>
      </c>
      <c r="E8577" t="s">
        <v>98</v>
      </c>
    </row>
    <row r="8578" spans="1:5" x14ac:dyDescent="0.25">
      <c r="A8578" t="s">
        <v>60</v>
      </c>
      <c r="B8578">
        <v>2015</v>
      </c>
      <c r="C8578" t="s">
        <v>58</v>
      </c>
      <c r="D8578">
        <v>1.8958745683046201</v>
      </c>
      <c r="E8578" t="s">
        <v>98</v>
      </c>
    </row>
    <row r="8579" spans="1:5" x14ac:dyDescent="0.25">
      <c r="A8579" t="s">
        <v>60</v>
      </c>
      <c r="B8579">
        <v>2016</v>
      </c>
      <c r="C8579" t="s">
        <v>58</v>
      </c>
      <c r="D8579">
        <v>3.7183902870154699</v>
      </c>
      <c r="E8579" t="s">
        <v>98</v>
      </c>
    </row>
    <row r="8580" spans="1:5" x14ac:dyDescent="0.25">
      <c r="A8580" t="s">
        <v>60</v>
      </c>
      <c r="B8580">
        <v>2018</v>
      </c>
      <c r="C8580" t="s">
        <v>58</v>
      </c>
      <c r="D8580">
        <v>1.3588845795795299</v>
      </c>
      <c r="E8580" t="s">
        <v>98</v>
      </c>
    </row>
    <row r="8581" spans="1:5" x14ac:dyDescent="0.25">
      <c r="A8581" t="s">
        <v>60</v>
      </c>
      <c r="B8581">
        <v>2019</v>
      </c>
      <c r="C8581" t="s">
        <v>58</v>
      </c>
      <c r="D8581">
        <v>1.0878392004995301</v>
      </c>
      <c r="E858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4. Summary of catch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Hogan</dc:creator>
  <cp:lastModifiedBy>James Hogan</cp:lastModifiedBy>
  <dcterms:created xsi:type="dcterms:W3CDTF">2026-01-23T02:41:20Z</dcterms:created>
  <dcterms:modified xsi:type="dcterms:W3CDTF">2026-01-23T03:55:30Z</dcterms:modified>
</cp:coreProperties>
</file>