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AME\NC_NOU\FAME COMMON\FAME Economics\Oceanic_Fisheries\COMTRADE\Adhoc_Queries\"/>
    </mc:Choice>
  </mc:AlternateContent>
  <xr:revisionPtr revIDLastSave="0" documentId="13_ncr:1_{5B5D47B6-D194-4AE5-A8E2-6E228D86CC26}" xr6:coauthVersionLast="47" xr6:coauthVersionMax="47" xr10:uidLastSave="{00000000-0000-0000-0000-000000000000}"/>
  <bookViews>
    <workbookView xWindow="-120" yWindow="-120" windowWidth="29040" windowHeight="15720" xr2:uid="{25DD0046-9DF6-4E1E-BA48-146EC9D5C275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C82" i="1"/>
  <c r="C81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C45" i="1"/>
</calcChain>
</file>

<file path=xl/sharedStrings.xml><?xml version="1.0" encoding="utf-8"?>
<sst xmlns="http://schemas.openxmlformats.org/spreadsheetml/2006/main" count="78" uniqueCount="54">
  <si>
    <t>reporter_desc</t>
  </si>
  <si>
    <t>Australia</t>
  </si>
  <si>
    <t>Brazil</t>
  </si>
  <si>
    <t>Cabo Verde</t>
  </si>
  <si>
    <t>Canada</t>
  </si>
  <si>
    <t>China</t>
  </si>
  <si>
    <t>Colombia</t>
  </si>
  <si>
    <t>Ecuador</t>
  </si>
  <si>
    <t>Fiji</t>
  </si>
  <si>
    <t>France</t>
  </si>
  <si>
    <t>Ghana</t>
  </si>
  <si>
    <t>India</t>
  </si>
  <si>
    <t>Indonesia</t>
  </si>
  <si>
    <t>Ireland</t>
  </si>
  <si>
    <t>Italy</t>
  </si>
  <si>
    <t>Japan</t>
  </si>
  <si>
    <t>Malaysia</t>
  </si>
  <si>
    <t>Maldives</t>
  </si>
  <si>
    <t>Malta</t>
  </si>
  <si>
    <t>Mauritius</t>
  </si>
  <si>
    <t>Mexico</t>
  </si>
  <si>
    <t>Minnows</t>
  </si>
  <si>
    <t>Missing Exports</t>
  </si>
  <si>
    <t>Myanmar</t>
  </si>
  <si>
    <t>New Zealand</t>
  </si>
  <si>
    <t>Nicaragua</t>
  </si>
  <si>
    <t>Oman</t>
  </si>
  <si>
    <t>Pakistan</t>
  </si>
  <si>
    <t>Panama</t>
  </si>
  <si>
    <t>Peru</t>
  </si>
  <si>
    <t>Philippines</t>
  </si>
  <si>
    <t>Portugal</t>
  </si>
  <si>
    <t>Rep. of Korea</t>
  </si>
  <si>
    <t>Senegal</t>
  </si>
  <si>
    <t>Seychelles</t>
  </si>
  <si>
    <t>Singapore</t>
  </si>
  <si>
    <t>South Africa</t>
  </si>
  <si>
    <t>Spain</t>
  </si>
  <si>
    <t>Thailand</t>
  </si>
  <si>
    <t>Türkiye</t>
  </si>
  <si>
    <t>USA</t>
  </si>
  <si>
    <t>United Arab Emirates</t>
  </si>
  <si>
    <t>Viet Nam</t>
  </si>
  <si>
    <t>Croatia</t>
  </si>
  <si>
    <t>Côte d'Ivoire</t>
  </si>
  <si>
    <t>El Salvador</t>
  </si>
  <si>
    <t>Guatemala</t>
  </si>
  <si>
    <t>Luxembourg</t>
  </si>
  <si>
    <t>Madagascar</t>
  </si>
  <si>
    <t>Missing Imports</t>
  </si>
  <si>
    <t>Morocco</t>
  </si>
  <si>
    <t>Tunisia</t>
  </si>
  <si>
    <t>Exports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</si>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</sst>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475C-B23C-4D49-8A85-2DC2DF5A6E37}">
  <dimension ref="A1:AB82"/>
  <sheetViews>
    <sheetView tabSelected="1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A24" sqref="A24:XFD24"/>
    </sheetView>
  </sheetViews>
  <sheetFormatPr defaultColWidth="6.28515625" defaultRowHeight="15" x14ac:dyDescent="0.25"/>
  <cols>
    <col min="1" max="1" width="7.85546875" bestFit="1" customWidth="1"/>
    <col min="2" max="2" width="19.7109375" bestFit="1" customWidth="1"/>
    <col min="3" max="12" width="7.5703125" bestFit="1" customWidth="1"/>
    <col min="13" max="28" width="9.140625" bestFit="1" customWidth="1"/>
  </cols>
  <sheetData>
    <row r="1" spans="1:28" x14ac:dyDescent="0.25">
      <c r="A1" t="s">
        <v>52</v>
      </c>
    </row>
    <row r="2" spans="1:28" s="3" customFormat="1" x14ac:dyDescent="0.25">
      <c r="B2" s="3" t="s">
        <v>0</v>
      </c>
      <c r="C2" s="3">
        <v>2000</v>
      </c>
      <c r="D2" s="3">
        <v>2001</v>
      </c>
      <c r="E2" s="3">
        <v>2002</v>
      </c>
      <c r="F2" s="3">
        <v>2003</v>
      </c>
      <c r="G2" s="3">
        <v>2004</v>
      </c>
      <c r="H2" s="3">
        <v>2005</v>
      </c>
      <c r="I2" s="3">
        <v>2006</v>
      </c>
      <c r="J2" s="3">
        <v>2007</v>
      </c>
      <c r="K2" s="3">
        <v>2008</v>
      </c>
      <c r="L2" s="3">
        <v>2009</v>
      </c>
      <c r="M2" s="3">
        <v>2010</v>
      </c>
      <c r="N2" s="3">
        <v>2011</v>
      </c>
      <c r="O2" s="3">
        <v>2012</v>
      </c>
      <c r="P2" s="3">
        <v>2013</v>
      </c>
      <c r="Q2" s="3">
        <v>2014</v>
      </c>
      <c r="R2" s="3">
        <v>2015</v>
      </c>
      <c r="S2" s="3">
        <v>2016</v>
      </c>
      <c r="T2" s="3">
        <v>2017</v>
      </c>
      <c r="U2" s="3">
        <v>2018</v>
      </c>
      <c r="V2" s="3">
        <v>2019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3">
        <v>2025</v>
      </c>
    </row>
    <row r="3" spans="1:28" x14ac:dyDescent="0.25">
      <c r="A3" s="1"/>
      <c r="B3" t="s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9368.7990000000009</v>
      </c>
      <c r="O3" s="4">
        <v>8510.2900000000009</v>
      </c>
      <c r="P3" s="4">
        <v>9061.24</v>
      </c>
      <c r="Q3" s="4">
        <v>10521.749</v>
      </c>
      <c r="R3" s="4">
        <v>10934.852000000001</v>
      </c>
      <c r="S3" s="4">
        <v>10389.455</v>
      </c>
      <c r="T3" s="4">
        <v>10339.960999999999</v>
      </c>
      <c r="U3" s="4">
        <v>10505.593999999999</v>
      </c>
      <c r="V3" s="4">
        <v>10892.036</v>
      </c>
      <c r="W3" s="4">
        <v>10622.41</v>
      </c>
      <c r="X3" s="4">
        <v>9178.8340000000007</v>
      </c>
      <c r="Y3" s="4">
        <v>9514.1759999999995</v>
      </c>
      <c r="Z3" s="4">
        <v>9866.5360000000001</v>
      </c>
      <c r="AA3" s="4">
        <v>9849.3109999999997</v>
      </c>
      <c r="AB3" s="4">
        <v>11415.073</v>
      </c>
    </row>
    <row r="4" spans="1:28" x14ac:dyDescent="0.25">
      <c r="A4" s="1"/>
      <c r="B4" t="s">
        <v>2</v>
      </c>
      <c r="C4" s="4">
        <v>0</v>
      </c>
      <c r="D4" s="4">
        <v>14025.64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10992.333000000001</v>
      </c>
      <c r="O4" s="4">
        <v>16486.96</v>
      </c>
      <c r="P4" s="4">
        <v>10031.34</v>
      </c>
      <c r="Q4" s="4">
        <v>6367.3419999999996</v>
      </c>
      <c r="R4" s="4">
        <v>8725.5310000000009</v>
      </c>
      <c r="S4" s="4">
        <v>8408.9830000000002</v>
      </c>
      <c r="T4" s="4">
        <v>8904.9290000000001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x14ac:dyDescent="0.25">
      <c r="A5" s="1"/>
      <c r="B5" t="s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9640.3520000000008</v>
      </c>
      <c r="N5" s="4">
        <v>13636.965</v>
      </c>
      <c r="O5" s="4">
        <v>8443.1470000000008</v>
      </c>
      <c r="P5" s="4">
        <v>12280.96</v>
      </c>
      <c r="Q5" s="4">
        <v>13794.712</v>
      </c>
      <c r="R5" s="4">
        <v>15215.071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x14ac:dyDescent="0.25">
      <c r="A6" s="1"/>
      <c r="B6" t="s">
        <v>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6137.5990000000002</v>
      </c>
      <c r="N6" s="4">
        <v>5693.7089999999998</v>
      </c>
      <c r="O6" s="4">
        <v>0</v>
      </c>
      <c r="P6" s="4">
        <v>0</v>
      </c>
      <c r="Q6" s="4">
        <v>0</v>
      </c>
      <c r="R6" s="4">
        <v>9491.7219999999998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1:28" x14ac:dyDescent="0.25">
      <c r="A7" s="1"/>
      <c r="B7" t="s">
        <v>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37679.525999999998</v>
      </c>
      <c r="N7" s="4">
        <v>57263.9</v>
      </c>
      <c r="O7" s="4">
        <v>29511.249</v>
      </c>
      <c r="P7" s="4">
        <v>0</v>
      </c>
      <c r="Q7" s="4">
        <v>0</v>
      </c>
      <c r="R7" s="4">
        <v>0</v>
      </c>
      <c r="S7" s="4">
        <v>297582.25799999997</v>
      </c>
      <c r="T7" s="4">
        <v>212308.723</v>
      </c>
      <c r="U7" s="4">
        <v>114145.62300000001</v>
      </c>
      <c r="V7" s="4">
        <v>111103.625</v>
      </c>
      <c r="W7" s="4">
        <v>133956.48300000001</v>
      </c>
      <c r="X7" s="4">
        <v>81834.252999999997</v>
      </c>
      <c r="Y7" s="4">
        <v>60505.508000000002</v>
      </c>
      <c r="Z7" s="4">
        <v>51410.95</v>
      </c>
      <c r="AA7" s="4">
        <v>85930.324999999997</v>
      </c>
      <c r="AB7" s="4">
        <v>0</v>
      </c>
    </row>
    <row r="8" spans="1:28" x14ac:dyDescent="0.25">
      <c r="A8" s="1"/>
      <c r="B8" t="s">
        <v>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11407.69</v>
      </c>
      <c r="N8" s="4">
        <v>0</v>
      </c>
      <c r="O8" s="4">
        <v>0</v>
      </c>
      <c r="P8" s="4">
        <v>0</v>
      </c>
      <c r="Q8" s="4">
        <v>50649.023999999998</v>
      </c>
      <c r="R8" s="4">
        <v>0</v>
      </c>
      <c r="S8" s="4">
        <v>33900.252999999997</v>
      </c>
      <c r="T8" s="4">
        <v>9464.1020000000008</v>
      </c>
      <c r="U8" s="4">
        <v>11949.075000000001</v>
      </c>
      <c r="V8" s="4">
        <v>23585.055</v>
      </c>
      <c r="W8" s="4">
        <v>15263.550999999999</v>
      </c>
      <c r="X8" s="4">
        <v>16695.508999999998</v>
      </c>
      <c r="Y8" s="4">
        <v>13441.948</v>
      </c>
      <c r="Z8" s="4">
        <v>11770.374</v>
      </c>
      <c r="AA8" s="4">
        <v>0</v>
      </c>
      <c r="AB8" s="4">
        <v>5608.2510000000002</v>
      </c>
    </row>
    <row r="9" spans="1:28" x14ac:dyDescent="0.25">
      <c r="A9" s="1"/>
      <c r="B9" t="s">
        <v>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40787.249000000003</v>
      </c>
      <c r="N9" s="4">
        <v>6719.0659999999998</v>
      </c>
      <c r="O9" s="4">
        <v>8053.3429999999998</v>
      </c>
      <c r="P9" s="4">
        <v>12273.75</v>
      </c>
      <c r="Q9" s="4">
        <v>18239.867999999999</v>
      </c>
      <c r="R9" s="4">
        <v>0</v>
      </c>
      <c r="S9" s="4">
        <v>12387.102000000001</v>
      </c>
      <c r="T9" s="4">
        <v>24456.636999999999</v>
      </c>
      <c r="U9" s="4">
        <v>31138.789000000001</v>
      </c>
      <c r="V9" s="4">
        <v>12944.83</v>
      </c>
      <c r="W9" s="4">
        <v>9867.2180000000008</v>
      </c>
      <c r="X9" s="4">
        <v>8643.4390000000003</v>
      </c>
      <c r="Y9" s="4">
        <v>0</v>
      </c>
      <c r="Z9" s="4">
        <v>0</v>
      </c>
      <c r="AA9" s="4">
        <v>21423.652999999998</v>
      </c>
      <c r="AB9" s="4">
        <v>0</v>
      </c>
    </row>
    <row r="10" spans="1:28" x14ac:dyDescent="0.25">
      <c r="A10" s="1"/>
      <c r="B10" t="s">
        <v>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44737.021999999997</v>
      </c>
      <c r="S10" s="4">
        <v>45570.951000000001</v>
      </c>
      <c r="T10" s="4">
        <v>46261.919999999998</v>
      </c>
      <c r="U10" s="4">
        <v>36979.925999999999</v>
      </c>
      <c r="V10" s="4">
        <v>32452.65</v>
      </c>
      <c r="W10" s="4">
        <v>27367</v>
      </c>
      <c r="X10" s="4">
        <v>17657.694</v>
      </c>
      <c r="Y10" s="4">
        <v>26897.138999999999</v>
      </c>
      <c r="Z10" s="4">
        <v>17514.060000000001</v>
      </c>
      <c r="AA10" s="4">
        <v>33349.527999999998</v>
      </c>
      <c r="AB10" s="4">
        <v>22602.271000000001</v>
      </c>
    </row>
    <row r="11" spans="1:28" x14ac:dyDescent="0.25">
      <c r="A11" s="1"/>
      <c r="B11" t="s">
        <v>9</v>
      </c>
      <c r="C11" s="4">
        <v>143118.85</v>
      </c>
      <c r="D11" s="4">
        <v>158325.16</v>
      </c>
      <c r="E11" s="4">
        <v>126953.28</v>
      </c>
      <c r="F11" s="4">
        <v>188584.834</v>
      </c>
      <c r="G11" s="4">
        <v>0</v>
      </c>
      <c r="H11" s="4">
        <v>133888.87</v>
      </c>
      <c r="I11" s="4">
        <v>124792.5</v>
      </c>
      <c r="J11" s="4">
        <v>0</v>
      </c>
      <c r="K11" s="4">
        <v>143307.74</v>
      </c>
      <c r="L11" s="4">
        <v>95172.28</v>
      </c>
      <c r="M11" s="4">
        <v>80009.5</v>
      </c>
      <c r="N11" s="4">
        <v>72799.399999999994</v>
      </c>
      <c r="O11" s="4">
        <v>97053.1</v>
      </c>
      <c r="P11" s="4">
        <v>81890.899999999994</v>
      </c>
      <c r="Q11" s="4">
        <v>58773.97</v>
      </c>
      <c r="R11" s="4">
        <v>81175.474000000002</v>
      </c>
      <c r="S11" s="4">
        <v>90713.540999999997</v>
      </c>
      <c r="T11" s="4">
        <v>83565.948999999993</v>
      </c>
      <c r="U11" s="4">
        <v>92652.964999999997</v>
      </c>
      <c r="V11" s="4">
        <v>83481.120999999999</v>
      </c>
      <c r="W11" s="4">
        <v>75138.778999999995</v>
      </c>
      <c r="X11" s="4">
        <v>41511.182000000001</v>
      </c>
      <c r="Y11" s="4">
        <v>24560.075000000001</v>
      </c>
      <c r="Z11" s="4">
        <v>24216.382000000001</v>
      </c>
      <c r="AA11" s="4">
        <v>22595.508000000002</v>
      </c>
      <c r="AB11" s="4">
        <v>0</v>
      </c>
    </row>
    <row r="12" spans="1:28" x14ac:dyDescent="0.25">
      <c r="A12" s="1"/>
      <c r="B12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8769.8359999999993</v>
      </c>
      <c r="N12" s="4">
        <v>0</v>
      </c>
      <c r="O12" s="4">
        <v>15703.058999999999</v>
      </c>
      <c r="P12" s="4">
        <v>0</v>
      </c>
      <c r="Q12" s="4">
        <v>0</v>
      </c>
      <c r="R12" s="4">
        <v>11624.654</v>
      </c>
      <c r="S12" s="4">
        <v>12252.429</v>
      </c>
      <c r="T12" s="4">
        <v>28553.617999999999</v>
      </c>
      <c r="U12" s="4">
        <v>36845.620999999999</v>
      </c>
      <c r="V12" s="4">
        <v>29312.893</v>
      </c>
      <c r="W12" s="4">
        <v>35534.337</v>
      </c>
      <c r="X12" s="4">
        <v>26450.271000000001</v>
      </c>
      <c r="Y12" s="4">
        <v>72864.888000000006</v>
      </c>
      <c r="Z12" s="4">
        <v>55730.752</v>
      </c>
      <c r="AA12" s="4">
        <v>0</v>
      </c>
      <c r="AB12" s="4">
        <v>0</v>
      </c>
    </row>
    <row r="13" spans="1:28" x14ac:dyDescent="0.25">
      <c r="A13" s="1"/>
      <c r="B13" t="s">
        <v>11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17171.362000000001</v>
      </c>
      <c r="O13" s="4">
        <v>19698.811000000002</v>
      </c>
      <c r="P13" s="4">
        <v>36605.58</v>
      </c>
      <c r="Q13" s="4">
        <v>36260.402999999998</v>
      </c>
      <c r="R13" s="4">
        <v>29350.863000000001</v>
      </c>
      <c r="S13" s="4">
        <v>21468.477999999999</v>
      </c>
      <c r="T13" s="4">
        <v>28025.538</v>
      </c>
      <c r="U13" s="4">
        <v>54841.228000000003</v>
      </c>
      <c r="V13" s="4">
        <v>45672.652999999998</v>
      </c>
      <c r="W13" s="4">
        <v>40352.148999999998</v>
      </c>
      <c r="X13" s="4">
        <v>38689.582000000002</v>
      </c>
      <c r="Y13" s="4">
        <v>36034.177000000003</v>
      </c>
      <c r="Z13" s="4">
        <v>51348.178999999996</v>
      </c>
      <c r="AA13" s="4">
        <v>46183.718999999997</v>
      </c>
      <c r="AB13" s="4">
        <v>29464.538</v>
      </c>
    </row>
    <row r="14" spans="1:28" x14ac:dyDescent="0.25">
      <c r="A14" s="1"/>
      <c r="B14" t="s">
        <v>12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11114.022999999999</v>
      </c>
      <c r="P14" s="4">
        <v>366040.87</v>
      </c>
      <c r="Q14" s="4">
        <v>104121.894</v>
      </c>
      <c r="R14" s="4">
        <v>90002.096000000005</v>
      </c>
      <c r="S14" s="4">
        <v>73733.691000000006</v>
      </c>
      <c r="T14" s="4">
        <v>121307.045</v>
      </c>
      <c r="U14" s="4">
        <v>86200.138000000006</v>
      </c>
      <c r="V14" s="4">
        <v>88526.387000000002</v>
      </c>
      <c r="W14" s="4">
        <v>113680.67600000001</v>
      </c>
      <c r="X14" s="4">
        <v>109557.679</v>
      </c>
      <c r="Y14" s="4">
        <v>120918.814</v>
      </c>
      <c r="Z14" s="4">
        <v>130600.232</v>
      </c>
      <c r="AA14" s="4">
        <v>197643.601</v>
      </c>
      <c r="AB14" s="4">
        <v>0</v>
      </c>
    </row>
    <row r="15" spans="1:28" x14ac:dyDescent="0.25">
      <c r="A15" s="1"/>
      <c r="B15" t="s">
        <v>13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6021.7610000000004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1:28" x14ac:dyDescent="0.25">
      <c r="A16" s="1"/>
      <c r="B16" t="s">
        <v>14</v>
      </c>
      <c r="C16" s="4">
        <v>13724.03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6429.1260000000002</v>
      </c>
      <c r="Y16" s="4">
        <v>0</v>
      </c>
      <c r="Z16" s="4">
        <v>0</v>
      </c>
      <c r="AA16" s="4">
        <v>0</v>
      </c>
      <c r="AB16" s="4">
        <v>0</v>
      </c>
    </row>
    <row r="17" spans="1:28" x14ac:dyDescent="0.25">
      <c r="A17" s="1"/>
      <c r="B17" t="s">
        <v>15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75588.774000000005</v>
      </c>
      <c r="N17" s="4">
        <v>67069.915999999997</v>
      </c>
      <c r="O17" s="4">
        <v>51243.338000000003</v>
      </c>
      <c r="P17" s="4">
        <v>71005.77</v>
      </c>
      <c r="Q17" s="4">
        <v>62881.694000000003</v>
      </c>
      <c r="R17" s="4">
        <v>40115.483</v>
      </c>
      <c r="S17" s="4">
        <v>22887.52</v>
      </c>
      <c r="T17" s="4">
        <v>37062.326000000001</v>
      </c>
      <c r="U17" s="4">
        <v>55767.213000000003</v>
      </c>
      <c r="V17" s="4">
        <v>41278.995999999999</v>
      </c>
      <c r="W17" s="4">
        <v>63550.779000000002</v>
      </c>
      <c r="X17" s="4">
        <v>57639.398000000001</v>
      </c>
      <c r="Y17" s="4">
        <v>22263.834999999999</v>
      </c>
      <c r="Z17" s="4">
        <v>35693.252</v>
      </c>
      <c r="AA17" s="4">
        <v>46903.413</v>
      </c>
      <c r="AB17" s="4">
        <v>32092.556</v>
      </c>
    </row>
    <row r="18" spans="1:28" x14ac:dyDescent="0.25">
      <c r="A18" s="1"/>
      <c r="B18" t="s">
        <v>16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7131.14</v>
      </c>
      <c r="AA18" s="4">
        <v>0</v>
      </c>
      <c r="AB18" s="4">
        <v>15924.066000000001</v>
      </c>
    </row>
    <row r="19" spans="1:28" x14ac:dyDescent="0.25">
      <c r="A19" s="1"/>
      <c r="B19" t="s">
        <v>17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49582.692000000003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 spans="1:28" x14ac:dyDescent="0.25">
      <c r="A20" s="1"/>
      <c r="B20" t="s">
        <v>18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6001</v>
      </c>
      <c r="R20" s="4">
        <v>7517.826</v>
      </c>
      <c r="S20" s="4">
        <v>11136.959000000001</v>
      </c>
      <c r="T20" s="4">
        <v>0</v>
      </c>
      <c r="U20" s="4">
        <v>0</v>
      </c>
      <c r="V20" s="4">
        <v>15515.487999999999</v>
      </c>
      <c r="W20" s="4">
        <v>10828.069</v>
      </c>
      <c r="X20" s="4">
        <v>10249.214</v>
      </c>
      <c r="Y20" s="4">
        <v>10474.698</v>
      </c>
      <c r="Z20" s="4">
        <v>12282.950999999999</v>
      </c>
      <c r="AA20" s="4">
        <v>10592.424000000001</v>
      </c>
      <c r="AB20" s="4">
        <v>0</v>
      </c>
    </row>
    <row r="21" spans="1:28" x14ac:dyDescent="0.25">
      <c r="A21" s="1"/>
      <c r="B21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5585.6229999999996</v>
      </c>
      <c r="O21" s="4">
        <v>10485.066999999999</v>
      </c>
      <c r="P21" s="4">
        <v>0</v>
      </c>
      <c r="Q21" s="4">
        <v>10789.413</v>
      </c>
      <c r="R21" s="4">
        <v>7302.6170000000002</v>
      </c>
      <c r="S21" s="4">
        <v>14275.579</v>
      </c>
      <c r="T21" s="4">
        <v>0</v>
      </c>
      <c r="U21" s="4">
        <v>0</v>
      </c>
      <c r="V21" s="4">
        <v>11836.879000000001</v>
      </c>
      <c r="W21" s="4">
        <v>12627.231</v>
      </c>
      <c r="X21" s="4">
        <v>11278.999</v>
      </c>
      <c r="Y21" s="4">
        <v>22041.896000000001</v>
      </c>
      <c r="Z21" s="4">
        <v>13742.857</v>
      </c>
      <c r="AA21" s="4">
        <v>0</v>
      </c>
      <c r="AB21" s="4">
        <v>0</v>
      </c>
    </row>
    <row r="22" spans="1:28" x14ac:dyDescent="0.25">
      <c r="A22" s="1"/>
      <c r="B22" t="s">
        <v>20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24541.359</v>
      </c>
      <c r="N22" s="4">
        <v>31293.923999999999</v>
      </c>
      <c r="O22" s="4">
        <v>31888.656999999999</v>
      </c>
      <c r="P22" s="4">
        <v>17216.259999999998</v>
      </c>
      <c r="Q22" s="4">
        <v>7909.2259999999997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 x14ac:dyDescent="0.25">
      <c r="A23" s="1"/>
      <c r="B23" t="s">
        <v>21</v>
      </c>
      <c r="C23" s="4">
        <v>18349.28</v>
      </c>
      <c r="D23" s="4">
        <v>16522.669999999998</v>
      </c>
      <c r="E23" s="4">
        <v>30596.880000000001</v>
      </c>
      <c r="F23" s="4">
        <v>30414.234</v>
      </c>
      <c r="G23" s="4">
        <v>198165</v>
      </c>
      <c r="H23" s="4">
        <v>29270.45</v>
      </c>
      <c r="I23" s="4">
        <v>26889.599999999999</v>
      </c>
      <c r="J23" s="4">
        <v>104869.6</v>
      </c>
      <c r="K23" s="4">
        <v>26245.78</v>
      </c>
      <c r="L23" s="4">
        <v>39542.83</v>
      </c>
      <c r="M23" s="4">
        <v>41353.112999999998</v>
      </c>
      <c r="N23" s="4">
        <v>44130.593999999997</v>
      </c>
      <c r="O23" s="4">
        <v>46504.169000000002</v>
      </c>
      <c r="P23" s="4">
        <v>64688.07</v>
      </c>
      <c r="Q23" s="4">
        <v>53307.267999999996</v>
      </c>
      <c r="R23" s="4">
        <v>60970.654000000002</v>
      </c>
      <c r="S23" s="4">
        <v>84488.3</v>
      </c>
      <c r="T23" s="4">
        <v>82520.917000000001</v>
      </c>
      <c r="U23" s="4">
        <v>92788.591</v>
      </c>
      <c r="V23" s="4">
        <v>81732.402000000002</v>
      </c>
      <c r="W23" s="4">
        <v>83216.56</v>
      </c>
      <c r="X23" s="4">
        <v>75557.256999999998</v>
      </c>
      <c r="Y23" s="4">
        <v>70513.077000000005</v>
      </c>
      <c r="Z23" s="4">
        <v>67193.126999999993</v>
      </c>
      <c r="AA23" s="4">
        <v>75660.913</v>
      </c>
      <c r="AB23" s="4">
        <v>32481.606</v>
      </c>
    </row>
    <row r="24" spans="1:28" x14ac:dyDescent="0.25">
      <c r="A24" s="1"/>
      <c r="B24" t="s">
        <v>22</v>
      </c>
      <c r="C24" s="4">
        <v>0</v>
      </c>
      <c r="D24" s="4">
        <v>0</v>
      </c>
      <c r="E24" s="4">
        <v>81556.100000000006</v>
      </c>
      <c r="F24" s="4">
        <v>7826.4780000000001</v>
      </c>
      <c r="G24" s="4">
        <v>0</v>
      </c>
      <c r="H24" s="4">
        <v>0</v>
      </c>
      <c r="I24" s="4">
        <v>0</v>
      </c>
      <c r="J24" s="4">
        <v>213734.3</v>
      </c>
      <c r="K24" s="4">
        <v>0</v>
      </c>
      <c r="L24" s="4">
        <v>0</v>
      </c>
      <c r="M24" s="4">
        <v>347816.83500000002</v>
      </c>
      <c r="N24" s="4">
        <v>580484.25399999996</v>
      </c>
      <c r="O24" s="4">
        <v>1007552.2560000001</v>
      </c>
      <c r="P24" s="4">
        <v>607515.89</v>
      </c>
      <c r="Q24" s="4">
        <v>937854.87800000003</v>
      </c>
      <c r="R24" s="4">
        <v>1596370.0530000001</v>
      </c>
      <c r="S24" s="4">
        <v>2147774.3199999998</v>
      </c>
      <c r="T24" s="4">
        <v>1528070.358</v>
      </c>
      <c r="U24" s="4">
        <v>1727496.8759999999</v>
      </c>
      <c r="V24" s="4">
        <v>1025653.148</v>
      </c>
      <c r="W24" s="4">
        <v>1707234.7690000001</v>
      </c>
      <c r="X24" s="4">
        <v>1528349.0419999999</v>
      </c>
      <c r="Y24" s="4">
        <v>1648374.6059999999</v>
      </c>
      <c r="Z24" s="4">
        <v>1221057.45</v>
      </c>
      <c r="AA24" s="4">
        <v>1679601.182</v>
      </c>
      <c r="AB24" s="4">
        <v>646489.23199999996</v>
      </c>
    </row>
    <row r="25" spans="1:28" x14ac:dyDescent="0.25">
      <c r="A25" s="1"/>
      <c r="B25" t="s">
        <v>23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8332.41</v>
      </c>
      <c r="O25" s="4">
        <v>40041.802000000003</v>
      </c>
      <c r="P25" s="4">
        <v>25764.18</v>
      </c>
      <c r="Q25" s="4">
        <v>33719.275000000001</v>
      </c>
      <c r="R25" s="4">
        <v>8849.6450000000004</v>
      </c>
      <c r="S25" s="4">
        <v>0</v>
      </c>
      <c r="T25" s="4">
        <v>13947.945</v>
      </c>
      <c r="U25" s="4">
        <v>13678.722</v>
      </c>
      <c r="V25" s="4">
        <v>9553.48</v>
      </c>
      <c r="W25" s="4">
        <v>0</v>
      </c>
      <c r="X25" s="4">
        <v>0</v>
      </c>
      <c r="Y25" s="4">
        <v>12011.508</v>
      </c>
      <c r="Z25" s="4">
        <v>21275.933000000001</v>
      </c>
      <c r="AA25" s="4">
        <v>0</v>
      </c>
      <c r="AB25" s="4">
        <v>0</v>
      </c>
    </row>
    <row r="26" spans="1:28" x14ac:dyDescent="0.25">
      <c r="A26" s="2"/>
      <c r="B26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13278.213</v>
      </c>
      <c r="N26" s="4">
        <v>18773.151000000002</v>
      </c>
      <c r="O26" s="4">
        <v>17476.351999999999</v>
      </c>
      <c r="P26" s="4">
        <v>19315.78</v>
      </c>
      <c r="Q26" s="4">
        <v>22545.333999999999</v>
      </c>
      <c r="R26" s="4">
        <v>19565.085999999999</v>
      </c>
      <c r="S26" s="4">
        <v>9158.7129999999997</v>
      </c>
      <c r="T26" s="4">
        <v>9288.9259999999995</v>
      </c>
      <c r="U26" s="4">
        <v>16325.22</v>
      </c>
      <c r="V26" s="4">
        <v>20673.941999999999</v>
      </c>
      <c r="W26" s="4">
        <v>22518.19</v>
      </c>
      <c r="X26" s="4">
        <v>18614.314999999999</v>
      </c>
      <c r="Y26" s="4">
        <v>9529.0920000000006</v>
      </c>
      <c r="Z26" s="4">
        <v>0</v>
      </c>
      <c r="AA26" s="4">
        <v>0</v>
      </c>
      <c r="AB26" s="4">
        <v>3932.1689999999999</v>
      </c>
    </row>
    <row r="27" spans="1:28" x14ac:dyDescent="0.25">
      <c r="A27" s="2"/>
      <c r="B27" t="s">
        <v>25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11972.401</v>
      </c>
      <c r="W27" s="4">
        <v>18056.403999999999</v>
      </c>
      <c r="X27" s="4">
        <v>14232.709000000001</v>
      </c>
      <c r="Y27" s="4">
        <v>20274.344000000001</v>
      </c>
      <c r="Z27" s="4">
        <v>20929.427</v>
      </c>
      <c r="AA27" s="4">
        <v>0</v>
      </c>
      <c r="AB27" s="4">
        <v>0</v>
      </c>
    </row>
    <row r="28" spans="1:28" x14ac:dyDescent="0.25">
      <c r="A28" s="2"/>
      <c r="B28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9548.2819999999992</v>
      </c>
      <c r="S28" s="4">
        <v>0</v>
      </c>
      <c r="T28" s="4">
        <v>0</v>
      </c>
      <c r="U28" s="4">
        <v>35114.997000000003</v>
      </c>
      <c r="V28" s="4">
        <v>0</v>
      </c>
      <c r="W28" s="4">
        <v>0</v>
      </c>
      <c r="X28" s="4">
        <v>0</v>
      </c>
      <c r="Y28" s="4">
        <v>0</v>
      </c>
      <c r="Z28" s="4">
        <v>5986.1120000000001</v>
      </c>
      <c r="AA28" s="4">
        <v>0</v>
      </c>
      <c r="AB28" s="4">
        <v>0</v>
      </c>
    </row>
    <row r="29" spans="1:28" x14ac:dyDescent="0.25">
      <c r="A29" s="2"/>
      <c r="B29" t="s">
        <v>27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8709.0660000000007</v>
      </c>
      <c r="W29" s="4">
        <v>0</v>
      </c>
      <c r="X29" s="4">
        <v>0</v>
      </c>
      <c r="Y29" s="4">
        <v>0</v>
      </c>
      <c r="Z29" s="4">
        <v>13491.957</v>
      </c>
      <c r="AA29" s="4">
        <v>19669.936000000002</v>
      </c>
      <c r="AB29" s="4">
        <v>11488.348</v>
      </c>
    </row>
    <row r="30" spans="1:28" x14ac:dyDescent="0.25">
      <c r="A30" s="2"/>
      <c r="B30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13195.938</v>
      </c>
      <c r="AB30" s="4">
        <v>21271.455999999998</v>
      </c>
    </row>
    <row r="31" spans="1:28" x14ac:dyDescent="0.25">
      <c r="A31" s="2"/>
      <c r="B31" t="s">
        <v>29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10448.204</v>
      </c>
      <c r="T31" s="4">
        <v>8304.3150000000005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 spans="1:28" x14ac:dyDescent="0.25">
      <c r="A32" s="2"/>
      <c r="B32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29644.069</v>
      </c>
      <c r="N32" s="4">
        <v>16854.73</v>
      </c>
      <c r="O32" s="4">
        <v>17912.574000000001</v>
      </c>
      <c r="P32" s="4">
        <v>18119.09</v>
      </c>
      <c r="Q32" s="4">
        <v>22762.059000000001</v>
      </c>
      <c r="R32" s="4">
        <v>19412.621999999999</v>
      </c>
      <c r="S32" s="4">
        <v>18125.420999999998</v>
      </c>
      <c r="T32" s="4">
        <v>30049.055</v>
      </c>
      <c r="U32" s="4">
        <v>30567.444</v>
      </c>
      <c r="V32" s="4">
        <v>48633.298000000003</v>
      </c>
      <c r="W32" s="4">
        <v>0</v>
      </c>
      <c r="X32" s="4">
        <v>11150.605</v>
      </c>
      <c r="Y32" s="4">
        <v>13652.371999999999</v>
      </c>
      <c r="Z32" s="4">
        <v>19203.457999999999</v>
      </c>
      <c r="AA32" s="4">
        <v>20282.2</v>
      </c>
      <c r="AB32" s="4">
        <v>14760.991</v>
      </c>
    </row>
    <row r="33" spans="1:28" x14ac:dyDescent="0.25">
      <c r="A33" s="2"/>
      <c r="B33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5394.41</v>
      </c>
      <c r="N33" s="4">
        <v>0</v>
      </c>
      <c r="O33" s="4">
        <v>0</v>
      </c>
      <c r="P33" s="4">
        <v>10557.12</v>
      </c>
      <c r="Q33" s="4">
        <v>16322.396000000001</v>
      </c>
      <c r="R33" s="4">
        <v>9751.1689999999999</v>
      </c>
      <c r="S33" s="4">
        <v>0</v>
      </c>
      <c r="T33" s="4">
        <v>0</v>
      </c>
      <c r="U33" s="4">
        <v>0</v>
      </c>
      <c r="V33" s="4">
        <v>0</v>
      </c>
      <c r="W33" s="4">
        <v>9243.3089999999993</v>
      </c>
      <c r="X33" s="4">
        <v>16973.663</v>
      </c>
      <c r="Y33" s="4">
        <v>16831.415000000001</v>
      </c>
      <c r="Z33" s="4">
        <v>21739.133999999998</v>
      </c>
      <c r="AA33" s="4">
        <v>27874.239000000001</v>
      </c>
      <c r="AB33" s="4">
        <v>33444.156000000003</v>
      </c>
    </row>
    <row r="34" spans="1:28" x14ac:dyDescent="0.25">
      <c r="A34" s="2"/>
      <c r="B34" t="s">
        <v>32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215971.38</v>
      </c>
      <c r="S34" s="4">
        <v>217253.04199999999</v>
      </c>
      <c r="T34" s="4">
        <v>186126.36900000001</v>
      </c>
      <c r="U34" s="4">
        <v>208880.89799999999</v>
      </c>
      <c r="V34" s="4">
        <v>230304.315</v>
      </c>
      <c r="W34" s="4">
        <v>206580.14</v>
      </c>
      <c r="X34" s="4">
        <v>167337.28099999999</v>
      </c>
      <c r="Y34" s="4">
        <v>164860.07199999999</v>
      </c>
      <c r="Z34" s="4">
        <v>175909.038</v>
      </c>
      <c r="AA34" s="4">
        <v>225451.84400000001</v>
      </c>
      <c r="AB34" s="4">
        <v>0</v>
      </c>
    </row>
    <row r="35" spans="1:28" x14ac:dyDescent="0.25">
      <c r="A35" s="2"/>
      <c r="B35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8890.6630000000005</v>
      </c>
      <c r="N35" s="4">
        <v>13807.616</v>
      </c>
      <c r="O35" s="4">
        <v>6501.7269999999999</v>
      </c>
      <c r="P35" s="4">
        <v>26799.4</v>
      </c>
      <c r="Q35" s="4">
        <v>5080.6459999999997</v>
      </c>
      <c r="R35" s="4">
        <v>0</v>
      </c>
      <c r="S35" s="4">
        <v>21973.09</v>
      </c>
      <c r="T35" s="4">
        <v>29946.43</v>
      </c>
      <c r="U35" s="4">
        <v>40697.673999999999</v>
      </c>
      <c r="V35" s="4">
        <v>36815.553999999996</v>
      </c>
      <c r="W35" s="4">
        <v>36530.197</v>
      </c>
      <c r="X35" s="4">
        <v>0</v>
      </c>
      <c r="Y35" s="4">
        <v>19460.751</v>
      </c>
      <c r="Z35" s="4">
        <v>0</v>
      </c>
      <c r="AA35" s="4">
        <v>0</v>
      </c>
      <c r="AB35" s="4">
        <v>0</v>
      </c>
    </row>
    <row r="36" spans="1:28" x14ac:dyDescent="0.25">
      <c r="A36" s="2"/>
      <c r="B36" t="s">
        <v>34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36025.839999999997</v>
      </c>
      <c r="M36" s="4">
        <v>46713.504999999997</v>
      </c>
      <c r="N36" s="4">
        <v>13636.391</v>
      </c>
      <c r="O36" s="4">
        <v>0</v>
      </c>
      <c r="P36" s="4">
        <v>15229.06</v>
      </c>
      <c r="Q36" s="4">
        <v>0</v>
      </c>
      <c r="R36" s="4">
        <v>0</v>
      </c>
      <c r="S36" s="4">
        <v>25659.625</v>
      </c>
      <c r="T36" s="4">
        <v>51682.413</v>
      </c>
      <c r="U36" s="4">
        <v>89877.012000000002</v>
      </c>
      <c r="V36" s="4">
        <v>60484.517</v>
      </c>
      <c r="W36" s="4">
        <v>113439.772</v>
      </c>
      <c r="X36" s="4">
        <v>213478.99299999999</v>
      </c>
      <c r="Y36" s="4">
        <v>65709.936000000002</v>
      </c>
      <c r="Z36" s="4">
        <v>0</v>
      </c>
      <c r="AA36" s="4">
        <v>0</v>
      </c>
      <c r="AB36" s="4">
        <v>0</v>
      </c>
    </row>
    <row r="37" spans="1:28" x14ac:dyDescent="0.25">
      <c r="A37" s="2"/>
      <c r="B37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6242.22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 x14ac:dyDescent="0.25">
      <c r="A38" s="2"/>
      <c r="B38" t="s">
        <v>36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15456.902</v>
      </c>
      <c r="N38" s="4">
        <v>8046.71</v>
      </c>
      <c r="O38" s="4">
        <v>12136.569</v>
      </c>
      <c r="P38" s="4">
        <v>0</v>
      </c>
      <c r="Q38" s="4">
        <v>14648.366</v>
      </c>
      <c r="R38" s="4">
        <v>11336.319</v>
      </c>
      <c r="S38" s="4">
        <v>0</v>
      </c>
      <c r="T38" s="4">
        <v>0</v>
      </c>
      <c r="U38" s="4">
        <v>9052.2129999999997</v>
      </c>
      <c r="V38" s="4">
        <v>11513.498</v>
      </c>
      <c r="W38" s="4">
        <v>11440.726000000001</v>
      </c>
      <c r="X38" s="4">
        <v>15174.484</v>
      </c>
      <c r="Y38" s="4">
        <v>13797.442999999999</v>
      </c>
      <c r="Z38" s="4">
        <v>11818.811</v>
      </c>
      <c r="AA38" s="4">
        <v>13481.130999999999</v>
      </c>
      <c r="AB38" s="4">
        <v>14017.656000000001</v>
      </c>
    </row>
    <row r="39" spans="1:28" x14ac:dyDescent="0.25">
      <c r="A39" s="2"/>
      <c r="B39" t="s">
        <v>37</v>
      </c>
      <c r="C39" s="4">
        <v>0</v>
      </c>
      <c r="D39" s="4">
        <v>0</v>
      </c>
      <c r="E39" s="4">
        <v>278760.33</v>
      </c>
      <c r="F39" s="4">
        <v>299964.30900000001</v>
      </c>
      <c r="G39" s="4">
        <v>359357.4</v>
      </c>
      <c r="H39" s="4">
        <v>358972</v>
      </c>
      <c r="I39" s="4">
        <v>359436.79999999999</v>
      </c>
      <c r="J39" s="4">
        <v>336014.7</v>
      </c>
      <c r="K39" s="4">
        <v>346794.49</v>
      </c>
      <c r="L39" s="4">
        <v>393415.16</v>
      </c>
      <c r="M39" s="4">
        <v>339353.08899999998</v>
      </c>
      <c r="N39" s="4">
        <v>408506.18699999998</v>
      </c>
      <c r="O39" s="4">
        <v>422055.63699999999</v>
      </c>
      <c r="P39" s="4">
        <v>440355.6</v>
      </c>
      <c r="Q39" s="4">
        <v>470565.54</v>
      </c>
      <c r="R39" s="4">
        <v>390648.16600000003</v>
      </c>
      <c r="S39" s="4">
        <v>391919.973</v>
      </c>
      <c r="T39" s="4">
        <v>395005.82299999997</v>
      </c>
      <c r="U39" s="4">
        <v>488395.35499999998</v>
      </c>
      <c r="V39" s="4">
        <v>457993.05200000003</v>
      </c>
      <c r="W39" s="4">
        <v>387076.53399999999</v>
      </c>
      <c r="X39" s="4">
        <v>409045.93199999997</v>
      </c>
      <c r="Y39" s="4">
        <v>424250.99599999998</v>
      </c>
      <c r="Z39" s="4">
        <v>437385.41499999998</v>
      </c>
      <c r="AA39" s="4">
        <v>389618.88199999998</v>
      </c>
      <c r="AB39" s="4">
        <v>349562.527</v>
      </c>
    </row>
    <row r="40" spans="1:28" x14ac:dyDescent="0.25">
      <c r="A40" s="2"/>
      <c r="B40" t="s">
        <v>38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17860.077000000001</v>
      </c>
      <c r="N40" s="4">
        <v>18933.436000000002</v>
      </c>
      <c r="O40" s="4">
        <v>21296.813999999998</v>
      </c>
      <c r="P40" s="4">
        <v>14065.97</v>
      </c>
      <c r="Q40" s="4">
        <v>22137.797999999999</v>
      </c>
      <c r="R40" s="4">
        <v>43744.472000000002</v>
      </c>
      <c r="S40" s="4">
        <v>55718.146000000001</v>
      </c>
      <c r="T40" s="4">
        <v>52386.175999999999</v>
      </c>
      <c r="U40" s="4">
        <v>45372.002999999997</v>
      </c>
      <c r="V40" s="4">
        <v>22209.873</v>
      </c>
      <c r="W40" s="4">
        <v>40625.440999999999</v>
      </c>
      <c r="X40" s="4">
        <v>48213.637999999999</v>
      </c>
      <c r="Y40" s="4">
        <v>69180.804000000004</v>
      </c>
      <c r="Z40" s="4">
        <v>55373.298000000003</v>
      </c>
      <c r="AA40" s="4">
        <v>77533.205000000002</v>
      </c>
      <c r="AB40" s="4">
        <v>13942.234</v>
      </c>
    </row>
    <row r="41" spans="1:28" x14ac:dyDescent="0.25">
      <c r="A41" s="2"/>
      <c r="B41" t="s">
        <v>39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6232.4539999999997</v>
      </c>
      <c r="Z41" s="4">
        <v>0</v>
      </c>
      <c r="AA41" s="4">
        <v>12415.092000000001</v>
      </c>
      <c r="AB41" s="4">
        <v>4229.2020000000002</v>
      </c>
    </row>
    <row r="42" spans="1:28" x14ac:dyDescent="0.25">
      <c r="A42" s="2"/>
      <c r="B42" t="s">
        <v>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35536.334999999999</v>
      </c>
      <c r="T42" s="4">
        <v>22766.316999999999</v>
      </c>
      <c r="U42" s="4">
        <v>22805</v>
      </c>
      <c r="V42" s="4">
        <v>17058.794999999998</v>
      </c>
      <c r="W42" s="4">
        <v>18593.021000000001</v>
      </c>
      <c r="X42" s="4">
        <v>10558.290999999999</v>
      </c>
      <c r="Y42" s="4">
        <v>16486.530999999999</v>
      </c>
      <c r="Z42" s="4">
        <v>11450.468000000001</v>
      </c>
      <c r="AA42" s="4">
        <v>10273.115</v>
      </c>
      <c r="AB42" s="4">
        <v>11287.41</v>
      </c>
    </row>
    <row r="43" spans="1:28" x14ac:dyDescent="0.25">
      <c r="A43" s="2"/>
      <c r="B43" t="s">
        <v>41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11816.703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 spans="1:28" x14ac:dyDescent="0.25">
      <c r="A44" s="2"/>
      <c r="B44" t="s">
        <v>42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36040.618999999999</v>
      </c>
      <c r="S44" s="4">
        <v>43735.883999999998</v>
      </c>
      <c r="T44" s="4">
        <v>50792.281000000003</v>
      </c>
      <c r="U44" s="4">
        <v>33016.283000000003</v>
      </c>
      <c r="V44" s="4">
        <v>57199.408000000003</v>
      </c>
      <c r="W44" s="4">
        <v>40614.699000000001</v>
      </c>
      <c r="X44" s="4">
        <v>56351.870999999999</v>
      </c>
      <c r="Y44" s="4">
        <v>55388.56</v>
      </c>
      <c r="Z44" s="4">
        <v>45464.216999999997</v>
      </c>
      <c r="AA44" s="4">
        <v>0</v>
      </c>
      <c r="AB44" s="4">
        <v>0</v>
      </c>
    </row>
    <row r="45" spans="1:28" x14ac:dyDescent="0.25">
      <c r="C45" s="4">
        <f>SUM(C3:C44)</f>
        <v>175192.16</v>
      </c>
      <c r="D45" s="4">
        <f t="shared" ref="D45:AB45" si="0">SUM(D3:D44)</f>
        <v>188873.46999999997</v>
      </c>
      <c r="E45" s="4">
        <f t="shared" si="0"/>
        <v>517866.59</v>
      </c>
      <c r="F45" s="4">
        <f t="shared" si="0"/>
        <v>526789.85499999998</v>
      </c>
      <c r="G45" s="4">
        <f t="shared" si="0"/>
        <v>557522.4</v>
      </c>
      <c r="H45" s="4">
        <f t="shared" si="0"/>
        <v>522131.32</v>
      </c>
      <c r="I45" s="4">
        <f t="shared" si="0"/>
        <v>511118.9</v>
      </c>
      <c r="J45" s="4">
        <f t="shared" si="0"/>
        <v>654618.60000000009</v>
      </c>
      <c r="K45" s="4">
        <f t="shared" si="0"/>
        <v>516348.01</v>
      </c>
      <c r="L45" s="4">
        <f t="shared" si="0"/>
        <v>564156.11</v>
      </c>
      <c r="M45" s="4">
        <f t="shared" si="0"/>
        <v>1160322.7610000002</v>
      </c>
      <c r="N45" s="4">
        <f t="shared" si="0"/>
        <v>1429100.4759999998</v>
      </c>
      <c r="O45" s="4">
        <f t="shared" si="0"/>
        <v>1905911.1639999996</v>
      </c>
      <c r="P45" s="4">
        <f t="shared" si="0"/>
        <v>1858816.8299999998</v>
      </c>
      <c r="Q45" s="4">
        <f t="shared" si="0"/>
        <v>1991275.6159999997</v>
      </c>
      <c r="R45" s="4">
        <f t="shared" si="0"/>
        <v>2778401.6780000003</v>
      </c>
      <c r="S45" s="4">
        <f t="shared" si="0"/>
        <v>3716498.2520000003</v>
      </c>
      <c r="T45" s="4">
        <f t="shared" si="0"/>
        <v>3071138.0729999999</v>
      </c>
      <c r="U45" s="4">
        <f t="shared" si="0"/>
        <v>3434677.1520000007</v>
      </c>
      <c r="V45" s="4">
        <f t="shared" si="0"/>
        <v>2618926.0649999999</v>
      </c>
      <c r="W45" s="4">
        <f t="shared" si="0"/>
        <v>3243958.4440000001</v>
      </c>
      <c r="X45" s="4">
        <f t="shared" si="0"/>
        <v>3020853.2609999995</v>
      </c>
      <c r="Y45" s="4">
        <f t="shared" si="0"/>
        <v>3046071.1150000002</v>
      </c>
      <c r="Z45" s="4">
        <f t="shared" si="0"/>
        <v>2549585.5099999998</v>
      </c>
      <c r="AA45" s="4">
        <f t="shared" si="0"/>
        <v>3039529.1590000009</v>
      </c>
      <c r="AB45" s="4">
        <f t="shared" si="0"/>
        <v>1274013.7419999999</v>
      </c>
    </row>
    <row r="46" spans="1:28" x14ac:dyDescent="0.2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t="s">
        <v>53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s="1"/>
      <c r="B48" t="s">
        <v>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18713.32</v>
      </c>
      <c r="U48" s="4">
        <v>0</v>
      </c>
      <c r="V48" s="4">
        <v>0</v>
      </c>
      <c r="W48" s="4">
        <v>0</v>
      </c>
      <c r="X48" s="4">
        <v>0</v>
      </c>
      <c r="Y48" s="4">
        <v>17804.16</v>
      </c>
      <c r="Z48" s="4">
        <v>0</v>
      </c>
      <c r="AA48" s="4">
        <v>0</v>
      </c>
      <c r="AB48" s="4">
        <v>13679.25</v>
      </c>
    </row>
    <row r="49" spans="1:28" x14ac:dyDescent="0.25">
      <c r="A49" s="1"/>
      <c r="B49" t="s">
        <v>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24043.49</v>
      </c>
      <c r="N49" s="4">
        <v>31410.16</v>
      </c>
      <c r="O49" s="4">
        <v>38987.67</v>
      </c>
      <c r="P49" s="4">
        <v>0</v>
      </c>
      <c r="Q49" s="4">
        <v>0</v>
      </c>
      <c r="R49" s="4">
        <v>0</v>
      </c>
      <c r="S49" s="4">
        <v>81805.5</v>
      </c>
      <c r="T49" s="4">
        <v>75987.5</v>
      </c>
      <c r="U49" s="4">
        <v>114685.29</v>
      </c>
      <c r="V49" s="4">
        <v>97685.53</v>
      </c>
      <c r="W49" s="4">
        <v>46535.92</v>
      </c>
      <c r="X49" s="4">
        <v>23094</v>
      </c>
      <c r="Y49" s="4">
        <v>0</v>
      </c>
      <c r="Z49" s="4">
        <v>33891.19</v>
      </c>
      <c r="AA49" s="4">
        <v>145866.85</v>
      </c>
      <c r="AB49" s="4">
        <v>0</v>
      </c>
    </row>
    <row r="50" spans="1:28" x14ac:dyDescent="0.25">
      <c r="A50" s="1"/>
      <c r="B50" t="s">
        <v>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22461.45</v>
      </c>
      <c r="R50" s="4">
        <v>0</v>
      </c>
      <c r="S50" s="4">
        <v>0</v>
      </c>
      <c r="T50" s="4">
        <v>0</v>
      </c>
      <c r="U50" s="4">
        <v>18883.95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x14ac:dyDescent="0.25">
      <c r="A51" s="1"/>
      <c r="B51" t="s">
        <v>43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18357.439999999999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1:28" x14ac:dyDescent="0.25">
      <c r="A52" s="1"/>
      <c r="B52" t="s">
        <v>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64417.1</v>
      </c>
      <c r="L52" s="4">
        <v>68641.23</v>
      </c>
      <c r="M52" s="4">
        <v>16952.099999999999</v>
      </c>
      <c r="N52" s="4">
        <v>20502.95</v>
      </c>
      <c r="O52" s="4">
        <v>17127.669999999998</v>
      </c>
      <c r="P52" s="4">
        <v>21822.85</v>
      </c>
      <c r="Q52" s="4">
        <v>30567.759999999998</v>
      </c>
      <c r="R52" s="4">
        <v>35203.620000000003</v>
      </c>
      <c r="S52" s="4">
        <v>32695.53</v>
      </c>
      <c r="T52" s="4">
        <v>40957.83</v>
      </c>
      <c r="U52" s="4">
        <v>78480.39</v>
      </c>
      <c r="V52" s="4">
        <v>64518.8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x14ac:dyDescent="0.25">
      <c r="A53" s="1"/>
      <c r="B53" t="s">
        <v>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144722.5</v>
      </c>
      <c r="N53" s="4">
        <v>161838.6</v>
      </c>
      <c r="O53" s="4">
        <v>81380.03</v>
      </c>
      <c r="P53" s="4">
        <v>48913.37</v>
      </c>
      <c r="Q53" s="4">
        <v>70915.48</v>
      </c>
      <c r="R53" s="4">
        <v>54633.09</v>
      </c>
      <c r="S53" s="4">
        <v>47463.37</v>
      </c>
      <c r="T53" s="4">
        <v>44402.8</v>
      </c>
      <c r="U53" s="4">
        <v>62816.97</v>
      </c>
      <c r="V53" s="4">
        <v>181419.5</v>
      </c>
      <c r="W53" s="4">
        <v>62665.279999999999</v>
      </c>
      <c r="X53" s="4">
        <v>85726.52</v>
      </c>
      <c r="Y53" s="4">
        <v>0</v>
      </c>
      <c r="Z53" s="4">
        <v>0</v>
      </c>
      <c r="AA53" s="4">
        <v>64302.79</v>
      </c>
      <c r="AB53" s="4">
        <v>0</v>
      </c>
    </row>
    <row r="54" spans="1:28" x14ac:dyDescent="0.25">
      <c r="A54" s="1"/>
      <c r="B54" t="s">
        <v>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23308.58</v>
      </c>
      <c r="I54" s="4">
        <v>0</v>
      </c>
      <c r="J54" s="4">
        <v>26323.59</v>
      </c>
      <c r="K54" s="4">
        <v>0</v>
      </c>
      <c r="L54" s="4">
        <v>30570.61</v>
      </c>
      <c r="M54" s="4">
        <v>16761.22</v>
      </c>
      <c r="N54" s="4">
        <v>0</v>
      </c>
      <c r="O54" s="4">
        <v>0</v>
      </c>
      <c r="P54" s="4">
        <v>18830.8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62202.01</v>
      </c>
    </row>
    <row r="55" spans="1:28" x14ac:dyDescent="0.25">
      <c r="A55" s="1"/>
      <c r="B55" t="s">
        <v>8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77946.759999999995</v>
      </c>
      <c r="R55" s="4">
        <v>81467.789999999994</v>
      </c>
      <c r="S55" s="4">
        <v>41791.379999999997</v>
      </c>
      <c r="T55" s="4">
        <v>48387.66</v>
      </c>
      <c r="U55" s="4">
        <v>21314.57</v>
      </c>
      <c r="V55" s="4">
        <v>17728.63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15219.21</v>
      </c>
    </row>
    <row r="56" spans="1:28" x14ac:dyDescent="0.25">
      <c r="A56" s="1"/>
      <c r="B56" t="s">
        <v>9</v>
      </c>
      <c r="C56" s="4">
        <v>0</v>
      </c>
      <c r="D56" s="4">
        <v>15533.501</v>
      </c>
      <c r="E56" s="4">
        <v>0</v>
      </c>
      <c r="F56" s="4">
        <v>0</v>
      </c>
      <c r="G56" s="4">
        <v>0</v>
      </c>
      <c r="H56" s="4">
        <v>14993.371999999999</v>
      </c>
      <c r="I56" s="4">
        <v>17317.36</v>
      </c>
      <c r="J56" s="4">
        <v>0</v>
      </c>
      <c r="K56" s="4">
        <v>15582.38</v>
      </c>
      <c r="L56" s="4">
        <v>15154.89</v>
      </c>
      <c r="M56" s="4">
        <v>13708.7</v>
      </c>
      <c r="N56" s="4">
        <v>14173.2</v>
      </c>
      <c r="O56" s="4">
        <v>16133</v>
      </c>
      <c r="P56" s="4">
        <v>0</v>
      </c>
      <c r="Q56" s="4">
        <v>17810.2</v>
      </c>
      <c r="R56" s="4">
        <v>19592.72</v>
      </c>
      <c r="S56" s="4">
        <v>0</v>
      </c>
      <c r="T56" s="4">
        <v>22037.53</v>
      </c>
      <c r="U56" s="4">
        <v>0</v>
      </c>
      <c r="V56" s="4">
        <v>19451.27</v>
      </c>
      <c r="W56" s="4">
        <v>18050.12</v>
      </c>
      <c r="X56" s="4">
        <v>0</v>
      </c>
      <c r="Y56" s="4">
        <v>16631.04</v>
      </c>
      <c r="Z56" s="4">
        <v>0</v>
      </c>
      <c r="AA56" s="4">
        <v>0</v>
      </c>
      <c r="AB56" s="4">
        <v>0</v>
      </c>
    </row>
    <row r="57" spans="1:28" x14ac:dyDescent="0.25">
      <c r="A57" s="1"/>
      <c r="B57" t="s">
        <v>10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22812.63</v>
      </c>
      <c r="X57" s="4">
        <v>66308.25</v>
      </c>
      <c r="Y57" s="4">
        <v>48442.22</v>
      </c>
      <c r="Z57" s="4">
        <v>27059.74</v>
      </c>
      <c r="AA57" s="4">
        <v>0</v>
      </c>
      <c r="AB57" s="4">
        <v>0</v>
      </c>
    </row>
    <row r="58" spans="1:28" x14ac:dyDescent="0.25">
      <c r="A58" s="1"/>
      <c r="B58" t="s">
        <v>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16623.7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21157.31</v>
      </c>
      <c r="Y58" s="4">
        <v>21132.63</v>
      </c>
      <c r="Z58" s="4">
        <v>16074.72</v>
      </c>
      <c r="AA58" s="4">
        <v>23325.599999999999</v>
      </c>
      <c r="AB58" s="4">
        <v>17105.650000000001</v>
      </c>
    </row>
    <row r="59" spans="1:28" x14ac:dyDescent="0.25">
      <c r="A59" s="1"/>
      <c r="B59" t="s">
        <v>12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27972.11</v>
      </c>
      <c r="W59" s="4">
        <v>38201.58</v>
      </c>
      <c r="X59" s="4">
        <v>25591.85</v>
      </c>
      <c r="Y59" s="4">
        <v>28830.38</v>
      </c>
      <c r="Z59" s="4">
        <v>16775.23</v>
      </c>
      <c r="AA59" s="4">
        <v>0</v>
      </c>
      <c r="AB59" s="4">
        <v>0</v>
      </c>
    </row>
    <row r="60" spans="1:28" x14ac:dyDescent="0.25">
      <c r="A60" s="1"/>
      <c r="B60" t="s">
        <v>14</v>
      </c>
      <c r="C60" s="4">
        <v>86259.94</v>
      </c>
      <c r="D60" s="4">
        <v>77334</v>
      </c>
      <c r="E60" s="4">
        <v>0</v>
      </c>
      <c r="F60" s="4">
        <v>85695.31</v>
      </c>
      <c r="G60" s="4">
        <v>68912.36</v>
      </c>
      <c r="H60" s="4">
        <v>56533.982000000004</v>
      </c>
      <c r="I60" s="4">
        <v>43975.42</v>
      </c>
      <c r="J60" s="4">
        <v>45678.62</v>
      </c>
      <c r="K60" s="4">
        <v>39534.080000000002</v>
      </c>
      <c r="L60" s="4">
        <v>38331.4</v>
      </c>
      <c r="M60" s="4">
        <v>23613.7</v>
      </c>
      <c r="N60" s="4">
        <v>24805.1</v>
      </c>
      <c r="O60" s="4">
        <v>30807.4</v>
      </c>
      <c r="P60" s="4">
        <v>30725.3</v>
      </c>
      <c r="Q60" s="4">
        <v>30149.9</v>
      </c>
      <c r="R60" s="4">
        <v>30945.59</v>
      </c>
      <c r="S60" s="4">
        <v>39755.11</v>
      </c>
      <c r="T60" s="4">
        <v>75758.59</v>
      </c>
      <c r="U60" s="4">
        <v>79449.3</v>
      </c>
      <c r="V60" s="4">
        <v>85473.64</v>
      </c>
      <c r="W60" s="4">
        <v>84479.84</v>
      </c>
      <c r="X60" s="4">
        <v>96174.19</v>
      </c>
      <c r="Y60" s="4">
        <v>100058.28</v>
      </c>
      <c r="Z60" s="4">
        <v>78203.460000000006</v>
      </c>
      <c r="AA60" s="4">
        <v>75069.850000000006</v>
      </c>
      <c r="AB60" s="4">
        <v>55196.41</v>
      </c>
    </row>
    <row r="61" spans="1:28" x14ac:dyDescent="0.25">
      <c r="A61" s="1"/>
      <c r="B61" t="s">
        <v>15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249329.32</v>
      </c>
      <c r="N61" s="4">
        <v>210508.39</v>
      </c>
      <c r="O61" s="4">
        <v>247563.91</v>
      </c>
      <c r="P61" s="4">
        <v>226892.84</v>
      </c>
      <c r="Q61" s="4">
        <v>235572.28</v>
      </c>
      <c r="R61" s="4">
        <v>245859.42</v>
      </c>
      <c r="S61" s="4">
        <v>238069.08</v>
      </c>
      <c r="T61" s="4">
        <v>247224.95</v>
      </c>
      <c r="U61" s="4">
        <v>221002.3</v>
      </c>
      <c r="V61" s="4">
        <v>219300.42</v>
      </c>
      <c r="W61" s="4">
        <v>210341.83</v>
      </c>
      <c r="X61" s="4">
        <v>198559.38</v>
      </c>
      <c r="Y61" s="4">
        <v>201416.52</v>
      </c>
      <c r="Z61" s="4">
        <v>197686.62</v>
      </c>
      <c r="AA61" s="4">
        <v>208828.33</v>
      </c>
      <c r="AB61" s="4">
        <v>201455.85</v>
      </c>
    </row>
    <row r="62" spans="1:28" x14ac:dyDescent="0.25">
      <c r="A62" s="1"/>
      <c r="B62" t="s">
        <v>47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23352.69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</row>
    <row r="63" spans="1:28" x14ac:dyDescent="0.25">
      <c r="A63" s="1"/>
      <c r="B63" t="s">
        <v>48</v>
      </c>
      <c r="C63" s="4">
        <v>0</v>
      </c>
      <c r="D63" s="4">
        <v>0</v>
      </c>
      <c r="E63" s="4">
        <v>0</v>
      </c>
      <c r="F63" s="4">
        <v>30592.78</v>
      </c>
      <c r="G63" s="4">
        <v>33827.64</v>
      </c>
      <c r="H63" s="4">
        <v>0</v>
      </c>
      <c r="I63" s="4">
        <v>29481.14</v>
      </c>
      <c r="J63" s="4">
        <v>21421.09</v>
      </c>
      <c r="K63" s="4">
        <v>0</v>
      </c>
      <c r="L63" s="4">
        <v>0</v>
      </c>
      <c r="M63" s="4">
        <v>16977.669999999998</v>
      </c>
      <c r="N63" s="4">
        <v>19763.84</v>
      </c>
      <c r="O63" s="4">
        <v>13754.76</v>
      </c>
      <c r="P63" s="4">
        <v>16325.44</v>
      </c>
      <c r="Q63" s="4">
        <v>19825.669999999998</v>
      </c>
      <c r="R63" s="4">
        <v>0</v>
      </c>
      <c r="S63" s="4">
        <v>0</v>
      </c>
      <c r="T63" s="4">
        <v>0</v>
      </c>
      <c r="U63" s="4">
        <v>0</v>
      </c>
      <c r="V63" s="4">
        <v>22070.97</v>
      </c>
      <c r="W63" s="4">
        <v>0</v>
      </c>
      <c r="X63" s="4">
        <v>20090.650000000001</v>
      </c>
      <c r="Y63" s="4">
        <v>0</v>
      </c>
      <c r="Z63" s="4">
        <v>24476.37</v>
      </c>
      <c r="AA63" s="4">
        <v>0</v>
      </c>
      <c r="AB63" s="4">
        <v>0</v>
      </c>
    </row>
    <row r="64" spans="1:28" x14ac:dyDescent="0.25">
      <c r="A64" s="1"/>
      <c r="B64" t="s">
        <v>19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107220.5</v>
      </c>
      <c r="N64" s="4">
        <v>121080.77</v>
      </c>
      <c r="O64" s="4">
        <v>116462.12</v>
      </c>
      <c r="P64" s="4">
        <v>107701.29</v>
      </c>
      <c r="Q64" s="4">
        <v>120651.16</v>
      </c>
      <c r="R64" s="4">
        <v>99406.56</v>
      </c>
      <c r="S64" s="4">
        <v>116475.53</v>
      </c>
      <c r="T64" s="4">
        <v>116626.11</v>
      </c>
      <c r="U64" s="4">
        <v>98009.82</v>
      </c>
      <c r="V64" s="4">
        <v>112100.3</v>
      </c>
      <c r="W64" s="4">
        <v>96524.25</v>
      </c>
      <c r="X64" s="4">
        <v>103299.32</v>
      </c>
      <c r="Y64" s="4">
        <v>108335.18</v>
      </c>
      <c r="Z64" s="4">
        <v>96312.73</v>
      </c>
      <c r="AA64" s="4">
        <v>94210.53</v>
      </c>
      <c r="AB64" s="4">
        <v>78563.16</v>
      </c>
    </row>
    <row r="65" spans="1:28" x14ac:dyDescent="0.25">
      <c r="A65" s="1"/>
      <c r="B65" t="s">
        <v>20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31017.69</v>
      </c>
      <c r="N65" s="4">
        <v>37078.25</v>
      </c>
      <c r="O65" s="4">
        <v>41238.699999999997</v>
      </c>
      <c r="P65" s="4">
        <v>24138.47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</row>
    <row r="66" spans="1:28" x14ac:dyDescent="0.25">
      <c r="A66" s="1"/>
      <c r="B66" t="s">
        <v>21</v>
      </c>
      <c r="C66" s="4">
        <v>15233.34</v>
      </c>
      <c r="D66" s="4">
        <v>6265.4210000000003</v>
      </c>
      <c r="E66" s="4">
        <v>105514.4</v>
      </c>
      <c r="F66" s="4">
        <v>31335.41</v>
      </c>
      <c r="G66" s="4">
        <v>33077.199999999997</v>
      </c>
      <c r="H66" s="4">
        <v>30166.388999999999</v>
      </c>
      <c r="I66" s="4">
        <v>31077.08</v>
      </c>
      <c r="J66" s="4">
        <v>32961.379999999997</v>
      </c>
      <c r="K66" s="4">
        <v>36190.410000000003</v>
      </c>
      <c r="L66" s="4">
        <v>34825.980000000003</v>
      </c>
      <c r="M66" s="4">
        <v>67416.13</v>
      </c>
      <c r="N66" s="4">
        <v>77461.429999999993</v>
      </c>
      <c r="O66" s="4">
        <v>103095.67999999999</v>
      </c>
      <c r="P66" s="4">
        <v>100314.84</v>
      </c>
      <c r="Q66" s="4">
        <v>107512.06</v>
      </c>
      <c r="R66" s="4">
        <v>151695.5</v>
      </c>
      <c r="S66" s="4">
        <v>188715.58</v>
      </c>
      <c r="T66" s="4">
        <v>154108.56</v>
      </c>
      <c r="U66" s="4">
        <v>172577.76</v>
      </c>
      <c r="V66" s="4">
        <v>142810.87</v>
      </c>
      <c r="W66" s="4">
        <v>172563.43</v>
      </c>
      <c r="X66" s="4">
        <v>156409.60000000001</v>
      </c>
      <c r="Y66" s="4">
        <v>155770.51</v>
      </c>
      <c r="Z66" s="4">
        <v>137340.59</v>
      </c>
      <c r="AA66" s="4">
        <v>161714.81</v>
      </c>
      <c r="AB66" s="4">
        <v>68449.97</v>
      </c>
    </row>
    <row r="67" spans="1:28" x14ac:dyDescent="0.25">
      <c r="A67" s="1"/>
      <c r="B67" t="s">
        <v>49</v>
      </c>
      <c r="C67" s="4">
        <v>46914.86</v>
      </c>
      <c r="D67" s="4">
        <v>89740.547999999995</v>
      </c>
      <c r="E67" s="4">
        <v>0</v>
      </c>
      <c r="F67" s="4">
        <v>0</v>
      </c>
      <c r="G67" s="4">
        <v>82696.44</v>
      </c>
      <c r="H67" s="4">
        <v>8997.6949999999997</v>
      </c>
      <c r="I67" s="4">
        <v>54630.879999999997</v>
      </c>
      <c r="J67" s="4">
        <v>0</v>
      </c>
      <c r="K67" s="4">
        <v>29440.01</v>
      </c>
      <c r="L67" s="4">
        <v>78748.570000000007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</row>
    <row r="68" spans="1:28" x14ac:dyDescent="0.25">
      <c r="A68" s="1"/>
      <c r="B68" t="s">
        <v>50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16358.63</v>
      </c>
      <c r="Z68" s="4">
        <v>16690.599999999999</v>
      </c>
      <c r="AA68" s="4">
        <v>0</v>
      </c>
      <c r="AB68" s="4">
        <v>0</v>
      </c>
    </row>
    <row r="69" spans="1:28" x14ac:dyDescent="0.25">
      <c r="A69" s="1"/>
      <c r="B69" t="s">
        <v>29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18584.259999999998</v>
      </c>
      <c r="S69" s="4">
        <v>30744.95</v>
      </c>
      <c r="T69" s="4">
        <v>0</v>
      </c>
      <c r="U69" s="4">
        <v>30339.73</v>
      </c>
      <c r="V69" s="4">
        <v>24270.22</v>
      </c>
      <c r="W69" s="4">
        <v>0</v>
      </c>
      <c r="X69" s="4">
        <v>0</v>
      </c>
      <c r="Y69" s="4">
        <v>0</v>
      </c>
      <c r="Z69" s="4">
        <v>0</v>
      </c>
      <c r="AA69" s="4">
        <v>27060.35</v>
      </c>
      <c r="AB69" s="4">
        <v>0</v>
      </c>
    </row>
    <row r="70" spans="1:28" x14ac:dyDescent="0.25">
      <c r="A70" s="1"/>
      <c r="B70" t="s">
        <v>30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55146.84</v>
      </c>
      <c r="N70" s="4">
        <v>52290.07</v>
      </c>
      <c r="O70" s="4">
        <v>56433.37</v>
      </c>
      <c r="P70" s="4">
        <v>64538.22</v>
      </c>
      <c r="Q70" s="4">
        <v>87330.16</v>
      </c>
      <c r="R70" s="4">
        <v>136157.25</v>
      </c>
      <c r="S70" s="4">
        <v>730735.45</v>
      </c>
      <c r="T70" s="4">
        <v>131494.24</v>
      </c>
      <c r="U70" s="4">
        <v>144782.17000000001</v>
      </c>
      <c r="V70" s="4">
        <v>161124.44</v>
      </c>
      <c r="W70" s="4">
        <v>160311.29999999999</v>
      </c>
      <c r="X70" s="4">
        <v>147951.29999999999</v>
      </c>
      <c r="Y70" s="4">
        <v>147066.85999999999</v>
      </c>
      <c r="Z70" s="4">
        <v>121530.53</v>
      </c>
      <c r="AA70" s="4">
        <v>159922.32999999999</v>
      </c>
      <c r="AB70" s="4">
        <v>118776.36</v>
      </c>
    </row>
    <row r="71" spans="1:28" x14ac:dyDescent="0.25">
      <c r="A71" s="2"/>
      <c r="B71" t="s">
        <v>31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13835.38</v>
      </c>
      <c r="N71" s="4">
        <v>13361.8</v>
      </c>
      <c r="O71" s="4">
        <v>14490.94</v>
      </c>
      <c r="P71" s="4">
        <v>22173.98</v>
      </c>
      <c r="Q71" s="4">
        <v>22637.37</v>
      </c>
      <c r="R71" s="4">
        <v>22216.43</v>
      </c>
      <c r="S71" s="4">
        <v>27760.47</v>
      </c>
      <c r="T71" s="4">
        <v>31222.36</v>
      </c>
      <c r="U71" s="4">
        <v>26626.99</v>
      </c>
      <c r="V71" s="4">
        <v>24529.19</v>
      </c>
      <c r="W71" s="4">
        <v>25785.24</v>
      </c>
      <c r="X71" s="4">
        <v>28298.16</v>
      </c>
      <c r="Y71" s="4">
        <v>27827.86</v>
      </c>
      <c r="Z71" s="4">
        <v>27842.39</v>
      </c>
      <c r="AA71" s="4">
        <v>34347.279999999999</v>
      </c>
      <c r="AB71" s="4">
        <v>35850.620000000003</v>
      </c>
    </row>
    <row r="72" spans="1:28" x14ac:dyDescent="0.25">
      <c r="A72" s="2"/>
      <c r="B72" t="s">
        <v>33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13071.14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</row>
    <row r="73" spans="1:28" x14ac:dyDescent="0.25">
      <c r="A73" s="2"/>
      <c r="B73" t="s">
        <v>34</v>
      </c>
      <c r="C73" s="4">
        <v>0</v>
      </c>
      <c r="D73" s="4">
        <v>0</v>
      </c>
      <c r="E73" s="4">
        <v>0</v>
      </c>
      <c r="F73" s="4">
        <v>72000</v>
      </c>
      <c r="G73" s="4">
        <v>81561.47</v>
      </c>
      <c r="H73" s="4">
        <v>69528.017999999996</v>
      </c>
      <c r="I73" s="4">
        <v>48029.19</v>
      </c>
      <c r="J73" s="4">
        <v>211424.32</v>
      </c>
      <c r="K73" s="4">
        <v>35406.879999999997</v>
      </c>
      <c r="L73" s="4">
        <v>0</v>
      </c>
      <c r="M73" s="4">
        <v>69702.22</v>
      </c>
      <c r="N73" s="4">
        <v>69635.33</v>
      </c>
      <c r="O73" s="4">
        <v>62810.85</v>
      </c>
      <c r="P73" s="4">
        <v>56045.26</v>
      </c>
      <c r="Q73" s="4">
        <v>66971.600000000006</v>
      </c>
      <c r="R73" s="4">
        <v>54222.62</v>
      </c>
      <c r="S73" s="4">
        <v>68231.710000000006</v>
      </c>
      <c r="T73" s="4">
        <v>76686.73</v>
      </c>
      <c r="U73" s="4">
        <v>78393.67</v>
      </c>
      <c r="V73" s="4">
        <v>63881.09</v>
      </c>
      <c r="W73" s="4">
        <v>76641.63</v>
      </c>
      <c r="X73" s="4">
        <v>72131.929999999993</v>
      </c>
      <c r="Y73" s="4">
        <v>68879.98</v>
      </c>
      <c r="Z73" s="4">
        <v>0</v>
      </c>
      <c r="AA73" s="4">
        <v>0</v>
      </c>
      <c r="AB73" s="4">
        <v>0</v>
      </c>
    </row>
    <row r="74" spans="1:28" x14ac:dyDescent="0.25">
      <c r="A74" s="2"/>
      <c r="B74" t="s">
        <v>37</v>
      </c>
      <c r="C74" s="4">
        <v>0</v>
      </c>
      <c r="D74" s="4">
        <v>0</v>
      </c>
      <c r="E74" s="4">
        <v>412352.2</v>
      </c>
      <c r="F74" s="4">
        <v>307166.34999999998</v>
      </c>
      <c r="G74" s="4">
        <v>257447.26</v>
      </c>
      <c r="H74" s="4">
        <v>318603.27799999999</v>
      </c>
      <c r="I74" s="4">
        <v>286607.88</v>
      </c>
      <c r="J74" s="4">
        <v>316809.58</v>
      </c>
      <c r="K74" s="4">
        <v>295777.14</v>
      </c>
      <c r="L74" s="4">
        <v>297883.44</v>
      </c>
      <c r="M74" s="4">
        <v>292015.21999999997</v>
      </c>
      <c r="N74" s="4">
        <v>345431.12</v>
      </c>
      <c r="O74" s="4">
        <v>336571.27</v>
      </c>
      <c r="P74" s="4">
        <v>335056.90000000002</v>
      </c>
      <c r="Q74" s="4">
        <v>362296.74</v>
      </c>
      <c r="R74" s="4">
        <v>361503.41</v>
      </c>
      <c r="S74" s="4">
        <v>417576.02</v>
      </c>
      <c r="T74" s="4">
        <v>406606.48</v>
      </c>
      <c r="U74" s="4">
        <v>396913.57</v>
      </c>
      <c r="V74" s="4">
        <v>390752.17</v>
      </c>
      <c r="W74" s="4">
        <v>350687.79</v>
      </c>
      <c r="X74" s="4">
        <v>317997.92</v>
      </c>
      <c r="Y74" s="4">
        <v>286508.87</v>
      </c>
      <c r="Z74" s="4">
        <v>202701.09</v>
      </c>
      <c r="AA74" s="4">
        <v>277657.65000000002</v>
      </c>
      <c r="AB74" s="4">
        <v>222893.26</v>
      </c>
    </row>
    <row r="75" spans="1:28" x14ac:dyDescent="0.25">
      <c r="A75" s="2"/>
      <c r="B75" t="s">
        <v>38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17860.080000000002</v>
      </c>
      <c r="N75" s="4">
        <v>200064.63</v>
      </c>
      <c r="O75" s="4">
        <v>729053.8</v>
      </c>
      <c r="P75" s="4">
        <v>761984.58</v>
      </c>
      <c r="Q75" s="4">
        <v>700743.73</v>
      </c>
      <c r="R75" s="4">
        <v>1343125.23</v>
      </c>
      <c r="S75" s="4">
        <v>1524325.77</v>
      </c>
      <c r="T75" s="4">
        <v>1424110.95</v>
      </c>
      <c r="U75" s="4">
        <v>1701831.01</v>
      </c>
      <c r="V75" s="4">
        <v>727814.6</v>
      </c>
      <c r="W75" s="4">
        <v>1682019.3</v>
      </c>
      <c r="X75" s="4">
        <v>1394077.61</v>
      </c>
      <c r="Y75" s="4">
        <v>1458538.2</v>
      </c>
      <c r="Z75" s="4">
        <v>1337536.72</v>
      </c>
      <c r="AA75" s="4">
        <v>1657401.24</v>
      </c>
      <c r="AB75" s="4">
        <v>293890.68</v>
      </c>
    </row>
    <row r="76" spans="1:28" x14ac:dyDescent="0.25">
      <c r="A76" s="2"/>
      <c r="B76" t="s">
        <v>51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43579.29</v>
      </c>
      <c r="Y76" s="4">
        <v>49052.05</v>
      </c>
      <c r="Z76" s="4">
        <v>0</v>
      </c>
      <c r="AA76" s="4">
        <v>0</v>
      </c>
      <c r="AB76" s="4">
        <v>0</v>
      </c>
    </row>
    <row r="77" spans="1:28" x14ac:dyDescent="0.25">
      <c r="A77" s="2"/>
      <c r="B77" t="s">
        <v>39</v>
      </c>
      <c r="C77" s="4">
        <v>26784.03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17883.27</v>
      </c>
      <c r="R77" s="4">
        <v>20658.36</v>
      </c>
      <c r="S77" s="4">
        <v>0</v>
      </c>
      <c r="T77" s="4">
        <v>26857.94</v>
      </c>
      <c r="U77" s="4">
        <v>25321.41</v>
      </c>
      <c r="V77" s="4">
        <v>23150.06</v>
      </c>
      <c r="W77" s="4">
        <v>25464.29</v>
      </c>
      <c r="X77" s="4">
        <v>29967.279999999999</v>
      </c>
      <c r="Y77" s="4">
        <v>31226.32</v>
      </c>
      <c r="Z77" s="4">
        <v>35964.07</v>
      </c>
      <c r="AA77" s="4">
        <v>37571.040000000001</v>
      </c>
      <c r="AB77" s="4">
        <v>35664.300000000003</v>
      </c>
    </row>
    <row r="78" spans="1:28" x14ac:dyDescent="0.25">
      <c r="A78" s="2"/>
      <c r="B78" t="s">
        <v>40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60445.46</v>
      </c>
      <c r="T78" s="4">
        <v>61361.53</v>
      </c>
      <c r="U78" s="4">
        <v>64153.62</v>
      </c>
      <c r="V78" s="4">
        <v>70548.259999999995</v>
      </c>
      <c r="W78" s="4">
        <v>53565.41</v>
      </c>
      <c r="X78" s="4">
        <v>65280.09</v>
      </c>
      <c r="Y78" s="4">
        <v>115046.36</v>
      </c>
      <c r="Z78" s="4">
        <v>67046.36</v>
      </c>
      <c r="AA78" s="4">
        <v>72250.52</v>
      </c>
      <c r="AB78" s="4">
        <v>55067</v>
      </c>
    </row>
    <row r="79" spans="1:28" x14ac:dyDescent="0.25">
      <c r="A79" s="2"/>
      <c r="B79" t="s">
        <v>41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22836.48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</row>
    <row r="80" spans="1:28" x14ac:dyDescent="0.25">
      <c r="A80" s="2"/>
      <c r="B80" t="s">
        <v>42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84772.39</v>
      </c>
      <c r="S80" s="4">
        <v>69907.360000000001</v>
      </c>
      <c r="T80" s="4">
        <v>68592.98</v>
      </c>
      <c r="U80" s="4">
        <v>99094.65</v>
      </c>
      <c r="V80" s="4">
        <v>119487.5</v>
      </c>
      <c r="W80" s="4">
        <v>117308.61</v>
      </c>
      <c r="X80" s="4">
        <v>125158.6</v>
      </c>
      <c r="Y80" s="4">
        <v>147145.07999999999</v>
      </c>
      <c r="Z80" s="4">
        <v>112453.09</v>
      </c>
      <c r="AA80" s="4">
        <v>0</v>
      </c>
      <c r="AB80" s="4">
        <v>0</v>
      </c>
    </row>
    <row r="81" spans="3:28" x14ac:dyDescent="0.25">
      <c r="C81" s="4">
        <f>SUM(C48:C80)</f>
        <v>175192.17</v>
      </c>
      <c r="D81" s="4">
        <f t="shared" ref="D81:AB81" si="1">SUM(D48:D80)</f>
        <v>188873.47</v>
      </c>
      <c r="E81" s="4">
        <f t="shared" si="1"/>
        <v>517866.6</v>
      </c>
      <c r="F81" s="4">
        <f t="shared" si="1"/>
        <v>526789.85</v>
      </c>
      <c r="G81" s="4">
        <f t="shared" si="1"/>
        <v>557522.37</v>
      </c>
      <c r="H81" s="4">
        <f t="shared" si="1"/>
        <v>522131.31400000001</v>
      </c>
      <c r="I81" s="4">
        <f t="shared" si="1"/>
        <v>511118.95</v>
      </c>
      <c r="J81" s="4">
        <f t="shared" si="1"/>
        <v>654618.58000000007</v>
      </c>
      <c r="K81" s="4">
        <f t="shared" si="1"/>
        <v>516348</v>
      </c>
      <c r="L81" s="4">
        <f t="shared" si="1"/>
        <v>564156.12000000011</v>
      </c>
      <c r="M81" s="4">
        <f t="shared" si="1"/>
        <v>1160322.7599999998</v>
      </c>
      <c r="N81" s="4">
        <f t="shared" si="1"/>
        <v>1429100.48</v>
      </c>
      <c r="O81" s="4">
        <f t="shared" si="1"/>
        <v>1905911.17</v>
      </c>
      <c r="P81" s="4">
        <f t="shared" si="1"/>
        <v>1858816.83</v>
      </c>
      <c r="Q81" s="4">
        <f t="shared" si="1"/>
        <v>1991275.5899999999</v>
      </c>
      <c r="R81" s="4">
        <f t="shared" si="1"/>
        <v>2778401.6799999997</v>
      </c>
      <c r="S81" s="4">
        <f t="shared" si="1"/>
        <v>3716498.27</v>
      </c>
      <c r="T81" s="4">
        <f t="shared" si="1"/>
        <v>3071138.0599999996</v>
      </c>
      <c r="U81" s="4">
        <f t="shared" si="1"/>
        <v>3434677.1700000004</v>
      </c>
      <c r="V81" s="4">
        <f t="shared" si="1"/>
        <v>2618926.0499999998</v>
      </c>
      <c r="W81" s="4">
        <f t="shared" si="1"/>
        <v>3243958.4499999997</v>
      </c>
      <c r="X81" s="4">
        <f t="shared" si="1"/>
        <v>3020853.25</v>
      </c>
      <c r="Y81" s="4">
        <f t="shared" si="1"/>
        <v>3046071.1299999994</v>
      </c>
      <c r="Z81" s="4">
        <f t="shared" si="1"/>
        <v>2549585.4999999995</v>
      </c>
      <c r="AA81" s="4">
        <f t="shared" si="1"/>
        <v>3039529.1700000004</v>
      </c>
      <c r="AB81" s="4">
        <f t="shared" si="1"/>
        <v>1274013.73</v>
      </c>
    </row>
    <row r="82" spans="3:28" x14ac:dyDescent="0.25">
      <c r="C82" s="4">
        <f>C45</f>
        <v>175192.16</v>
      </c>
      <c r="D82" s="4">
        <f t="shared" ref="D82:AB82" si="2">D45</f>
        <v>188873.46999999997</v>
      </c>
      <c r="E82" s="4">
        <f t="shared" si="2"/>
        <v>517866.59</v>
      </c>
      <c r="F82" s="4">
        <f t="shared" si="2"/>
        <v>526789.85499999998</v>
      </c>
      <c r="G82" s="4">
        <f t="shared" si="2"/>
        <v>557522.4</v>
      </c>
      <c r="H82" s="4">
        <f t="shared" si="2"/>
        <v>522131.32</v>
      </c>
      <c r="I82" s="4">
        <f t="shared" si="2"/>
        <v>511118.9</v>
      </c>
      <c r="J82" s="4">
        <f t="shared" si="2"/>
        <v>654618.60000000009</v>
      </c>
      <c r="K82" s="4">
        <f t="shared" si="2"/>
        <v>516348.01</v>
      </c>
      <c r="L82" s="4">
        <f t="shared" si="2"/>
        <v>564156.11</v>
      </c>
      <c r="M82" s="4">
        <f t="shared" si="2"/>
        <v>1160322.7610000002</v>
      </c>
      <c r="N82" s="4">
        <f t="shared" si="2"/>
        <v>1429100.4759999998</v>
      </c>
      <c r="O82" s="4">
        <f t="shared" si="2"/>
        <v>1905911.1639999996</v>
      </c>
      <c r="P82" s="4">
        <f t="shared" si="2"/>
        <v>1858816.8299999998</v>
      </c>
      <c r="Q82" s="4">
        <f t="shared" si="2"/>
        <v>1991275.6159999997</v>
      </c>
      <c r="R82" s="4">
        <f t="shared" si="2"/>
        <v>2778401.6780000003</v>
      </c>
      <c r="S82" s="4">
        <f t="shared" si="2"/>
        <v>3716498.2520000003</v>
      </c>
      <c r="T82" s="4">
        <f t="shared" si="2"/>
        <v>3071138.0729999999</v>
      </c>
      <c r="U82" s="4">
        <f t="shared" si="2"/>
        <v>3434677.1520000007</v>
      </c>
      <c r="V82" s="4">
        <f t="shared" si="2"/>
        <v>2618926.0649999999</v>
      </c>
      <c r="W82" s="4">
        <f t="shared" si="2"/>
        <v>3243958.4440000001</v>
      </c>
      <c r="X82" s="4">
        <f t="shared" si="2"/>
        <v>3020853.2609999995</v>
      </c>
      <c r="Y82" s="4">
        <f t="shared" si="2"/>
        <v>3046071.1150000002</v>
      </c>
      <c r="Z82" s="4">
        <f t="shared" si="2"/>
        <v>2549585.5099999998</v>
      </c>
      <c r="AA82" s="4">
        <f t="shared" si="2"/>
        <v>3039529.1590000009</v>
      </c>
      <c r="AB82" s="4">
        <f t="shared" si="2"/>
        <v>1274013.7419999999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Hogan</dc:creator>
  <cp:lastModifiedBy>James Hogan</cp:lastModifiedBy>
  <dcterms:created xsi:type="dcterms:W3CDTF">2026-01-22T03:14:25Z</dcterms:created>
  <dcterms:modified xsi:type="dcterms:W3CDTF">2026-01-22T03:33:33Z</dcterms:modified>
</cp:coreProperties>
</file>